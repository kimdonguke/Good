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GVRS\"/>
    </mc:Choice>
  </mc:AlternateContent>
  <xr:revisionPtr revIDLastSave="0" documentId="13_ncr:1_{246DC1FE-C7EA-49BA-A83B-DD58D1034BD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정리" sheetId="7" r:id="rId1"/>
    <sheet name="GVRS_Horizontal" sheetId="18" r:id="rId2"/>
    <sheet name="GVRS_Vertical" sheetId="19" r:id="rId3"/>
    <sheet name="전체서비스성능저하" sheetId="8" r:id="rId4"/>
    <sheet name="동일한 망 다른점명" sheetId="9" r:id="rId5"/>
    <sheet name="동일망 다른점명 비교" sheetId="10" r:id="rId6"/>
    <sheet name="임실24_임실03" sheetId="11" r:id="rId7"/>
    <sheet name="Sheet2" sheetId="12" r:id="rId8"/>
    <sheet name="fkp_Service" sheetId="13" r:id="rId9"/>
    <sheet name="ssr_Twoway_Service" sheetId="14" r:id="rId10"/>
    <sheet name="ssr_Oneway_Service" sheetId="15" r:id="rId11"/>
    <sheet name="Sheet1" sheetId="17" r:id="rId12"/>
    <sheet name="ssr_Service" sheetId="16" r:id="rId13"/>
  </sheets>
  <definedNames>
    <definedName name="_xlnm._FilterDatabase" localSheetId="8" hidden="1">fkp_Service!$A$1:$I$239</definedName>
    <definedName name="_xlnm._FilterDatabase" localSheetId="3" hidden="1">전체서비스성능저하!$A$1:$N$471</definedName>
    <definedName name="_xlnm._FilterDatabase" localSheetId="0" hidden="1">정리!$A$1:$Y$3373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6" l="1" a="1"/>
  <c r="L34" i="16" s="1"/>
  <c r="M34" i="16" a="1"/>
  <c r="M34" i="16" s="1"/>
  <c r="K34" i="16" a="1"/>
  <c r="K34" i="16" s="1"/>
  <c r="P80" i="8"/>
  <c r="P76" i="8"/>
  <c r="P47" i="8"/>
  <c r="P44" i="8"/>
  <c r="P40" i="8"/>
  <c r="Q32" i="8"/>
  <c r="P53" i="8" a="1"/>
  <c r="P53" i="8" s="1"/>
  <c r="Q53" i="8" a="1"/>
  <c r="Q53" i="8" s="1"/>
  <c r="R53" i="8" a="1"/>
  <c r="R53" i="8" s="1"/>
  <c r="R50" i="8" a="1"/>
  <c r="R50" i="8" s="1"/>
  <c r="R16" i="8" a="1"/>
  <c r="R16" i="8" s="1"/>
  <c r="Q16" i="8" a="1"/>
  <c r="Q16" i="8" s="1"/>
  <c r="P16" i="8" a="1"/>
  <c r="P16" i="8" s="1"/>
  <c r="P20" i="8" a="1"/>
  <c r="P20" i="8" s="1"/>
  <c r="Q20" i="8" a="1"/>
  <c r="Q20" i="8" s="1"/>
  <c r="R20" i="8" a="1"/>
  <c r="R20" i="8" s="1"/>
  <c r="P17" i="8" a="1"/>
  <c r="P17" i="8" s="1"/>
  <c r="Q17" i="8" a="1"/>
  <c r="Q17" i="8" s="1"/>
  <c r="R17" i="8" a="1"/>
  <c r="R17" i="8" s="1"/>
  <c r="Q23" i="8" a="1"/>
  <c r="Q23" i="8" s="1"/>
  <c r="R23" i="8" a="1"/>
  <c r="R23" i="8" s="1"/>
  <c r="P23" i="8" a="1"/>
  <c r="P23" i="8" s="1"/>
  <c r="Q11" i="8" a="1"/>
  <c r="Q11" i="8" s="1"/>
  <c r="R11" i="8" a="1"/>
  <c r="R11" i="8" s="1"/>
  <c r="P11" i="8" a="1"/>
  <c r="P11" i="8" s="1"/>
  <c r="Q2" i="8" a="1"/>
  <c r="Q2" i="8" s="1"/>
  <c r="R2" i="8" a="1"/>
  <c r="R2" i="8" s="1"/>
  <c r="P2" i="8" a="1"/>
  <c r="P2" i="8" s="1"/>
  <c r="Q5" i="8" a="1"/>
  <c r="Q5" i="8" s="1"/>
  <c r="R5" i="8" a="1"/>
  <c r="R5" i="8" s="1"/>
  <c r="P5" i="8" a="1"/>
  <c r="P5" i="8" s="1"/>
  <c r="Q10" i="8" a="1"/>
  <c r="Q10" i="8" s="1"/>
  <c r="R10" i="8" a="1"/>
  <c r="R10" i="8" s="1"/>
  <c r="P10" i="8" a="1"/>
  <c r="P10" i="8" s="1"/>
  <c r="Q8" i="8" a="1"/>
  <c r="Q8" i="8" s="1"/>
  <c r="R8" i="8" a="1"/>
  <c r="R8" i="8" s="1"/>
  <c r="P8" i="8" a="1"/>
  <c r="P8" i="8" s="1"/>
  <c r="Q20" i="13"/>
  <c r="N20" i="13" a="1"/>
  <c r="N20" i="13" s="1"/>
  <c r="O20" i="13" a="1"/>
  <c r="O20" i="13"/>
  <c r="M20" i="13" a="1"/>
  <c r="M20" i="13" s="1"/>
  <c r="N22" i="13" a="1"/>
  <c r="N22" i="13" s="1"/>
  <c r="O22" i="13" a="1"/>
  <c r="O22" i="13" s="1"/>
  <c r="M22" i="13" a="1"/>
  <c r="M22" i="13" s="1"/>
  <c r="M13" i="13" a="1"/>
  <c r="M13" i="13" s="1"/>
  <c r="N13" i="13" a="1"/>
  <c r="N13" i="13" s="1"/>
  <c r="O13" i="13" a="1"/>
  <c r="O13" i="13" s="1"/>
  <c r="N11" i="13" a="1"/>
  <c r="N11" i="13" s="1"/>
  <c r="O11" i="13" a="1"/>
  <c r="O11" i="13" s="1"/>
  <c r="M11" i="13" a="1"/>
  <c r="M11" i="13" s="1"/>
  <c r="J472" i="8"/>
  <c r="K472" i="8"/>
  <c r="I472" i="8"/>
  <c r="J471" i="8"/>
  <c r="K471" i="8"/>
  <c r="I471" i="8"/>
  <c r="J470" i="8"/>
  <c r="K470" i="8"/>
  <c r="I470" i="8"/>
  <c r="J21" i="11"/>
  <c r="K21" i="11"/>
  <c r="I21" i="11"/>
  <c r="J11" i="11"/>
  <c r="K11" i="11"/>
  <c r="I11" i="11"/>
  <c r="J34" i="12"/>
  <c r="K34" i="12"/>
  <c r="I34" i="12"/>
  <c r="J23" i="12"/>
  <c r="K23" i="12"/>
  <c r="I23" i="12"/>
  <c r="E12" i="12"/>
  <c r="F12" i="12"/>
  <c r="G12" i="12"/>
  <c r="H12" i="12"/>
  <c r="I12" i="12"/>
  <c r="J12" i="12"/>
  <c r="K12" i="12"/>
  <c r="D12" i="12"/>
  <c r="AJ61" i="10"/>
  <c r="AK61" i="10"/>
  <c r="AL61" i="10"/>
  <c r="AM61" i="10"/>
  <c r="AN61" i="10"/>
  <c r="AO61" i="10"/>
  <c r="AP61" i="10"/>
  <c r="AJ57" i="10"/>
  <c r="AK57" i="10"/>
  <c r="AL57" i="10"/>
  <c r="AM57" i="10"/>
  <c r="AN57" i="10"/>
  <c r="AO57" i="10"/>
  <c r="AP57" i="10"/>
  <c r="AJ53" i="10"/>
  <c r="AK53" i="10"/>
  <c r="AL53" i="10"/>
  <c r="AM53" i="10"/>
  <c r="AN53" i="10"/>
  <c r="AO53" i="10"/>
  <c r="AP53" i="10"/>
  <c r="AJ46" i="10"/>
  <c r="AK46" i="10"/>
  <c r="AL46" i="10"/>
  <c r="AM46" i="10"/>
  <c r="AN46" i="10"/>
  <c r="AO46" i="10"/>
  <c r="AP46" i="10"/>
  <c r="AJ42" i="10"/>
  <c r="AK42" i="10"/>
  <c r="AL42" i="10"/>
  <c r="AM42" i="10"/>
  <c r="AN42" i="10"/>
  <c r="AO42" i="10"/>
  <c r="AP42" i="10"/>
  <c r="AI61" i="10"/>
  <c r="AI57" i="10"/>
  <c r="AI53" i="10"/>
  <c r="AI46" i="10"/>
  <c r="AI42" i="10"/>
  <c r="U9" i="10"/>
  <c r="V9" i="10"/>
  <c r="W9" i="10"/>
  <c r="X9" i="10"/>
  <c r="Y9" i="10"/>
  <c r="Z9" i="10"/>
  <c r="AA9" i="10"/>
  <c r="U5" i="10"/>
  <c r="V5" i="10"/>
  <c r="W5" i="10"/>
  <c r="X5" i="10"/>
  <c r="Y5" i="10"/>
  <c r="Z5" i="10"/>
  <c r="AA5" i="10"/>
  <c r="T9" i="10"/>
  <c r="T5" i="10"/>
  <c r="U61" i="10"/>
  <c r="V61" i="10"/>
  <c r="W61" i="10"/>
  <c r="X61" i="10"/>
  <c r="Y61" i="10"/>
  <c r="Z61" i="10"/>
  <c r="AA61" i="10"/>
  <c r="T61" i="10"/>
  <c r="U57" i="10"/>
  <c r="V57" i="10"/>
  <c r="W57" i="10"/>
  <c r="X57" i="10"/>
  <c r="Y57" i="10"/>
  <c r="Z57" i="10"/>
  <c r="AA57" i="10"/>
  <c r="T57" i="10"/>
  <c r="U53" i="10"/>
  <c r="V53" i="10"/>
  <c r="W53" i="10"/>
  <c r="X53" i="10"/>
  <c r="Y53" i="10"/>
  <c r="Z53" i="10"/>
  <c r="AA53" i="10"/>
  <c r="T53" i="10"/>
  <c r="U46" i="10"/>
  <c r="V46" i="10"/>
  <c r="W46" i="10"/>
  <c r="X46" i="10"/>
  <c r="Y46" i="10"/>
  <c r="Z46" i="10"/>
  <c r="AA46" i="10"/>
  <c r="T46" i="10"/>
  <c r="U42" i="10"/>
  <c r="V42" i="10"/>
  <c r="W42" i="10"/>
  <c r="X42" i="10"/>
  <c r="Y42" i="10"/>
  <c r="Z42" i="10"/>
  <c r="AA42" i="10"/>
  <c r="T42" i="10"/>
  <c r="U32" i="10"/>
  <c r="V32" i="10"/>
  <c r="W32" i="10"/>
  <c r="X32" i="10"/>
  <c r="Y32" i="10"/>
  <c r="Z32" i="10"/>
  <c r="AA32" i="10"/>
  <c r="U28" i="10"/>
  <c r="V28" i="10"/>
  <c r="W28" i="10"/>
  <c r="X28" i="10"/>
  <c r="Y28" i="10"/>
  <c r="Z28" i="10"/>
  <c r="AA28" i="10"/>
  <c r="T32" i="10"/>
  <c r="T28" i="10"/>
  <c r="U24" i="10"/>
  <c r="V24" i="10"/>
  <c r="W24" i="10"/>
  <c r="X24" i="10"/>
  <c r="Y24" i="10"/>
  <c r="Z24" i="10"/>
  <c r="AA24" i="10"/>
  <c r="T24" i="10"/>
  <c r="E61" i="10"/>
  <c r="F61" i="10"/>
  <c r="G61" i="10"/>
  <c r="H61" i="10"/>
  <c r="I61" i="10"/>
  <c r="J61" i="10"/>
  <c r="K61" i="10"/>
  <c r="E57" i="10"/>
  <c r="F57" i="10"/>
  <c r="G57" i="10"/>
  <c r="H57" i="10"/>
  <c r="I57" i="10"/>
  <c r="J57" i="10"/>
  <c r="K57" i="10"/>
  <c r="D61" i="10"/>
  <c r="D57" i="10"/>
  <c r="E53" i="10"/>
  <c r="F53" i="10"/>
  <c r="G53" i="10"/>
  <c r="H53" i="10"/>
  <c r="I53" i="10"/>
  <c r="J53" i="10"/>
  <c r="K53" i="10"/>
  <c r="D53" i="10"/>
  <c r="E47" i="10"/>
  <c r="F47" i="10"/>
  <c r="G47" i="10"/>
  <c r="H47" i="10"/>
  <c r="I47" i="10"/>
  <c r="J47" i="10"/>
  <c r="K47" i="10"/>
  <c r="D47" i="10"/>
  <c r="E43" i="10"/>
  <c r="F43" i="10"/>
  <c r="G43" i="10"/>
  <c r="H43" i="10"/>
  <c r="I43" i="10"/>
  <c r="J43" i="10"/>
  <c r="K43" i="10"/>
  <c r="D43" i="10"/>
  <c r="E32" i="10"/>
  <c r="F32" i="10"/>
  <c r="G32" i="10"/>
  <c r="H32" i="10"/>
  <c r="I32" i="10"/>
  <c r="J32" i="10"/>
  <c r="K32" i="10"/>
  <c r="D32" i="10"/>
  <c r="E28" i="10"/>
  <c r="F28" i="10"/>
  <c r="G28" i="10"/>
  <c r="H28" i="10"/>
  <c r="I28" i="10"/>
  <c r="J28" i="10"/>
  <c r="K28" i="10"/>
  <c r="D28" i="10"/>
  <c r="E24" i="10"/>
  <c r="F24" i="10"/>
  <c r="G24" i="10"/>
  <c r="H24" i="10"/>
  <c r="I24" i="10"/>
  <c r="J24" i="10"/>
  <c r="K24" i="10"/>
  <c r="D24" i="10"/>
  <c r="E17" i="10"/>
  <c r="F17" i="10"/>
  <c r="G17" i="10"/>
  <c r="H17" i="10"/>
  <c r="I17" i="10"/>
  <c r="J17" i="10"/>
  <c r="K17" i="10"/>
  <c r="D17" i="10"/>
  <c r="E11" i="10"/>
  <c r="F11" i="10"/>
  <c r="G11" i="10"/>
  <c r="H11" i="10"/>
  <c r="I11" i="10"/>
  <c r="J11" i="10"/>
  <c r="K11" i="10"/>
  <c r="D11" i="10"/>
  <c r="G5" i="10"/>
  <c r="H5" i="10"/>
  <c r="I5" i="10"/>
  <c r="J5" i="10"/>
  <c r="K5" i="10"/>
  <c r="F5" i="10"/>
  <c r="E5" i="10"/>
  <c r="D5" i="10"/>
  <c r="AS43" i="10"/>
  <c r="AR43" i="10"/>
  <c r="AQ43" i="10"/>
  <c r="AD43" i="10"/>
  <c r="AC43" i="10"/>
  <c r="AB43" i="10"/>
  <c r="AD6" i="10"/>
  <c r="AC6" i="10"/>
  <c r="AB6" i="10"/>
  <c r="N6" i="10"/>
  <c r="M6" i="10"/>
  <c r="L6" i="10"/>
  <c r="N44" i="10"/>
  <c r="M44" i="10"/>
  <c r="L44" i="10"/>
  <c r="P121" i="9"/>
  <c r="O121" i="9"/>
  <c r="N121" i="9"/>
  <c r="P118" i="9"/>
  <c r="O118" i="9"/>
  <c r="N118" i="9"/>
  <c r="P67" i="9"/>
  <c r="O67" i="9"/>
  <c r="N67" i="9"/>
  <c r="P82" i="9"/>
  <c r="O82" i="9"/>
  <c r="N82" i="9"/>
  <c r="P88" i="9"/>
  <c r="O88" i="9"/>
  <c r="N88" i="9"/>
  <c r="P85" i="9"/>
  <c r="O85" i="9"/>
  <c r="N85" i="9"/>
  <c r="P70" i="9"/>
  <c r="O70" i="9"/>
  <c r="N70" i="9"/>
  <c r="N133" i="9"/>
  <c r="P133" i="9"/>
  <c r="O133" i="9"/>
  <c r="N163" i="9"/>
  <c r="O163" i="9"/>
  <c r="P163" i="9"/>
  <c r="P154" i="9"/>
  <c r="O154" i="9"/>
  <c r="N154" i="9"/>
  <c r="P148" i="9"/>
  <c r="O148" i="9"/>
  <c r="N148" i="9"/>
  <c r="P45" i="9"/>
  <c r="O45" i="9"/>
  <c r="N45" i="9"/>
  <c r="P39" i="9"/>
  <c r="O39" i="9"/>
  <c r="N39" i="9"/>
  <c r="P31" i="9"/>
  <c r="O31" i="9"/>
  <c r="N31" i="9"/>
  <c r="P8" i="9"/>
  <c r="O8" i="9"/>
  <c r="N8" i="9"/>
  <c r="N331" i="8"/>
  <c r="N326" i="8"/>
  <c r="N322" i="8"/>
  <c r="N319" i="8"/>
  <c r="N314" i="8"/>
  <c r="N310" i="8"/>
  <c r="N305" i="8"/>
  <c r="N300" i="8"/>
  <c r="N295" i="8"/>
  <c r="N290" i="8"/>
  <c r="N285" i="8"/>
  <c r="N277" i="8"/>
  <c r="N263" i="8"/>
  <c r="N258" i="8"/>
  <c r="N253" i="8"/>
  <c r="N248" i="8"/>
  <c r="N243" i="8"/>
  <c r="N240" i="8"/>
  <c r="N235" i="8"/>
  <c r="N230" i="8"/>
  <c r="N225" i="8"/>
  <c r="N220" i="8"/>
  <c r="N212" i="8"/>
  <c r="N213" i="8"/>
  <c r="N214" i="8"/>
  <c r="N215" i="8"/>
  <c r="N216" i="8"/>
  <c r="N217" i="8"/>
  <c r="N218" i="8"/>
  <c r="N219" i="8"/>
  <c r="N211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180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36" i="8"/>
  <c r="N375" i="8"/>
  <c r="N370" i="8"/>
  <c r="N365" i="8"/>
  <c r="N360" i="8"/>
  <c r="N385" i="8"/>
  <c r="N382" i="8"/>
  <c r="N379" i="8"/>
  <c r="N390" i="8"/>
  <c r="N391" i="8"/>
  <c r="N392" i="8"/>
  <c r="N393" i="8"/>
  <c r="N394" i="8"/>
  <c r="N395" i="8"/>
  <c r="N396" i="8"/>
  <c r="N397" i="8"/>
  <c r="N398" i="8"/>
  <c r="N399" i="8"/>
  <c r="N400" i="8"/>
  <c r="N389" i="8"/>
  <c r="N401" i="8"/>
  <c r="N408" i="8"/>
  <c r="N409" i="8"/>
  <c r="N410" i="8"/>
  <c r="N411" i="8"/>
  <c r="N412" i="8"/>
  <c r="N413" i="8"/>
  <c r="N416" i="8"/>
  <c r="N419" i="8"/>
  <c r="N420" i="8"/>
  <c r="N421" i="8"/>
  <c r="N422" i="8"/>
  <c r="N423" i="8"/>
  <c r="N424" i="8"/>
  <c r="N425" i="8"/>
  <c r="N426" i="8"/>
  <c r="N427" i="8"/>
  <c r="N428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07" i="8"/>
  <c r="M331" i="8"/>
  <c r="M326" i="8"/>
  <c r="M322" i="8"/>
  <c r="M319" i="8"/>
  <c r="L331" i="8"/>
  <c r="L326" i="8"/>
  <c r="L322" i="8"/>
  <c r="L319" i="8"/>
  <c r="M401" i="8"/>
  <c r="M385" i="8"/>
  <c r="M375" i="8"/>
  <c r="M370" i="8"/>
  <c r="M365" i="8"/>
  <c r="M360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36" i="8"/>
  <c r="M314" i="8"/>
  <c r="L314" i="8"/>
  <c r="M310" i="8"/>
  <c r="M305" i="8"/>
  <c r="M300" i="8"/>
  <c r="M295" i="8"/>
  <c r="M290" i="8"/>
  <c r="M285" i="8"/>
  <c r="M277" i="8"/>
  <c r="M241" i="8"/>
  <c r="M242" i="8"/>
  <c r="M240" i="8"/>
  <c r="L312" i="8"/>
  <c r="M261" i="8"/>
  <c r="M262" i="8"/>
  <c r="M263" i="8"/>
  <c r="M264" i="8"/>
  <c r="M265" i="8"/>
  <c r="M266" i="8"/>
  <c r="M267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43" i="8"/>
  <c r="M237" i="8"/>
  <c r="M238" i="8"/>
  <c r="M239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21" i="8"/>
  <c r="M222" i="8"/>
  <c r="M223" i="8"/>
  <c r="M224" i="8"/>
  <c r="M220" i="8"/>
  <c r="M382" i="8"/>
  <c r="M379" i="8"/>
  <c r="M390" i="8"/>
  <c r="M391" i="8"/>
  <c r="M392" i="8"/>
  <c r="M393" i="8"/>
  <c r="M394" i="8"/>
  <c r="M395" i="8"/>
  <c r="M396" i="8"/>
  <c r="M397" i="8"/>
  <c r="M398" i="8"/>
  <c r="M399" i="8"/>
  <c r="M400" i="8"/>
  <c r="M389" i="8"/>
  <c r="M408" i="8"/>
  <c r="M409" i="8"/>
  <c r="M410" i="8"/>
  <c r="M411" i="8"/>
  <c r="M412" i="8"/>
  <c r="M413" i="8"/>
  <c r="M416" i="8"/>
  <c r="M419" i="8"/>
  <c r="M420" i="8"/>
  <c r="M421" i="8"/>
  <c r="M422" i="8"/>
  <c r="M423" i="8"/>
  <c r="M424" i="8"/>
  <c r="M425" i="8"/>
  <c r="M426" i="8"/>
  <c r="M427" i="8"/>
  <c r="M428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07" i="8"/>
  <c r="M212" i="8"/>
  <c r="M213" i="8"/>
  <c r="M214" i="8"/>
  <c r="M215" i="8"/>
  <c r="M216" i="8"/>
  <c r="M217" i="8"/>
  <c r="M218" i="8"/>
  <c r="M219" i="8"/>
  <c r="M211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180" i="8"/>
  <c r="L360" i="8"/>
  <c r="L365" i="8"/>
  <c r="L370" i="8"/>
  <c r="L375" i="8"/>
  <c r="L385" i="8"/>
  <c r="L401" i="8"/>
  <c r="L354" i="8"/>
  <c r="L355" i="8"/>
  <c r="L356" i="8"/>
  <c r="L357" i="8"/>
  <c r="L358" i="8"/>
  <c r="L359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37" i="8"/>
  <c r="L338" i="8"/>
  <c r="L339" i="8"/>
  <c r="L340" i="8"/>
  <c r="L341" i="8"/>
  <c r="L336" i="8"/>
  <c r="L382" i="8"/>
  <c r="L379" i="8"/>
  <c r="L390" i="8"/>
  <c r="L391" i="8"/>
  <c r="L392" i="8"/>
  <c r="L393" i="8"/>
  <c r="L394" i="8"/>
  <c r="L395" i="8"/>
  <c r="L396" i="8"/>
  <c r="L397" i="8"/>
  <c r="L398" i="8"/>
  <c r="L399" i="8"/>
  <c r="L400" i="8"/>
  <c r="L389" i="8"/>
  <c r="L408" i="8"/>
  <c r="L409" i="8"/>
  <c r="L410" i="8"/>
  <c r="L411" i="8"/>
  <c r="L412" i="8"/>
  <c r="L413" i="8"/>
  <c r="L416" i="8"/>
  <c r="L419" i="8"/>
  <c r="L420" i="8"/>
  <c r="L421" i="8"/>
  <c r="L422" i="8"/>
  <c r="L423" i="8"/>
  <c r="L424" i="8"/>
  <c r="L425" i="8"/>
  <c r="L426" i="8"/>
  <c r="L427" i="8"/>
  <c r="L428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07" i="8"/>
  <c r="L311" i="8"/>
  <c r="L313" i="8"/>
  <c r="L310" i="8"/>
  <c r="L309" i="8"/>
  <c r="L300" i="8"/>
  <c r="L301" i="8"/>
  <c r="L302" i="8"/>
  <c r="L303" i="8"/>
  <c r="L304" i="8"/>
  <c r="L305" i="8"/>
  <c r="L306" i="8"/>
  <c r="L307" i="8"/>
  <c r="L308" i="8"/>
  <c r="L298" i="8"/>
  <c r="L299" i="8"/>
  <c r="L297" i="8"/>
  <c r="L290" i="8"/>
  <c r="L295" i="8"/>
  <c r="L296" i="8"/>
  <c r="L285" i="8"/>
  <c r="L278" i="8"/>
  <c r="L279" i="8"/>
  <c r="L280" i="8"/>
  <c r="L281" i="8"/>
  <c r="L282" i="8"/>
  <c r="L283" i="8"/>
  <c r="L284" i="8"/>
  <c r="L277" i="8"/>
  <c r="L266" i="8"/>
  <c r="L267" i="8"/>
  <c r="L258" i="8"/>
  <c r="L259" i="8"/>
  <c r="L260" i="8"/>
  <c r="L261" i="8"/>
  <c r="L262" i="8"/>
  <c r="L263" i="8"/>
  <c r="L264" i="8"/>
  <c r="L265" i="8"/>
  <c r="L248" i="8"/>
  <c r="L249" i="8"/>
  <c r="L250" i="8"/>
  <c r="L251" i="8"/>
  <c r="L252" i="8"/>
  <c r="L253" i="8"/>
  <c r="L254" i="8"/>
  <c r="L255" i="8"/>
  <c r="L256" i="8"/>
  <c r="L257" i="8"/>
  <c r="L244" i="8"/>
  <c r="L245" i="8"/>
  <c r="L246" i="8"/>
  <c r="L247" i="8"/>
  <c r="L243" i="8"/>
  <c r="L241" i="8"/>
  <c r="L242" i="8"/>
  <c r="L240" i="8"/>
  <c r="L239" i="8"/>
  <c r="L232" i="8"/>
  <c r="L233" i="8"/>
  <c r="L234" i="8"/>
  <c r="L235" i="8"/>
  <c r="L236" i="8"/>
  <c r="L237" i="8"/>
  <c r="L238" i="8"/>
  <c r="L226" i="8"/>
  <c r="L227" i="8"/>
  <c r="L228" i="8"/>
  <c r="L229" i="8"/>
  <c r="L230" i="8"/>
  <c r="L231" i="8"/>
  <c r="L221" i="8"/>
  <c r="L222" i="8"/>
  <c r="L223" i="8"/>
  <c r="L224" i="8"/>
  <c r="L225" i="8"/>
  <c r="L220" i="8"/>
  <c r="L217" i="8"/>
  <c r="L218" i="8"/>
  <c r="L219" i="8"/>
  <c r="L212" i="8"/>
  <c r="L213" i="8"/>
  <c r="L214" i="8"/>
  <c r="L215" i="8"/>
  <c r="L216" i="8"/>
  <c r="L211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180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3" i="8"/>
  <c r="N54" i="8"/>
  <c r="N55" i="8"/>
  <c r="N56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2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3" i="8"/>
  <c r="M54" i="8"/>
  <c r="M55" i="8"/>
  <c r="M56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3" i="8"/>
  <c r="L54" i="8"/>
  <c r="L55" i="8"/>
  <c r="L56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2" i="8"/>
  <c r="Y2953" i="7"/>
  <c r="Q1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UCP_250321_N_diff_all" description="통합 문서의 'UCP_250321_N_diff_all' 쿼리에 대한 연결입니다." type="5" refreshedVersion="0" background="1">
    <dbPr connection="Provider=Microsoft.Mashup.OleDb.1;Data Source=$Workbook$;Location=UCP_250321_N_diff_all;Extended Properties=&quot;&quot;" command="SELECT * FROM [UCP_250321_N_diff_all]"/>
  </connection>
  <connection id="2" xr16:uid="{00000000-0015-0000-FFFF-FFFF01000000}" keepAlive="1" name="쿼리 - UCP_250321_N_diff_all (2)" description="통합 문서의 'UCP_250321_N_diff_all (2)' 쿼리에 대한 연결입니다." type="5" refreshedVersion="0" background="1">
    <dbPr connection="Provider=Microsoft.Mashup.OleDb.1;Data Source=$Workbook$;Location=&quot;UCP_250321_N_diff_all (2)&quot;;Extended Properties=&quot;&quot;" command="SELECT * FROM [UCP_250321_N_diff_all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<sst xmlns="http://schemas.openxmlformats.org/spreadsheetml/2006/main" count="77607" uniqueCount="15546">
  <si>
    <t>Pointname</t>
  </si>
  <si>
    <t>U포항66-rts1-vrs-rtcm31-1</t>
  </si>
  <si>
    <t>U포항66-rts1-vrs-rtcm31-2</t>
  </si>
  <si>
    <t>U포항66-rts1-vrs-rtcm31-3</t>
  </si>
  <si>
    <t>U포항66-rts1-vrs-cmrx-1</t>
  </si>
  <si>
    <t>U포항66-rts1-vrs-cmrx-2</t>
  </si>
  <si>
    <t>U포항66-rts1-vrs-cmrx-3</t>
  </si>
  <si>
    <t>U포항66-rts1-vrs-rtcm23-1</t>
  </si>
  <si>
    <t>U포항66-rts1-vrs-rtcm23-2</t>
  </si>
  <si>
    <t>U포항66-rts1-vrs-rtcm23-3</t>
  </si>
  <si>
    <t>U포항66-rts1-rtk-rtcm32-1</t>
  </si>
  <si>
    <t>U포항66-rts1-rtk-rtcm32-2</t>
  </si>
  <si>
    <t>U포항66-rts1-rtk-rtcm32-3</t>
  </si>
  <si>
    <t>U포항66-rts1-vrs-rtcm34-1</t>
  </si>
  <si>
    <t>U포항66-rts1-vrs-rtcm34-2</t>
  </si>
  <si>
    <t>U포항66-rts1-vrs-rtcm34-3</t>
  </si>
  <si>
    <t>U포항66-rts2-fkp-rtcm31-1</t>
  </si>
  <si>
    <t>U포항66-rts2-fkp-rtcm31-2</t>
  </si>
  <si>
    <t>U포항66-rts2-fkp-rtcm31-3</t>
  </si>
  <si>
    <t>U포항66-rts2-vrs-rtcm31-1</t>
  </si>
  <si>
    <t>U포항66-rts2-vrs-rtcm31-2</t>
  </si>
  <si>
    <t>U포항66-rts2-vrs-rtcm31-3</t>
  </si>
  <si>
    <t>U포항66-rts2-vrs-rtcm32-1</t>
  </si>
  <si>
    <t>U포항66-rts2-vrs-rtcm32-2</t>
  </si>
  <si>
    <t>U포항66-rts2-vrs-rtcm32-3</t>
  </si>
  <si>
    <t>U포항66-rts3-gvrs-1</t>
  </si>
  <si>
    <t>U포항66-rts3-gvrs-2</t>
  </si>
  <si>
    <t>U포항66-rts3-gvrs-3</t>
  </si>
  <si>
    <t>U포항66-rts3-1</t>
  </si>
  <si>
    <t>U포항66-rts3-2</t>
  </si>
  <si>
    <t>U포항66-rts3-3</t>
  </si>
  <si>
    <t>U경주20-rts1-vrs-rtcm31-1</t>
  </si>
  <si>
    <t>U경주20-rts1-vrs-rtcm31-2</t>
  </si>
  <si>
    <t>U경주20-rts1-vrs-rtcm31-3</t>
  </si>
  <si>
    <t>U경주20-rts1-vrs-cmrx-1</t>
  </si>
  <si>
    <t>U경주20-rts1-vrs-cmrx-2</t>
  </si>
  <si>
    <t>U경주20-rts1-vrs-cmrx-3</t>
  </si>
  <si>
    <t>U경주20-rts1-vrs-rtcm23-1</t>
  </si>
  <si>
    <t>U경주20-rts1-vrs-rtcm23-2</t>
  </si>
  <si>
    <t>U경주20-rts1-vrs-rtcm23-3</t>
  </si>
  <si>
    <t>U경주20-rts1-rtk-rtcm32-1</t>
  </si>
  <si>
    <t>U경주20-rts1-rtk-rtcm32-2</t>
  </si>
  <si>
    <t>U경주20-rts1-rtk-rtcm32-3</t>
  </si>
  <si>
    <t>U경주20-rts1-vrs-rtcm34-1</t>
  </si>
  <si>
    <t>U경주20-rts1-vrs-rtcm34-2</t>
  </si>
  <si>
    <t>U경주20-rts1-vrs-rtcm34-3</t>
  </si>
  <si>
    <t>U경주20-rts2-fkp-rtcm31-1</t>
  </si>
  <si>
    <t>U경주20-rts2-fkp-rtcm31-2</t>
  </si>
  <si>
    <t>U경주20-rts2-fkp-rtcm31-3</t>
  </si>
  <si>
    <t>U경주20-rts2-vrs-rtcm31-1</t>
  </si>
  <si>
    <t>U경주20-rts2-vrs-rtcm31-2</t>
  </si>
  <si>
    <t>U경주20-rts2-vrs-rtcm31-3</t>
  </si>
  <si>
    <t>U경주20-rts2-vrs-rtcm32-1</t>
  </si>
  <si>
    <t>U경주20-rts2-vrs-rtcm32-2</t>
  </si>
  <si>
    <t>U경주20-rts2-vrs-rtcm32-3</t>
  </si>
  <si>
    <t>U경주20-rts3-gvrs-1</t>
  </si>
  <si>
    <t>U경주20-rts3-gvrs-2</t>
  </si>
  <si>
    <t>U경주20-rts3-gvrs-3</t>
  </si>
  <si>
    <t>U경주20-rts3-1</t>
  </si>
  <si>
    <t>U경주20-rts3-2</t>
  </si>
  <si>
    <t>U경주20-rts3-3</t>
  </si>
  <si>
    <t>U경주59-rts1-vrs-rtcm31-1</t>
  </si>
  <si>
    <t>U경주59-rts1-vrs-rtcm31-2</t>
  </si>
  <si>
    <t>U경주59-rts1-vrs-rtcm31-3</t>
  </si>
  <si>
    <t>U경주59-rts1-vrs-rtcm31-4</t>
  </si>
  <si>
    <t>U경주59-rts1-vrs-cmrx-1</t>
  </si>
  <si>
    <t>U경주59-rts1-vrs-cmrx-2</t>
  </si>
  <si>
    <t>U경주59-rts1-vrs-cmrx-3</t>
  </si>
  <si>
    <t>U경주59-rts1-vrs-rtcm23-1</t>
  </si>
  <si>
    <t>U경주59-rts1-vrs-rtcm23-2</t>
  </si>
  <si>
    <t>U경주59-rts1-vrs-rtcm23-3</t>
  </si>
  <si>
    <t>U경주59-rts1-rtk-rtcm32-1</t>
  </si>
  <si>
    <t>U경주59-rts1-rtk-rtcm32-2</t>
  </si>
  <si>
    <t>U경주59-rts1-rtk-rtcm32-3</t>
  </si>
  <si>
    <t>U경주59-rts1-vrs-rtcm34-1</t>
  </si>
  <si>
    <t>U경주59-rts1-vrs-rtcm34-2</t>
  </si>
  <si>
    <t>U경주59-rts1-vrs-rtcm34-3</t>
  </si>
  <si>
    <t>U경주59-rts2-fkp-rtcm31-1</t>
  </si>
  <si>
    <t>U경주59-rts2-fkp-rtcm31-2</t>
  </si>
  <si>
    <t>U경주59-rts2-fkp-rtcm31-3</t>
  </si>
  <si>
    <t>U경주59-rts2-vrs-rtcm31-1</t>
  </si>
  <si>
    <t>U경주59-rts2-vrs-rtcm31-2</t>
  </si>
  <si>
    <t>U경주59-rts2-vrs-rtcm31-3</t>
  </si>
  <si>
    <t>U경주59-rts2-vrs-rtcm32-1</t>
  </si>
  <si>
    <t>U경주59-rts2-vrs-rtcm32-2</t>
  </si>
  <si>
    <t>U경주59-rts2-vrs-rtcm32-3</t>
  </si>
  <si>
    <t>U경주59-rts3-gvrs-1</t>
  </si>
  <si>
    <t>U경주59-rts3-gvrs-2</t>
  </si>
  <si>
    <t>U경주59-rts3-gvrs-3</t>
  </si>
  <si>
    <t>U경주59-rts3-1</t>
  </si>
  <si>
    <t>U경주59-rts3-2</t>
  </si>
  <si>
    <t>U경주59-rts3-3</t>
  </si>
  <si>
    <t>U0742-rts1-vrs-rtcm31-1</t>
  </si>
  <si>
    <t>U0742-rts1-vrs-rtcm31-2</t>
  </si>
  <si>
    <t>U0742-rts1-vrs-rtcm31-3</t>
  </si>
  <si>
    <t>U0742-rts1-vrs-cmrx-1</t>
  </si>
  <si>
    <t>U0742-rts1-vrs-cmrx-2</t>
  </si>
  <si>
    <t>U0742-rts1-vrs-cmrx-3</t>
  </si>
  <si>
    <t>U0742-rts1-vrs-rtcm23-1</t>
  </si>
  <si>
    <t>U0742-rts1-vrs-rtcm23-2</t>
  </si>
  <si>
    <t>U0742-rts1-vrs-rtcm23-3</t>
  </si>
  <si>
    <t>U0742-rts1-rtk-rtcm32-1</t>
  </si>
  <si>
    <t>U0742-rts1-rtk-rtcm32-2</t>
  </si>
  <si>
    <t>U0742-rts1-rtk-rtcm32-3</t>
  </si>
  <si>
    <t>U0742-rts1-vrs-rtcm34-1</t>
  </si>
  <si>
    <t>U0742-rts1-vrs-rtcm34-2</t>
  </si>
  <si>
    <t>U0742-rts1-vrs-rtcm34-3</t>
  </si>
  <si>
    <t>U0742-rts2-fkp-rtcm31-1</t>
  </si>
  <si>
    <t>U0742-rts2-fkp-rtcm31-2</t>
  </si>
  <si>
    <t>U0742-rts2-fkp-rtcm31-3</t>
  </si>
  <si>
    <t>U0742-rts2-vrs-rtcm31-1</t>
  </si>
  <si>
    <t>U0742-rts2-vrs-rtcm31-2</t>
  </si>
  <si>
    <t>U0742-rts2-vrs-rtcm31-3</t>
  </si>
  <si>
    <t>U0742-rts2-vrs-rtcm32-1</t>
  </si>
  <si>
    <t>U0742-rts2-vrs-rtcm32-2</t>
  </si>
  <si>
    <t>U0742-rts2-vrs-rtcm32-3</t>
  </si>
  <si>
    <t>U0742-rts3-gvrs-1</t>
  </si>
  <si>
    <t>U0742-rts3-gvrs-2</t>
  </si>
  <si>
    <t>U0742-rts3-gvrs-3</t>
  </si>
  <si>
    <t>U0742-rts3-1</t>
  </si>
  <si>
    <t>U0742-rts3-2</t>
  </si>
  <si>
    <t>U0742-rts3-3</t>
  </si>
  <si>
    <t>U언양10-rts1-vrs-rtcm31-1</t>
  </si>
  <si>
    <t>U언양10-rts1-vrs-rtcm31-2</t>
  </si>
  <si>
    <t>U언양10-rts1-vrs-rtcm31-3</t>
  </si>
  <si>
    <t>U언양10-rts1-vrs-cmrx-1</t>
  </si>
  <si>
    <t>U언양10-rts1-vrs-cmrx-2</t>
  </si>
  <si>
    <t>U언양10-rts1-vrs-cmrx-3</t>
  </si>
  <si>
    <t>U언양10-rts1-vrs-rtcm23'1</t>
  </si>
  <si>
    <t>U언양10-rts1-vrs-rtcm23'2</t>
  </si>
  <si>
    <t>U언양10-rts1-vrs-rtcm23'3</t>
  </si>
  <si>
    <t>U언양10-rts1-rtk-rtcm32-1</t>
  </si>
  <si>
    <t>U언양10-rts1-rtk-rtcm32-2</t>
  </si>
  <si>
    <t>U언양10-rts1-rtk-rtcm32-3</t>
  </si>
  <si>
    <t>U언양10-rts1-vrs-rtcm34-1</t>
  </si>
  <si>
    <t>U언양10-rts1-vrs-rtcm34-2</t>
  </si>
  <si>
    <t>U언양10-rts1-vrs-rtcm34-3</t>
  </si>
  <si>
    <t>U언양10-rts2-fkp-rtcm31-1</t>
  </si>
  <si>
    <t>U언양10-rts2-fkp-rtcm31-2</t>
  </si>
  <si>
    <t>U언양10-rts2-fkp-rtcm31-3</t>
  </si>
  <si>
    <t>U언양10-rts2-vrs-rtcm31-1</t>
  </si>
  <si>
    <t>U언양10-rts2-vrs-rtcm31-2</t>
  </si>
  <si>
    <t>U언양10-rts2-vrs-rtcm31-3</t>
  </si>
  <si>
    <t>U언양10-rts2-vrs-rtcm32-1</t>
  </si>
  <si>
    <t>U언양10-rts2-vrs-rtcm32-2</t>
  </si>
  <si>
    <t>U언양10-rts2-vrs-rtcm32-3</t>
  </si>
  <si>
    <t>U언양10-rts3-gvrs-1</t>
  </si>
  <si>
    <t>U언양10-rts3-gvrs-2</t>
  </si>
  <si>
    <t>U언양10-rts3-gvrs-3</t>
  </si>
  <si>
    <t>U언양12-rts1-vrs-rtcm31-1</t>
  </si>
  <si>
    <t>U언양12-rts1-vrs-rtcm31-2</t>
  </si>
  <si>
    <t>U언양12-rts1-vrs-rtcm31-3</t>
  </si>
  <si>
    <t>U언양12-rts1-vrs-cmrx-1</t>
  </si>
  <si>
    <t>U언양12-rts1-vrs-cmrx-2</t>
  </si>
  <si>
    <t>U언양12-rts1-vrs-cmrx-3</t>
  </si>
  <si>
    <t>U언양12-rts1-vrs-rtcm23-1</t>
  </si>
  <si>
    <t>U언양12-rts1-vrs-rtcm23-2</t>
  </si>
  <si>
    <t>U언양12-rts1-vrs-rtcm23-3</t>
  </si>
  <si>
    <t>U언양12-rts1-rtk-rtcm32-1</t>
  </si>
  <si>
    <t>U언양12-rts1-rtk-rtcm32-2</t>
  </si>
  <si>
    <t>U언양12-rts1-rtk-rtcm32-3</t>
  </si>
  <si>
    <t>U언양12-rts1-vrs-rtcm34-1</t>
  </si>
  <si>
    <t>U언양12-rts1-vrs-rtcm34-2</t>
  </si>
  <si>
    <t>U언양12-rts1-vrs-rtcm34-3</t>
  </si>
  <si>
    <t>U언양12-rts2-fkp-rtcm31-1</t>
  </si>
  <si>
    <t>U언양12-rts2-fkp-rtcm31-2</t>
  </si>
  <si>
    <t>U언양12-rts2-fkp-rtcm31-3</t>
  </si>
  <si>
    <t>U언양12-rts2-vrs-rtcm31-1</t>
  </si>
  <si>
    <t>U언양12-rts2-vrs-rtcm31-2</t>
  </si>
  <si>
    <t>U언양12-rts2-vrs-rtcm31-3</t>
  </si>
  <si>
    <t>U언양12-rts2-vrs-rtcm32-1</t>
  </si>
  <si>
    <t>U언양12-rts2-vrs-rtcm32-2</t>
  </si>
  <si>
    <t>U언양12-rts2-vrs-rtcm32-3</t>
  </si>
  <si>
    <t>U언양12-rts3-gvrs-1</t>
  </si>
  <si>
    <t>U언양12-rts3-gvrs-2</t>
  </si>
  <si>
    <t>U언양12-rts3-gvrs-3</t>
  </si>
  <si>
    <t>U언양12-rts3-1</t>
  </si>
  <si>
    <t>U언양12-rts3-2</t>
  </si>
  <si>
    <t>U언양12-rts3-3</t>
  </si>
  <si>
    <t>U0836-rts1-vrs-rtcm31-1</t>
  </si>
  <si>
    <t>U0836-rts1-vrs-rtcm31-2</t>
  </si>
  <si>
    <t>U0836-rts1-vrs-rtcm31-3</t>
  </si>
  <si>
    <t>U0836-rts1-vrs-cmrx-1</t>
  </si>
  <si>
    <t>U0836-rts1-vrs-cmrx-2</t>
  </si>
  <si>
    <t>U0836-rts1-vrs-cmrx-3</t>
  </si>
  <si>
    <t>U0836-rts1-vrs-rtcm23-1</t>
  </si>
  <si>
    <t>U0836-rts1-vrs-rtcm23-2</t>
  </si>
  <si>
    <t>U0836-rts1-vrs-rtcm23-3</t>
  </si>
  <si>
    <t>U0836-rts1-rtk-rtcm32-1</t>
  </si>
  <si>
    <t>U0836-rts1-rtk-rtcm32-2</t>
  </si>
  <si>
    <t>U0836-rts1-rtk-rtcm32-3</t>
  </si>
  <si>
    <t>U0836-rts1-vrs-rtcm34-1</t>
  </si>
  <si>
    <t>U0836-rts1-vrs-rtcm34-2</t>
  </si>
  <si>
    <t>U0836-rts1-vrs-rtcm34-3</t>
  </si>
  <si>
    <t>U0836-rts2-fkp-rtcm31-1</t>
  </si>
  <si>
    <t>U0836-rts2-fkp-rtcm31-2</t>
  </si>
  <si>
    <t>U0836-rts2-fkp-rtcm31-3</t>
  </si>
  <si>
    <t>U0836-rts2-vrs-rtcm31-1</t>
  </si>
  <si>
    <t>U0836-rts2-vrs-rtcm31-2</t>
  </si>
  <si>
    <t>U0836-rts2-vrs-rtcm31-3</t>
  </si>
  <si>
    <t>U0836-rts2-vrs-rtcm32-1</t>
  </si>
  <si>
    <t>U0836-rts2-vrs-rtcm32-2</t>
  </si>
  <si>
    <t>U0836-rts2-vrs-rtcm32-3</t>
  </si>
  <si>
    <t>U0836-rts3-gvrs-1</t>
  </si>
  <si>
    <t>U0836-rts3-gvrs-2</t>
  </si>
  <si>
    <t>U0836-rts3-gvrs-3</t>
  </si>
  <si>
    <t>U0836-rts3-1</t>
  </si>
  <si>
    <t>U0836-rts3-2</t>
  </si>
  <si>
    <t>U0836-rts3-3</t>
  </si>
  <si>
    <t>U0836-rts3-4</t>
  </si>
  <si>
    <t>U울산32-rts1-vrs-rtcm31-1</t>
  </si>
  <si>
    <t>U울산32-rts1-vrs-rtcm31-2</t>
  </si>
  <si>
    <t>U울산32-rts1-vrs-rtcm31-3</t>
  </si>
  <si>
    <t>U울산32-rts1-vrs-cmrx-1</t>
  </si>
  <si>
    <t>U울산32-rts1-vrs-cmrx-2</t>
  </si>
  <si>
    <t>U울산32-rts1-vrs-cmrx-3</t>
  </si>
  <si>
    <t>U울산32-rts1-vrs-rtcm23-1</t>
  </si>
  <si>
    <t>U울산32-rts1-vrs-rtcm23-2</t>
  </si>
  <si>
    <t>U울산32-rts1-vrs-rtcm23-3</t>
  </si>
  <si>
    <t>U울산32-rts1-rtk-rtcm32-1</t>
  </si>
  <si>
    <t>U울산32-rts1-rtk-rtcm32-2</t>
  </si>
  <si>
    <t>U울산32-rts1-rtk-rtcm32-3</t>
  </si>
  <si>
    <t>U울산32-rts1-vrs-rtcm34-1</t>
  </si>
  <si>
    <t>U울산32-rts1-vrs-rtcm34-2</t>
  </si>
  <si>
    <t>U울산32-rts1-vrs-rtcm34-3</t>
  </si>
  <si>
    <t>U울산32-rts2-fkp-rtcm31-1</t>
  </si>
  <si>
    <t>U울산32-rts2-fkp-rtcm31-2</t>
  </si>
  <si>
    <t>U울산32-rts2-fkp-rtcm31-3</t>
  </si>
  <si>
    <t>U울산32-rts2-vrs-rtcm31-1</t>
  </si>
  <si>
    <t>U울산32-rts2-vrs-rtcm31-2</t>
  </si>
  <si>
    <t>U울산32-rts2-vrs-rtcm31-3</t>
  </si>
  <si>
    <t>U울산32-rts2-vrs-rtcm32-1</t>
  </si>
  <si>
    <t>U울산32-rts2-vrs-rtcm32-2</t>
  </si>
  <si>
    <t>U울산32-rts2-vrs-rtcm32-3</t>
  </si>
  <si>
    <t>U울산32-rts3-gvrs-1</t>
  </si>
  <si>
    <t>U울산32-rts3-gvrs-2</t>
  </si>
  <si>
    <t>U울산32-rts3-gvrs-3</t>
  </si>
  <si>
    <t>U울산32-rts3-1</t>
  </si>
  <si>
    <t>U울산32-rts3-2</t>
  </si>
  <si>
    <t>U울산32-rts3-3</t>
  </si>
  <si>
    <t>U0244-rts1-vrs-rtcm31-1</t>
  </si>
  <si>
    <t>U0244-rts1-vrs-rtcm31-2</t>
  </si>
  <si>
    <t>U0244-rts1-vrs-rtcm31-3</t>
  </si>
  <si>
    <t>U0244-rts1-vrs-Cmrx-1</t>
  </si>
  <si>
    <t>U0244-rts1-vrs-Cmrx-2</t>
  </si>
  <si>
    <t>U0244-rts1-vrs-Cmrx-3</t>
  </si>
  <si>
    <t>U0244-rts1-rtk-rtcm32-1</t>
  </si>
  <si>
    <t>U0244-rts1-rtk-rtcm32-2</t>
  </si>
  <si>
    <t>U0244-rts1-rtk-rtcm32-3</t>
  </si>
  <si>
    <t>U0244-rts1-vrs-rtcm34-1</t>
  </si>
  <si>
    <t>U0244-rts1-vrs-rtcm34-2</t>
  </si>
  <si>
    <t>U0244-rts1-vrs-rtcm34-3</t>
  </si>
  <si>
    <t>U0244-rts2-fkp-rtcm31-1</t>
  </si>
  <si>
    <t>U0244-rts2-fkp-rtcm31-2</t>
  </si>
  <si>
    <t>U0244-rts2-fkp-rtcm31-3</t>
  </si>
  <si>
    <t>U0244-rts2-vrs-rtcm31-1</t>
  </si>
  <si>
    <t>U0244-rts2-vrs-rtcm31-2</t>
  </si>
  <si>
    <t>U0244-rts2-vrs-rtcm31-3</t>
  </si>
  <si>
    <t>U0244-rts2-vrs-rtcm32-1</t>
  </si>
  <si>
    <t>U0244-rts2-vrs-rtcm32-2</t>
  </si>
  <si>
    <t>U0244-rts2-vrs-rtcm32-3</t>
  </si>
  <si>
    <t>U0244-rts1-vrs-rtcm23-1</t>
  </si>
  <si>
    <t>U0244-rts1-vrs-rtcm23-2</t>
  </si>
  <si>
    <t>U0244-rts1-vrs-rtcm23-3</t>
  </si>
  <si>
    <t>u여주77-rts1-vrs-rtcm31-1</t>
  </si>
  <si>
    <t>u여주77-rts1-vrs-rtcm31-2</t>
  </si>
  <si>
    <t>u여주77-rts1-vrs-rtcm31-3</t>
  </si>
  <si>
    <t>u여주77-rts1-vrs-cmrx-1</t>
  </si>
  <si>
    <t>u여주77-rts1-vrs-cmrx-2</t>
  </si>
  <si>
    <t>u여주77-rts1-vrs-cmrx-3</t>
  </si>
  <si>
    <t>u여주77-rts1-vrs-rtcm23-4</t>
  </si>
  <si>
    <t>u여주77-rts1-vrs-rtcm23-5</t>
  </si>
  <si>
    <t>u여주77-rts1-vrs-rtcm23-6</t>
  </si>
  <si>
    <t>u여주77-rts1-rtk-rtcm32-1</t>
  </si>
  <si>
    <t>u여주77-rts1-rtk-rtcm32-2</t>
  </si>
  <si>
    <t>u여주77-rts1-rtk-rtcm32-3</t>
  </si>
  <si>
    <t>u여주77-rts1-vrs-rtcm34-1</t>
  </si>
  <si>
    <t>u여주77-rts1-vrs-rtcm34-2</t>
  </si>
  <si>
    <t>u여주77-rts1-vrs-rtcm34-3</t>
  </si>
  <si>
    <t>u여주77-rts2-fkp-rtcm31-1</t>
  </si>
  <si>
    <t>u여주77-rts2-fkp-rtcm31-2</t>
  </si>
  <si>
    <t>u여주77-rts2-fkp-rtcm31-3</t>
  </si>
  <si>
    <t>u여주77-rts2-vrs-rtcm31-1</t>
  </si>
  <si>
    <t>u여주77-rts2-vrs-rtcm31-2</t>
  </si>
  <si>
    <t>u여주77-rts2-vrs-rtcm31-3</t>
  </si>
  <si>
    <t>u여주77-rts2-vrs-rtcm32-1</t>
  </si>
  <si>
    <t>u여주77-rts2-vrs-rtcm32-2</t>
  </si>
  <si>
    <t>u여주77-rts2-vrs-rtcm32-3</t>
  </si>
  <si>
    <t>u여주77-rts3-gvrs-rtcm32-1</t>
  </si>
  <si>
    <t>u여주77-rts3-gvrs-rtcm32-2</t>
  </si>
  <si>
    <t>u여주77-rts3-gvrs-rtcm32-3</t>
  </si>
  <si>
    <t>u여주77-rts3-gvrs-rtcm32-4</t>
  </si>
  <si>
    <t>u여주77-rts3-gvrs-rtcm32-5</t>
  </si>
  <si>
    <t>u여주77-rts3-yeodas-rtcm32-1</t>
  </si>
  <si>
    <t>u여주77-rts3-yeodas-rtcm32-2</t>
  </si>
  <si>
    <t>u여주77-rts3-yeodas-rtcm32-3</t>
  </si>
  <si>
    <t>u여주77-rts3-yeodas-rtcm32-4</t>
  </si>
  <si>
    <t>u여주77-rts3-yeodas-rtcm32-5</t>
  </si>
  <si>
    <t>u장호원34-rts1-vrs-rtcm31-1</t>
  </si>
  <si>
    <t>u장호원34-rts1-vrs-rtcm31-2</t>
  </si>
  <si>
    <t>u장호원34-rts1-vrs-rtcm31-3</t>
  </si>
  <si>
    <t>u장호원34-rts1-vrs-crmx-1</t>
  </si>
  <si>
    <t>u장호원34-rts1-vrs-crmx-2</t>
  </si>
  <si>
    <t>u장호원34-rts1-vrs-crmx-3</t>
  </si>
  <si>
    <t>u장호원34-rts1-vrs-rtcm23-4</t>
  </si>
  <si>
    <t>u장호원34-rts1-vrs-rtcm23-5</t>
  </si>
  <si>
    <t>u장호원34-rts1-vrs-rtcm23-6</t>
  </si>
  <si>
    <t>u장호원34-rts1-vrs-rtcm32-1</t>
  </si>
  <si>
    <t>u장호원34-rts1-vrs-rtcm32-2</t>
  </si>
  <si>
    <t>u장호원34-rts1-vrs-rtcm32-3</t>
  </si>
  <si>
    <t>u장호원34-rts1-vrs-rtcm34-1</t>
  </si>
  <si>
    <t>u장호원34-rts1-vrs-rtcm34-2</t>
  </si>
  <si>
    <t>u장호원34-rts1-vrs-rtcm34-3</t>
  </si>
  <si>
    <t>u장호원34-rts2-fkp-rtcm31-1</t>
  </si>
  <si>
    <t>u장호원34-rts2-fkp-rtcm31-2</t>
  </si>
  <si>
    <t>u장호원34-rts2-fkp-rtcm31-3</t>
  </si>
  <si>
    <t>u장호원34-rts2-vrs-rtcm31-1</t>
  </si>
  <si>
    <t>u장호원34-rts2-vrs-rtcm31-2</t>
  </si>
  <si>
    <t>u장호원34-rts2-vrs-rtcm31-3</t>
  </si>
  <si>
    <t>u장호원34-rts2-vrs-rtcm32-1</t>
  </si>
  <si>
    <t>u장호원34-rts2-vrs-rtcm32-2</t>
  </si>
  <si>
    <t>u장호원34-rts2-vrs-rtcm32-3</t>
  </si>
  <si>
    <t>u장호원34-rts3-gvrs-rtcm32-1</t>
  </si>
  <si>
    <t>u장호원34-rts3-gvrs-rtcm32-2</t>
  </si>
  <si>
    <t>u장호원34-rts3-gvrs-rtcm32-3</t>
  </si>
  <si>
    <t>u장호원34-rts3-yeogan-rtcm32-1</t>
  </si>
  <si>
    <t>u장호원34-rts3-yeogan-rtcm32-2</t>
  </si>
  <si>
    <t>u장호원34-rts3-yeogan-rtcm32-3</t>
  </si>
  <si>
    <t>u0535-rts1-rtcm31-1</t>
  </si>
  <si>
    <t>u0535-rts1-vrs-cmr-x</t>
  </si>
  <si>
    <t>u0535-rts1-vrs-rtcm23</t>
  </si>
  <si>
    <t>u0535-rts1-rtk-rtcm32</t>
  </si>
  <si>
    <t>u0535-rts1-vrs-rtcm34</t>
  </si>
  <si>
    <t>u0535-rts2-fkp-rtcm31</t>
  </si>
  <si>
    <t>u0535-rts2-vrs-rtcm32</t>
  </si>
  <si>
    <t>u0535-gvrs-pyeongtaek-rtcm32</t>
  </si>
  <si>
    <t>u0535-rts2-vrs-rtcm31</t>
  </si>
  <si>
    <t>uSC35-rts1-vrs-rtcm31</t>
  </si>
  <si>
    <t>uSC35-rts1-vrs-cmrx</t>
  </si>
  <si>
    <t>uSC35-rts1-vrs-rtcm-23</t>
  </si>
  <si>
    <t>uSC35-rts1-rtk-rtcm-32</t>
  </si>
  <si>
    <t>uSC35-rts1-vrs-rtcm-34</t>
  </si>
  <si>
    <t>uSC35-rts2-fkp-rtcm31</t>
  </si>
  <si>
    <t>uSC35-rts2-vrs-rtcm31</t>
  </si>
  <si>
    <t>uSC35-rts2-vrs-rtcm32</t>
  </si>
  <si>
    <t>uSC35-gvrs</t>
  </si>
  <si>
    <t>u0769-rts1-vrs-rtcm31</t>
  </si>
  <si>
    <t>u0769-rts1-vrs-cmrx</t>
  </si>
  <si>
    <t>u0769-rts1-vrs-rtcm23</t>
  </si>
  <si>
    <t>u0769-rts1-rtk-rtcm32</t>
  </si>
  <si>
    <t>u0769-rts1-vrs-rtcm34</t>
  </si>
  <si>
    <t>u0769-rts2-vrs-rtcm31</t>
  </si>
  <si>
    <t>u0769-rts2-vrs-rtcm32</t>
  </si>
  <si>
    <t>u0769-rts3-gvrs</t>
  </si>
  <si>
    <t>uBA07-rts1-vrs-rtcm31</t>
  </si>
  <si>
    <t>uBA07-rts1-vrs-cmrx</t>
  </si>
  <si>
    <t>uBA07-rts1-vrs-rtcm23</t>
  </si>
  <si>
    <t>uBA07-rts1-rtk-rtcm32</t>
  </si>
  <si>
    <t>uBA07-rts1-vrs-rtcm34</t>
  </si>
  <si>
    <t>uBA07-rts2-fkp-rtcm31</t>
  </si>
  <si>
    <t>uBA07-rts2-vrs-rtcm31</t>
  </si>
  <si>
    <t>uBA07-rts2-vrs-rtcm32</t>
  </si>
  <si>
    <t>uBA07-rts3-gvrs</t>
  </si>
  <si>
    <t>uGC21-rts1-vrs-rtcm31</t>
  </si>
  <si>
    <t>uGC21-rts1-vrs-cmrx</t>
  </si>
  <si>
    <t>uGC21-rts1-vrs-rtcm23</t>
  </si>
  <si>
    <t>uGC21-rts1-rtk-rtcm32</t>
  </si>
  <si>
    <t>uGC21-rts1-vrs-rtcm34</t>
  </si>
  <si>
    <t>uGC21-rts2-fkp-rtcm31</t>
  </si>
  <si>
    <t>uGC21-rts2-vrs-rtcm31</t>
  </si>
  <si>
    <t>uGC21-rts2-vrs-rtcm32</t>
  </si>
  <si>
    <t>uGC21-rts3-gvrs</t>
  </si>
  <si>
    <t>uDY18-rts1-vrs-rtcm31</t>
  </si>
  <si>
    <t>uDY18-rts1-vrs-cmrx</t>
  </si>
  <si>
    <t>uDY18-rts1-rtk-rtcm32</t>
  </si>
  <si>
    <t>uDY18-rts1-vrs-rtcm34</t>
  </si>
  <si>
    <t>uDY18-rts2-vrs-rtcm32</t>
  </si>
  <si>
    <t>uDY18-rts3-gvrs</t>
  </si>
  <si>
    <t>uJE26-rts1-vrs-rtcm31</t>
  </si>
  <si>
    <t>uJE26-rts1-vrs-cmrx</t>
  </si>
  <si>
    <t>uJE26-rts1-vrs-rtcm23</t>
  </si>
  <si>
    <t>uJE26-rts1-rtk-rtcm32</t>
  </si>
  <si>
    <t>uJE26-rts1-vrs-rtcm34</t>
  </si>
  <si>
    <t>uJE26-rts2-fkp-rtcm31</t>
  </si>
  <si>
    <t>uJE26-rts2-vrs-rtcm31</t>
  </si>
  <si>
    <t>uJE26-rts2-vrs-rtcm32</t>
  </si>
  <si>
    <t>uJE26-rts3-gvrs</t>
  </si>
  <si>
    <t>uJE34-rts1-vrs-rtcm31</t>
  </si>
  <si>
    <t>uJE34-rts1-vrs-cmrx</t>
  </si>
  <si>
    <t>uJE34-rts1-vrs-rtcm23</t>
  </si>
  <si>
    <t>uJE34-rts1-rtk-rtcm32</t>
  </si>
  <si>
    <t>uJE34-rts1-vrs-rtcm34</t>
  </si>
  <si>
    <t>uJE34-rts2-fkp-rtcm31</t>
  </si>
  <si>
    <t>uJE34-rts2-vrs-rtcm31</t>
  </si>
  <si>
    <t>uJE34-rts2-vrs-rtcm32</t>
  </si>
  <si>
    <t>uJE34-rts3-gvrs</t>
  </si>
  <si>
    <t>u0695-rts1-vrs-rtcm31</t>
  </si>
  <si>
    <t>u0695-rts1-vrs-cmrx</t>
  </si>
  <si>
    <t>u0695-rts1-vrs-rtcm23</t>
  </si>
  <si>
    <t>u0695-rts1-rtk-rtcm32</t>
  </si>
  <si>
    <t>u0695-rts1-vrs-rtcm34</t>
  </si>
  <si>
    <t>u0695-rts2-fkp-rtcm31</t>
  </si>
  <si>
    <t>u0695-rts2-vrs-rtcm31</t>
  </si>
  <si>
    <t>u0695-rts2-vrs-rtcm32</t>
  </si>
  <si>
    <t>u0695-rts3-gvrs</t>
  </si>
  <si>
    <t>u0690-rts1-vrs-rtcm31</t>
  </si>
  <si>
    <t>u0690-rts1-vrs-cmrx</t>
  </si>
  <si>
    <t>u0690-rts1-vrs-rtcm23</t>
  </si>
  <si>
    <t>u0690-rts1-rtk-rtcm32</t>
  </si>
  <si>
    <t>u0690-rts1-vrs-rtcm34</t>
  </si>
  <si>
    <t>u0690-rts2-fkp-rtcm31</t>
  </si>
  <si>
    <t>u0690-rts2-vrs-rtcm31</t>
  </si>
  <si>
    <t>u0690-rts2-vrs-rtcm32</t>
  </si>
  <si>
    <t>u0690-rts3-gvrs</t>
  </si>
  <si>
    <t>u0697-rts1-vrs-rtcm31</t>
  </si>
  <si>
    <t>u0697-rts1-vrs-cmrx</t>
  </si>
  <si>
    <t>u0697-rts1-vrs-rtcm23</t>
  </si>
  <si>
    <t>u0697-rts1-rtk-rtcm32</t>
  </si>
  <si>
    <t>u0697-rts1-vrs-rtcm34</t>
  </si>
  <si>
    <t>u0697-rts2-fkp-rtcm31</t>
  </si>
  <si>
    <t>u0697-rts2-vrs-rtcm31</t>
  </si>
  <si>
    <t>u0697-rts2-vrs-rtcm32</t>
  </si>
  <si>
    <t>u0697-rts3-gvrs</t>
  </si>
  <si>
    <t>uIS03-rts1-vrs-rtcm31</t>
  </si>
  <si>
    <t>uIS03-rts1-vrs-cmrx</t>
  </si>
  <si>
    <t>uIS03-rts1-vrs-rtcm23</t>
  </si>
  <si>
    <t>uIS03-rts1-rtk-rtcm32</t>
  </si>
  <si>
    <t>uIS03-rts1-vrs-rtcm34</t>
  </si>
  <si>
    <t>uIS03-rts2-fkp-rtcm31</t>
  </si>
  <si>
    <t>uIS03-rts2-vrs-rtcm31</t>
  </si>
  <si>
    <t>uIS03-rts2-vrs-rtcm32</t>
  </si>
  <si>
    <t>uIS24-rts1-vrs-rtcm31</t>
  </si>
  <si>
    <t>uIS24-rts1-vrs-cmrx</t>
  </si>
  <si>
    <t>uIS24-rts1-vrs-rtcm23</t>
  </si>
  <si>
    <t>uIS24-rts1-rtk-rtcm32</t>
  </si>
  <si>
    <t>uIS24-rts1-vrs-rtcm34</t>
  </si>
  <si>
    <t>uIS24-rts2-fkp-rtcm31</t>
  </si>
  <si>
    <t>uIS24-rts2-vrs-rtcm31</t>
  </si>
  <si>
    <t>uIS24-rts2-vrs-rtcm32</t>
  </si>
  <si>
    <t>uIS24-rts3-gvrs</t>
  </si>
  <si>
    <t>uNW26-rts1-vrs-rtcm31</t>
  </si>
  <si>
    <t>uNW26-rts1-vrs-cmrx</t>
  </si>
  <si>
    <t>uNW26-rts1-vrs-rtcm23</t>
  </si>
  <si>
    <t>uNW26-rts1-rtk-rtcm32</t>
  </si>
  <si>
    <t>uNW26-rts1-vrs-rtcm34</t>
  </si>
  <si>
    <t>uNW26-rts2-fkp-rtcm31</t>
  </si>
  <si>
    <t>uNW26-rts2-vrs-rtcm31</t>
  </si>
  <si>
    <t>uNW26-rts2-vrs-rtcm32</t>
  </si>
  <si>
    <t>uNW26-rts3-gvrs</t>
  </si>
  <si>
    <t>u0867-rts1-vrs-rtcm31</t>
  </si>
  <si>
    <t>u0867-rts1-vrs-cmrx</t>
  </si>
  <si>
    <t>u0867-rts1-vrs-rtcm23</t>
  </si>
  <si>
    <t>u0867-rts1-rtk-rtcm32</t>
  </si>
  <si>
    <t>u0867-rts1-vrs-rtcm34</t>
  </si>
  <si>
    <t>u0867-rts2-fkp-rtcm31</t>
  </si>
  <si>
    <t>u0867-rts2-vrs-rtcm31</t>
  </si>
  <si>
    <t>u0867-rts2-vrs-rtcm32</t>
  </si>
  <si>
    <t>u0867-rts3-gvrs</t>
  </si>
  <si>
    <t>uSC13-rts1-vrs-rtcm31</t>
  </si>
  <si>
    <t>uSC13-rts1-vrs-cmrx</t>
  </si>
  <si>
    <t>uSC13-rts1-vrs-rtcm23</t>
  </si>
  <si>
    <t>uSC13-rts1-rtk-rtcm32</t>
  </si>
  <si>
    <t>uSC13-rts1-vrs-rtcm34</t>
  </si>
  <si>
    <t>uSC13-rts2-fkp-rtcm31</t>
  </si>
  <si>
    <t>uSC13-rts2-vrs-rtcm31</t>
  </si>
  <si>
    <t>uSC13-rts2-vrs-rtcm32</t>
  </si>
  <si>
    <t>uSC13-rts3-gvrs</t>
  </si>
  <si>
    <t>u0878-rts1-vrs-rtcm31</t>
  </si>
  <si>
    <t>u0878-rts1-vrs-cmrx</t>
  </si>
  <si>
    <t>u0878-rts1-rtk-rtcm32</t>
  </si>
  <si>
    <t>u0878-rts1-vrs-rtcm34</t>
  </si>
  <si>
    <t>u0878-rts2-fkp-rtcm31</t>
  </si>
  <si>
    <t>u0878-rts2-vrs-rtcm31</t>
  </si>
  <si>
    <t>u0878-rts2-vrs-rtcm32</t>
  </si>
  <si>
    <t>u0878-rts1-vrs-rtcm23</t>
  </si>
  <si>
    <t>u0878-rts3-gvrs</t>
  </si>
  <si>
    <t>u0799-rts1-vrs-rtcm31</t>
  </si>
  <si>
    <t>u0799-rts1-vrs-cmrx</t>
  </si>
  <si>
    <t>u0799-rts1-vrs-rtcm23</t>
  </si>
  <si>
    <t>u0799-rts1-rtk-rtcm32</t>
  </si>
  <si>
    <t>u0799-rts1-vrs-rtcm34</t>
  </si>
  <si>
    <t>u0799-rts2-fkp-rtcm31</t>
  </si>
  <si>
    <t>u0799-rts2-vrs-rtcm31</t>
  </si>
  <si>
    <t>u0799-rts2-vrs-rtcm32</t>
  </si>
  <si>
    <t>u0799-rts3-gvrs</t>
  </si>
  <si>
    <t>uSC36-rts1-vrs-rtcm31</t>
  </si>
  <si>
    <t>uSC36-rts1-vrs-cmrx</t>
  </si>
  <si>
    <t>uSC36-rts1-vrs-rtcm23</t>
  </si>
  <si>
    <t>uSC36-rts1-rtk-rtcm32</t>
  </si>
  <si>
    <t>uSC36-rts1-vrs-rtcm34</t>
  </si>
  <si>
    <t>uSC36-rts2-fkp-rtcm31</t>
  </si>
  <si>
    <t>uSC36-rts2-vrs-rtcm31</t>
  </si>
  <si>
    <t>uSC36-rts2-vrs-rtcm32</t>
  </si>
  <si>
    <t>uSC36-rts2-vrs-rtcm32-1</t>
  </si>
  <si>
    <t>uSC36-rts3-gvrs</t>
  </si>
  <si>
    <t>u0790-rts1-vrs-rtcm31</t>
  </si>
  <si>
    <t>u0790-rts1-vrs-cmrx</t>
  </si>
  <si>
    <t>u0790-rts1-vrs-rtcm23</t>
  </si>
  <si>
    <t>u0790-rts1-rtk-rtcm32</t>
  </si>
  <si>
    <t>u0790-rts1-vrs-rtcm34</t>
  </si>
  <si>
    <t>u0790-rts2-vrs-rtcm31</t>
  </si>
  <si>
    <t>u0790-rts2-vrs-rtcm32</t>
  </si>
  <si>
    <t>u0790-rts2-fkp-rtcm31</t>
  </si>
  <si>
    <t>u0790-rts3-gvrs</t>
  </si>
  <si>
    <t>u0790-rts3-near</t>
  </si>
  <si>
    <t>U0144-RTS1-VRS-RTCM31-1</t>
  </si>
  <si>
    <t>U0144-RTS1-VRS-RTCM31-2</t>
  </si>
  <si>
    <t>U0144-RTS1-VRS-RTCM31-3</t>
  </si>
  <si>
    <t>U0144-RTS1-VRS-RTCM-CMX-1</t>
  </si>
  <si>
    <t>U0144-RTS1-VRS-RTCM-CMX-2</t>
  </si>
  <si>
    <t>U0144-RTS1-VRS-RTCM-CMX-3</t>
  </si>
  <si>
    <t>U0144-RTS1-VRS-RTCM32-1</t>
  </si>
  <si>
    <t>U0144-RTS1-VRS-RTCM32-2</t>
  </si>
  <si>
    <t>U0144-RTS1-VRS-RTCM32-3</t>
  </si>
  <si>
    <t>U0144-RTS1-VRS-RTCM34-1</t>
  </si>
  <si>
    <t>U0144-RTS1-VRS-RTCM34-2</t>
  </si>
  <si>
    <t>U0144-RTS1-VRS-RTCM34-3</t>
  </si>
  <si>
    <t>U0144-RTS2-FKP-RTCM31-1</t>
  </si>
  <si>
    <t>U0144-RTS2-FKP-RTCM31-2</t>
  </si>
  <si>
    <t>U0144-RTS2-FKP-RTCM31-3</t>
  </si>
  <si>
    <t>U0144-RTS2-FKP-RTCM31-4</t>
  </si>
  <si>
    <t>U0144-RTS2-VRS-RTCM31-1</t>
  </si>
  <si>
    <t>U0144-RTS2-VRS-RTCM31-2</t>
  </si>
  <si>
    <t>U0144-RTS2-VRS-RTCM31-3</t>
  </si>
  <si>
    <t>U0144-RTS2-VRS-RTCM32-1</t>
  </si>
  <si>
    <t>U0144-RTS2-VRS-RTCM32-2</t>
  </si>
  <si>
    <t>U0144-RTS2-VRS-RTCM32-3</t>
  </si>
  <si>
    <t>U0144-RTS3-GVRS-AUTO-1</t>
  </si>
  <si>
    <t>U0144-RTS3-GVRS-AUTO-2</t>
  </si>
  <si>
    <t>U0144-RTS3-GVRS-AUTO-3</t>
  </si>
  <si>
    <t>U김포15-RTS1-VRS-RTCM31-1</t>
  </si>
  <si>
    <t>U김포15-RTS1-VRS-RTCM31-2</t>
  </si>
  <si>
    <t>U김포15-RTS1-VRS-RTCM31-3</t>
  </si>
  <si>
    <t>U김포15-RTS1-VRS-CMRx-1</t>
  </si>
  <si>
    <t>U김포15-RTS1-VRS-CMRx-2</t>
  </si>
  <si>
    <t>U김포15-RTS1-VRS-CMRx-3</t>
  </si>
  <si>
    <t>U김포15-RTS1-VRS-RTCM23-1</t>
  </si>
  <si>
    <t>U김포15-RTS1-VRS-RTCM23-2</t>
  </si>
  <si>
    <t>U김포15-RTS1-VRS-RTCM23-3</t>
  </si>
  <si>
    <t>U김포15-RTS1-VRS-RTCM32-1</t>
  </si>
  <si>
    <t>U김포15-RTS1-VRS-RTCM32-2</t>
  </si>
  <si>
    <t>U김포15-RTS1-VRS-RTCM32-3</t>
  </si>
  <si>
    <t>U김포15-RTS1-VRS-RTCM34-1</t>
  </si>
  <si>
    <t>U김포15-RTS1-VRS-RTCM34-2</t>
  </si>
  <si>
    <t>U김포15-RTS1-VRS-RTCM34-3</t>
  </si>
  <si>
    <t>U김포15-RTS2-FKP-RTCM31-1</t>
  </si>
  <si>
    <t>U김포15-RTS2-FKP-RTCM31-2</t>
  </si>
  <si>
    <t>U김포15-RTS2-FKP-RTCM31-3</t>
  </si>
  <si>
    <t>U김포15-RTS2-VRS-RTCM31-1</t>
  </si>
  <si>
    <t>U김포15-RTS2-VRS-RTCM31-2</t>
  </si>
  <si>
    <t>U김포15-RTS2-VRS-RTCM31-3</t>
  </si>
  <si>
    <t>U김포15-RTS2-VRS-RTCM32-1</t>
  </si>
  <si>
    <t>U김포15-RTS2-VRS-RTCM32-2</t>
  </si>
  <si>
    <t>U김포15-RTS2-VRS-RTCM32-3</t>
  </si>
  <si>
    <t>U0214-RTS1-VRS-RTCM31-1</t>
  </si>
  <si>
    <t>U0214-RTS1-VRS-RTCM31-2</t>
  </si>
  <si>
    <t>U0214-RTS1-VRS-RTCM31-3</t>
  </si>
  <si>
    <t>U0214-RTS1-VRS-CMRX-1</t>
  </si>
  <si>
    <t>U0214-RTS1-VRS-CMRX-2</t>
  </si>
  <si>
    <t>U0214-RTS1-VRS-CMRX-3</t>
  </si>
  <si>
    <t>U0214-RTS1-VRS-RTCM23-1</t>
  </si>
  <si>
    <t>U0214-RTS1-VRS-RTCM23-2</t>
  </si>
  <si>
    <t>U0214-RTS1-VRS-RTCM23-3</t>
  </si>
  <si>
    <t>U0214-RTS1-VRS-RTCM23-4</t>
  </si>
  <si>
    <t>U0214-RTS1-VRS-RTCM32-2</t>
  </si>
  <si>
    <t>U0214-RTS1-VRS-RTCM32-3</t>
  </si>
  <si>
    <t>U0214-RTS1-VRS-RTCM34-4</t>
  </si>
  <si>
    <t>U0214-RTS1-VRS-RTCM34-5</t>
  </si>
  <si>
    <t>U0214-RTS1-VRS-RTCM34-6</t>
  </si>
  <si>
    <t>U0214-RTS2-FKP-RTCM31-1</t>
  </si>
  <si>
    <t>U0214-RTS2-FKP-RTCM31-2</t>
  </si>
  <si>
    <t>U0214-RTS2-FKP-RTCM31-3</t>
  </si>
  <si>
    <t>U0214-RTS2-VRS-RTCM31-1</t>
  </si>
  <si>
    <t>U0214-RTS2-VRS-RTCM31-2</t>
  </si>
  <si>
    <t>U0214-RTS2-VRS-RTCM31-3</t>
  </si>
  <si>
    <t>U0214-RTS2-VRS-RTCM32-2</t>
  </si>
  <si>
    <t>U0214-RTS2-VRS-RTCM32-3</t>
  </si>
  <si>
    <t>U0214-RTS3-GVRS-AUTO-1</t>
  </si>
  <si>
    <t>U0214-RTS3-GVRS-AUTO-2</t>
  </si>
  <si>
    <t>U0214-RTS3-GVRS-AUTO-3</t>
  </si>
  <si>
    <t>U0214-RTS3-GVRS-시흥-1</t>
  </si>
  <si>
    <t>U0214-RTS3-GVRS-시흥-2</t>
  </si>
  <si>
    <t>U0214-RTS3-GVRS-시흥-3</t>
  </si>
  <si>
    <t>U0214-RTS3-GVRS-시흥-4</t>
  </si>
  <si>
    <t>Uhongcheon15-vrs-rtcm31-1</t>
  </si>
  <si>
    <t>Uhongcheon15-vrs-rtcm31-2</t>
  </si>
  <si>
    <t>Uhongcheon15-vrs-rtcm31-3</t>
  </si>
  <si>
    <t>Uhongcheon15-vrs-cmrx-1</t>
  </si>
  <si>
    <t>Uhongcheon15-vrs-cmrx-2</t>
  </si>
  <si>
    <t>Uhongcheon15-vrs-cmrx-3</t>
  </si>
  <si>
    <t>Uhongcheon15-vrs-rtcm32-1</t>
  </si>
  <si>
    <t>Uhongcheon15-vrs-rtcm32-2</t>
  </si>
  <si>
    <t>Uhongcheon15-vrs-rtcm32-3</t>
  </si>
  <si>
    <t>Uhongcheon15-vrs-rtcm34-1</t>
  </si>
  <si>
    <t>Uhongcheon15-vrs-rtcm34-2</t>
  </si>
  <si>
    <t>Uhongcheon15-vrs-rtcm34-3</t>
  </si>
  <si>
    <t>Uhongcheon15-rts2-vrs31-1</t>
  </si>
  <si>
    <t>Uhongcheon15-rts2-vrs31-2</t>
  </si>
  <si>
    <t>Uhongcheon15-rts2-vrs31-3</t>
  </si>
  <si>
    <t>Uhongcheon15-rts2-vrs32-1</t>
  </si>
  <si>
    <t>Uhongcheon15-rts2-vrs32-2</t>
  </si>
  <si>
    <t>Uhongcheon15-rts2-vrs32-3</t>
  </si>
  <si>
    <t>Uhongcheon15-rts2-fkp-1</t>
  </si>
  <si>
    <t>Uhongcheon15-rts2-fkp-2</t>
  </si>
  <si>
    <t>Uhongcheon15-rts2-fkp-3</t>
  </si>
  <si>
    <t>U0169-rts1-rtcm31-1</t>
  </si>
  <si>
    <t>U0169-rts1-rtcm31-2</t>
  </si>
  <si>
    <t>U0169-rts1-rtcm31-3</t>
  </si>
  <si>
    <t>U0169-rts1-rtk32-1</t>
  </si>
  <si>
    <t>U0169-rts1-rtk32-2</t>
  </si>
  <si>
    <t>U0169-rts1-rtk32-3</t>
  </si>
  <si>
    <t>U0169-rts1-vrs34-1</t>
  </si>
  <si>
    <t>U0169-rts1-vrs34-2</t>
  </si>
  <si>
    <t>U0169-rts1-vrs34-3</t>
  </si>
  <si>
    <t>U0169-rts1-crmx-1</t>
  </si>
  <si>
    <t>U0169-rts1-crmx-2</t>
  </si>
  <si>
    <t>U0169-rts1-crmx-3</t>
  </si>
  <si>
    <t>U0169-rts2-vrs32-1</t>
  </si>
  <si>
    <t>U0169-rts2-vrs32-2</t>
  </si>
  <si>
    <t>U0169-rts2-vrs32-3</t>
  </si>
  <si>
    <t>U0169-rts2-vrs31-1</t>
  </si>
  <si>
    <t>U0169-rts2-vrs31-2</t>
  </si>
  <si>
    <t>U0169-gvrs-hongcheon-1</t>
  </si>
  <si>
    <t>U0169-gvrs-hongcheon-2</t>
  </si>
  <si>
    <t>U0169-gvrs-hongcheon-3</t>
  </si>
  <si>
    <t>U0169-gvrs-gvrs-1</t>
  </si>
  <si>
    <t>U0169-gvrs-gvrs-2</t>
  </si>
  <si>
    <t>U0169-gvrs-gvrs-3</t>
  </si>
  <si>
    <t>U0098-rts1-vrs31-1</t>
  </si>
  <si>
    <t>U0098-rts1-vrs31-2</t>
  </si>
  <si>
    <t>U0098-rts1-vrs31-3</t>
  </si>
  <si>
    <t>U0098-rts1-cmrx-1</t>
  </si>
  <si>
    <t>U0098-rts1-cmrx-2</t>
  </si>
  <si>
    <t>U0098-rts1-cmrx-3</t>
  </si>
  <si>
    <t>U0098-rts1-rtk32-1</t>
  </si>
  <si>
    <t>U0098-rts1-rtk32-2</t>
  </si>
  <si>
    <t>U0098-rts1-rtk32-3</t>
  </si>
  <si>
    <t>U0098-rts1-vrs34-1</t>
  </si>
  <si>
    <t>U0098-rts1-vrs34-2</t>
  </si>
  <si>
    <t>U0098-rts1-vrs34-3</t>
  </si>
  <si>
    <t>U0098-rts2-vrs32-1</t>
  </si>
  <si>
    <t>U0098-rts2-vrs32-2</t>
  </si>
  <si>
    <t>U0098-rts2-vrs32-3</t>
  </si>
  <si>
    <t>U0098-rts2-vrs31-1</t>
  </si>
  <si>
    <t>U0098-rts2-vrs31-2</t>
  </si>
  <si>
    <t>U0098-rts2-vrs31-3</t>
  </si>
  <si>
    <t>U0098-rts2-fkp31-1</t>
  </si>
  <si>
    <t>U0098-rts2-fkp31-2</t>
  </si>
  <si>
    <t>U0098-rts2-fkp31-3</t>
  </si>
  <si>
    <t>U0105-rts1-vrs31-1</t>
  </si>
  <si>
    <t>U0105-rts1-vrs31-2</t>
  </si>
  <si>
    <t>U0105-rts1-vrs31-3</t>
  </si>
  <si>
    <t>U0105-rts1-cmrx-1</t>
  </si>
  <si>
    <t>U0105-rts1-cmrx-2</t>
  </si>
  <si>
    <t>U0105-rts1-cmrx-3</t>
  </si>
  <si>
    <t>U0105-rts1-rtk32-1</t>
  </si>
  <si>
    <t>U0105-rts1-rtk32-2</t>
  </si>
  <si>
    <t>U0105-rts1-rtk32-3</t>
  </si>
  <si>
    <t>U0105-rts1-vrs34-1</t>
  </si>
  <si>
    <t>U0105-rts1-vrs34-2</t>
  </si>
  <si>
    <t>U0105-rts1-vrs34-3</t>
  </si>
  <si>
    <t>U0105-rts2-fkp31-1</t>
  </si>
  <si>
    <t>U0105-rts2-fkp31-2</t>
  </si>
  <si>
    <t>U0105-rts2-fkp31-3</t>
  </si>
  <si>
    <t>U0105-rts2-vrs31-1</t>
  </si>
  <si>
    <t>U0105-rts2-vrs31-2</t>
  </si>
  <si>
    <t>U0105-rts2-vrs31-3</t>
  </si>
  <si>
    <t>U0105-rts2-vrs32-1</t>
  </si>
  <si>
    <t>U0105-rts2-vrs32-2</t>
  </si>
  <si>
    <t>U0105-rts2-vrs32-3</t>
  </si>
  <si>
    <t>UBP04-gvrs-hc-1</t>
  </si>
  <si>
    <t>UBP04-gvrs-hc-2</t>
  </si>
  <si>
    <t>UBP04-gvrs-hc-3</t>
  </si>
  <si>
    <t>UBP04-gvrs-gvrs-1</t>
  </si>
  <si>
    <t>UBP04-gvrs-gvrs-2</t>
  </si>
  <si>
    <t>UBP04-gvrs-gvrs-3</t>
  </si>
  <si>
    <t>UBP04-rts2-vrs31-1</t>
  </si>
  <si>
    <t>UBP04-rts2-vrs31-2</t>
  </si>
  <si>
    <t>UBP04-rts2-vrs31-3</t>
  </si>
  <si>
    <t>UBP04-rts2-vrs32-1</t>
  </si>
  <si>
    <t>UBP04-rts2-vrs32-2</t>
  </si>
  <si>
    <t>UBP04-rts2-vrs32-3</t>
  </si>
  <si>
    <t>UBP04-rts2-fkp-1</t>
  </si>
  <si>
    <t>UBP04-rts2-fkp-2</t>
  </si>
  <si>
    <t>UBP04-rts2-fkp-3</t>
  </si>
  <si>
    <t>UBP04-rts1-vrs31-1</t>
  </si>
  <si>
    <t>UBP04-rts1-vrs31-2</t>
  </si>
  <si>
    <t>UBP04-rts1-vrs31-3</t>
  </si>
  <si>
    <t>UBP04-rts1-cmrx-1</t>
  </si>
  <si>
    <t>UBP04-rts1-cmrx-2</t>
  </si>
  <si>
    <t>UBP04-rts1-cmrx-3</t>
  </si>
  <si>
    <t>UBP04-rts1-rtk32-1</t>
  </si>
  <si>
    <t>UBP04-rts1-rtk32-2</t>
  </si>
  <si>
    <t>UBP04-rts1-rtk32-3</t>
  </si>
  <si>
    <t>UBP04-rts1-vrs34-1</t>
  </si>
  <si>
    <t>UBP04-rts1-vrs34-2</t>
  </si>
  <si>
    <t>UBP04-rts1-vrs34-3</t>
  </si>
  <si>
    <t>UDA15-rts1-vrs31-1</t>
  </si>
  <si>
    <t>UDA15-rts1-vrs31-2</t>
  </si>
  <si>
    <t>UDA15-rts1-vrs31-3</t>
  </si>
  <si>
    <t>UDA15-rts1-cmrx-1</t>
  </si>
  <si>
    <t>UDA15-rts1-cmrx-2</t>
  </si>
  <si>
    <t>UDA15-rts1-cmrx-3</t>
  </si>
  <si>
    <t>UDA15-rts1-rtk32-1</t>
  </si>
  <si>
    <t>UDA15-rts1-rtk32-2</t>
  </si>
  <si>
    <t>UDA15-rts1-rtk32-3</t>
  </si>
  <si>
    <t>UDA15-rts1-rtk34-1</t>
  </si>
  <si>
    <t>UDA15-rts1-rtk34-2</t>
  </si>
  <si>
    <t>UDA15-rts1-rtk34-3</t>
  </si>
  <si>
    <t>UDA15-rts2-vrs31-1</t>
  </si>
  <si>
    <t>UDA15-rts2-vrs31-2</t>
  </si>
  <si>
    <t>UDA15-rts2-vrs31-3</t>
  </si>
  <si>
    <t>UDA15-rts2-vrs32-2</t>
  </si>
  <si>
    <t>UDA15-rts2-vrs32-3</t>
  </si>
  <si>
    <t>UDA15-gvrs-gvrs-1</t>
  </si>
  <si>
    <t>UDA15-gvrs-gvrs-2</t>
  </si>
  <si>
    <t>UDA15-gvrs-gvrs-3</t>
  </si>
  <si>
    <t>UDA15-gvrs-pc-1</t>
  </si>
  <si>
    <t>UDA15-gvrs-pc-2</t>
  </si>
  <si>
    <t>UDA15-gvrs-pc-3</t>
  </si>
  <si>
    <t>UYG13-gvrs-pc-1</t>
  </si>
  <si>
    <t>UYG13-gvrs-pc-2</t>
  </si>
  <si>
    <t>UYG13-gvrs-pc-3</t>
  </si>
  <si>
    <t>UYG13-gvrs-gvrs-1</t>
  </si>
  <si>
    <t>UYG13-gvrs-gvrs-2</t>
  </si>
  <si>
    <t>UYG13-gvrs-gvrs-3</t>
  </si>
  <si>
    <t>UYG13-rts1-vrs31-2</t>
  </si>
  <si>
    <t>UYG13-rts1-vrs31-3</t>
  </si>
  <si>
    <t>UYG13-rts1-cmrx-1</t>
  </si>
  <si>
    <t>UYG13-rts1-cmrx-2</t>
  </si>
  <si>
    <t>UYG13-rts1-cmrx-3</t>
  </si>
  <si>
    <t>UYG13-rts1-rtk32-1</t>
  </si>
  <si>
    <t>UYG13-rts1-rtk32-2</t>
  </si>
  <si>
    <t>UYG13-rts1-rtk32-3</t>
  </si>
  <si>
    <t>UYG13-rts1-rtk34-1</t>
  </si>
  <si>
    <t>UYG13-rts1-rtk34-2</t>
  </si>
  <si>
    <t>UYG13-rts1-rtk34-3</t>
  </si>
  <si>
    <t>UYG13-rts2-vrs31-1</t>
  </si>
  <si>
    <t>UYG13-rts2-vrs31-2</t>
  </si>
  <si>
    <t>UYG13-rts2-vrs31-3</t>
  </si>
  <si>
    <t>UYG13-rts2-vrs32-1</t>
  </si>
  <si>
    <t>UYG13-rts2-vrs32-2</t>
  </si>
  <si>
    <t>UYG13-rts2-vrs32-3</t>
  </si>
  <si>
    <t>UYG07-rts1-vrs34-1</t>
  </si>
  <si>
    <t>UYG07-rts1-vrs34-2</t>
  </si>
  <si>
    <t>UYG07-rts1-vrs34-3</t>
  </si>
  <si>
    <t>UYG07-rts1-vrs32-1</t>
  </si>
  <si>
    <t>UYG07-rts1-vrs32-2</t>
  </si>
  <si>
    <t>UYG07-rts1-vrs32-3</t>
  </si>
  <si>
    <t>UYG07-rts2-rtcm32-1</t>
  </si>
  <si>
    <t>UYG07-rts2-rtcm32-2</t>
  </si>
  <si>
    <t>UYG07-rts2-rtcm32-3</t>
  </si>
  <si>
    <t>Uscho10-rts-1-vrsrtcm31-1</t>
  </si>
  <si>
    <t>Uscho10-rts-1-vrsrtcm31-2</t>
  </si>
  <si>
    <t>Uscho10-rts-1-vrsrtcm31-3</t>
  </si>
  <si>
    <t>Uscho10-rts-1-cmrx-1</t>
  </si>
  <si>
    <t>Uscho10-rts-1-cmrx-2</t>
  </si>
  <si>
    <t>Uscho10-rts-1-cmrx-3</t>
  </si>
  <si>
    <t>Uscho10-rts-1-rtcm32-1</t>
  </si>
  <si>
    <t>Uscho10-rts-1-rtcm32-2</t>
  </si>
  <si>
    <t>Uscho10-rts-1-rtcm32-3</t>
  </si>
  <si>
    <t>Uscho10-rts-1-rtcm34-1</t>
  </si>
  <si>
    <t>Uscho10-rts-1-rtcm34-2</t>
  </si>
  <si>
    <t>Uscho10-rts-1-rtcm34-3</t>
  </si>
  <si>
    <t>Uscho10-rts2-vrsrtcm32-1</t>
  </si>
  <si>
    <t>Uscho10-rts2-vrsrtcm32-2</t>
  </si>
  <si>
    <t>Uscho10-rts2-vrsrtcm32-3</t>
  </si>
  <si>
    <t>Uscho10-rts2-fkprtcm31-1</t>
  </si>
  <si>
    <t>Uscho10-rts2-fkprtcm31-2</t>
  </si>
  <si>
    <t>Uscho10-rts2-fkprtcm31-3</t>
  </si>
  <si>
    <t>Uscho10-rts2-vrsrtcm31-1</t>
  </si>
  <si>
    <t>Uscho10-rts2-vrsrtcm31-2</t>
  </si>
  <si>
    <t>Uscho10-rts2-vrsrtcm31-3</t>
  </si>
  <si>
    <t>u0042-rts1-cmrx-1</t>
  </si>
  <si>
    <t>u0042-rts1-cmrx-2</t>
  </si>
  <si>
    <t>u0042-rts1-cmrx-3</t>
  </si>
  <si>
    <t>u0042-rts1-vrsrtcm31-1</t>
  </si>
  <si>
    <t>u0042-rts1-vrsrtcm31-2</t>
  </si>
  <si>
    <t>u0042-rts1-vrsrtcm31-3</t>
  </si>
  <si>
    <t>u0042-rts1-rtcm32-1</t>
  </si>
  <si>
    <t>u0042-rts1-rtcm32-2</t>
  </si>
  <si>
    <t>u0042-rts1-rtcm32-3</t>
  </si>
  <si>
    <t>u0042-rts1-rtcm34-1</t>
  </si>
  <si>
    <t>u0042-rts1-rtcm34-2</t>
  </si>
  <si>
    <t>u0042-rts1-rtcm34-3</t>
  </si>
  <si>
    <t>u0042-rts2-fkprtcm31-1</t>
  </si>
  <si>
    <t>u0042-rts2-fkprtcm31-2</t>
  </si>
  <si>
    <t>u0042-rts2-fkprtcm31-3</t>
  </si>
  <si>
    <t>u0042-rts2-vrsrtcm31-1</t>
  </si>
  <si>
    <t>u0042-rts2-vrsrtcm31-2</t>
  </si>
  <si>
    <t>u0042-rts2-vrsrtcm31-3</t>
  </si>
  <si>
    <t>u0042-rts2-vrsrtcm32-1</t>
  </si>
  <si>
    <t>u0042-rts2-vrsrtcm32-2</t>
  </si>
  <si>
    <t>u0042-rts2-vrsrtcm32-3</t>
  </si>
  <si>
    <t>u0043-rts1-rtcm31-1</t>
  </si>
  <si>
    <t>u0043-rts1-rtcm31-2</t>
  </si>
  <si>
    <t>u0043-rts1-rtcm31-3</t>
  </si>
  <si>
    <t>u0043-rts1-cmrx-1</t>
  </si>
  <si>
    <t>u0043-rts1-cmrx-2</t>
  </si>
  <si>
    <t>u0043-rts1-cmrx-3</t>
  </si>
  <si>
    <t>u0043-rts1-rtcm32-1</t>
  </si>
  <si>
    <t>u0043-rts1-rtcm32-2</t>
  </si>
  <si>
    <t>u0043-rts1-rtcm32-3</t>
  </si>
  <si>
    <t>u0043-rts1-rtcm34-1</t>
  </si>
  <si>
    <t>u0043-rts1-rtcm34-2</t>
  </si>
  <si>
    <t>u0043-rts1-rtcm34-3</t>
  </si>
  <si>
    <t>u0043-rts2-rtcm31-1</t>
  </si>
  <si>
    <t>u0043-rts2-rtcm31-2</t>
  </si>
  <si>
    <t>u0043-rts2-rtcm31-3</t>
  </si>
  <si>
    <t>u0043-rts2-vrs-rtcm31-1</t>
  </si>
  <si>
    <t>u0043-rts2-vrs-rtcm31-2</t>
  </si>
  <si>
    <t>u0043-rts2-vrs-rtcm31-3</t>
  </si>
  <si>
    <t>u0043-rts2-vrs-rtcm32-1</t>
  </si>
  <si>
    <t>u0043-rts2-vrs-rtcm32-2</t>
  </si>
  <si>
    <t>u0043-rts2-vrs-rtcm32-3</t>
  </si>
  <si>
    <t>Uik19-gvrs-gvrs-1</t>
  </si>
  <si>
    <t>Uik19-gvrs-gvrs-2</t>
  </si>
  <si>
    <t>Uik19-gvrs-gvrs-3</t>
  </si>
  <si>
    <t>Uik19-gvrs-gvrsJS-1</t>
  </si>
  <si>
    <t>Uik19-gvrs-gvrsJS-2</t>
  </si>
  <si>
    <t>Uik19-gvrs-gvrsJS-3</t>
  </si>
  <si>
    <t>Uik19-rts1-vrs31-1</t>
  </si>
  <si>
    <t>Uik19-rts1-vrs31-2</t>
  </si>
  <si>
    <t>Uik19-rts1-vrs31-3</t>
  </si>
  <si>
    <t>Uik19-rts1-cmrx-1</t>
  </si>
  <si>
    <t>Uik19-rts1-cmrx-2</t>
  </si>
  <si>
    <t>Uik19-rts1-cmrx-3</t>
  </si>
  <si>
    <t>Uik19-rts1-rtcm32-1</t>
  </si>
  <si>
    <t>Uik19-rts1-rtcm32-2</t>
  </si>
  <si>
    <t>Uik19-rts1-rtcm32-3</t>
  </si>
  <si>
    <t>Uik19-rts1-rtcm34-1</t>
  </si>
  <si>
    <t>Uik19-rts1-rtcm34-2</t>
  </si>
  <si>
    <t>Uik19-rts1-rtcm34-3</t>
  </si>
  <si>
    <t>Ujs04-gvrs-js-1</t>
  </si>
  <si>
    <t>Ujs04-gvrs-js-2</t>
  </si>
  <si>
    <t>Ujs04-gvrs-js-3</t>
  </si>
  <si>
    <t>Ujs04-gvrs-gvrs-1</t>
  </si>
  <si>
    <t>Ujs04-gvrs-gvrs-2</t>
  </si>
  <si>
    <t>Ujs04-gvrs-gvrs-3</t>
  </si>
  <si>
    <t>Ujs04-rts2-fkp-1</t>
  </si>
  <si>
    <t>Ujs04-rts2-fkp-2</t>
  </si>
  <si>
    <t>Ujs04-rts2-fkp-3</t>
  </si>
  <si>
    <t>Ujs04-rts2-vrs31-1</t>
  </si>
  <si>
    <t>Ujs04-rts2-vrs31-2</t>
  </si>
  <si>
    <t>Ujs04-rts2-vrs31-3</t>
  </si>
  <si>
    <t>Ujs04-rts2-vrs32-1</t>
  </si>
  <si>
    <t>Ujs04-rts2-vrs32-2</t>
  </si>
  <si>
    <t>Ujs04-rts2-vrs32-3</t>
  </si>
  <si>
    <t>Ujs04-rts1-vrs31-1</t>
  </si>
  <si>
    <t>Ujs04-rts1-vrs31-2</t>
  </si>
  <si>
    <t>Ujs04-rts1-vrs31-3</t>
  </si>
  <si>
    <t>Ujs04-rts1-cmrx-1</t>
  </si>
  <si>
    <t>Ujs04-rts1-cmrx-2</t>
  </si>
  <si>
    <t>Ujs04-rts1-cmrx-3</t>
  </si>
  <si>
    <t>Ujs04-rts1-rtk32-1</t>
  </si>
  <si>
    <t>Ujs04-rts1-rtk32-2</t>
  </si>
  <si>
    <t>Ujs04-rts1-rtk32-3</t>
  </si>
  <si>
    <t>Ujs04-rts1-vrs34-1</t>
  </si>
  <si>
    <t>Ujs04-rts1-vrs34-2</t>
  </si>
  <si>
    <t>Ujs04-rts1-vrs34-3</t>
  </si>
  <si>
    <t>UBP18-gvrs-pc-1</t>
  </si>
  <si>
    <t>UBP18-gvrs-pc-2</t>
  </si>
  <si>
    <t>UBP18-gvrs-pc-3</t>
  </si>
  <si>
    <t>UBP18-gvrs-gvrs-1</t>
  </si>
  <si>
    <t>UBP18-gvrs-gvrs-2</t>
  </si>
  <si>
    <t>UBP18-gvrs-gvrs-3</t>
  </si>
  <si>
    <t>UBP18-rts-vrs31-1</t>
  </si>
  <si>
    <t>UBP18-rts-vrs31-2</t>
  </si>
  <si>
    <t>UBP18-rts-vrs31-3</t>
  </si>
  <si>
    <t>UBP18-rts1-cmrx-1</t>
  </si>
  <si>
    <t>UBP18-rts1-cmrx-2</t>
  </si>
  <si>
    <t>UBP18-rts1-cmrx-3</t>
  </si>
  <si>
    <t>UBP18-rts1-rtk32-1</t>
  </si>
  <si>
    <t>UBP18-rts1-rtk32-2</t>
  </si>
  <si>
    <t>UBP18-rts1-rtk32-3</t>
  </si>
  <si>
    <t>UBP18-rts1-vrs34-1</t>
  </si>
  <si>
    <t>UBP18-rts1-vrs34-2</t>
  </si>
  <si>
    <t>UBP18-rts1-vrs34-3</t>
  </si>
  <si>
    <t>UBP18-rts2-vrs31-1</t>
  </si>
  <si>
    <t>UBP18-rts2-vrs31-2</t>
  </si>
  <si>
    <t>UBP18-rts2-vrs31-3</t>
  </si>
  <si>
    <t>UBP18-rts2-vrs32-2</t>
  </si>
  <si>
    <t>UBP18-rts2-vrs32-3</t>
  </si>
  <si>
    <t>U0253-rts2-fkp-1</t>
  </si>
  <si>
    <t>U0253-rts2-fkp-2</t>
  </si>
  <si>
    <t>U0253-rts2-fkp-3</t>
  </si>
  <si>
    <t>U0253-rts2-vrs31-1</t>
  </si>
  <si>
    <t>U0253-rts2-vrs31-2</t>
  </si>
  <si>
    <t>U0253-rts2-vrs31-3</t>
  </si>
  <si>
    <t>U0253-rts2-vrs32-1</t>
  </si>
  <si>
    <t>U0253-rts2-vrs32-2</t>
  </si>
  <si>
    <t>U0253-rts2-vrs32-3</t>
  </si>
  <si>
    <t>U0253-rts3-gvrs-1</t>
  </si>
  <si>
    <t>U0253-rts3-gvrs-2</t>
  </si>
  <si>
    <t>U0253-rts3-gvrs-3</t>
  </si>
  <si>
    <t>U0253-rts1-vrs31-1</t>
  </si>
  <si>
    <t>U0253-rts1-vrs31-2</t>
  </si>
  <si>
    <t>U0253-rts1-vrs31-3</t>
  </si>
  <si>
    <t>U0253-rts1-cmrx-1</t>
  </si>
  <si>
    <t>U0253-rts1-cmrx-2</t>
  </si>
  <si>
    <t>U0253-rts1-cmrx-3</t>
  </si>
  <si>
    <t>U0253-rts1-rtk32-1</t>
  </si>
  <si>
    <t>U0253-rts1-rtk32-2</t>
  </si>
  <si>
    <t>U0253-rts1-rtk32-3</t>
  </si>
  <si>
    <t>U0253-rts1-vrs34-1</t>
  </si>
  <si>
    <t>U0253-rts1-vrs34-2</t>
  </si>
  <si>
    <t>U0253-rts1-vrs34-3</t>
  </si>
  <si>
    <t>Uns15-rts1-vrs-rtcm31-1</t>
  </si>
  <si>
    <t>Uns15-rts1-vrs-rtcm31-2</t>
  </si>
  <si>
    <t>Uns15-rts1-vrs-rtcm31-3</t>
  </si>
  <si>
    <t>Uns15-rts1-vrs-cmrx-1</t>
  </si>
  <si>
    <t>Uns15-rts1-vrs-cmrx-2</t>
  </si>
  <si>
    <t>Uns15-rts1-vrs-cmrx-3</t>
  </si>
  <si>
    <t>Uns15-rts1-vrs-rtcm23-1</t>
  </si>
  <si>
    <t>Uns15-rts1-vrs-rtcm23-2</t>
  </si>
  <si>
    <t>Uns15-rts1-vrs-rtcm23-3</t>
  </si>
  <si>
    <t>Uns15-rts1-rtk-rtcm32-1</t>
  </si>
  <si>
    <t>Uns15-rts1-rtk-rtcm32-2</t>
  </si>
  <si>
    <t>Uns15-rts1-rtk-rtcm32-3</t>
  </si>
  <si>
    <t>Uns15-rts1-vrs-rtcm34-1</t>
  </si>
  <si>
    <t>Uns15-rts1-vrs-rtcm34-2</t>
  </si>
  <si>
    <t>Uns15-rts1-vrs-rtcm34-3</t>
  </si>
  <si>
    <t>Uns15-rts2-fkp-rtcm31-1</t>
  </si>
  <si>
    <t>Uns15-rts2-fkp-rtcm31-2</t>
  </si>
  <si>
    <t>Uns15-rts2-fkp-rtcm31-3</t>
  </si>
  <si>
    <t>Uns15-rts2-vrs-rtcm31-1</t>
  </si>
  <si>
    <t>Uns15-rts2-vrs-rtcm31-2</t>
  </si>
  <si>
    <t>Uns15-rts2-vrs-rtcm31-3</t>
  </si>
  <si>
    <t>Uns15-rts2-vrs-rtcm32-1</t>
  </si>
  <si>
    <t>Uns15-rts2-vrs-rtcm32-2</t>
  </si>
  <si>
    <t>Uns15-rts2-vrs-rtcm32-3</t>
  </si>
  <si>
    <t>Uns15-rts3-gvrs-1</t>
  </si>
  <si>
    <t>Uns15-rts3-gvrs-2</t>
  </si>
  <si>
    <t>Uns15-rts3-gvrs-3</t>
  </si>
  <si>
    <t>Uja96-rts1-vrs-rtcm31-1</t>
  </si>
  <si>
    <t>Uja96-rts1-vrs-rtcm31-2</t>
  </si>
  <si>
    <t>Uja96-rts1-vrs-rtcm31-3</t>
  </si>
  <si>
    <t>Uja96-rts1-vrs-cmrx-1</t>
  </si>
  <si>
    <t>Uja96-rts1-vrs-cmrx-2</t>
  </si>
  <si>
    <t>Uja96-rts1-vrs-cmrx-3</t>
  </si>
  <si>
    <t>Uja96-rts1-vrs-rtcm-23-1</t>
  </si>
  <si>
    <t>Uja96-rts1-vrs-rtcm-23-2</t>
  </si>
  <si>
    <t>Uja96-rts1-vrs-rtcm-23-3</t>
  </si>
  <si>
    <t>Uja96-rts1-rtk-rtcm-32-1</t>
  </si>
  <si>
    <t>Uja96-rts1-rtk-rtcm-32-2</t>
  </si>
  <si>
    <t>Uja96-rts1-rtk-rtcm-32-3</t>
  </si>
  <si>
    <t>Uja96-rts1-vrs-rtcm-34-1</t>
  </si>
  <si>
    <t>Uja96-rts1-vrs-rtcm-34-2</t>
  </si>
  <si>
    <t>Uja96-rts1-vrs-rtcm-34-3</t>
  </si>
  <si>
    <t>Uja96-rts2-vrs-rtcm-31-1</t>
  </si>
  <si>
    <t>Uja96-rts2-vrs-rtcm-31-2</t>
  </si>
  <si>
    <t>Uja96-rts2-vrs-rtcm-31-3</t>
  </si>
  <si>
    <t>Uja96-rts2-vrs-rtcm-32-1</t>
  </si>
  <si>
    <t>Uja96-rts2-vrs-rtcm-32-2</t>
  </si>
  <si>
    <t>Uja96-rts2-vrs-rtcm-32-3</t>
  </si>
  <si>
    <t>Uja96-rts3-gvrs-1</t>
  </si>
  <si>
    <t>Uja96-rts3-gvrs-2</t>
  </si>
  <si>
    <t>Uja96-rts3-gvrs-3</t>
  </si>
  <si>
    <t>Umj66-rts1-vrs-rtcm31-1</t>
  </si>
  <si>
    <t>Umj66-rts1-vrs-rtcm31-2</t>
  </si>
  <si>
    <t>Umj66-rts1-vrs-rtcm31-3</t>
  </si>
  <si>
    <t>Umj66-rts1-vrs-cmrx-1</t>
  </si>
  <si>
    <t>Umj66-rts1-vrs-cmrx-2</t>
  </si>
  <si>
    <t>Umj66-rts1-vrs-cmrx-3</t>
  </si>
  <si>
    <t>Umj66-rts1-vrs-rtcm23-1</t>
  </si>
  <si>
    <t>Umj66-rts1-vrs-rtcm23-2</t>
  </si>
  <si>
    <t>Umj66-rts1-vrs-rtcm23-3</t>
  </si>
  <si>
    <t>Umj66-rts1-rtk-rtcm32-1</t>
  </si>
  <si>
    <t>Umj66-rts1-rtk-rtcm32-2</t>
  </si>
  <si>
    <t>Umj66-rts1-rtk-rtcm32-3</t>
  </si>
  <si>
    <t>Umj66-rts1-vrs-rtcm34-1</t>
  </si>
  <si>
    <t>Umj66-rts1-vrs-rtcm34-2</t>
  </si>
  <si>
    <t>Umj66-rts1-vrs-rtcm34-3</t>
  </si>
  <si>
    <t>Umj66-rts2-fkp-rtcm31-1</t>
  </si>
  <si>
    <t>Umj66-rts2-fkp-rtcm31-2</t>
  </si>
  <si>
    <t>Umj66-rts2-fkp-rtcm31-3</t>
  </si>
  <si>
    <t>Umj66-rts2-vrs-rtcm31-1</t>
  </si>
  <si>
    <t>Umj66-rts2-vrs-rtcm31-2</t>
  </si>
  <si>
    <t>Umj66-rts2-vrs-rtcm31-3</t>
  </si>
  <si>
    <t>Umj66-rts2-vrs-rtcm32-1</t>
  </si>
  <si>
    <t>Umj66-rts2-vrs-rtcm32-2</t>
  </si>
  <si>
    <t>Umj66-rts2-vrs-rtcm32-3</t>
  </si>
  <si>
    <t>Ump63-rts1-vrs-rtcm31-1</t>
  </si>
  <si>
    <t>Ump63-rts1-vrs-rtcm31-2</t>
  </si>
  <si>
    <t>Ump63-rts1-vrs-rtcm31-3</t>
  </si>
  <si>
    <t>Ump63-rts1-vrs-cmrx-1</t>
  </si>
  <si>
    <t>Ump63-rts1-vrs-cmrx-2</t>
  </si>
  <si>
    <t>Ump63-rts1-vrs-cmrx-3</t>
  </si>
  <si>
    <t>Ump63-rts1-vrs-rtcm23-1</t>
  </si>
  <si>
    <t>Ump63-rts1-vrs-rtcm23-2</t>
  </si>
  <si>
    <t>Ump63-rts1-vrs-rtcm23-3</t>
  </si>
  <si>
    <t>Ump63-rts1-rtk-rtcm32-1</t>
  </si>
  <si>
    <t>Ump63-rts1-rtk-rtcm32-2</t>
  </si>
  <si>
    <t>Ump63-rts1-rtk-rtcm32-3</t>
  </si>
  <si>
    <t>Ump63-rts1-vrs-rtcm34-1</t>
  </si>
  <si>
    <t>Ump63-rts1-vrs-rtcm34-2</t>
  </si>
  <si>
    <t>Ump63-rts1-vrs-rtcm34-3</t>
  </si>
  <si>
    <t>Ump63-rts2-fkp-rtcm31-1</t>
  </si>
  <si>
    <t>Ump63-rts2-fkp-rtcm31-2</t>
  </si>
  <si>
    <t>Ump63-rts2-fkp-rtcm31-3</t>
  </si>
  <si>
    <t>Ump63-rts2-vrs-rtcm31-1</t>
  </si>
  <si>
    <t>Ump63-rts2-vrs-rtcm31-2</t>
  </si>
  <si>
    <t>Ump63-rts2-vrs-rtcm31-3</t>
  </si>
  <si>
    <t>Ump63-rts2-vrs-rtcm32-1</t>
  </si>
  <si>
    <t>Ump63-rts2-vrs-rtcm32-2</t>
  </si>
  <si>
    <t>Ump63-rts2-vrs-rtcm32-3</t>
  </si>
  <si>
    <t>Ump63-rts3-gvrs-1</t>
  </si>
  <si>
    <t>Ump63-rts3-gvrs-2</t>
  </si>
  <si>
    <t>Ump63-rts3-gvrs-3</t>
  </si>
  <si>
    <t>U0711-rts1-vrs-rtcm31-1</t>
  </si>
  <si>
    <t>U0711-rts1-vrs-rtcm31-2</t>
  </si>
  <si>
    <t>U0711-rts1-vrs-rtcm31-3</t>
  </si>
  <si>
    <t>U0711-rts1-vrs-cmrx-1</t>
  </si>
  <si>
    <t>U0711-rts1-vrs-cmrx-2</t>
  </si>
  <si>
    <t>U0711-rts1-vrs-cmrx-3</t>
  </si>
  <si>
    <t>U0711-rts1-vrs-rtcm23-1</t>
  </si>
  <si>
    <t>U0711-rts1-vrs-rtcm23-2</t>
  </si>
  <si>
    <t>U0711-rts1-vrs-rtcm23-3</t>
  </si>
  <si>
    <t>U0711-rts1-rtk-rtcm32-1</t>
  </si>
  <si>
    <t>U0711-rts1-rtk-rtcm32-2</t>
  </si>
  <si>
    <t>U0711-rts1-rtk-rtcm32-3</t>
  </si>
  <si>
    <t>U0711-rts1-vrs-rtcm34-1</t>
  </si>
  <si>
    <t>U0711-rts1-vrs-rtcm34-2</t>
  </si>
  <si>
    <t>U0711-rts1-vrs-rtcm34-3</t>
  </si>
  <si>
    <t>U0711-rts2-fkp-rtcm31-1</t>
  </si>
  <si>
    <t>U0711-rts2-fkp-rtcm31-2</t>
  </si>
  <si>
    <t>U0711-rts2-fkp-rtcm31-3</t>
  </si>
  <si>
    <t>U0711-rts2-vrs-rtcm31-1</t>
  </si>
  <si>
    <t>U0711-rts2-vrs-rtcm31-2</t>
  </si>
  <si>
    <t>U0711-rts2-vrs-rtcm31-3</t>
  </si>
  <si>
    <t>U0711-rts2-vrs-rtcm32-1</t>
  </si>
  <si>
    <t>U0711-rts2-vrs-rtcm32-2</t>
  </si>
  <si>
    <t>U0711-rts2-vrs-rtcm32-3</t>
  </si>
  <si>
    <t>U0711-rts3-gvrs-1</t>
  </si>
  <si>
    <t>U0711-rts3-gvrs-2</t>
  </si>
  <si>
    <t>U0711-rts3-gvrs-3</t>
  </si>
  <si>
    <t>U0631-rts1-vrs-rtcm31-1</t>
  </si>
  <si>
    <t>U0631-rts1-vrs-rtcm31-2</t>
  </si>
  <si>
    <t>U0631-rts1-vrs-rtcm31-3</t>
  </si>
  <si>
    <t>U0631-rts1-vrs-cmrx-1</t>
  </si>
  <si>
    <t>U0631-rts1-vrs-cmrx-2</t>
  </si>
  <si>
    <t>U0631-rts1-vrs-cmrx-3</t>
  </si>
  <si>
    <t>U0631-rts1-vrs-rtcm23-1</t>
  </si>
  <si>
    <t>U0631-rts1-vrs-rtcm23-2</t>
  </si>
  <si>
    <t>U0631-rts1-vrs-rtcm23-3</t>
  </si>
  <si>
    <t>U0631-rts1-rtk-rtcm32-1</t>
  </si>
  <si>
    <t>U0631-rts1-rtk-rtcm32-2</t>
  </si>
  <si>
    <t>U0631-rts1-rtk-rtcm32-3</t>
  </si>
  <si>
    <t>U0631-rts1-vrs-rtcm34-1</t>
  </si>
  <si>
    <t>U0631-rts1-vrs-rtcm34-2</t>
  </si>
  <si>
    <t>U0631-rts1-vrs-rtcm34-3</t>
  </si>
  <si>
    <t>U0631-rts2-fkp-rtcm31-1</t>
  </si>
  <si>
    <t>U0631-rts2-fkp-rtcm31-2</t>
  </si>
  <si>
    <t>U0631-rts2-fkp-rtcm31-3</t>
  </si>
  <si>
    <t>U0631-rts2-vrs-rtcm31-1</t>
  </si>
  <si>
    <t>U0631-rts2-vrs-rtcm31-2</t>
  </si>
  <si>
    <t>U0631-rts2-vrs-rtcm31-3</t>
  </si>
  <si>
    <t>U0631-rts2-vrs-rtcm32-1</t>
  </si>
  <si>
    <t>U0631-rts2-vrs-rtcm32-2</t>
  </si>
  <si>
    <t>U0631-rts2-vrs-rtcm32-3</t>
  </si>
  <si>
    <t>U0631-rts3-gvrs-1</t>
  </si>
  <si>
    <t>U0631-rts3-gvrs-2</t>
  </si>
  <si>
    <t>U0631-rts3-gvrs-3</t>
  </si>
  <si>
    <t>Ugs77-rts1-vrs-rtcm31-1</t>
  </si>
  <si>
    <t>Ugs77-rts1-vrs-rtcm31-2</t>
  </si>
  <si>
    <t>Ugs77-rts1-vrs-rtcm31-3</t>
  </si>
  <si>
    <t>Ugs77-rts1-vrs-cmrx-1</t>
  </si>
  <si>
    <t>Ugs77-rts1-vrs-cmrx-2</t>
  </si>
  <si>
    <t>Ugs77-rts1-vrs-cmrx-3</t>
  </si>
  <si>
    <t>Ugs77-rts1-vrs-rtcm23-1</t>
  </si>
  <si>
    <t>Ugs77-rts1-vrs-rtcm23-2</t>
  </si>
  <si>
    <t>Ugs77-rts1-vrs-rtcm23-3</t>
  </si>
  <si>
    <t>Ugs77-rts1-rtk-rtcm32-1</t>
  </si>
  <si>
    <t>Ugs77-rts1-rtk-rtcm32-2</t>
  </si>
  <si>
    <t>Ugs77-rts1-rtk-rtcm32-3</t>
  </si>
  <si>
    <t>Ugs77-rts1-vrs-rtcm34-1</t>
  </si>
  <si>
    <t>Ugs77-rts1-vrs-rtcm34-2</t>
  </si>
  <si>
    <t>Ugs77-rts1-vrs-rtcm34-3</t>
  </si>
  <si>
    <t>Ugs77-rts2-fkp-rtcm31-1</t>
  </si>
  <si>
    <t>Ugs77-rts2-vrs-rtcm31-1</t>
  </si>
  <si>
    <t>Ugs77-rts2-vrs-rtcm31-2</t>
  </si>
  <si>
    <t>Ugs77-rts2-vrs-rtcm31-3</t>
  </si>
  <si>
    <t>Ugs77-rts2-vrs-rtcm32-1</t>
  </si>
  <si>
    <t>Ugs77-rts2-vrs-rtcm32-2</t>
  </si>
  <si>
    <t>Ugs77-rts2-vrs-rtcm32-3</t>
  </si>
  <si>
    <t>Udj11-rts1-vrs-rtcm31-1</t>
  </si>
  <si>
    <t>Udj11-rts1-vrs-rtcm31-2</t>
  </si>
  <si>
    <t>Udj11-rts1-vrs-rtcm31-3</t>
  </si>
  <si>
    <t>Udj11-rts1-vrs-cmrx-1</t>
  </si>
  <si>
    <t>Udj11-rts1-vrs-cmrx-2</t>
  </si>
  <si>
    <t>Udj11-rts1-vrs-cmrx-3</t>
  </si>
  <si>
    <t>Udj11-rts1-vrs-rtcm23-1</t>
  </si>
  <si>
    <t>Udj11-rts1-vrs-rtcm23-2</t>
  </si>
  <si>
    <t>Udj11-rts1-vrs-rtcm23-3</t>
  </si>
  <si>
    <t>Udj11-rts1-rtk-rtcm32-1</t>
  </si>
  <si>
    <t>Udj11-rts1-rtk-rtcm32-2</t>
  </si>
  <si>
    <t>Udj11-rts1-rtk-rtcm32-3</t>
  </si>
  <si>
    <t>Udj11-rts1-vrs-rtcm34-1</t>
  </si>
  <si>
    <t>Udj11-rts1-vrs-rtcm34-2</t>
  </si>
  <si>
    <t>Udj11-rts1-vrs-rtcm34-3</t>
  </si>
  <si>
    <t>Udj11-rts2-fkp-rtcm31-1</t>
  </si>
  <si>
    <t>Udj11-rts2-fkp-rtcm31-2</t>
  </si>
  <si>
    <t>Udj11-rts2-fkp-rtcm31-3</t>
  </si>
  <si>
    <t>Udj11-rts2-vrs-rtcm31-1</t>
  </si>
  <si>
    <t>Udj11-rts2-vrs-rtcm31-2</t>
  </si>
  <si>
    <t>Udj11-rts2-vrs-rtcm31-3</t>
  </si>
  <si>
    <t>Udj11-rts2-vrs-rtcm32-1</t>
  </si>
  <si>
    <t>Udj11-rts2-vrs-rtcm32-2</t>
  </si>
  <si>
    <t>Udj11-rts2-vrs-rtcm32-3</t>
  </si>
  <si>
    <t>Udj11-rts3-gvrs-1</t>
  </si>
  <si>
    <t>Udj11-rts3-gvrs-2</t>
  </si>
  <si>
    <t>Udj11-rts3-gvrs-3</t>
  </si>
  <si>
    <t>Ube22-rts1-vrs-rtcm31-1</t>
  </si>
  <si>
    <t>Ube22-rts1-vrs-rtcm31-2</t>
  </si>
  <si>
    <t>Ube22-rts1-vrs-rtcm31-3</t>
  </si>
  <si>
    <t>Ube22-rts1-vrs-cmrx-1</t>
  </si>
  <si>
    <t>Ube22-rts1-vrs-cmrx-2</t>
  </si>
  <si>
    <t>Ube22-rts1-vrs-cmrx-3</t>
  </si>
  <si>
    <t>Ube22-rts1-vrs-rtcm23-1</t>
  </si>
  <si>
    <t>Ube22-rts1-vrs-rtcm23-2</t>
  </si>
  <si>
    <t>Ube22-rts1-vrs-rtcm23-3</t>
  </si>
  <si>
    <t>Ube22-rts1-rtk-rtcm32-1</t>
  </si>
  <si>
    <t>Ube22-rts1-rtk-rtcm32-2</t>
  </si>
  <si>
    <t>Ube22-rts1-rtk-rtcm32-3</t>
  </si>
  <si>
    <t>Ube22-rts1-vrs-rtcm34-1</t>
  </si>
  <si>
    <t>Ube22-rts1-vrs-rtcm34-2</t>
  </si>
  <si>
    <t>Ube22-rts1-vrs-rtcm34-3</t>
  </si>
  <si>
    <t>Ube22-rts2-fkp-rtcm31-1</t>
  </si>
  <si>
    <t>Ube22-rts2-fkp-rtcm31-2</t>
  </si>
  <si>
    <t>Ube22-rts2-fkp-rtcm31-3</t>
  </si>
  <si>
    <t>Ube22-rts2-vrs-rtcm31-1</t>
  </si>
  <si>
    <t>Ube22-rts2-vrs-rtcm31-2</t>
  </si>
  <si>
    <t>Ube22-rts2-vrs-rtcm31-3</t>
  </si>
  <si>
    <t>Ube22-rts2-vrs-rtcm32-1</t>
  </si>
  <si>
    <t>Ube22-rts2-vrs-rtcm32-2</t>
  </si>
  <si>
    <t>Ube22-rts2-vrs-rtcm32-3</t>
  </si>
  <si>
    <t>Ube22-rts3-gvrs-1</t>
  </si>
  <si>
    <t>Ube22-rts3-gvrs-2</t>
  </si>
  <si>
    <t>Ube22-rts3-gvrs-3</t>
  </si>
  <si>
    <t>Ube25-rts1-vrs-rtcm31-1</t>
  </si>
  <si>
    <t>Ube25-rts1-vrs-rtcm31-2</t>
  </si>
  <si>
    <t>Ube25-rts1-vrs-rtcm31-3</t>
  </si>
  <si>
    <t>Ube25-rts1-vrs-cmrx-1</t>
  </si>
  <si>
    <t>Ube25-rts1-vrs-cmrx-2</t>
  </si>
  <si>
    <t>Ube25-rts1-vrs-cmrx-3</t>
  </si>
  <si>
    <t>Ube25-rts1-rtk-rtcm32-1</t>
  </si>
  <si>
    <t>Ube25-rts1-rtk-rtcm32-2</t>
  </si>
  <si>
    <t>Ube25-rts1-rtk-rtcm32-3</t>
  </si>
  <si>
    <t>Ube25-rts1-vrs-rtcm34-1</t>
  </si>
  <si>
    <t>Ube25-rts1-vrs-rtcm34-2</t>
  </si>
  <si>
    <t>Ube25-rts1-vrs-rtcm34-3</t>
  </si>
  <si>
    <t>Ube25-rts2-fkp-rtcm31-1</t>
  </si>
  <si>
    <t>Ube25-rts2-fkp-rtcm31-2</t>
  </si>
  <si>
    <t>Ube25-rts2-fkp-rtcm31-3</t>
  </si>
  <si>
    <t>Ube25-rts2-vrs-rtcm31-1</t>
  </si>
  <si>
    <t>Ube25-rts2-vrs-rtcm31-2</t>
  </si>
  <si>
    <t>Ube25-rts2-vrs-rtcm31-3</t>
  </si>
  <si>
    <t>Ube25-rts2-vrs-rtcm32-1</t>
  </si>
  <si>
    <t>Ube25-rts2-vrs-rtcm32-2</t>
  </si>
  <si>
    <t>Ube25-rts2-vrs-rtcm32-3</t>
  </si>
  <si>
    <t>Ube25-rts3-gvrs-1</t>
  </si>
  <si>
    <t>Ube25-rts3-gvrs-2</t>
  </si>
  <si>
    <t>Ube25-rts3-gvrs-3</t>
  </si>
  <si>
    <t>Ube25-rts1-vrs-rtcm23-1</t>
  </si>
  <si>
    <t>Ube25-rts1-vrs-rtcm23-2</t>
  </si>
  <si>
    <t>Ube25-rts1-vrs-rtcm23-3</t>
  </si>
  <si>
    <t>Uyd06-rts1-vrs-rtcm23-1</t>
  </si>
  <si>
    <t>Uyd06-rts1-vrs-rtcm23-2</t>
  </si>
  <si>
    <t>Uyd06-rts1-vrs-rtcm23-3</t>
  </si>
  <si>
    <t>Uyd06-rts1-vrs-rtcm31-1</t>
  </si>
  <si>
    <t>Uyd06-rts1-vrs-rtcm31-2</t>
  </si>
  <si>
    <t>Uyd06-rts1-vrs-rtcm31-3</t>
  </si>
  <si>
    <t>Uyd06-rts1-vrs-cmrx-1</t>
  </si>
  <si>
    <t>Uyd06-rts1-vrs-cmrx-2</t>
  </si>
  <si>
    <t>Uyd06-rts1-vrs-cmrx-3</t>
  </si>
  <si>
    <t>Uyd06-rts1-rtk-rtcm32-1</t>
  </si>
  <si>
    <t>Uyd06-rts1-rtk-rtcm32-2</t>
  </si>
  <si>
    <t>Uyd06-rts1-rtk-rtcm32-3</t>
  </si>
  <si>
    <t>Uyd06-rts1-vrs-rtcm34-1</t>
  </si>
  <si>
    <t>Uyd06-rts1-vrs-rtcm34-2</t>
  </si>
  <si>
    <t>Uyd06-rts1-vrs-rtcm34-3</t>
  </si>
  <si>
    <t>Uyd06-rts2-vrs-rtcm31-1</t>
  </si>
  <si>
    <t>Uyd06-rts2-vrs-rtcm31-2</t>
  </si>
  <si>
    <t>Uyd06-rts2-vrs-rtcm31-3</t>
  </si>
  <si>
    <t>Uyd06-rts2-vrs-rtcm32-1</t>
  </si>
  <si>
    <t>Uyd06-rts2-vrs-rtcm32-2</t>
  </si>
  <si>
    <t>Uyd06-rts2-vrs-rtcm32-3</t>
  </si>
  <si>
    <t>Uyd06-rts3-gvrs-1</t>
  </si>
  <si>
    <t>Uyd06-rts3-gvrs-2</t>
  </si>
  <si>
    <t>Uyd06-rts3-gvrs-3</t>
  </si>
  <si>
    <t>U0562-rts1-vrs-rtcm31-1</t>
  </si>
  <si>
    <t>U0562-rts1-vrs-rtcm31-2</t>
  </si>
  <si>
    <t>U0562-rts1-vrs-rtcm31-3</t>
  </si>
  <si>
    <t>U0562-rts1-vrs-cmrx-1</t>
  </si>
  <si>
    <t>U0562-rts1-vrs-cmrx-2</t>
  </si>
  <si>
    <t>U0562-rts1-vrs-cmrx-3</t>
  </si>
  <si>
    <t>U0562-rts1-vrs-rtcm23-1</t>
  </si>
  <si>
    <t>U0562-rts1-vrs-rtcm23-2</t>
  </si>
  <si>
    <t>U0562-rts1-vrs-rtcm23-3</t>
  </si>
  <si>
    <t>U0562-rts1-rtk-rtcm32-1</t>
  </si>
  <si>
    <t>U0562-rts1-rtk-rtcm32-2</t>
  </si>
  <si>
    <t>U0562-rts1-rtk-rtcm32-3</t>
  </si>
  <si>
    <t>U0562-rts1-vrs-rtcm34-1</t>
  </si>
  <si>
    <t>U0562-rts1-vrs-rtcm34-2</t>
  </si>
  <si>
    <t>U0562-rts1-vrs-rtcm34-3</t>
  </si>
  <si>
    <t>U0562-rts2-fkp-rtcm31-1</t>
  </si>
  <si>
    <t>U0562-rts2-fkp-rtcm31-2</t>
  </si>
  <si>
    <t>U0562-rts2-fkp-rtcm31-3</t>
  </si>
  <si>
    <t>U0562-rts2-vrs-rtcm31-1</t>
  </si>
  <si>
    <t>U0562-rts2-vrs-rtcm31-2</t>
  </si>
  <si>
    <t>U0562-rts2-vrs-rtcm31-3</t>
  </si>
  <si>
    <t>U0562-rts2-vrs-rtcm32-1</t>
  </si>
  <si>
    <t>U0562-rts2-vrs-rtcm32-2</t>
  </si>
  <si>
    <t>U0562-rts2-vrs-rtcm32-3</t>
  </si>
  <si>
    <t>U0562-rts3-gvrs-1</t>
  </si>
  <si>
    <t>U0562-rts3-gvrs-2</t>
  </si>
  <si>
    <t>U0562-rts3-gvrs-3</t>
  </si>
  <si>
    <t>Umw34-rts1-vrs-rtcm31-1</t>
  </si>
  <si>
    <t>Umw34-rts1-vrs-rtcm31-2</t>
  </si>
  <si>
    <t>Umw34-rts1-vrs-rtcm31-3</t>
  </si>
  <si>
    <t>Umw34-rts1-vrs-cmrx-1</t>
  </si>
  <si>
    <t>Umw34-rts1-vrs-cmrx-2</t>
  </si>
  <si>
    <t>Umw34-rts1-vrs-cmrx-3</t>
  </si>
  <si>
    <t>Umw34-rts1-vrs-rtcm23-1</t>
  </si>
  <si>
    <t>Umw34-rts1-vrs-rtcm23-2</t>
  </si>
  <si>
    <t>Umw34-rts1-vrs-rtcm23-3</t>
  </si>
  <si>
    <t>Umw34-rts1-rtk-rtcm32-1</t>
  </si>
  <si>
    <t>Umw34-rts1-rtk-rtcm32-2</t>
  </si>
  <si>
    <t>Umw34-rts1-rtk-rtcm32-3</t>
  </si>
  <si>
    <t>Umw34-rts1-vrs-rtcm34-1</t>
  </si>
  <si>
    <t>Umw34-rts1-vrs-rtcm34-2</t>
  </si>
  <si>
    <t>Umw34-rts1-vrs-rtcm34-3</t>
  </si>
  <si>
    <t>Umw34-rts2-fkp-rtcm31-1</t>
  </si>
  <si>
    <t>Umw34-rts2-fkp-rtcm31-2</t>
  </si>
  <si>
    <t>Umw34-rts2-fkp-rtcm31-3</t>
  </si>
  <si>
    <t>Umw34-rts2-vrs-rtcm31-1</t>
  </si>
  <si>
    <t>Umw34-rts2-vrs-rtcm31-2</t>
  </si>
  <si>
    <t>Umw34-rts2-vrs-rtcm31-3</t>
  </si>
  <si>
    <t>Umw34-rts2-vrs-rtcm32-1</t>
  </si>
  <si>
    <t>Umw34-rts2-vrs-rtcm32-2</t>
  </si>
  <si>
    <t>Umw34-rts2-vrs-rtcm32-3</t>
  </si>
  <si>
    <t>Umw28-rts1-vrs-rtcm31-1</t>
  </si>
  <si>
    <t>Umw28-rts1-vrs-rtcm31-2</t>
  </si>
  <si>
    <t>Umw28-rts1-vrs-rtcm31-3</t>
  </si>
  <si>
    <t>Umw28-rts1-vrs-cmrx-1</t>
  </si>
  <si>
    <t>Umw28-rts1-vrs-cmrx-2</t>
  </si>
  <si>
    <t>Umw28-rts1-vrs-cmrx-3</t>
  </si>
  <si>
    <t>Umw28-rts1-vrs-rtcm23-1</t>
  </si>
  <si>
    <t>Umw28-rts1-vrs-rtcm23-2</t>
  </si>
  <si>
    <t>Umw28-rts1-vrs-rtcm23-3</t>
  </si>
  <si>
    <t>Umw28-rts1-rtk-rtcm32-1</t>
  </si>
  <si>
    <t>Umw28-rts1-rtk-rtcm32-2</t>
  </si>
  <si>
    <t>Umw28-rts1-rtk-rtcm32-3</t>
  </si>
  <si>
    <t>Umw28-rts1-vrs-rtcm34-1</t>
  </si>
  <si>
    <t>Umw28-rts1-vrs-rtcm34-2</t>
  </si>
  <si>
    <t>Umw28-rts1-vrs-rtcm34-3</t>
  </si>
  <si>
    <t>Umw28-rts2-fkp-rtcm31-1</t>
  </si>
  <si>
    <t>Umw28-rts2-fkp-rtcm31-2</t>
  </si>
  <si>
    <t>Umw28-rts2-fkp-rtcm31-3</t>
  </si>
  <si>
    <t>Umw28-rts2-vrs-rtcm31-1</t>
  </si>
  <si>
    <t>Umw28-rts2-vrs-rtcm31-2</t>
  </si>
  <si>
    <t>Umw28-rts2-vrs-rtcm31-3</t>
  </si>
  <si>
    <t>Umw28-rts2-vrs-rtcm32-1</t>
  </si>
  <si>
    <t>Umw28-rts2-vrs-rtcm32-2</t>
  </si>
  <si>
    <t>Umw28-rts2-vrs-rtcm32-3</t>
  </si>
  <si>
    <t>Ucj13-rts1-vrs-rtcm31-1</t>
  </si>
  <si>
    <t>Ucj13-rts1-vrs-rtcm31-2</t>
  </si>
  <si>
    <t>Ucj13-rts1-vrs-rtcm31-3</t>
  </si>
  <si>
    <t>Ucj13-rts1-vrs-cmrx-1</t>
  </si>
  <si>
    <t>Ucj13-rts1-vrs-cmrx-2</t>
  </si>
  <si>
    <t>Ucj13-rts1-vrs-cmrx-3</t>
  </si>
  <si>
    <t>Ucj13-rts1-vrs-rtcm23-1</t>
  </si>
  <si>
    <t>Ucj13-rts1-vrs-rtcm23-2</t>
  </si>
  <si>
    <t>Ucj13-rts1-vrs-rtcm23-3</t>
  </si>
  <si>
    <t>Ucj13-rts1-rtk-rtcm32-1</t>
  </si>
  <si>
    <t>Ucj13-rts1-rtk-rtcm32-2</t>
  </si>
  <si>
    <t>Ucj13-rts1-rtk-rtcm32-3</t>
  </si>
  <si>
    <t>Ucj13-rts1-vrs-rtcm34-1</t>
  </si>
  <si>
    <t>Ucj13-rts1-vrs-rtcm34-2</t>
  </si>
  <si>
    <t>Ucj13-rts1-vrs-rtcm34-3</t>
  </si>
  <si>
    <t>Ucj13-rts2-fkp-rtcm31-1</t>
  </si>
  <si>
    <t>Ucj13-rts2-fkp-rtcm31-2</t>
  </si>
  <si>
    <t>Ucj13-rts2-fkp-rtcm31-3</t>
  </si>
  <si>
    <t>Ucj13-rts2-vrs-rtcm31-1</t>
  </si>
  <si>
    <t>Ucj13-rts2-vrs-rtcm31-2</t>
  </si>
  <si>
    <t>Ucj13-rts2-vrs-rtcm31-3</t>
  </si>
  <si>
    <t>Ucj13-rts2-vrs-rtcm32-1</t>
  </si>
  <si>
    <t>Ucj13-rts2-vrs-rtcm32-2</t>
  </si>
  <si>
    <t>Ucj13-rts2-vrs-rtcm32-3</t>
  </si>
  <si>
    <t>Ucj13-rts3-gvrs-1</t>
  </si>
  <si>
    <t>Ucj13-rts3-gvrs-2</t>
  </si>
  <si>
    <t>Ucj13-rts3-gvrs-3</t>
  </si>
  <si>
    <t>Ucj18-rts1-vrs-rtcm31-1</t>
  </si>
  <si>
    <t>Ucj18-rts1-vrs-rtcm31-2</t>
  </si>
  <si>
    <t>Ucj18-rts1-vrs-rtcm31-3</t>
  </si>
  <si>
    <t>Ucj18-rts1-vrs-cmrx-1</t>
  </si>
  <si>
    <t>Ucj18-rts1-vrs-cmrx-2</t>
  </si>
  <si>
    <t>Ucj18-rts1-vrs-cmrx-3</t>
  </si>
  <si>
    <t>Ucj18-rts1-rtk-rtcm32-1</t>
  </si>
  <si>
    <t>Ucj18-rts1-rtk-rtcm32-2</t>
  </si>
  <si>
    <t>Ucj18-rts1-rtk-rtcm32-3</t>
  </si>
  <si>
    <t>Ucj18-rts1-vrs-rtcm34-1</t>
  </si>
  <si>
    <t>Ucj18-rts1-vrs-rtcm34-2</t>
  </si>
  <si>
    <t>Ucj18-rts1-vrs-rtcm34-3</t>
  </si>
  <si>
    <t>Ucj18-rts2-fkp-rtcm31-1</t>
  </si>
  <si>
    <t>Ucj18-rts2-fkp-rtcm31-2</t>
  </si>
  <si>
    <t>Ucj18-rts2-fkp-rtcm31-3</t>
  </si>
  <si>
    <t>Ucj18-rts2-vrs-rtcm31-1</t>
  </si>
  <si>
    <t>Ucj18-rts2-vrs-rtcm31-2</t>
  </si>
  <si>
    <t>Ucj18-rts2-vrs-rtcm31-3</t>
  </si>
  <si>
    <t>Ucj18-rts2-vrs-rtcm32-1</t>
  </si>
  <si>
    <t>Ucj18-rts2-vrs-rtcm32-2</t>
  </si>
  <si>
    <t>Ucj18-rts2-vrs-rtcm32-3</t>
  </si>
  <si>
    <t>Ucj18-rts3-gvrs-1</t>
  </si>
  <si>
    <t>Ucj18-rts3-gvrs-2</t>
  </si>
  <si>
    <t>Ucj18-rts3-gvrs-3</t>
  </si>
  <si>
    <t>Ugj13-rts1-vrs-rtcm31-1</t>
  </si>
  <si>
    <t>Ugj13-rts1-vrs-rtcm31-2</t>
  </si>
  <si>
    <t>Ugj13-rts1-vrs-rtcm31-3</t>
  </si>
  <si>
    <t>Ugj13-rts1-vrs-cmrx-1</t>
  </si>
  <si>
    <t>Ugj13-rts1-vrs-cmrx-2</t>
  </si>
  <si>
    <t>Ugj13-rts1-vrs-cmrx-3</t>
  </si>
  <si>
    <t>Ugj13-rts1-vrs-rtcm23-1</t>
  </si>
  <si>
    <t>Ugj13-rts1-vrs-rtcm23-2</t>
  </si>
  <si>
    <t>Ugj13-rts1-vrs-rtcm23-3</t>
  </si>
  <si>
    <t>Ugj13-rts1-rtk-rtcm32-1</t>
  </si>
  <si>
    <t>Ugj13-rts1-rtk-rtcm32-2</t>
  </si>
  <si>
    <t>Ugj13-rts1-rtk-rtcm32-3</t>
  </si>
  <si>
    <t>Ugj13-rts1-vrs-rtcm34-1</t>
  </si>
  <si>
    <t>Ugj13-rts1-vrs-rtcm34-2</t>
  </si>
  <si>
    <t>Ugj13-rts1-vrs-rtcm34-3</t>
  </si>
  <si>
    <t>Ugj13-rts2-fkp-rtcm31-1</t>
  </si>
  <si>
    <t>Ugj13-rts2-fkp-rtcm31-2</t>
  </si>
  <si>
    <t>Ugj13-rts2-fkp-rtcm31-3</t>
  </si>
  <si>
    <t>Ugj13-rts2-vrs-rtcm31-1</t>
  </si>
  <si>
    <t>Ugj13-rts2-vrs-rtcm31-2</t>
  </si>
  <si>
    <t>Ugj13-rts2-vrs-rtcm31-3</t>
  </si>
  <si>
    <t>Ugj13-rts2-vrs-rtcm32-1</t>
  </si>
  <si>
    <t>Ugj13-rts2-vrs-rtcm32-2</t>
  </si>
  <si>
    <t>Ugj13-rts2-vrs-rtcm32-3</t>
  </si>
  <si>
    <t>Ugj13-rts3-gvrs-1</t>
  </si>
  <si>
    <t>Ugj13-rts3-gvrs-2</t>
  </si>
  <si>
    <t>Ugj13-rts3-gvrs-3</t>
  </si>
  <si>
    <t>Udj09-rts1-vrs-rtcm34-1</t>
  </si>
  <si>
    <t>Udj09-rts1-vrs-rtcm34-2</t>
  </si>
  <si>
    <t>Udj09-rts1-vrs-rtcm34-3</t>
  </si>
  <si>
    <t>Udj09-rts1-rtk-rtcm32-1</t>
  </si>
  <si>
    <t>Udj09-rts1-rtk-rtcm32-2</t>
  </si>
  <si>
    <t>Udj09-rts1-rtk-rtcm32-3</t>
  </si>
  <si>
    <t>Udj09-rts2-fkp-rtcm31-1</t>
  </si>
  <si>
    <t>Udj09-rts2-fkp-rtcm31-2</t>
  </si>
  <si>
    <t>Udj09-rts2-fkp-rtcm31-3</t>
  </si>
  <si>
    <t>Udj09-rts2-vrs-rtcm31-1</t>
  </si>
  <si>
    <t>Udj09-rts2-vrs-rtcm31-2</t>
  </si>
  <si>
    <t>Udj09-rts2-vrs-rtcm31-3</t>
  </si>
  <si>
    <t>Udj09-rts2-vrs-rtcm32-1</t>
  </si>
  <si>
    <t>Udj09-rts2-vrs-rtcm32-2</t>
  </si>
  <si>
    <t>Udj09-rts2-vrs-rtcm32-3</t>
  </si>
  <si>
    <t>Udj09-rts3-gvrs-1</t>
  </si>
  <si>
    <t>Udj09-rts3-gvrs-2</t>
  </si>
  <si>
    <t>Udj09-rts3-gvrs-3</t>
  </si>
  <si>
    <t>Udj09-rts1-vrs-rtcm31-1</t>
  </si>
  <si>
    <t>Udj09-rts1-vrs-rtcm31-2</t>
  </si>
  <si>
    <t>Udj09-rts1-vrs-rtcm31-3</t>
  </si>
  <si>
    <t>Udj09-rts1-vrs-cmrx-1</t>
  </si>
  <si>
    <t>Udj09-rts1-vrs-cmrx-2</t>
  </si>
  <si>
    <t>Udj09-rts1-vrs-cmrx-3</t>
  </si>
  <si>
    <t>Uhs88-rts1-vrs-rtcm31-1</t>
  </si>
  <si>
    <t>Uhs88-rts1-vrs-rtcm31-2</t>
  </si>
  <si>
    <t>Uhs88-rts1-vrs-rtcm31-3</t>
  </si>
  <si>
    <t>Uhs88-rts1-vrs-cmrx-1</t>
  </si>
  <si>
    <t>Uhs88-rts1-vrs-cmrx-2</t>
  </si>
  <si>
    <t>Uhs88-rts1-vrs-cmrx-3</t>
  </si>
  <si>
    <t>Uhs88-rts1-vrs-rtcm23-1</t>
  </si>
  <si>
    <t>Uhs88-rts1-vrs-rtcm23-2</t>
  </si>
  <si>
    <t>Uhs88-rts1-vrs-rtcm23-3</t>
  </si>
  <si>
    <t>Uhs88-rts1-vrs-rtcm34-1</t>
  </si>
  <si>
    <t>Uhs88-rts1-vrs-rtcm34-2</t>
  </si>
  <si>
    <t>Uhs88-rts1-vrs-rtcm34-3</t>
  </si>
  <si>
    <t>Uhs88-rts2-fkp-rtcm31-1</t>
  </si>
  <si>
    <t>Uhs88-rts2-fkp-rtcm31-2</t>
  </si>
  <si>
    <t>Uhs88-rts2-fkp-rtcm31-3</t>
  </si>
  <si>
    <t>Uhs88-rts2-vrs-rtcm31-1</t>
  </si>
  <si>
    <t>Uhs88-rts2-vrs-rtcm31-2</t>
  </si>
  <si>
    <t>Uhs88-rts2-vrs-rtcm31-3</t>
  </si>
  <si>
    <t>Uhs88-rts2-vrs-rtcm32-1</t>
  </si>
  <si>
    <t>Uhs88-rts2-vrs-rtcm32-2</t>
  </si>
  <si>
    <t>Uhs88-rts2-vrs-rtcm32-3</t>
  </si>
  <si>
    <t>Uhs84-rts1-vrs-rtcm31-1</t>
  </si>
  <si>
    <t>Uhs84-rts1-vrs-rtcm31-2</t>
  </si>
  <si>
    <t>Uhs84-rts1-vrs-rtcm31-3</t>
  </si>
  <si>
    <t>Uhs84-rts1-vrs-cmrx-1</t>
  </si>
  <si>
    <t>Uhs84-rts1-vrs-cmrx-2</t>
  </si>
  <si>
    <t>Uhs84-rts1-vrs-cmrx-3</t>
  </si>
  <si>
    <t>Uhs84-rts1-vrs-rtcm23-1</t>
  </si>
  <si>
    <t>Uhs84-rts1-vrs-rtcm23-2</t>
  </si>
  <si>
    <t>Uhs84-rts1-vrs-rtcm23-3</t>
  </si>
  <si>
    <t>Uhs84-rts1-rtk-rtcm32-1</t>
  </si>
  <si>
    <t>Uhs84-rts1-rtk-rtcm32-2</t>
  </si>
  <si>
    <t>Uhs84-rts1-rtk-rtcm32-3</t>
  </si>
  <si>
    <t>Uhs84-rts1-vrs-rtcm34-1</t>
  </si>
  <si>
    <t>Uhs84-rts1-vrs-rtcm34-2</t>
  </si>
  <si>
    <t>Uhs84-rts1-vrs-rtcm34-3</t>
  </si>
  <si>
    <t>Uhs84-rts2-fkp-rtcm31-1</t>
  </si>
  <si>
    <t>Uhs84-rts2-fkp-rtcm31-2</t>
  </si>
  <si>
    <t>Uhs84-rts2-fkp-rtcm31-3</t>
  </si>
  <si>
    <t>Uhs84-rts2-vrs-rtcm31-1</t>
  </si>
  <si>
    <t>Uhs84-rts2-vrs-rtcm31-2</t>
  </si>
  <si>
    <t>Uhs84-rts2-vrs-rtcm31-3</t>
  </si>
  <si>
    <t>Uhs84-rts2-vrs-rtcm32-1</t>
  </si>
  <si>
    <t>Uhs84-rts2-vrs-rtcm32-2</t>
  </si>
  <si>
    <t>Uhs84-rts2-vrs-rtcm32-3</t>
  </si>
  <si>
    <t>Uhs84-rts3-gvrs-1</t>
  </si>
  <si>
    <t>Uhs84-rts3-gvrs-2</t>
  </si>
  <si>
    <t>Uhs84-rts3-gvrs-3</t>
  </si>
  <si>
    <t>U0546-rts1-vrs-rtcm31-1</t>
  </si>
  <si>
    <t>U0546-rts1-vrs-rtcm31-2</t>
  </si>
  <si>
    <t>U0546-rts1-vrs-rtcm31-3</t>
  </si>
  <si>
    <t>U0546-rts1-vrs-cmrx-1</t>
  </si>
  <si>
    <t>U0546-rts1-vrs-cmrx-2</t>
  </si>
  <si>
    <t>U0546-rts1-vrs-cmrx-3</t>
  </si>
  <si>
    <t>U0546-rts1-vrs-rtcm23-1</t>
  </si>
  <si>
    <t>U0546-rts1-vrs-rtcm23-2</t>
  </si>
  <si>
    <t>U0546-rts1-vrs-rtcm23-3</t>
  </si>
  <si>
    <t>U0546-rts1-rtk-rtcm32-1</t>
  </si>
  <si>
    <t>U0546-rts1-rtk-rtcm32-2</t>
  </si>
  <si>
    <t>U0546-rts1-rtk-rtcm32-3</t>
  </si>
  <si>
    <t>U0546-rts1-vrs-rtcm34-1</t>
  </si>
  <si>
    <t>U0546-rts1-vrs-rtcm34-2</t>
  </si>
  <si>
    <t>U0546-rts1-vrs-rtcm34-3</t>
  </si>
  <si>
    <t>U0546-rts2-fkp-rtcm31-1</t>
  </si>
  <si>
    <t>U0546-rts2-fkp-rtcm31-2</t>
  </si>
  <si>
    <t>U0546-rts2-fkp-rtcm31-3</t>
  </si>
  <si>
    <t>U0546-rts2-vrs-rtcm31-1</t>
  </si>
  <si>
    <t>U0546-rts2-vrs-rtcm31-2</t>
  </si>
  <si>
    <t>U0546-rts2-vrs-rtcm31-3</t>
  </si>
  <si>
    <t>U0546-rts2-vrs-rtcm32-1</t>
  </si>
  <si>
    <t>U0546-rts2-vrs-rtcm32-2</t>
  </si>
  <si>
    <t>U0546-rts2-vrs-rtcm32-3</t>
  </si>
  <si>
    <t>U0545-rts1-vrs-rtcm31-1</t>
  </si>
  <si>
    <t>U0545-rts1-vrs-rtcm31-2</t>
  </si>
  <si>
    <t>U0545-rts1-vrs-rtcm31-3</t>
  </si>
  <si>
    <t>U0545-rts1-vrs-cmrx-1</t>
  </si>
  <si>
    <t>U0545-rts1-vrs-cmrx-2</t>
  </si>
  <si>
    <t>U0545-rts1-vrs-cmrx-3</t>
  </si>
  <si>
    <t>U0545-rts1-vrs-rtcm23-1</t>
  </si>
  <si>
    <t>U0545-rts1-vrs-rtcm23-2</t>
  </si>
  <si>
    <t>U0545-rts1-vrs-rtcm23-3</t>
  </si>
  <si>
    <t>U0545-rts1-rtk-rtcm32-1</t>
  </si>
  <si>
    <t>U0545-rts1-rtk-rtcm32-2</t>
  </si>
  <si>
    <t>U0545-rts1-rtk-rtcm32-3</t>
  </si>
  <si>
    <t>U0545-rts1-vrs-rtcm34-1</t>
  </si>
  <si>
    <t>U0545-rts1-vrs-rtcm34-2</t>
  </si>
  <si>
    <t>U0545-rts1-vrs-rtcm34-3</t>
  </si>
  <si>
    <t>U0545-rts2-vrs-rtcm31-1</t>
  </si>
  <si>
    <t>U0545-rts2-vrs-rtcm31-2</t>
  </si>
  <si>
    <t>U0545-rts2-vrs-rtcm31-3</t>
  </si>
  <si>
    <t>U0545-rts2-vrs-rtcm32-1</t>
  </si>
  <si>
    <t>U0545-rts2-vrs-rtcm32-2</t>
  </si>
  <si>
    <t>U0545-rts2-vrs-rtcm32-3</t>
  </si>
  <si>
    <t>U0545-rts3-gvrs-1</t>
  </si>
  <si>
    <t>U0545-rts3-gvrs-2</t>
  </si>
  <si>
    <t>U0545-rts3-gvrs-3</t>
  </si>
  <si>
    <t>U0545-rts2-fkp-rtcm31-1</t>
  </si>
  <si>
    <t>U0545-rts2-fkp-rtcm31-2</t>
  </si>
  <si>
    <t>U0545-rts2-fkp-rtcm31-3</t>
  </si>
  <si>
    <t>Ucy05-rts1-vrs-rtcm31-1</t>
  </si>
  <si>
    <t>Ucy05-rts1-vrs-rtcm31-2</t>
  </si>
  <si>
    <t>Ucy05-rts1-vrs-rtcm31-3</t>
  </si>
  <si>
    <t>Ucy05-rts1-vrs-cmrx-1</t>
  </si>
  <si>
    <t>Ucy05-rts1-vrs-cmrx-2</t>
  </si>
  <si>
    <t>Ucy05-rts1-vrs-cmrx-3</t>
  </si>
  <si>
    <t>Ucy05-rts1-vrs-rtcm23-1</t>
  </si>
  <si>
    <t>Ucy05-rts1-vrs-rtcm23-2</t>
  </si>
  <si>
    <t>Ucy05-rts1-vrs-rtcm23-3</t>
  </si>
  <si>
    <t>Ucy05-rts1-rtk-rtcm32-1</t>
  </si>
  <si>
    <t>Ucy05-rts1-rtk-rtcm32-2</t>
  </si>
  <si>
    <t>Ucy05-rts1-rtk-rtcm32-3</t>
  </si>
  <si>
    <t>Ucy05-rts1-vrs-rtcm34-1</t>
  </si>
  <si>
    <t>Ucy05-rts1-vrs-rtcm34-2</t>
  </si>
  <si>
    <t>Ucy05-rts1-vrs-rtcm34-3</t>
  </si>
  <si>
    <t>Ucy05-rts2-fkp-rtcm31-1</t>
  </si>
  <si>
    <t>Ucy05-rts2-fkp-rtcm31-2</t>
  </si>
  <si>
    <t>Ucy05-rts2-fkp-rtcm31-3</t>
  </si>
  <si>
    <t>Ucy05-rts2-vrs-rtcm31-1</t>
  </si>
  <si>
    <t>Ucy05-rts2-vrs-rtcm31-2</t>
  </si>
  <si>
    <t>Ucy05-rts2-vrs-rtcm31-3</t>
  </si>
  <si>
    <t>Ucy05-rts2-vrs-rtcm32-1</t>
  </si>
  <si>
    <t>Ucy05-rts2-vrs-rtcm32-2</t>
  </si>
  <si>
    <t>Ucy05-rts2-vrs-rtcm32-3</t>
  </si>
  <si>
    <t>Ucy05-rts3-gvrs-1</t>
  </si>
  <si>
    <t>Ucy05-rts3-gvrs-2</t>
  </si>
  <si>
    <t>Ucy05-rts3-gvrs-3</t>
  </si>
  <si>
    <t>Uje28-rts1-vrs-rtcm34-1</t>
  </si>
  <si>
    <t>Uys32-rts1-vrs-rtcm31-1</t>
  </si>
  <si>
    <t>Uys32-rts1-vrs-rtcm31-2</t>
  </si>
  <si>
    <t>Uys32-rts1-vrs-rtcm31-3</t>
  </si>
  <si>
    <t>Uys32-rts1-vrs-cmrx-1</t>
  </si>
  <si>
    <t>Uys32-rts1-vrs-cmrx-2</t>
  </si>
  <si>
    <t>Uys32-rts1-vrs-cmrx-3</t>
  </si>
  <si>
    <t>Uys32-rts1-rtk-rtcm32-1</t>
  </si>
  <si>
    <t>Uys32-rts1-rtk-rtcm32-2</t>
  </si>
  <si>
    <t>Uys32-rts1-rtk-rtcm32-3</t>
  </si>
  <si>
    <t>Uys32-rts1-vrs-rtcm34-1</t>
  </si>
  <si>
    <t>Uys32-rts1-vrs-rtcm34-2</t>
  </si>
  <si>
    <t>Uys32-rts1-vrs-rtcm34-3</t>
  </si>
  <si>
    <t>Uys32-rts2-vrs-rtcm31-1</t>
  </si>
  <si>
    <t>Uys32-rts2-vrs-rtcm31-2</t>
  </si>
  <si>
    <t>Uys32-rts2-vrs-rtcm31-3</t>
  </si>
  <si>
    <t>Uys32-rts2-vrs-rtcm32-1</t>
  </si>
  <si>
    <t>Uys32-rts2-vrs-rtcm32-2</t>
  </si>
  <si>
    <t>Uys32-rts2-vrs-rtcm32-3</t>
  </si>
  <si>
    <t>Ucy32-rts1-vrs-rtcm31-1</t>
  </si>
  <si>
    <t>Ucy32-rts1-vrs-rtcm31-2</t>
  </si>
  <si>
    <t>Ucy32-rts1-vrs-rtcm31-3</t>
  </si>
  <si>
    <t>Ucy32-rts1-vrs-cmrx-1</t>
  </si>
  <si>
    <t>Ucy32-rts1-vrs-cmrx-2</t>
  </si>
  <si>
    <t>Ucy32-rts1-vrs-cmrx-3</t>
  </si>
  <si>
    <t>Ucy32-rts1-vrs-rtcm23-1</t>
  </si>
  <si>
    <t>Ucy32-rts1-vrs-rtcm23-2</t>
  </si>
  <si>
    <t>Ucy32-rts1-vrs-rtcm23-3</t>
  </si>
  <si>
    <t>Ucy32-rts1-rtk-rtcm32-1</t>
  </si>
  <si>
    <t>Ucy32-rts1-rtk-rtcm32-2</t>
  </si>
  <si>
    <t>Ucy32-rts1-rtk-rtcm32-3</t>
  </si>
  <si>
    <t>Ucy32-rts1-vrs-rtcm34-1</t>
  </si>
  <si>
    <t>Ucy32-rts1-vrs-rtcm34-2</t>
  </si>
  <si>
    <t>Ucy32-rts1-vrs-rtcm34-3</t>
  </si>
  <si>
    <t>Ucy32-rts2-fkp-rtcm31-1</t>
  </si>
  <si>
    <t>Ucy32-rts2-fkp-rtcm31-2</t>
  </si>
  <si>
    <t>Ucy32-rts2-fkp-rtcm31-3</t>
  </si>
  <si>
    <t>Ucy32-rts2-vrs-rtcm31-1</t>
  </si>
  <si>
    <t>Ucy32-rts2-vrs-rtcm31-2</t>
  </si>
  <si>
    <t>Ucy32-rts2-vrs-rtcm31-3</t>
  </si>
  <si>
    <t>Ucy32-rts2-vrs-rtcm32-1</t>
  </si>
  <si>
    <t>Ucy32-rts2-vrs-rtcm32-2</t>
  </si>
  <si>
    <t>Ucy32-rts2-vrs-rtcm32-3</t>
  </si>
  <si>
    <t>Ucy32-rts3-gvrs-1</t>
  </si>
  <si>
    <t>Ucy32-rts3-gvrs-2</t>
  </si>
  <si>
    <t>Ucy32-rts3-gvrs-3</t>
  </si>
  <si>
    <t>U0457-rts1-vrs-rtcm31-1</t>
  </si>
  <si>
    <t>U0457-rts1-vrs-rtcm31-2</t>
  </si>
  <si>
    <t>U0457-rts1-vrs-rtcm31-3</t>
  </si>
  <si>
    <t>U0457-rts1-vrs-cmrx-1</t>
  </si>
  <si>
    <t>U0457-rts1-vrs-cmrx-2</t>
  </si>
  <si>
    <t>U0457-rts1-vrs-cmrx-3</t>
  </si>
  <si>
    <t>U0457-rts1-rtk-rtcm32-1</t>
  </si>
  <si>
    <t>U0457-rts1-rtk-rtcm32-2</t>
  </si>
  <si>
    <t>U0457-rts1-rtk-rtcm32-3</t>
  </si>
  <si>
    <t>U0457-rts1-vrs-rtcm34-1</t>
  </si>
  <si>
    <t>U0457-rts1-vrs-rtcm34-2</t>
  </si>
  <si>
    <t>U0457-rts1-vrs-rtcm34-3</t>
  </si>
  <si>
    <t>U0457-rts2-fkp-rtcm31-1</t>
  </si>
  <si>
    <t>U0457-rts2-fkp-rtcm31-2</t>
  </si>
  <si>
    <t>U0457-rts2-fkp-rtcm31-3</t>
  </si>
  <si>
    <t>U0457-rts2-vrs-rtcm31-1</t>
  </si>
  <si>
    <t>U0457-rts2-vrs-rtcm31-2</t>
  </si>
  <si>
    <t>U0457-rts2-vrs-rtcm31-3</t>
  </si>
  <si>
    <t>U0457-rts2-vrs-rtcm32-1</t>
  </si>
  <si>
    <t>U0457-rts2-vrs-rtcm32-2</t>
  </si>
  <si>
    <t>U0457-rts2-vrs-rtcm32-3</t>
  </si>
  <si>
    <t>U0457-rts3-gvrs-1</t>
  </si>
  <si>
    <t>U0457-rts1-vrs-rtcm23-1</t>
  </si>
  <si>
    <t>U0457-rts1-vrs-rtcm23-2</t>
  </si>
  <si>
    <t>U0457-rts1-vrs-rtcm23-3</t>
  </si>
  <si>
    <t>Uhs20-rts1-vrs-rtcm31-1</t>
  </si>
  <si>
    <t>Uhs20-rts1-vrs-rtcm31-2</t>
  </si>
  <si>
    <t>Uhs20-rts1-vrs-rtcm31-3</t>
  </si>
  <si>
    <t>Uhs20-rts1-vrs-cmrx-1</t>
  </si>
  <si>
    <t>Uhs20-rts1-vrs-cmrx-2</t>
  </si>
  <si>
    <t>Uhs20-rts1-vrs-cmrx-3</t>
  </si>
  <si>
    <t>Uhs20-rts1-vrs-rtcm23-1</t>
  </si>
  <si>
    <t>Uhs20-rts1-vrs-rtcm23-2</t>
  </si>
  <si>
    <t>Uhs20-rts1-vrs-rtcm23-3</t>
  </si>
  <si>
    <t>Uhs20-rts1-rtk-rtcm32-1</t>
  </si>
  <si>
    <t>Uhs20-rts1-rtk-rtcm32-2</t>
  </si>
  <si>
    <t>Uhs20-rts1-rtk-rtcm32-3</t>
  </si>
  <si>
    <t>Uhs20-rts1-vrs-rtcm34-1</t>
  </si>
  <si>
    <t>Uhs20-rts1-vrs-rtcm34-2</t>
  </si>
  <si>
    <t>Uhs20-rts1-vrs-rtcm34-3</t>
  </si>
  <si>
    <t>Uhs20-rts2-vrs-rtcm32-1</t>
  </si>
  <si>
    <t>Uhs20-rts2-vrs-rtcm32-2</t>
  </si>
  <si>
    <t>Uhs20-rts2-vrs-rtcm32-3</t>
  </si>
  <si>
    <t>Uhs20-rts3-gvrs-1</t>
  </si>
  <si>
    <t>Uhs20-rts3-gvrs-2</t>
  </si>
  <si>
    <t>Uhs20-rts3-gvrs-3</t>
  </si>
  <si>
    <t>U0443-rts1-vrs-rtcm31-1</t>
  </si>
  <si>
    <t>U0443-rts1-vrs-rtcm31-2</t>
  </si>
  <si>
    <t>U0443-rts1-vrs-rtcm31-3</t>
  </si>
  <si>
    <t>U0443-rts1-vrs-cmrx-1</t>
  </si>
  <si>
    <t>U0443-rts1-vrs-cmrx-2</t>
  </si>
  <si>
    <t>U0443-rts1-vrs-cmrx-3</t>
  </si>
  <si>
    <t>U0443-rts1-vrs-rtcm23-1</t>
  </si>
  <si>
    <t>U0443-rts1-vrs-rtcm23-2</t>
  </si>
  <si>
    <t>U0443-rts1-vrs-rtcm23-3</t>
  </si>
  <si>
    <t>U0443-rts1-rtk-rtcm32-1</t>
  </si>
  <si>
    <t>U0443-rts1-rtk-rtcm32-2</t>
  </si>
  <si>
    <t>U0443-rts1-rtk-rtcm32-3</t>
  </si>
  <si>
    <t>U0443-rts1-vrs-rtcm34-1</t>
  </si>
  <si>
    <t>U0443-rts1-vrs-rtcm34-2</t>
  </si>
  <si>
    <t>U0443-rts1-vrs-rtcm34-3</t>
  </si>
  <si>
    <t>U0443-rts2-fkp-rtcm31-1</t>
  </si>
  <si>
    <t>U0443-rts2-fkp-rtcm31-2</t>
  </si>
  <si>
    <t>U0443-rts2-fkp-rtcm31-3</t>
  </si>
  <si>
    <t>U0443-rts2-vrs-rtcm31-1</t>
  </si>
  <si>
    <t>U0443-rts2-vrs-rtcm31-2</t>
  </si>
  <si>
    <t>U0443-rts2-vrs-rtcm31-3</t>
  </si>
  <si>
    <t>U0443-rts2-vrs-rtcm32-1</t>
  </si>
  <si>
    <t>U0443-rts2-vrs-rtcm32-2</t>
  </si>
  <si>
    <t>U0443-rts2-vrs-rtcm32-3</t>
  </si>
  <si>
    <t>U0443-rts3-gvrs-1</t>
  </si>
  <si>
    <t>U0443-rts3-gvrs-2</t>
  </si>
  <si>
    <t>U0443-rts3-gvrs-3</t>
  </si>
  <si>
    <t>U안계16-rts1-rtcm31-1</t>
  </si>
  <si>
    <t>U안계16-rts1-rtcm31-2</t>
  </si>
  <si>
    <t>U안계16-rts1-rtcm31-3</t>
  </si>
  <si>
    <t>U안계16-rts1-cmrx-1</t>
  </si>
  <si>
    <t>U안계16-rts1-cmrx-2</t>
  </si>
  <si>
    <t>U안계16-rts1-cmrx-3</t>
  </si>
  <si>
    <t>U안계16-rts1-rtcm23-1</t>
  </si>
  <si>
    <t>U안계16-rts1-rtcm23-2</t>
  </si>
  <si>
    <t>U안계16-rts1-rtcm23-3</t>
  </si>
  <si>
    <t>U안계16-rts1-rtcm32-1</t>
  </si>
  <si>
    <t>U안계16-rts1-rtcm32-2</t>
  </si>
  <si>
    <t>U안계16-rts1-rtcm32-3</t>
  </si>
  <si>
    <t>U안계16-rts1-rtcm34-1</t>
  </si>
  <si>
    <t>U안계16-rts1-rtcm34-2</t>
  </si>
  <si>
    <t>U안계16-rts1-rtcm34-3</t>
  </si>
  <si>
    <t>U안계16-rts2-fkp-rtcm31-1</t>
  </si>
  <si>
    <t>U안계16-rts2-fkp-rtcm31-2</t>
  </si>
  <si>
    <t>U안계16-rts2-fkp-rtcm31-3</t>
  </si>
  <si>
    <t>U안계16-rts2-vrs-rtcm31-1</t>
  </si>
  <si>
    <t>U안계16-rts2-vrs-rtcm31-2</t>
  </si>
  <si>
    <t>U안계16-rts2-vrs-rtcm31-3</t>
  </si>
  <si>
    <t>U안계16-rts2-vrs-rtcm32-1</t>
  </si>
  <si>
    <t>U안계16-rts2-vrs-rtcm32-2</t>
  </si>
  <si>
    <t>U안계16-rts2-vrs-rtcm32-3</t>
  </si>
  <si>
    <t>U안계16-rts3-gvrs-1</t>
  </si>
  <si>
    <t>U안계16-rts3-gvrs-2</t>
  </si>
  <si>
    <t>U안계16-rts3-gvrs-3</t>
  </si>
  <si>
    <t>U안계16-rts3-1</t>
  </si>
  <si>
    <t>U안계16-rts3-2</t>
  </si>
  <si>
    <t>U안계16-rts3-3</t>
  </si>
  <si>
    <t>U의성11-rts1-vrs-rtcm31-1</t>
  </si>
  <si>
    <t>U의성11-rts1-vrs-rtcm31-2</t>
  </si>
  <si>
    <t>U의성11-rts1-vrs-rtcm31-3</t>
  </si>
  <si>
    <t>U의성11-rts1-vrs-cmrx-1</t>
  </si>
  <si>
    <t>U의성11-rts1-vrs-cmrx-2</t>
  </si>
  <si>
    <t>U의성11-rts1-vrs-cmrx-3</t>
  </si>
  <si>
    <t>U의성11-rts1-vrs-rtcm23-1</t>
  </si>
  <si>
    <t>U의성11-rts1-vrs-rtcm23-2</t>
  </si>
  <si>
    <t>U의성11-rts1-vrs-rtcm23-3</t>
  </si>
  <si>
    <t>U의성11-rts1-rtk-rtcm32-1</t>
  </si>
  <si>
    <t>U의성11-rts1-rtk-rtcm32-2</t>
  </si>
  <si>
    <t>U의성11-rts1-rtk-rtcm32-3</t>
  </si>
  <si>
    <t>U의성11-rts1-vrs-rtcm34-1</t>
  </si>
  <si>
    <t>U의성11-rts1-vrs-rtcm34-2</t>
  </si>
  <si>
    <t>U의성11-rts1-vrs-rtcm34-3</t>
  </si>
  <si>
    <t>U의성11-rts2-fkp-rtcm31-1</t>
  </si>
  <si>
    <t>U의성11-rts2-fkp-rtcm31-2</t>
  </si>
  <si>
    <t>U의성11-rts2-fkp-rtcm31-3</t>
  </si>
  <si>
    <t>U의성11-rts2-vrs-rtcm31-1</t>
  </si>
  <si>
    <t>U의성11-rts2-vrs-rtcm31-2</t>
  </si>
  <si>
    <t>U의성11-rts2-vrs-rtcm31-3</t>
  </si>
  <si>
    <t>U의성11-rts2-vrs-rtcm32-1</t>
  </si>
  <si>
    <t>U의성11-rts2-vrs-rtcm32-2</t>
  </si>
  <si>
    <t>U의성11-rts2-vrs-rtcm32-3</t>
  </si>
  <si>
    <t>U의성11-rts3-gvrs-1</t>
  </si>
  <si>
    <t>U의성11-rts3-gvrs-2</t>
  </si>
  <si>
    <t>U의성11-rts3-gvrs-3</t>
  </si>
  <si>
    <t>U의성11-rts3-1</t>
  </si>
  <si>
    <t>U의성11-rts3-2</t>
  </si>
  <si>
    <t>U의성11-rts3-3</t>
  </si>
  <si>
    <t>U0513-rts1-vrs-rtcm31-1</t>
  </si>
  <si>
    <t>U0513-rts1-vrs-rtcm31-2</t>
  </si>
  <si>
    <t>U0513-rts1-vrs-rtcm31-3</t>
  </si>
  <si>
    <t>U0513-rts1-vrs-cmrx-1</t>
  </si>
  <si>
    <t>U0513-rts1-vrs-cmrx-2</t>
  </si>
  <si>
    <t>U0513-rts1-vrs-cmrx-3</t>
  </si>
  <si>
    <t>U0513-rts1-rtk-rtcm32-1</t>
  </si>
  <si>
    <t>U0513-rts1-rtk-rtcm32-2</t>
  </si>
  <si>
    <t>U0513-rts1-rtk-rtcm32-3</t>
  </si>
  <si>
    <t>U0513-rts1-vrs-rtcm34-1</t>
  </si>
  <si>
    <t>U0513-rts1-vrs-rtcm34-2</t>
  </si>
  <si>
    <t>U0513-rts1-vrs-rtcm34-3</t>
  </si>
  <si>
    <t>U0513-rts1-vrs-rtcm23-1</t>
  </si>
  <si>
    <t>U0513-rts1-vrs-rtcm23-2</t>
  </si>
  <si>
    <t>U0513-rts1-vrs-rtcm23-3</t>
  </si>
  <si>
    <t>U0513-rts2-fkp-rtcm31-1</t>
  </si>
  <si>
    <t>U0513-rts2-fkp-rtcm31-2</t>
  </si>
  <si>
    <t>U0513-rts2-fkp-rtcm31-3</t>
  </si>
  <si>
    <t>U0513-rts2-vrs-rtcm31-1</t>
  </si>
  <si>
    <t>U0513-rts2-vrs-rtcm31-2</t>
  </si>
  <si>
    <t>U0513-rts2-vrs-rtcm31-3</t>
  </si>
  <si>
    <t>U0513-rts2-vrs-rtcm32-1</t>
  </si>
  <si>
    <t>U0513-rts2-vrs-rtcm32-2</t>
  </si>
  <si>
    <t>U0513-rts2-vrs-rtcm32-3</t>
  </si>
  <si>
    <t>U0513-rts3-gvrs-1</t>
  </si>
  <si>
    <t>U0513-rts3-gvrs-2</t>
  </si>
  <si>
    <t>U0513-rts3-gvrs-3</t>
  </si>
  <si>
    <t>U0513-rts3-1</t>
  </si>
  <si>
    <t>U0513-rts3-2</t>
  </si>
  <si>
    <t>U0513-rts3-3</t>
  </si>
  <si>
    <t>U영양87-rts1-vrs-rtcm31-1</t>
  </si>
  <si>
    <t>U영양87-rts1-vrs-rtcm31-2</t>
  </si>
  <si>
    <t>U영양87-rts1-vrs-rtcm31-3</t>
  </si>
  <si>
    <t>U영양87-rts1-vrs-cmrx-1</t>
  </si>
  <si>
    <t>U영양87-rts1-vrs-cmrx-2</t>
  </si>
  <si>
    <t>U영양87-rts1-vrs-cmrx-3</t>
  </si>
  <si>
    <t>U영양87-rts1-vrs-rtcm23-1</t>
  </si>
  <si>
    <t>U영양87-rts1-vrs-rtcm23-2</t>
  </si>
  <si>
    <t>U영양87-rts1-vrs-rtcm23-3</t>
  </si>
  <si>
    <t>U영양87-rts1-rtk-rtcm32-1</t>
  </si>
  <si>
    <t>U영양87-rts1-rtk-rtcm32-2</t>
  </si>
  <si>
    <t>U영양87-rts1-rtk-rtcm32-3</t>
  </si>
  <si>
    <t>U영양87-rts1-vrs-rtcm34-1</t>
  </si>
  <si>
    <t>U영양87-rts1-vrs-rtcm34-2</t>
  </si>
  <si>
    <t>U영양87-rts1-vrs-rtcm34-3</t>
  </si>
  <si>
    <t>U영양87-rts1-fkp-rtcm31-1</t>
  </si>
  <si>
    <t>U영양87-rts1-fkp-rtcm31-2</t>
  </si>
  <si>
    <t>U영양87-rts1-fkp-rtcm31-3</t>
  </si>
  <si>
    <t>U영양87-rts2-vrs-rtcm31-1</t>
  </si>
  <si>
    <t>U영양87-rts2-vrs-rtcm31-2</t>
  </si>
  <si>
    <t>U영양87-rts2-vrs-rtcm31-3</t>
  </si>
  <si>
    <t>U영양87-rts2-fkp-rtcm31-1</t>
  </si>
  <si>
    <t>U영양87-rts2-fkp-rtcm31-2</t>
  </si>
  <si>
    <t>U영양87-rts2-fkp-rtcm31-3</t>
  </si>
  <si>
    <t>U영양87-rts2-vrs-rtcm32-1</t>
  </si>
  <si>
    <t>U영양87-rts2-vrs-rtcm32-2</t>
  </si>
  <si>
    <t>U영양87-rts2-vrs-rtcm32-3</t>
  </si>
  <si>
    <t>U영양87-rts3-gvrs-1</t>
  </si>
  <si>
    <t>U영양87-rts3-gvrs-2</t>
  </si>
  <si>
    <t>U영양87-rts3-gvrs-3</t>
  </si>
  <si>
    <t>U영양87-rts3-1</t>
  </si>
  <si>
    <t>U영양87-rts3-2</t>
  </si>
  <si>
    <t>U영양87-rts3-3</t>
  </si>
  <si>
    <t>U청송07-rts1-vrs-rtcm31-1</t>
  </si>
  <si>
    <t>U청송07-rts1-vrs-rtcm31-2</t>
  </si>
  <si>
    <t>U청송07-rts1-vrs-rtcm31-3</t>
  </si>
  <si>
    <t>U청송07-rts1-vrs-rtcm31-4</t>
  </si>
  <si>
    <t>U청송07-rts1-vrs-cmrx-1</t>
  </si>
  <si>
    <t>U청송07-rts1-vrs-cmrx-2</t>
  </si>
  <si>
    <t>U청송07-rts1-vrs-cmrx-3</t>
  </si>
  <si>
    <t>U청송07-rts1-vrs-rtcm23-1</t>
  </si>
  <si>
    <t>U청송07-rts1-vrs-rtcm23-2</t>
  </si>
  <si>
    <t>U청송07-rts1-vrs-rtcm23-3</t>
  </si>
  <si>
    <t>U청송07-rts1-rtk-rtcm32-1</t>
  </si>
  <si>
    <t>U청송07-rts1-rtk-rtcm32-2</t>
  </si>
  <si>
    <t>U청송07-rts1-rtk-rtcm32-3</t>
  </si>
  <si>
    <t>U청송07-rts1-rtk-rtcm32-4</t>
  </si>
  <si>
    <t>U청송07-rts1-vrs-rtcm34-1</t>
  </si>
  <si>
    <t>U청송07-rts1-vrs-rtcm34-2</t>
  </si>
  <si>
    <t>U청송07-rts1-vrs-rtcm34-3</t>
  </si>
  <si>
    <t>U청송07-rts2-fkp-rtcm31-1</t>
  </si>
  <si>
    <t>U청송07-rts2-fkp-rtcm31-2</t>
  </si>
  <si>
    <t>U청송07-rts2-fkp-rtcm31-3</t>
  </si>
  <si>
    <t>U청송07-rts2-vrs-rtcm31-1</t>
  </si>
  <si>
    <t>U청송07-rts2-vrs-rtcm31-2</t>
  </si>
  <si>
    <t>U청송07-rts2-vrs-rtcm31-3</t>
  </si>
  <si>
    <t>U청송07-rts2-vrs-rtcm32-1</t>
  </si>
  <si>
    <t>U청송07-rts2-vrs-rtcm32-2</t>
  </si>
  <si>
    <t>U청송07-rts2-vrs-rtcm32-3</t>
  </si>
  <si>
    <t>U청송07-rts3-gvrs</t>
  </si>
  <si>
    <t>U청송07-rts3-gvrt</t>
  </si>
  <si>
    <t>U청송07-rts3-gvru</t>
  </si>
  <si>
    <t>U청송07-rts3-gvrs-1</t>
  </si>
  <si>
    <t>U청송07-rts3-gvrs-2</t>
  </si>
  <si>
    <t>U청송07-rts3-gvrs-3</t>
  </si>
  <si>
    <t>U청송07-rts3-1</t>
  </si>
  <si>
    <t>U청송07-rts3-2</t>
  </si>
  <si>
    <t>U청송07-rts3-3</t>
  </si>
  <si>
    <t>U청송73-rts1-vrs-rtcm31-1</t>
  </si>
  <si>
    <t>U청송73-rts1-vrs-rtcm31-2</t>
  </si>
  <si>
    <t>U청송73-rts1-vrs-rtcm31-3</t>
  </si>
  <si>
    <t>U청송73-rts1-vrs-cmrx-1</t>
  </si>
  <si>
    <t>U청송73-rts1-vrs-cmrx-2</t>
  </si>
  <si>
    <t>U청송73-rts1-vrs-cmrx-3</t>
  </si>
  <si>
    <t>U청송73-rts1-vrs-rtcm23-2</t>
  </si>
  <si>
    <t>U청송73-rts1-vrs-rtcm23-3</t>
  </si>
  <si>
    <t>U청송73-rts1-rtk-rtcm32-1</t>
  </si>
  <si>
    <t>U청송73-rts1-rtk-rtcm32-2</t>
  </si>
  <si>
    <t>U청송73-rts1-rtk-rtcm32-3</t>
  </si>
  <si>
    <t>U청송73-rts1-vrs-rtcm34-1</t>
  </si>
  <si>
    <t>U청송73-rts1-vrs-rtcm34-2</t>
  </si>
  <si>
    <t>U청송73-rts1-vrs-rtcm34-3</t>
  </si>
  <si>
    <t>U청송73-rts2-fkp-rtcm31-1</t>
  </si>
  <si>
    <t>U청송73-rts2-fkp-rtcm31-2</t>
  </si>
  <si>
    <t>U청송73-rts2-fkp-rtcm31-3</t>
  </si>
  <si>
    <t>U청송73-rts2-vrs-rtcm31-1</t>
  </si>
  <si>
    <t>U청송73-rts2-vrs-rtcm31-2</t>
  </si>
  <si>
    <t>U청송73-rts2-vrs-rtcm31-3</t>
  </si>
  <si>
    <t>U청송73-rts2-vrs-rtcm32-1</t>
  </si>
  <si>
    <t>U청송73-rts2-vrs-rtcm32-2</t>
  </si>
  <si>
    <t>U청송73-rts2-vrs-rtcm32-3</t>
  </si>
  <si>
    <t>U청송73-rts3-gvrs-1</t>
  </si>
  <si>
    <t>U청송73-rts3-gvrs-2</t>
  </si>
  <si>
    <t>U청송73-rts3-gvrs-3</t>
  </si>
  <si>
    <t>U청송73-rts3-1</t>
  </si>
  <si>
    <t>U청송73-rts3-2</t>
  </si>
  <si>
    <t>U청송73-rts3-3</t>
  </si>
  <si>
    <t>U기계54-rts1-vrs-rtcm31-1</t>
  </si>
  <si>
    <t>U기계54-rts1-vrs-rtcm31-2</t>
  </si>
  <si>
    <t>U기계54-rts1-vrs-rtcm31-3</t>
  </si>
  <si>
    <t>U기계54-rts1-vrs-cmrx-1</t>
  </si>
  <si>
    <t>U기계54-rts1-vrs-cmrx-2</t>
  </si>
  <si>
    <t>U기계54-rts1-vrs-cmrx-3</t>
  </si>
  <si>
    <t>U기계54-rts1-vrs-rtcm23-1</t>
  </si>
  <si>
    <t>U기계54-rts1-vrs-rtcm23-2</t>
  </si>
  <si>
    <t>U기계54-rts1-vrs-rtcm23-3</t>
  </si>
  <si>
    <t>U기계54-rts1-rtk-rtcm32-1</t>
  </si>
  <si>
    <t>U기계54-rts1-rtk-rtcm32-2</t>
  </si>
  <si>
    <t>U기계54-rts1-rtk-rtcm32-3</t>
  </si>
  <si>
    <t>U기계54-rts1-rtk-rtcm34-1</t>
  </si>
  <si>
    <t>U기계54-rts1-rtk-rtcm34-2</t>
  </si>
  <si>
    <t>U기계54-rts1-rtk-rtcm34-3</t>
  </si>
  <si>
    <t>U기계54-rts2-fkp-rtcm31-1</t>
  </si>
  <si>
    <t>U기계54-rts2-fkp-rtcm31-2</t>
  </si>
  <si>
    <t>U기계54-rts2-fkp-rtcm31-3</t>
  </si>
  <si>
    <t>U기계54-rts2-vrs-rtcm31-1</t>
  </si>
  <si>
    <t>U기계54-rts2-vrs-rtcm31-2</t>
  </si>
  <si>
    <t>U기계54-rts2-vrs-rtcm31-3</t>
  </si>
  <si>
    <t>U기계54-rts2-vrs-rtcm32-1</t>
  </si>
  <si>
    <t>U기계54-rts2-vrs-rtcm32-2</t>
  </si>
  <si>
    <t>U기계54-rts2-vrs-rtcm32-3</t>
  </si>
  <si>
    <t>U기계54-rts3-gvrs-1</t>
  </si>
  <si>
    <t>U기계54-rts3-gvrs-2</t>
  </si>
  <si>
    <t>U기계54-rts3-gvrs-3</t>
  </si>
  <si>
    <t>U기계54-rts3-1</t>
  </si>
  <si>
    <t>U기계54-rts3-2</t>
  </si>
  <si>
    <t>U기계54-rts3-3</t>
  </si>
  <si>
    <t>U0662-rts1-vrs-rtcm31-1</t>
  </si>
  <si>
    <t>U0662-rts1-vrs-rtcm31-2</t>
  </si>
  <si>
    <t>U0662-rts1-vrs-rtcm31-3</t>
  </si>
  <si>
    <t>U0662-rts1-vrs-rtcm23-1</t>
  </si>
  <si>
    <t>U0662-rts1-vrs-rtcm23-2</t>
  </si>
  <si>
    <t>U0662-rts1-vrs-rtcm23-3</t>
  </si>
  <si>
    <t>U0662-rts1-rtk-rtcm32-1</t>
  </si>
  <si>
    <t>U0662-rts1-rtk-rtcm32-2</t>
  </si>
  <si>
    <t>U0662-rts1-rtk-rtcm32-3</t>
  </si>
  <si>
    <t>U0662-rts1-vrs-cmrx-1</t>
  </si>
  <si>
    <t>U0662-rts1-vrs-cmrx-2</t>
  </si>
  <si>
    <t>U0662-rts1-vrs-cmrx-3</t>
  </si>
  <si>
    <t>U0662-rts1-vrs-rtcm34-1</t>
  </si>
  <si>
    <t>U0662-rts1-vrs-rtcm34-2</t>
  </si>
  <si>
    <t>U0662-rts1-vrs-rtcm34-3</t>
  </si>
  <si>
    <t>U0662-rts2-fkp-rtcm31-1</t>
  </si>
  <si>
    <t>U0662-rts2-fkp-rtcm31-2</t>
  </si>
  <si>
    <t>U0662-rts2-fkp-rtcm31-3</t>
  </si>
  <si>
    <t>U0662-rts2-vrs-rtcm31-1</t>
  </si>
  <si>
    <t>U0662-rts2-vrs-rtcm31-2</t>
  </si>
  <si>
    <t>U0662-rts2-vrs-rtcm31-3</t>
  </si>
  <si>
    <t>U0662-rts2-vrs-rtcm32-1</t>
  </si>
  <si>
    <t>U0662-rts2-vrs-rtcm32-2</t>
  </si>
  <si>
    <t>U0662-rts2-vrs-rtcm32-3</t>
  </si>
  <si>
    <t>U0662-rts3-gvrs-1</t>
  </si>
  <si>
    <t>U0662-rts3-gvrs-2</t>
  </si>
  <si>
    <t>U0662-rts3-gvrs-3</t>
  </si>
  <si>
    <t>U0662-rts3-1</t>
  </si>
  <si>
    <t>U0662-rts3-2</t>
  </si>
  <si>
    <t>U0662-rts3-3</t>
  </si>
  <si>
    <t>U0918-rts1-vrs-rtcm31-1</t>
  </si>
  <si>
    <t>U0918-rts1-vrs-rtcm31-2</t>
  </si>
  <si>
    <t>U0918-rts1-vrs-rtcm31-3</t>
  </si>
  <si>
    <t>U0918-rts1-vrs-cmrx-1</t>
  </si>
  <si>
    <t>U0918-rts1-vrs-cmrx-2</t>
  </si>
  <si>
    <t>U0918-rts1-vrs-cmrx-3</t>
  </si>
  <si>
    <t>U0918-rts1-vrs-rtcm23-1</t>
  </si>
  <si>
    <t>U0918-rts1-vrs-rtcm23-2</t>
  </si>
  <si>
    <t>U0918-rts1-vrs-rtcm23-3</t>
  </si>
  <si>
    <t>U0918-rts1-rtk-rtcm32-1</t>
  </si>
  <si>
    <t>U0918-rts1-rtk-rtcm32-2</t>
  </si>
  <si>
    <t>U0918-rts1-rtk-rtcm32-3</t>
  </si>
  <si>
    <t>U0918-rts1-vrs-rtcm34-1</t>
  </si>
  <si>
    <t>U0918-rts1-vrs-rtcm34-2</t>
  </si>
  <si>
    <t>U0918-rts1-vrs-rtcm34-3</t>
  </si>
  <si>
    <t>U0918-rts2-fkp-rtcm31-1</t>
  </si>
  <si>
    <t>U0918-rts2-fkp-rtcm31-2</t>
  </si>
  <si>
    <t>U0918-rts2-fkp-rtcm31-3</t>
  </si>
  <si>
    <t>U0918-rts2-vrs-rtcm31-1</t>
  </si>
  <si>
    <t>U0918-rts2-vrs-rtcm31-2</t>
  </si>
  <si>
    <t>U0918-rts2-vrs-rtcm31-3</t>
  </si>
  <si>
    <t>U0918-rts2-vrs-rtcm32-1</t>
  </si>
  <si>
    <t>U0918-rts2-vrs-rtcm32-2</t>
  </si>
  <si>
    <t>U0918-rts2-vrs-rtcm32-3</t>
  </si>
  <si>
    <t>U0918-rts3-gvrs1-1</t>
  </si>
  <si>
    <t>U0918-rts3-gvrs1-2</t>
  </si>
  <si>
    <t>U0918-rts3-gvrs1-3</t>
  </si>
  <si>
    <t>U0918-rts3-1</t>
  </si>
  <si>
    <t>U0918-rts3-2</t>
  </si>
  <si>
    <t>U0918-rts3-3</t>
  </si>
  <si>
    <t>U0918-rts3-gvrs-1</t>
  </si>
  <si>
    <t>U0918-rts3-gvrs-2</t>
  </si>
  <si>
    <t>U0918-rts3-gvrs-3</t>
  </si>
  <si>
    <t>U밀양13-rts1-vrs-rtcm31-1</t>
  </si>
  <si>
    <t>U밀양13-rts1-vrs-rtcm31-2</t>
  </si>
  <si>
    <t>U밀양13-rts1-vrs-rtcm31-3</t>
  </si>
  <si>
    <t>U밀양13-rts1-vrs-cmrx-1</t>
  </si>
  <si>
    <t>U밀양13-rts1-vrs-cmrx-2</t>
  </si>
  <si>
    <t>U밀양13-rts1-vrs-cmrx-3</t>
  </si>
  <si>
    <t>U밀양13-rts1-vrs-rtcm23-1</t>
  </si>
  <si>
    <t>U밀양13-rts1-vrs-rtcm23-2</t>
  </si>
  <si>
    <t>U밀양13-rts1-vrs-rtcm23-3</t>
  </si>
  <si>
    <t>U밀양13-rts1-rtk-rtcm32-1</t>
  </si>
  <si>
    <t>U밀양13-rts1-rtk-rtcm32-2</t>
  </si>
  <si>
    <t>U밀양13-rts1-rtk-rtcm32-3</t>
  </si>
  <si>
    <t>U밀양13-rts1-vrs-rtcm34-1</t>
  </si>
  <si>
    <t>U밀양13-rts1-vrs-rtcm34-2</t>
  </si>
  <si>
    <t>U밀양13-rts1-vrs-rtcm34-3</t>
  </si>
  <si>
    <t>U밀양13-rts2-fkp-rtcm31-1</t>
  </si>
  <si>
    <t>U밀양13-rts2-fkp-rtcm31-2</t>
  </si>
  <si>
    <t>U밀양13-rts2-fkp-rtcm31-3</t>
  </si>
  <si>
    <t>U밀양13-rts2-fkp-rtcm31-4</t>
  </si>
  <si>
    <t>U밀양13-rts2-vrs-rtcm31-1</t>
  </si>
  <si>
    <t>U밀양13-rts2-vrs-rtcm31-2</t>
  </si>
  <si>
    <t>U밀양13-rts2-vrs-rtcm31-3</t>
  </si>
  <si>
    <t>U밀양13-rts2-vrs-rtcm32-1</t>
  </si>
  <si>
    <t>U밀양13-rts2-vrs-rtcm32-2</t>
  </si>
  <si>
    <t>U밀양13-rts2-vrs-rtcm32-3</t>
  </si>
  <si>
    <t>U밀양13-rts3-gvrs-1</t>
  </si>
  <si>
    <t>U밀양13-rts3-gvrs-2</t>
  </si>
  <si>
    <t>U밀양13-rts3-gvrs-3</t>
  </si>
  <si>
    <t>U밀양13-rts3-1</t>
  </si>
  <si>
    <t>U밀양13-rts3-2</t>
  </si>
  <si>
    <t>U밀양13-rts3-3</t>
  </si>
  <si>
    <t>U0915-rts1-vrs-rtcm31-1</t>
  </si>
  <si>
    <t>U0915-rts1-vrs-rtcm31-2</t>
  </si>
  <si>
    <t>U0915-rts1-vrs-rtcm31-3</t>
  </si>
  <si>
    <t>U0915-rts1-vrs-cmrx-1</t>
  </si>
  <si>
    <t>U0915-rts1-vrs-cmrx-2</t>
  </si>
  <si>
    <t>U0915-rts1-vrs-cmrx-3</t>
  </si>
  <si>
    <t>U0915-rts1-vrs-rtcm23-1</t>
  </si>
  <si>
    <t>U0915-rts1-vrs-rtcm23-2</t>
  </si>
  <si>
    <t>U0915-rts1-vrs-rtcm23-3</t>
  </si>
  <si>
    <t>U0915-rts1-rtk-rtcm32-1</t>
  </si>
  <si>
    <t>U0915-rts1-rtk-rtcm32-2</t>
  </si>
  <si>
    <t>U0915-rts1-rtk-rtcm32-3</t>
  </si>
  <si>
    <t>U0915-rts1-vrs-rtcm34-1</t>
  </si>
  <si>
    <t>U0915-rts1-vrs-rtcm34-2</t>
  </si>
  <si>
    <t>U0915-rts1-vrs-rtcm34-3</t>
  </si>
  <si>
    <t>U0915-rts2-fkp-rtcm31-1</t>
  </si>
  <si>
    <t>U0915-rts2-fkp-rtcm31-2</t>
  </si>
  <si>
    <t>U0915-rts2-fkp-rtcm31-3</t>
  </si>
  <si>
    <t>U0915-rts2-vrs-rtcm31-1</t>
  </si>
  <si>
    <t>U0915-rts2-vrs-rtcm31-2</t>
  </si>
  <si>
    <t>U0915-rts2-vrs-rtcm31-3</t>
  </si>
  <si>
    <t>U0915-rts2-vrs-rtcm32-1</t>
  </si>
  <si>
    <t>U0915-rts2-vrs-rtcm32-2</t>
  </si>
  <si>
    <t>U0915-rts2-vrs-rtcm32-3</t>
  </si>
  <si>
    <t>U0915-rts3-gvrs-1</t>
  </si>
  <si>
    <t>U0915-rts3-gvrs-2</t>
  </si>
  <si>
    <t>U0915-rts3-gvrs-3</t>
  </si>
  <si>
    <t>U0915-rts3-1</t>
  </si>
  <si>
    <t>U0915-rts3-2</t>
  </si>
  <si>
    <t>U0915-rts3-3</t>
  </si>
  <si>
    <t>U청도20-rts1-vrs-rtcm31-1</t>
  </si>
  <si>
    <t>U청도20-rts1-vrs-rtcm31-2</t>
  </si>
  <si>
    <t>U청도20-rts1-vrs-rtcm31-3</t>
  </si>
  <si>
    <t>U청도20-rts1-vrs-cmrx-1</t>
  </si>
  <si>
    <t>U청도20-rts1-vrs-cmrx-2</t>
  </si>
  <si>
    <t>U청도20-rts1-vrs-cmrx-3</t>
  </si>
  <si>
    <t>U청도20-rts1-vrs-rtcm23-1</t>
  </si>
  <si>
    <t>U청도20-rts1-vrs-rtcm23-2</t>
  </si>
  <si>
    <t>U청도20-rts1-vrs-rtcm23-3</t>
  </si>
  <si>
    <t>U청도20-rts1-rtk-rtcm32-1</t>
  </si>
  <si>
    <t>U청도20-rts1-rtk-rtcm32-2</t>
  </si>
  <si>
    <t>U청도20-rts1-rtk-rtcm32-3</t>
  </si>
  <si>
    <t>U청도20-rts1-vrs-rtcm34-1</t>
  </si>
  <si>
    <t>U청도20-rts1-vrs-rtcm34-2</t>
  </si>
  <si>
    <t>U청도20-rts1-vrs-rtcm34-3</t>
  </si>
  <si>
    <t>U청도20-rts2-fkp-rtcm31-1</t>
  </si>
  <si>
    <t>U청도20-rts2-fkp-rtcm31-2</t>
  </si>
  <si>
    <t>U청도20-rts2-fkp-rtcm31-3</t>
  </si>
  <si>
    <t>U청도20-rts2-vrs-rtcm31-1</t>
  </si>
  <si>
    <t>U청도20-rts2-vrs-rtcm31-2</t>
  </si>
  <si>
    <t>U청도20-rts2-vrs-rtcm31-3</t>
  </si>
  <si>
    <t>U청도20-rts2-vrs-rtcm32-1</t>
  </si>
  <si>
    <t>U청도20-rts2-vrs-rtcm32-2</t>
  </si>
  <si>
    <t>U청도20-rts2-vrs-rtcm32-3</t>
  </si>
  <si>
    <t>U청도20-rts3-gvrs-1</t>
  </si>
  <si>
    <t>U청도20-rts3-gvrs-2</t>
  </si>
  <si>
    <t>U청도20-rts3-gvrs-3</t>
  </si>
  <si>
    <t>U청도20-rts3-1</t>
  </si>
  <si>
    <t>U청도20-rts3-2</t>
  </si>
  <si>
    <t>U청도20-rts3-3</t>
  </si>
  <si>
    <t>U청도16-rts1-vrs-rtcm31-1</t>
  </si>
  <si>
    <t>U청도16-rts1-vrs-rtcm31-2</t>
  </si>
  <si>
    <t>U청도16-rts1-vrs-rtcm31-3</t>
  </si>
  <si>
    <t>U청도16-rts1-vrs-cmrx-1</t>
  </si>
  <si>
    <t>U청도16-rts1-vrs-cmrx-2</t>
  </si>
  <si>
    <t>U청도16-rts1-vrs-cmrx-3</t>
  </si>
  <si>
    <t>U청도16-rts1-vrs-rtcm23-1</t>
  </si>
  <si>
    <t>U청도16-rts1-vrs-rtcm23-2</t>
  </si>
  <si>
    <t>U청도16-rts1-vrs-rtcm23-3</t>
  </si>
  <si>
    <t>U청도16-rts1-rtk-rtcm32-1</t>
  </si>
  <si>
    <t>U청도16-rts1-rtk-rtcm32-2</t>
  </si>
  <si>
    <t>U청도16-rts1-rtk-rtcm32-3</t>
  </si>
  <si>
    <t>U청도16-rts1-vrs-rtcm34-1</t>
  </si>
  <si>
    <t>U청도16-rts1-vrs-rtcm34-2</t>
  </si>
  <si>
    <t>U청도16-rts1-vrs-rtcm34-3</t>
  </si>
  <si>
    <t>U청도16-rts2-fkp-rtcm31-1</t>
  </si>
  <si>
    <t>U청도16-rts2-fkp-rtcm31-2</t>
  </si>
  <si>
    <t>U청도16-rts2-fkp-rtcm31-3</t>
  </si>
  <si>
    <t>U청도16-rts2-vrs-rtcm31-1</t>
  </si>
  <si>
    <t>U청도16-rts2-vrs-rtcm31-2</t>
  </si>
  <si>
    <t>U청도16-rts2-vrs-rtcm31-3</t>
  </si>
  <si>
    <t>U청도16-rts2-vrs-rtcm32-1</t>
  </si>
  <si>
    <t>U청도16-rts2-vrs-rtcm32-2</t>
  </si>
  <si>
    <t>U청도16-rts2-vrs-rtcm32-3</t>
  </si>
  <si>
    <t>U청도16-rts3-gvrs-1</t>
  </si>
  <si>
    <t>U청도16-rts3-gvrs-2</t>
  </si>
  <si>
    <t>U청도16-rts3-gvrs-3</t>
  </si>
  <si>
    <t>U청도16-rts3-1</t>
  </si>
  <si>
    <t>U청도16-rts3-2</t>
  </si>
  <si>
    <t>U청도16-rts3-3</t>
  </si>
  <si>
    <t>U창원05-rts1-vrs-rtcm31-1</t>
  </si>
  <si>
    <t>U창원05-rts1-vrs-rtcm31-2</t>
  </si>
  <si>
    <t>U창원05-rts1-vrs-rtcm31-3</t>
  </si>
  <si>
    <t>U창원05-rts1-vrs-cmrx-1</t>
  </si>
  <si>
    <t>U창원05-rts1-vrs-cmrx-2</t>
  </si>
  <si>
    <t>U창원05-rts1-vrs-cmrx-3</t>
  </si>
  <si>
    <t>U창원05-rts1-vrs-rtcm23-1</t>
  </si>
  <si>
    <t>U창원05-rts1-vrs-rtcm23-2</t>
  </si>
  <si>
    <t>U창원05-rts1-vrs-rtcm23-3</t>
  </si>
  <si>
    <t>U창원05-rts1-rtk-rtcm32-1</t>
  </si>
  <si>
    <t>U창원05-rts1-rtk-rtcm32-2</t>
  </si>
  <si>
    <t>U창원05-rts1-rtk-rtcm32-3</t>
  </si>
  <si>
    <t>U창원05-rts1-vrs-rtcm34-1</t>
  </si>
  <si>
    <t>U창원05-rts1-vrs-rtcm34-2</t>
  </si>
  <si>
    <t>U창원05-rts1-vrs-rtcm34-3</t>
  </si>
  <si>
    <t>U창원05-rts2-fkp-rtcm31-1</t>
  </si>
  <si>
    <t>U창원05-rts2-fkp-rtcm31-2</t>
  </si>
  <si>
    <t>U창원05-rts2-fkp-rtcm31-3</t>
  </si>
  <si>
    <t>U창원05-rts2-vrs-rtcm31-1</t>
  </si>
  <si>
    <t>U창원05-rts2-vrs-rtcm31-2</t>
  </si>
  <si>
    <t>U창원05-rts2-vrs-rtcm31-3</t>
  </si>
  <si>
    <t>U창원05-rts2-vrs-rtcm32-1</t>
  </si>
  <si>
    <t>U창원05-rts2-vrs-rtcm32-2</t>
  </si>
  <si>
    <t>U창원05-rts2-vrs-rtcm32-3</t>
  </si>
  <si>
    <t>U창원05-rts3-gvrs-1</t>
  </si>
  <si>
    <t>U창원05-rts3-gvrs-2</t>
  </si>
  <si>
    <t>U창원05-rts3-gvrs-3</t>
  </si>
  <si>
    <t>U창원05-rts3-1</t>
  </si>
  <si>
    <t>U창원05-rts3-2</t>
  </si>
  <si>
    <t>U창원05-rts3-3</t>
  </si>
  <si>
    <t>U김천38-rts1-vrs-rtcm31-1</t>
  </si>
  <si>
    <t>U김천38-rts1-vrs-rtcm31-2</t>
  </si>
  <si>
    <t>U김천38-rts1-vrs-rtcm31-3</t>
  </si>
  <si>
    <t>U김천38-rts1-vrs-cmrx-1</t>
  </si>
  <si>
    <t>U김천38-rts1-vrs-cmrx-2</t>
  </si>
  <si>
    <t>U김천38-rts1-vrs-cmrx-3</t>
  </si>
  <si>
    <t>U김천38-rts1-vrs-rtcm23-1</t>
  </si>
  <si>
    <t>U김천38-rts1-vrs-rtcm23-2</t>
  </si>
  <si>
    <t>U김천38-rts1-vrs-rtcm23-3</t>
  </si>
  <si>
    <t>U김천38-rts1-rtk-rtcm32-1</t>
  </si>
  <si>
    <t>U김천38-rts1-rtk-rtcm32-2</t>
  </si>
  <si>
    <t>U김천38-rts1-rtk-rtcm32-3</t>
  </si>
  <si>
    <t>U김천38-rts1-vrs-rtcm34-1</t>
  </si>
  <si>
    <t>U김천38-rts1-vrs-rtcm34-2</t>
  </si>
  <si>
    <t>U김천38-rts1-vrs-rtcm34-3</t>
  </si>
  <si>
    <t>U김천38-rts2-fkp-rtcm31-1</t>
  </si>
  <si>
    <t>U김천38-rts2-fkp-rtcm31-2</t>
  </si>
  <si>
    <t>U김천38-rts2-fkp-rtcm31-3</t>
  </si>
  <si>
    <t>U김천38-rts2-vrs-rtcm31-1</t>
  </si>
  <si>
    <t>U김천38-rts2-vrs-rtcm31-2</t>
  </si>
  <si>
    <t>U김천38-rts2-vrs-rtcm31-3</t>
  </si>
  <si>
    <t>U김천38-rts2-vrs-rtcm32-1</t>
  </si>
  <si>
    <t>U김천38-rts2-vrs-rtcm32-2</t>
  </si>
  <si>
    <t>U김천38-rts2-vrs-rtcm32-3</t>
  </si>
  <si>
    <t>U김천38-rts3-gvrs-1</t>
  </si>
  <si>
    <t>U김천38-rts3-gvrs-2</t>
  </si>
  <si>
    <t>U김천38-rts3-gvrs-3</t>
  </si>
  <si>
    <t>U김천38-rts3-1</t>
  </si>
  <si>
    <t>U김천38-rts3-2</t>
  </si>
  <si>
    <t>U김천38-rts3-3</t>
  </si>
  <si>
    <t>U0373-RTS1-VRS-RTCM34-1</t>
  </si>
  <si>
    <t>U0373-RTS1-VRS-RTCM34-2</t>
  </si>
  <si>
    <t>U0373-RTS1-VRS-RTCM34-3</t>
  </si>
  <si>
    <t>U0373-RTS1-VRS-RTCM31-1</t>
  </si>
  <si>
    <t>U0373-RTS1-VRS-RTCM31-2</t>
  </si>
  <si>
    <t>U0373-RTS1-VRS-RTCM31-3</t>
  </si>
  <si>
    <t>U0373-RTS1-VRS-RTCM32-1</t>
  </si>
  <si>
    <t>U0373-RTS1-VRS-RTCM32-2</t>
  </si>
  <si>
    <t>U0373-RTS1-VRS-RTCM32-3</t>
  </si>
  <si>
    <t>U0373-RTS1-VRS-RTCM23-1</t>
  </si>
  <si>
    <t>U0373-RTS1-VRS-RTCM23-2</t>
  </si>
  <si>
    <t>U0373-RTS1-VRS-RTCM23-3</t>
  </si>
  <si>
    <t>U0373-RTS1-VRS-CMRX-1</t>
  </si>
  <si>
    <t>U0373-RTS1-VRS-CMRX-2</t>
  </si>
  <si>
    <t>U0373-RTS1-VRS-CMRX-3</t>
  </si>
  <si>
    <t>U0373-RTS2-FKP-RTCM31-1</t>
  </si>
  <si>
    <t>U0373-RTS2-FKP-RTCM31-2</t>
  </si>
  <si>
    <t>U0373-RTS2-FKP-RTCM31-3</t>
  </si>
  <si>
    <t>U0373-RTS2-VRS-RTCM31-1</t>
  </si>
  <si>
    <t>U0373-RTS2-VRS-RTCM31-2</t>
  </si>
  <si>
    <t>U0373-RTS2-VRS-RTCM31-3</t>
  </si>
  <si>
    <t>U0373-RTS2-VRS-RTCM32-2</t>
  </si>
  <si>
    <t>U0373-RTS2-VRS-RTCM32-3</t>
  </si>
  <si>
    <t>U0373-RTS3-GVRS-RTCM31-1</t>
  </si>
  <si>
    <t>U0373-RTS3-GVRS-RTCM31-2</t>
  </si>
  <si>
    <t>U0373-RTS3-GVRS-RTCM31-3</t>
  </si>
  <si>
    <t>U0373-RTS3-AnseongGo-RTCM32-1</t>
  </si>
  <si>
    <t>U0373-RTS3-AnseongGo-RTCM32-2</t>
  </si>
  <si>
    <t>U0373-RTS3-AnseongGo-RTCM32-3</t>
  </si>
  <si>
    <t>U남양95-RTS1-VRS-RTCM31-1</t>
  </si>
  <si>
    <t>U남양95-RTS1-VRS-RTCM31-2</t>
  </si>
  <si>
    <t>U남양95-RTS1-VRS-RTCM31-3</t>
  </si>
  <si>
    <t>U남양95-RTS1-VRS-CMRX-1</t>
  </si>
  <si>
    <t>U남양95-RTS1-VRS-CMRX-2</t>
  </si>
  <si>
    <t>U남양95-RTS1-VRS-CMRX-3</t>
  </si>
  <si>
    <t>U남양95-RTS1-RTK-RTCM-1</t>
  </si>
  <si>
    <t>U남양95-RTS1-RTK-RTCM-2</t>
  </si>
  <si>
    <t>U남양95-RTS1-RTK-RTCM-3</t>
  </si>
  <si>
    <t>U남양95-RTS1-RTK-RTCM-4</t>
  </si>
  <si>
    <t>U남양95-RTS1-RTK-RTCM-5</t>
  </si>
  <si>
    <t>U남양95-RTS1-VRS-RTCM34-1</t>
  </si>
  <si>
    <t>U남양95-RTS1-VRS-RTCM34-2</t>
  </si>
  <si>
    <t>U남양95-RTS1-VRS-RTCM34-3</t>
  </si>
  <si>
    <t>U남양95-RTS1-RTK-RTCM32-1</t>
  </si>
  <si>
    <t>U남양95-RTS1-RTK-RTCM23-1</t>
  </si>
  <si>
    <t>U남양95-RTS1-RTK-RTCM23-2</t>
  </si>
  <si>
    <t>U남양95-RTS1-RTK-RTCM23-3</t>
  </si>
  <si>
    <t>U남양95-RTS1-RTK-RTCM23-4</t>
  </si>
  <si>
    <t>U남양95-RTS1-RTK-RTCM23-5</t>
  </si>
  <si>
    <t>U남양95-RTS2-FKP-RTCM31-1</t>
  </si>
  <si>
    <t>U남양95-RTS2-FKP-RTCM31-10</t>
  </si>
  <si>
    <t>U남양95-RTS2-FKP-RTCM31-11</t>
  </si>
  <si>
    <t>U남양95-RTS2-FKP-RTCM31-12</t>
  </si>
  <si>
    <t>U남양95-RTS2-FKP-RTCM31-13</t>
  </si>
  <si>
    <t>U남양95-RTS2-FKP-RTCM31-14</t>
  </si>
  <si>
    <t>U남양95-RTS2-VRS-RTCM31-1</t>
  </si>
  <si>
    <t>U남양95-RTS2-VRS-RTCM31-2</t>
  </si>
  <si>
    <t>U남양95-RTS2-VRS-RTCM31-3</t>
  </si>
  <si>
    <t>U남양95-RTS2-VRS-RTCM32-1</t>
  </si>
  <si>
    <t>U남양95-RTS2-VRS-RTCM32-2</t>
  </si>
  <si>
    <t>U남양95-RTS2-VRS-RTCM32-3</t>
  </si>
  <si>
    <t>U남양95-RTS3-GVRS-RTCM32-1</t>
  </si>
  <si>
    <t>U남양95-RTS3-GVRS-RTCM32-2</t>
  </si>
  <si>
    <t>U남양95-RTS3-GVRS-RTCM32-3</t>
  </si>
  <si>
    <t>U남양95-RTS3-평택포승-RTCM32-1</t>
  </si>
  <si>
    <t>U남양95-RTS3-평택포승-RTCM32-2</t>
  </si>
  <si>
    <t>U남양95-RTS3-평택포승-RTCM32-3</t>
  </si>
  <si>
    <t>U안성43-RTS1-VTS-RTCM31-1</t>
  </si>
  <si>
    <t>U안성43-RTS1-VTS-RTCM31-2</t>
  </si>
  <si>
    <t>U안성43-RTS1-VTS-RTCM31-3</t>
  </si>
  <si>
    <t>U안성43-RTS1-VRS-CMRx-1</t>
  </si>
  <si>
    <t>U안성43-RTS1-VRS-CMRx-2</t>
  </si>
  <si>
    <t>U안성43-RTS1-VRS-CMRx-3</t>
  </si>
  <si>
    <t>U안성43-RTS1-VRS-RTCM23-1</t>
  </si>
  <si>
    <t>U안성43-RTS1-VRS-RTCM23-2</t>
  </si>
  <si>
    <t>U안성43-RTS1-VRS-RTCM23-3</t>
  </si>
  <si>
    <t>U안성43-RTS1-VRS-RTCM32-1</t>
  </si>
  <si>
    <t>U안성43-RTS1-VRS-RTCM32-2</t>
  </si>
  <si>
    <t>U안성43-RTS1-VRS-RTCM32-3</t>
  </si>
  <si>
    <t>U안성43-RTS1-VRS-RTCM34-1</t>
  </si>
  <si>
    <t>U안성43-RTS1-VRS-RTCM34-2</t>
  </si>
  <si>
    <t>U안성43-RTS1-VRS-RTCM34-3</t>
  </si>
  <si>
    <t>U안성43-RTS2-FKP-RTCM31-1</t>
  </si>
  <si>
    <t>U안성43-RTS2-FKP-RTCM31-2</t>
  </si>
  <si>
    <t>U안성43-RTS2-FKP-RTCM31-3</t>
  </si>
  <si>
    <t>U안성43-RTS2-VRS-RTCM31-1</t>
  </si>
  <si>
    <t>U안성43-RTS2-VRS-RTCM31-2</t>
  </si>
  <si>
    <t>U안성43-RTS2-VRS-RTCM31-3</t>
  </si>
  <si>
    <t>U안성43-RTS2-VRS-RTCM32-1</t>
  </si>
  <si>
    <t>U안성43-RTS2-VRS-RTCM32-2</t>
  </si>
  <si>
    <t>U안성43-RTS2-VRS-RTCM32-3</t>
  </si>
  <si>
    <t>U안성43-RTS3-GVRS-RTCM32-1</t>
  </si>
  <si>
    <t>U안성43-RTS3-GVRS-RTCM32-2</t>
  </si>
  <si>
    <t>U안성43-RTS3-GVRS-RTCM32-3</t>
  </si>
  <si>
    <t>U안성43-RTS3-ICHEON-RTCM32-4</t>
  </si>
  <si>
    <t>U안성43-RTS3-ICHEON-RTCM32-5</t>
  </si>
  <si>
    <t>U안성43-RTS3-ICHEON-RTCM32-6</t>
  </si>
  <si>
    <t>U안성43-RTS3-YONGIN-RTCM32-1</t>
  </si>
  <si>
    <t>U안성43-RTS3-YONGIN-RTCM32-2</t>
  </si>
  <si>
    <t>U안성43-RTS3-YONGIN-RTCM32-3</t>
  </si>
  <si>
    <t>U용인29-RTS1-VRS-RTCM31-1</t>
  </si>
  <si>
    <t>U용인29-RTS1-VRS-RTCM31-2</t>
  </si>
  <si>
    <t>U용인29-RTS1-VRS-RTCM31-3</t>
  </si>
  <si>
    <t>U용인29-RTS1-VRS-RTCM31-4</t>
  </si>
  <si>
    <t>U용인29-RTS1-VRS-RTCM31-5</t>
  </si>
  <si>
    <t>U용인29-RTS1-VRS-CMRX-1</t>
  </si>
  <si>
    <t>U용인29-RTS1-VRS-CMRX-2</t>
  </si>
  <si>
    <t>U용인29-RTS1-VRS-CMRX-3</t>
  </si>
  <si>
    <t>U용인29-RTS1-VRS-CMRX-4</t>
  </si>
  <si>
    <t>U용인29-RTS1-VRS-CMRX-5</t>
  </si>
  <si>
    <t>U용인29-RTS1-VRS-RTCM32-1</t>
  </si>
  <si>
    <t>U용인29-RTS1-VRS-RTCM32-2</t>
  </si>
  <si>
    <t>U용인29-RTS1-VRS-RTCM32-3</t>
  </si>
  <si>
    <t>U용인29-RTS1-VRS-RTCM32-4</t>
  </si>
  <si>
    <t>U용인29-RTS1-VRS-RTCM32-5</t>
  </si>
  <si>
    <t>U용인29-RTS1-VRS-RTCM34-1</t>
  </si>
  <si>
    <t>U용인29-RTS1-VRS-RTCM34-2</t>
  </si>
  <si>
    <t>U용인29-RTS1-VRS-RTCM34-3</t>
  </si>
  <si>
    <t>U용인29-RTS1-VRS-RTCM34-4</t>
  </si>
  <si>
    <t>U용인29-RTS1-VRS-RTCM34-5</t>
  </si>
  <si>
    <t>U용인29-RTS1-VRS-RTCM23-1</t>
  </si>
  <si>
    <t>U용인29-RTS1-VRS-RTCM23-2</t>
  </si>
  <si>
    <t>U용인29-RTS1-VRS-RTCM23-3</t>
  </si>
  <si>
    <t>U용인29-RTS2-FKP-RTCM31-1</t>
  </si>
  <si>
    <t>U용인29-RTS2-FKP-RTCM31-2</t>
  </si>
  <si>
    <t>U용인29-RTS2-FKP-RTCM31-3</t>
  </si>
  <si>
    <t>U용인29-RTS2-FKP-RTCM31-4</t>
  </si>
  <si>
    <t>U용인29-RTS2-FKP-RTCM31-5</t>
  </si>
  <si>
    <t>U용인29-RTS2-VRS-RTCM31-1</t>
  </si>
  <si>
    <t>U용인29-RTS2-VRS-RTCM31-2</t>
  </si>
  <si>
    <t>U용인29-RTS2-VRS-RTCM31-3</t>
  </si>
  <si>
    <t>U용인29-RTS2-VRS-RTCM31-4</t>
  </si>
  <si>
    <t>U용인29-RTS2-VRS-RTCM31-5</t>
  </si>
  <si>
    <t>U용인29-RTS2-VRS-RTCM32-1</t>
  </si>
  <si>
    <t>U용인29-RTS2-VRS-RTCM32-2</t>
  </si>
  <si>
    <t>U용인29-RTS2-VRS-RTCM32-3</t>
  </si>
  <si>
    <t>U용인29-RTS2-VRS-RTCM32-4</t>
  </si>
  <si>
    <t>U용인29-RTS2-VRS-RTCM32-5</t>
  </si>
  <si>
    <t>U용인29-RTS3-AUTO-RTCM31-1</t>
  </si>
  <si>
    <t>U용인29-RTS3-AUTO-RTCM31-2</t>
  </si>
  <si>
    <t>U용인29-RTS3-AUTO-RTCM31-3</t>
  </si>
  <si>
    <t>U용인29-RTS3-AUTO-RTCM31-4</t>
  </si>
  <si>
    <t>U용인29-RTS3-AUTO-RTCM31-5</t>
  </si>
  <si>
    <t>U용인29-RTS3-yongin-RTCM32-1</t>
  </si>
  <si>
    <t>U용인29-RTS3-yongin-RTCM32-2</t>
  </si>
  <si>
    <t>U용인29-RTS3-yongin-RTCM32-3</t>
  </si>
  <si>
    <t>U용인29-RTS3-yongin-RTCM32-4</t>
  </si>
  <si>
    <t>U용인29-RTS3-yongin-RTCM32-5</t>
  </si>
  <si>
    <t>U진천37-RTS1-VRS-RTCM31-1</t>
  </si>
  <si>
    <t>U진천37-RTS1-VRS-RTCM31-2</t>
  </si>
  <si>
    <t>U진천37-RTS1-VRS-RTCM31-3</t>
  </si>
  <si>
    <t>U진천37-RTS1-VRS-CMRx-1</t>
  </si>
  <si>
    <t>U진천37-RTS1-VRS-CMRx-2</t>
  </si>
  <si>
    <t>U진천37-RTS1-VRS-CMRx-3</t>
  </si>
  <si>
    <t>U진천37-RTS1-VRS-RTCM23-1</t>
  </si>
  <si>
    <t>U진천37-RTS1-VRS-RTCM23-2</t>
  </si>
  <si>
    <t>U진천37-RTS1-VRS-RTCM23-3</t>
  </si>
  <si>
    <t>U진천37-RTS1-RTK-RTCM32-1</t>
  </si>
  <si>
    <t>U진천37-RTS1-RTK-RTCM32-2</t>
  </si>
  <si>
    <t>U진천37-RTS1-RTK-RTCM32-3</t>
  </si>
  <si>
    <t>U진천37-RTS1-VRS-RTCM34-1</t>
  </si>
  <si>
    <t>U진천37-RTS1-VRS-RTCM34-2</t>
  </si>
  <si>
    <t>U진천37-RTS1-VRS-RTCM34-3</t>
  </si>
  <si>
    <t>U진천37-RTS2-FKP-RTCM31-1</t>
  </si>
  <si>
    <t>U진천37-RTS2-FKP-RTCM31-2</t>
  </si>
  <si>
    <t>U진천37-RTS2-FKP-RTCM31-3</t>
  </si>
  <si>
    <t>U진천37-RTS2-VRS-RTCM31-1</t>
  </si>
  <si>
    <t>U진천37-RTS2-VRS-RTCM31-2</t>
  </si>
  <si>
    <t>U진천37-RTS2-VRS-RTCM31-3</t>
  </si>
  <si>
    <t>U진천37-RTS2-VRS-RTCM32-1</t>
  </si>
  <si>
    <t>U진천37-RTS2-VRS-RTCM32-2</t>
  </si>
  <si>
    <t>U진천37-RTS2-VRS-RTCM32-3</t>
  </si>
  <si>
    <t>U진천37-RTS3-GVRS-RTCM32-1</t>
  </si>
  <si>
    <t>U진천37-RTS3-GVRS-RTCM32-2</t>
  </si>
  <si>
    <t>U진천37-RTS3-GVRS-RTCM32-3</t>
  </si>
  <si>
    <t>U진천37-RTS3-GVRS-RTCM32-4</t>
  </si>
  <si>
    <t>U진천37-RTS3-GVRS-RTCM32-5</t>
  </si>
  <si>
    <t>U진천37-RTS3-Anseong-RTCM32-1</t>
  </si>
  <si>
    <t>U진천37-RTS3-Anseong-RTCM32-2</t>
  </si>
  <si>
    <t>U진천37-RTS3-Anseong-RTCM32-3</t>
  </si>
  <si>
    <t>U진천37-RTS3-Anseong-RTCM32-4</t>
  </si>
  <si>
    <t>U진천37-RTS3-Anseong-RTCM32-5</t>
  </si>
  <si>
    <t>U진천37-RTS3-Anseonggong-RTCM32-1</t>
  </si>
  <si>
    <t>U진천37-RTS3-Anseonggong-RTCM32-2</t>
  </si>
  <si>
    <t>U진천37-RTS3-Anseonggong-RTCM32-3</t>
  </si>
  <si>
    <t>U진천37-RTS3-Anseonggong-RTCM32-4</t>
  </si>
  <si>
    <t>U진천37-RTS3-Anseonggong-RTCM32-5</t>
  </si>
  <si>
    <t>U평택02-RTS1-VRS-RTCM31</t>
  </si>
  <si>
    <t>U평택02-RTS1-VRS-RTCM31-1</t>
  </si>
  <si>
    <t>U평택02-RTS1-VRS-RTCM31-2</t>
  </si>
  <si>
    <t>U평택02-RTS1-VRS-RTCM31-3</t>
  </si>
  <si>
    <t>U평택02-RTS1-VRS-CMRx-1</t>
  </si>
  <si>
    <t>U평택02-RTS1-VRS-CMRx-2</t>
  </si>
  <si>
    <t>U평택02-RTS1-VRS-CMRx-3</t>
  </si>
  <si>
    <t>U평택02-RTS1-VRS-RTCM32-1</t>
  </si>
  <si>
    <t>U평택02-RTS1-VRS-RTCM32-2</t>
  </si>
  <si>
    <t>U평택02-RTS1-VRS-RTCM32-3</t>
  </si>
  <si>
    <t>U평택02-RTS1-VRS-RTCM32-4</t>
  </si>
  <si>
    <t>U평택02-RTS1-VRS-RTCM32-5</t>
  </si>
  <si>
    <t>U평택02-RTS1-VRS-RTCM34-1</t>
  </si>
  <si>
    <t>U평택02-RTS1-VRS-RTCM34-2</t>
  </si>
  <si>
    <t>U평택02-RTS1-VRS-RTCM34-3</t>
  </si>
  <si>
    <t>U평택02-RTS2-FKP-RTCM31-1</t>
  </si>
  <si>
    <t>U평택02-RTS2-FKP-RTCM31-2</t>
  </si>
  <si>
    <t>U평택02-RTS2-FKP-RTCM31-3</t>
  </si>
  <si>
    <t>U평택02-RTS2-VRS-RTCM31-1</t>
  </si>
  <si>
    <t>U평택02-RTS2-VRS-RTCM31-2</t>
  </si>
  <si>
    <t>U평택02-RTS2-VRS-RTCM31-3</t>
  </si>
  <si>
    <t>U평택02-RTS2-VRS-RTCM32-1</t>
  </si>
  <si>
    <t>U평택02-RTS2-VRS-RTCM32-2</t>
  </si>
  <si>
    <t>U평택02-RTS2-VRS-RTCM32-3</t>
  </si>
  <si>
    <t>담양0861-1</t>
  </si>
  <si>
    <t>담양0861-2</t>
  </si>
  <si>
    <t>담양0861-3</t>
  </si>
  <si>
    <t>담양0861-4</t>
  </si>
  <si>
    <t>담양0861-5</t>
  </si>
  <si>
    <t>담양0861-6</t>
  </si>
  <si>
    <t>담양0861-7</t>
  </si>
  <si>
    <t>담양0861-8</t>
  </si>
  <si>
    <t>담양0861-9</t>
  </si>
  <si>
    <t>담양0861-10</t>
  </si>
  <si>
    <t>담양0861-11</t>
  </si>
  <si>
    <t>담양0861-12</t>
  </si>
  <si>
    <t>담양0861-13</t>
  </si>
  <si>
    <t>담양0861-14</t>
  </si>
  <si>
    <t>담양0861-15</t>
  </si>
  <si>
    <t>담양0861-16</t>
  </si>
  <si>
    <t>담양0861-17</t>
  </si>
  <si>
    <t>담양0861-18</t>
  </si>
  <si>
    <t>담양0861-19</t>
  </si>
  <si>
    <t>담양0861-20</t>
  </si>
  <si>
    <t>담양0861-21</t>
  </si>
  <si>
    <t>하동0962-1</t>
  </si>
  <si>
    <t>하동0962-2</t>
  </si>
  <si>
    <t>하동0962-3</t>
  </si>
  <si>
    <t>하동0962-4</t>
  </si>
  <si>
    <t>하동0962-5</t>
  </si>
  <si>
    <t>하동0962-6</t>
  </si>
  <si>
    <t>하동0962-7</t>
  </si>
  <si>
    <t>하동0962-8</t>
  </si>
  <si>
    <t>하동0962-9</t>
  </si>
  <si>
    <t>하동0962-10</t>
  </si>
  <si>
    <t>하동0962-11</t>
  </si>
  <si>
    <t>하동0962-12</t>
  </si>
  <si>
    <t>하동0962-13</t>
  </si>
  <si>
    <t>하동0962-14</t>
  </si>
  <si>
    <t>하동0962-15</t>
  </si>
  <si>
    <t>하동0962-16</t>
  </si>
  <si>
    <t>하동0962-17</t>
  </si>
  <si>
    <t>하동0962-18</t>
  </si>
  <si>
    <t>하동0962-19</t>
  </si>
  <si>
    <t>하동0962-20</t>
  </si>
  <si>
    <t>하동0962-21</t>
  </si>
  <si>
    <t>하동0960-1</t>
  </si>
  <si>
    <t>하동0960-2</t>
  </si>
  <si>
    <t>하동0960-3</t>
  </si>
  <si>
    <t>하동0960-4</t>
  </si>
  <si>
    <t>하동0960-5</t>
  </si>
  <si>
    <t>하동0960-6</t>
  </si>
  <si>
    <t>하동0960-7</t>
  </si>
  <si>
    <t>하동0960-8</t>
  </si>
  <si>
    <t>하동0960-9</t>
  </si>
  <si>
    <t>하동0960-10</t>
  </si>
  <si>
    <t>하동0960-11</t>
  </si>
  <si>
    <t>하동0960-12</t>
  </si>
  <si>
    <t>하동0960-13</t>
  </si>
  <si>
    <t>하동0960-14</t>
  </si>
  <si>
    <t>하동0960-15</t>
  </si>
  <si>
    <t>하동0960-16</t>
  </si>
  <si>
    <t>하동0960-17</t>
  </si>
  <si>
    <t>하동0960-18</t>
  </si>
  <si>
    <t>하동0960-19</t>
  </si>
  <si>
    <t>하동0960-20</t>
  </si>
  <si>
    <t>하동0960-21</t>
  </si>
  <si>
    <t>고흥63-1</t>
  </si>
  <si>
    <t>고흥63-2</t>
  </si>
  <si>
    <t>고흥63-3</t>
  </si>
  <si>
    <t>고흥63-4</t>
  </si>
  <si>
    <t>고흥63-5</t>
  </si>
  <si>
    <t>고흥63-6</t>
  </si>
  <si>
    <t>고흥63-7</t>
  </si>
  <si>
    <t>고흥63-8</t>
  </si>
  <si>
    <t>고흥63-9</t>
  </si>
  <si>
    <t>고흥63-10</t>
  </si>
  <si>
    <t>고흥63-11</t>
  </si>
  <si>
    <t>고흥63-12</t>
  </si>
  <si>
    <t>고흥63-13</t>
  </si>
  <si>
    <t>고흥63-14</t>
  </si>
  <si>
    <t>고흥63-15</t>
  </si>
  <si>
    <t>고흥63-16</t>
  </si>
  <si>
    <t>고흥63-17</t>
  </si>
  <si>
    <t>고흥63-18</t>
  </si>
  <si>
    <t>고흥63-19</t>
  </si>
  <si>
    <t>고흥63-20</t>
  </si>
  <si>
    <t>고흥63-21</t>
  </si>
  <si>
    <t>구례45-1</t>
  </si>
  <si>
    <t>구례45-2</t>
  </si>
  <si>
    <t>구례45-3</t>
  </si>
  <si>
    <t>구례45-7</t>
  </si>
  <si>
    <t>구례45-8</t>
  </si>
  <si>
    <t>구례45-9</t>
  </si>
  <si>
    <t>구례45-10</t>
  </si>
  <si>
    <t>구례45-11</t>
  </si>
  <si>
    <t>구례45-12</t>
  </si>
  <si>
    <t>구례45-16</t>
  </si>
  <si>
    <t>구례45-17</t>
  </si>
  <si>
    <t>구례45-19</t>
  </si>
  <si>
    <t>구례45-20</t>
  </si>
  <si>
    <t>구례45-21</t>
  </si>
  <si>
    <t>구례45-18</t>
  </si>
  <si>
    <t>순천64-19</t>
  </si>
  <si>
    <t>순천64-20</t>
  </si>
  <si>
    <t>순천64-21</t>
  </si>
  <si>
    <t>순천05-1</t>
  </si>
  <si>
    <t>순천05-2</t>
  </si>
  <si>
    <t>순천05-3</t>
  </si>
  <si>
    <t>순천05-4</t>
  </si>
  <si>
    <t>순천05-5</t>
  </si>
  <si>
    <t>순천05-6</t>
  </si>
  <si>
    <t>순천05-7</t>
  </si>
  <si>
    <t>순천05-8</t>
  </si>
  <si>
    <t>순천05-9</t>
  </si>
  <si>
    <t>순천05-10</t>
  </si>
  <si>
    <t>순천05-11</t>
  </si>
  <si>
    <t>순천05-12</t>
  </si>
  <si>
    <t>순천05-13</t>
  </si>
  <si>
    <t>순천05-14</t>
  </si>
  <si>
    <t>순천05-15</t>
  </si>
  <si>
    <t>순천05-16</t>
  </si>
  <si>
    <t>순천05-17</t>
  </si>
  <si>
    <t>순천05-18</t>
  </si>
  <si>
    <t>순천05-19</t>
  </si>
  <si>
    <t>순천05-20</t>
  </si>
  <si>
    <t>순천05-21</t>
  </si>
  <si>
    <t>광양1040-1</t>
  </si>
  <si>
    <t>광양1040-2</t>
  </si>
  <si>
    <t>광양1040-3</t>
  </si>
  <si>
    <t>광양1040-4</t>
  </si>
  <si>
    <t>광양1040-5</t>
  </si>
  <si>
    <t>광양1040-6</t>
  </si>
  <si>
    <t>광양1040-7</t>
  </si>
  <si>
    <t>광양1040-8</t>
  </si>
  <si>
    <t>광양1040-9</t>
  </si>
  <si>
    <t>광양1040-10</t>
  </si>
  <si>
    <t>광양1040-11</t>
  </si>
  <si>
    <t>광양1040-12</t>
  </si>
  <si>
    <t>광양1040-13</t>
  </si>
  <si>
    <t>광양1040-14</t>
  </si>
  <si>
    <t>광양1040-15</t>
  </si>
  <si>
    <t>광양1040-16</t>
  </si>
  <si>
    <t>광양1040-17</t>
  </si>
  <si>
    <t>광양1040-18</t>
  </si>
  <si>
    <t>광양1040-19</t>
  </si>
  <si>
    <t>광양1040-20</t>
  </si>
  <si>
    <t>광양1040-21</t>
  </si>
  <si>
    <t>영암1015-1</t>
  </si>
  <si>
    <t>영암1015-2</t>
  </si>
  <si>
    <t>영암1015-3</t>
  </si>
  <si>
    <t>영암1015-10</t>
  </si>
  <si>
    <t>영암1015-11</t>
  </si>
  <si>
    <t>영암1015-12</t>
  </si>
  <si>
    <t>영암1015-16</t>
  </si>
  <si>
    <t>영암1015-17</t>
  </si>
  <si>
    <t>영암1015-18</t>
  </si>
  <si>
    <t>영암1015-19</t>
  </si>
  <si>
    <t>영암1015-20</t>
  </si>
  <si>
    <t>영암1015-21</t>
  </si>
  <si>
    <t>회천48-1</t>
  </si>
  <si>
    <t>회천48-2</t>
  </si>
  <si>
    <t>회천48-3</t>
  </si>
  <si>
    <t>회천48-4</t>
  </si>
  <si>
    <t>회천48-5</t>
  </si>
  <si>
    <t>회천48-6</t>
  </si>
  <si>
    <t>회천48-7</t>
  </si>
  <si>
    <t>회천48-8</t>
  </si>
  <si>
    <t>회천48-9</t>
  </si>
  <si>
    <t>회천48-10</t>
  </si>
  <si>
    <t>회천48-11</t>
  </si>
  <si>
    <t>회천48-12</t>
  </si>
  <si>
    <t>회천48-13</t>
  </si>
  <si>
    <t>회천48-14</t>
  </si>
  <si>
    <t>회천48-15</t>
  </si>
  <si>
    <t>회천48-16</t>
  </si>
  <si>
    <t>회천48-17</t>
  </si>
  <si>
    <t>회천48-18</t>
  </si>
  <si>
    <t>회천48-19</t>
  </si>
  <si>
    <t>회천48-20</t>
  </si>
  <si>
    <t>회천48-21</t>
  </si>
  <si>
    <t>장흥1100-1</t>
  </si>
  <si>
    <t>장흥1100-2</t>
  </si>
  <si>
    <t>장흥1100-3</t>
  </si>
  <si>
    <t>장흥1100-4</t>
  </si>
  <si>
    <t>장흥1100-5</t>
  </si>
  <si>
    <t>장흥1100-6</t>
  </si>
  <si>
    <t>장흥1100-7</t>
  </si>
  <si>
    <t>장흥1100-8</t>
  </si>
  <si>
    <t>장흥1100-9</t>
  </si>
  <si>
    <t>장흥1100-10</t>
  </si>
  <si>
    <t>장흥1100-11</t>
  </si>
  <si>
    <t>장흥1100-12</t>
  </si>
  <si>
    <t>장흥1100-13</t>
  </si>
  <si>
    <t>장흥1100-14</t>
  </si>
  <si>
    <t>장흥1100-15</t>
  </si>
  <si>
    <t>장흥1100-16</t>
  </si>
  <si>
    <t>장흥1100-17</t>
  </si>
  <si>
    <t>장흥1100-18</t>
  </si>
  <si>
    <t>장흥1100-19</t>
  </si>
  <si>
    <t>장흥1100-20</t>
  </si>
  <si>
    <t>장흥1100-21</t>
  </si>
  <si>
    <t>회천16-1</t>
  </si>
  <si>
    <t>회천16-2</t>
  </si>
  <si>
    <t>회천16-3</t>
  </si>
  <si>
    <t>회천16-4</t>
  </si>
  <si>
    <t>회천16-5</t>
  </si>
  <si>
    <t>회천16-6</t>
  </si>
  <si>
    <t>회천16-7</t>
  </si>
  <si>
    <t>회천16-8</t>
  </si>
  <si>
    <t>회천16-9</t>
  </si>
  <si>
    <t>회천16-10</t>
  </si>
  <si>
    <t>회천16-11</t>
  </si>
  <si>
    <t>회천16-12</t>
  </si>
  <si>
    <t>회천16-16</t>
  </si>
  <si>
    <t>회천16-17</t>
  </si>
  <si>
    <t>회천16-18</t>
  </si>
  <si>
    <t>회천16-19</t>
  </si>
  <si>
    <t>회천16-20</t>
  </si>
  <si>
    <t>회천16-21</t>
  </si>
  <si>
    <t>회천16-13</t>
  </si>
  <si>
    <t>회천16-14</t>
  </si>
  <si>
    <t>회천16-15</t>
  </si>
  <si>
    <t>남해02-1</t>
  </si>
  <si>
    <t>남해02-2</t>
  </si>
  <si>
    <t>남해02-3</t>
  </si>
  <si>
    <t>남해02-4</t>
  </si>
  <si>
    <t>남해02-5</t>
  </si>
  <si>
    <t>남해02-6</t>
  </si>
  <si>
    <t>남해02-7</t>
  </si>
  <si>
    <t>남해02-8</t>
  </si>
  <si>
    <t>남해02-9</t>
  </si>
  <si>
    <t>남해02-10</t>
  </si>
  <si>
    <t>남해02-11</t>
  </si>
  <si>
    <t>남해02-12</t>
  </si>
  <si>
    <t>남해02-16</t>
  </si>
  <si>
    <t>남해02-17</t>
  </si>
  <si>
    <t>남해02-18</t>
  </si>
  <si>
    <t>남해02-19</t>
  </si>
  <si>
    <t>남해02-20</t>
  </si>
  <si>
    <t>남해02-21</t>
  </si>
  <si>
    <t>목포07-1</t>
  </si>
  <si>
    <t>목포07-2</t>
  </si>
  <si>
    <t>목포07-3</t>
  </si>
  <si>
    <t>목포07-10</t>
  </si>
  <si>
    <t>목포07-11</t>
  </si>
  <si>
    <t>목포07-12</t>
  </si>
  <si>
    <t>목포07-13</t>
  </si>
  <si>
    <t>목포07-14</t>
  </si>
  <si>
    <t>목포07-15</t>
  </si>
  <si>
    <t>목포07-16</t>
  </si>
  <si>
    <t>목포07-17</t>
  </si>
  <si>
    <t>목포07-18</t>
  </si>
  <si>
    <t>목포07-19</t>
  </si>
  <si>
    <t>목포07-20</t>
  </si>
  <si>
    <t>목포07-21</t>
  </si>
  <si>
    <t>자은10-1</t>
  </si>
  <si>
    <t>자은10-2</t>
  </si>
  <si>
    <t>자은10-3</t>
  </si>
  <si>
    <t>자은10-7</t>
  </si>
  <si>
    <t>자은10-8</t>
  </si>
  <si>
    <t>자은10-9</t>
  </si>
  <si>
    <t>자은10-10</t>
  </si>
  <si>
    <t>자은10-11</t>
  </si>
  <si>
    <t>자은10-12</t>
  </si>
  <si>
    <t>자은10-13</t>
  </si>
  <si>
    <t>자은10-14</t>
  </si>
  <si>
    <t>자은10-15</t>
  </si>
  <si>
    <t>자은10-16</t>
  </si>
  <si>
    <t>자은10-17</t>
  </si>
  <si>
    <t>자은10-18</t>
  </si>
  <si>
    <t>자은10-19</t>
  </si>
  <si>
    <t>자은10-20</t>
  </si>
  <si>
    <t>자은10-21</t>
  </si>
  <si>
    <t>와도16-1</t>
  </si>
  <si>
    <t>와도16-2</t>
  </si>
  <si>
    <t>와도16-3</t>
  </si>
  <si>
    <t>와도16-4</t>
  </si>
  <si>
    <t>와도16-5</t>
  </si>
  <si>
    <t>와도16-6</t>
  </si>
  <si>
    <t>와도16-7</t>
  </si>
  <si>
    <t>와도16-8</t>
  </si>
  <si>
    <t>와도16-9</t>
  </si>
  <si>
    <t>와도16-10</t>
  </si>
  <si>
    <t>와도16-11</t>
  </si>
  <si>
    <t>와도16-12</t>
  </si>
  <si>
    <t>와도16-13</t>
  </si>
  <si>
    <t>와도16-14</t>
  </si>
  <si>
    <t>와도16-15</t>
  </si>
  <si>
    <t>와도16-16</t>
  </si>
  <si>
    <t>와도16-17</t>
  </si>
  <si>
    <t>와도16-18</t>
  </si>
  <si>
    <t>와도16-19</t>
  </si>
  <si>
    <t>와도16-20</t>
  </si>
  <si>
    <t>와도16-21</t>
  </si>
  <si>
    <t>와도4-1</t>
  </si>
  <si>
    <t>와도4-2</t>
  </si>
  <si>
    <t>와도4-3</t>
  </si>
  <si>
    <t>와도4-4</t>
  </si>
  <si>
    <t>와도4-5</t>
  </si>
  <si>
    <t>와도4-6</t>
  </si>
  <si>
    <t>와도4-10</t>
  </si>
  <si>
    <t>와도4-11</t>
  </si>
  <si>
    <t>와도4-12</t>
  </si>
  <si>
    <t>와도4-13</t>
  </si>
  <si>
    <t>와도4-14</t>
  </si>
  <si>
    <t>와도4-15</t>
  </si>
  <si>
    <t>와도4-16</t>
  </si>
  <si>
    <t>와도4-17</t>
  </si>
  <si>
    <t>와도4-18</t>
  </si>
  <si>
    <t>와도4-19</t>
  </si>
  <si>
    <t>와도4-20</t>
  </si>
  <si>
    <t>와도4-21</t>
  </si>
  <si>
    <t>U0855-1</t>
  </si>
  <si>
    <t>U0855-2</t>
  </si>
  <si>
    <t>U0855-3</t>
  </si>
  <si>
    <t>U0855-4</t>
  </si>
  <si>
    <t>U0855-5</t>
  </si>
  <si>
    <t>U0855-6</t>
  </si>
  <si>
    <t>U0855-7</t>
  </si>
  <si>
    <t>U0855-8</t>
  </si>
  <si>
    <t>U0855-9</t>
  </si>
  <si>
    <t>U0855-10</t>
  </si>
  <si>
    <t>U0855-11</t>
  </si>
  <si>
    <t>U0855-12</t>
  </si>
  <si>
    <t>U0855-13</t>
  </si>
  <si>
    <t>U0855-14</t>
  </si>
  <si>
    <t>U0855-15</t>
  </si>
  <si>
    <t>U0855-16</t>
  </si>
  <si>
    <t>U0855-17</t>
  </si>
  <si>
    <t>U0855-18</t>
  </si>
  <si>
    <t>U0855-19</t>
  </si>
  <si>
    <t>U0855-20</t>
  </si>
  <si>
    <t>U0855-21</t>
  </si>
  <si>
    <t>광양1041-1</t>
  </si>
  <si>
    <t>광양1041-2</t>
  </si>
  <si>
    <t>광양1041-3</t>
  </si>
  <si>
    <t>광양1041-4</t>
  </si>
  <si>
    <t>광양1041-5</t>
  </si>
  <si>
    <t>광양1041-6</t>
  </si>
  <si>
    <t>광양1041-7</t>
  </si>
  <si>
    <t>광양1041-8</t>
  </si>
  <si>
    <t>광양1041-9</t>
  </si>
  <si>
    <t>광양1041-10</t>
  </si>
  <si>
    <t>광양1041-11</t>
  </si>
  <si>
    <t>광양1041-12</t>
  </si>
  <si>
    <t>광양1041-16</t>
  </si>
  <si>
    <t>광양1041-17</t>
  </si>
  <si>
    <t>광양1041-18</t>
  </si>
  <si>
    <t>광양1041-19</t>
  </si>
  <si>
    <t>광양1041-20</t>
  </si>
  <si>
    <t>광양1041-21</t>
  </si>
  <si>
    <t>광양1041-13</t>
  </si>
  <si>
    <t>광양1041-14</t>
  </si>
  <si>
    <t>해남30-1</t>
  </si>
  <si>
    <t>해남30-2</t>
  </si>
  <si>
    <t>해남30-3</t>
  </si>
  <si>
    <t>해남30-4</t>
  </si>
  <si>
    <t>해남30-5</t>
  </si>
  <si>
    <t>해남30-6</t>
  </si>
  <si>
    <t>해남30-10</t>
  </si>
  <si>
    <t>해남30-11</t>
  </si>
  <si>
    <t>해남30-12</t>
  </si>
  <si>
    <t>해남30-16</t>
  </si>
  <si>
    <t>해남30-17</t>
  </si>
  <si>
    <t>해남30-18</t>
  </si>
  <si>
    <t>해남30-19</t>
  </si>
  <si>
    <t>해남30-20</t>
  </si>
  <si>
    <t>해남30-21</t>
  </si>
  <si>
    <t>나주29-1</t>
  </si>
  <si>
    <t>나주29-2</t>
  </si>
  <si>
    <t>나주29-3</t>
  </si>
  <si>
    <t>나주29-4</t>
  </si>
  <si>
    <t>나주29-5</t>
  </si>
  <si>
    <t>나주29-6</t>
  </si>
  <si>
    <t>나주29-10</t>
  </si>
  <si>
    <t>나주29-11</t>
  </si>
  <si>
    <t>나주29-12</t>
  </si>
  <si>
    <t>나주29-19</t>
  </si>
  <si>
    <t>나주29-20</t>
  </si>
  <si>
    <t>나주29-21</t>
  </si>
  <si>
    <t>나주29-16</t>
  </si>
  <si>
    <t>나주29-17</t>
  </si>
  <si>
    <t>나주29-18</t>
  </si>
  <si>
    <t>화원01-1</t>
  </si>
  <si>
    <t>화원01-2</t>
  </si>
  <si>
    <t>화원01-3</t>
  </si>
  <si>
    <t>화원01-7</t>
  </si>
  <si>
    <t>화원01-8</t>
  </si>
  <si>
    <t>화원01-9</t>
  </si>
  <si>
    <t>화원01-10</t>
  </si>
  <si>
    <t>화원01-11</t>
  </si>
  <si>
    <t>화원01-12</t>
  </si>
  <si>
    <t>화원01-13</t>
  </si>
  <si>
    <t>화원01-14</t>
  </si>
  <si>
    <t>화원01-15</t>
  </si>
  <si>
    <t>화원01-16</t>
  </si>
  <si>
    <t>화원01-17</t>
  </si>
  <si>
    <t>화원01-18</t>
  </si>
  <si>
    <t>화원01-19</t>
  </si>
  <si>
    <t>화원01-20</t>
  </si>
  <si>
    <t>화원01-21</t>
  </si>
  <si>
    <t>와도09-1</t>
  </si>
  <si>
    <t>와도09-2</t>
  </si>
  <si>
    <t>와도09-3</t>
  </si>
  <si>
    <t>와도09-4</t>
  </si>
  <si>
    <t>와도09-5</t>
  </si>
  <si>
    <t>와도09-6</t>
  </si>
  <si>
    <t>와도09-10</t>
  </si>
  <si>
    <t>와도09-11</t>
  </si>
  <si>
    <t>와도09-12</t>
  </si>
  <si>
    <t>와도09-13</t>
  </si>
  <si>
    <t>와도09-14</t>
  </si>
  <si>
    <t>와도09-15</t>
  </si>
  <si>
    <t>와도09-16</t>
  </si>
  <si>
    <t>와도09-17</t>
  </si>
  <si>
    <t>와도09-18</t>
  </si>
  <si>
    <t>와도09-19</t>
  </si>
  <si>
    <t>와도09-20</t>
  </si>
  <si>
    <t>와도09-21</t>
  </si>
  <si>
    <t>화원03-1</t>
  </si>
  <si>
    <t>화원03-2</t>
  </si>
  <si>
    <t>화원03-3</t>
  </si>
  <si>
    <t>화원03-4</t>
  </si>
  <si>
    <t>화원03-5</t>
  </si>
  <si>
    <t>화원03-6</t>
  </si>
  <si>
    <t>화원03-10</t>
  </si>
  <si>
    <t>화원03-11</t>
  </si>
  <si>
    <t>화원03-12</t>
  </si>
  <si>
    <t>화원03-13</t>
  </si>
  <si>
    <t>화원03-14</t>
  </si>
  <si>
    <t>화원03-15</t>
  </si>
  <si>
    <t>화원03-16</t>
  </si>
  <si>
    <t>화원03-17</t>
  </si>
  <si>
    <t>화원03-18</t>
  </si>
  <si>
    <t>화원03-19</t>
  </si>
  <si>
    <t>화원03-20</t>
  </si>
  <si>
    <t>화원03-21</t>
  </si>
  <si>
    <t>해남1092-1</t>
  </si>
  <si>
    <t>해남1092-2</t>
  </si>
  <si>
    <t>해남1092-3</t>
  </si>
  <si>
    <t>해남1092-4</t>
  </si>
  <si>
    <t>해남1092-5</t>
  </si>
  <si>
    <t>해남1092-6</t>
  </si>
  <si>
    <t>해남1092-10</t>
  </si>
  <si>
    <t>해남1092-11</t>
  </si>
  <si>
    <t>해남1092-12</t>
  </si>
  <si>
    <t>해남1092-16</t>
  </si>
  <si>
    <t>해남1092-17</t>
  </si>
  <si>
    <t>해남1092-18</t>
  </si>
  <si>
    <t>해남1092-19</t>
  </si>
  <si>
    <t>해남1092-20</t>
  </si>
  <si>
    <t>해남1092-21</t>
  </si>
  <si>
    <t>청풍1020-10</t>
  </si>
  <si>
    <t>청풍1020-11</t>
  </si>
  <si>
    <t>청풍1020-12</t>
  </si>
  <si>
    <t>청풍1020-19</t>
  </si>
  <si>
    <t>청풍1020-20</t>
  </si>
  <si>
    <t>청풍1020-21</t>
  </si>
  <si>
    <t>독산31-10</t>
  </si>
  <si>
    <t>독산31-11</t>
  </si>
  <si>
    <t>독산31-12</t>
  </si>
  <si>
    <t>독산31-13</t>
  </si>
  <si>
    <t>독산31-14</t>
  </si>
  <si>
    <t>독산31-15</t>
  </si>
  <si>
    <t>독산31-19</t>
  </si>
  <si>
    <t>독산31-20</t>
  </si>
  <si>
    <t>독산31-21</t>
  </si>
  <si>
    <t>독산0950-10</t>
  </si>
  <si>
    <t>독산0950-11</t>
  </si>
  <si>
    <t>독산0950-12</t>
  </si>
  <si>
    <t>독산0950-13</t>
  </si>
  <si>
    <t>독산0950-14</t>
  </si>
  <si>
    <t>독산0950-15</t>
  </si>
  <si>
    <t>독산0950-16</t>
  </si>
  <si>
    <t>독산0950-17</t>
  </si>
  <si>
    <t>독산0950-18</t>
  </si>
  <si>
    <t>독산0950-19</t>
  </si>
  <si>
    <t>독산0950-20</t>
  </si>
  <si>
    <t>독산0950-21</t>
  </si>
  <si>
    <t>U엄정28-RTS1-VRS-RTCM31-1</t>
  </si>
  <si>
    <t>U엄정28-RTS1-VRS-RTCM31-2</t>
  </si>
  <si>
    <t>U엄정28-RTS1-VRS-RTCM31-3</t>
  </si>
  <si>
    <t>U엄정28-RTS1-VRS-CMRX-1</t>
  </si>
  <si>
    <t>U엄정28-RTS1-VRS-CMRX-2</t>
  </si>
  <si>
    <t>U엄정28-RTS1-VRS-CMRX-3</t>
  </si>
  <si>
    <t>U엄정28-RTS1-VRS-RTCM23-1</t>
  </si>
  <si>
    <t>U엄정28-RTS1-VRS-RTCM23-2</t>
  </si>
  <si>
    <t>U엄정28-RTS1-VRS-RTCM23-3</t>
  </si>
  <si>
    <t>U엄정28-RTS1-RTK-RTCM32-1</t>
  </si>
  <si>
    <t>U엄정28-RTS1-RTK-RTCM32-2</t>
  </si>
  <si>
    <t>U엄정28-RTS1-RTK-RTCM32-3</t>
  </si>
  <si>
    <t>U엄정28-RTS1-VRS-RTCM34-1</t>
  </si>
  <si>
    <t>U엄정28-RTS1-VRS-RTCM34-2</t>
  </si>
  <si>
    <t>U엄정28-RTS1-VRS-RTCM34-3</t>
  </si>
  <si>
    <t>U엄정28-RTS2-FKP-RTCM31-1</t>
  </si>
  <si>
    <t>U엄정28-RTS2-FKP-RTCM31-2</t>
  </si>
  <si>
    <t>U엄정28-RTS2-FKP-RTCM31-3</t>
  </si>
  <si>
    <t>U엄정28-RTS2-FKP-RTCM31-4</t>
  </si>
  <si>
    <t>U엄정28-RTS2-FKP-RTCM31-5</t>
  </si>
  <si>
    <t>U엄정28-RTS2-VRS-RTCM31-1</t>
  </si>
  <si>
    <t>U엄정28-RTS2-VRS-RTCM31-2</t>
  </si>
  <si>
    <t>U엄정28-RTS2-VRS-RTCM31-3</t>
  </si>
  <si>
    <t>U엄정28-RTS2-VRS-RTCM32-1</t>
  </si>
  <si>
    <t>U엄정28-RTS2-VRS-RTCM32-2</t>
  </si>
  <si>
    <t>U엄정28-RTS2-VRS-RTCM32-3</t>
  </si>
  <si>
    <t>U엄정28-RTS3-GVRS-AUTO-1</t>
  </si>
  <si>
    <t>U엄정28-RTS3-GVRS-AUTO-2</t>
  </si>
  <si>
    <t>U엄정28-RTS3-GVRS-AUTO-3</t>
  </si>
  <si>
    <t>U엄정28-RTS3-GVRS-Cheongju-1</t>
  </si>
  <si>
    <t>U엄정28-RTS3-GVRS-Cheongju-2</t>
  </si>
  <si>
    <t>U엄정28-RTS3-GVRS-Cheongju-3</t>
  </si>
  <si>
    <t>U음성18-RTS1-VRS-RTCM31-1</t>
  </si>
  <si>
    <t>U음성18-RTS1-VRS-RTCM31-2</t>
  </si>
  <si>
    <t>U음성18-RTS1-VRS-RTCM31-3</t>
  </si>
  <si>
    <t>U음성18-RTS1-VRS-CMRX-1</t>
  </si>
  <si>
    <t>U음성18-RTS1-VRS-CMRX-2</t>
  </si>
  <si>
    <t>U음성18-RTS1-VRS-CMRX-3</t>
  </si>
  <si>
    <t>U음성18-RTS1-VRS-RTCM23-1</t>
  </si>
  <si>
    <t>U음성18-RTS1-VRS-RTCM23-2</t>
  </si>
  <si>
    <t>U음성18-RTS1-VRS-RTCM23-3</t>
  </si>
  <si>
    <t>U음성18-RTS1-RTK-RTCM32-1</t>
  </si>
  <si>
    <t>U음성18-RTS1-RTK-RTCM32-2</t>
  </si>
  <si>
    <t>U음성18-RTS1-RTK-RTCM32-3</t>
  </si>
  <si>
    <t>U음성18-RTS1-VRS-RTCM34-1</t>
  </si>
  <si>
    <t>U음성18-RTS1-VRS-RTCM34-2</t>
  </si>
  <si>
    <t>U음성18-RTS1-VRS-RTCM34-3</t>
  </si>
  <si>
    <t>U음성18-RTS2-FKP-RTCM31-1</t>
  </si>
  <si>
    <t>U음성18-RTS2-FKP-RTCM31-2</t>
  </si>
  <si>
    <t>U음성18-RTS2-FKP-RTCM31-3</t>
  </si>
  <si>
    <t>U음성18-RTS2-VRS-RTCM31-1</t>
  </si>
  <si>
    <t>U음성18-RTS2-VRS-RTCM31-2</t>
  </si>
  <si>
    <t>U음성18-RTS2-VRS-RTCM31-3</t>
  </si>
  <si>
    <t>U음성18-RTS2-VRS-RTCM32-1</t>
  </si>
  <si>
    <t>U음성18-RTS2-VRS-RTCM32-2</t>
  </si>
  <si>
    <t>U음성18-RTS2-VRS-RTCM32-3</t>
  </si>
  <si>
    <t>U음성18-RTS3-GVRS-AUTO-1</t>
  </si>
  <si>
    <t>U음성18-RTS3-GVRS-AUTO-2</t>
  </si>
  <si>
    <t>U음성18-RTS3-GVRS-AUTO-3</t>
  </si>
  <si>
    <t>U음성18-RTS3-GVRS-증평단반향-1</t>
  </si>
  <si>
    <t>U음성18-RTS3-GVRS-증평단반향-2</t>
  </si>
  <si>
    <t>U음성18-RTS3-GVRS-증평단반향-3</t>
  </si>
  <si>
    <t>U음성18-RTS3-GVRS-GOESAN단방향-1</t>
  </si>
  <si>
    <t>U음성18-RTS3-GVRS-GOESAN단방향-2</t>
  </si>
  <si>
    <t>U음성18-RTS3-GVRS-GOESAN단방향-3</t>
  </si>
  <si>
    <t>U이천70-RTS1-VRS-RTCM31-1</t>
  </si>
  <si>
    <t>U이천70-RTS1-VRS-RTCM31-2</t>
  </si>
  <si>
    <t>U이천70-RTS1-VRS-RTCM31-3</t>
  </si>
  <si>
    <t>U이천70-RTS1-VRS-CMRX-1</t>
  </si>
  <si>
    <t>U이천70-RTS1-VRS-CMRX-2</t>
  </si>
  <si>
    <t>U이천70-RTS1-VRS-CMRX-3</t>
  </si>
  <si>
    <t>U이천70-RTS1-VRS-RTCM24-1</t>
  </si>
  <si>
    <t>U이천70-RTS1-VRS-RTCM24-2</t>
  </si>
  <si>
    <t>U이천70-RTS1-VRS-RTCM24-3</t>
  </si>
  <si>
    <t>U이천70-RTS1-RTK-RTCM32-1</t>
  </si>
  <si>
    <t>U이천70-RTS1-RTK-RTCM32-2</t>
  </si>
  <si>
    <t>U이천70-RTS1-RTK-RTCM32-3</t>
  </si>
  <si>
    <t>U이천70-RTS1-VRS-RTCM34-2</t>
  </si>
  <si>
    <t>U이천70-RTS1-VRS-RTCM34-3</t>
  </si>
  <si>
    <t>U이천70-RTS2-FKP-RTCM31-1</t>
  </si>
  <si>
    <t>U이천70-RTS2-FKP-RTCM31-2</t>
  </si>
  <si>
    <t>U이천70-RTS2-FKP-RTCM31-3</t>
  </si>
  <si>
    <t>U이천70-RTS2-VRS-RTCM31-1</t>
  </si>
  <si>
    <t>U이천70-RTS2-VRS-RTCM31-2</t>
  </si>
  <si>
    <t>U이천70-RTS2-VRS-RTCM31-3</t>
  </si>
  <si>
    <t>U이천70-RTS2-VRS-RTCM32-1</t>
  </si>
  <si>
    <t>U이천70-RTS2-VRS-RTCM32-2</t>
  </si>
  <si>
    <t>U이천70-RTS2-VRS-RTCM32-3</t>
  </si>
  <si>
    <t>U이천70-RTS3-GVRS-AUTO-1</t>
  </si>
  <si>
    <t>U이천70-RTS3-GVRS-AUTO-2</t>
  </si>
  <si>
    <t>U이천70-RTS3-GVRS-AUTO-3</t>
  </si>
  <si>
    <t>U이천70-RTS3-GVRS-AUTO-4</t>
  </si>
  <si>
    <t>U이천70-RTS3-GVRS-AUTO-5</t>
  </si>
  <si>
    <t>U이천70-RTS3-GVRS-광주곤지암단방향-1</t>
  </si>
  <si>
    <t>U이천70-RTS3-GVRS-광주곤지암단방향-2</t>
  </si>
  <si>
    <t>U이천70-RTS3-GVRS-광주곤지암단방향-3</t>
  </si>
  <si>
    <t>U전의05-RTS1-VRS-RTCM32-1</t>
  </si>
  <si>
    <t>U전의05-RTS1-VRS-RTCM32-2</t>
  </si>
  <si>
    <t>U전의05-RTS1-VRS-RTCM32-3</t>
  </si>
  <si>
    <t>U전의05-RTS1-VRS-RTCM31-4</t>
  </si>
  <si>
    <t>U전의05-RTS1-VRS-RTCM31-5</t>
  </si>
  <si>
    <t>U전의05-RTS1-VRS-RTCM31-6</t>
  </si>
  <si>
    <t>U전의05-RTS1-VRS-RTCM31-7</t>
  </si>
  <si>
    <t>U전의05-RTS1-VRS-RTCM31-8</t>
  </si>
  <si>
    <t>U전의05-RTS1-VRS-CMRX-1</t>
  </si>
  <si>
    <t>U전의05-RTS1-VRS-CMRX-2</t>
  </si>
  <si>
    <t>U전의05-RTS1-VRS-CMRX-3</t>
  </si>
  <si>
    <t>U전의05-RTS1-VRS-CMRX-4</t>
  </si>
  <si>
    <t>U전의05-RTS1-VRS-CMRX-5</t>
  </si>
  <si>
    <t>U전의05-RTS1-VRS-RTCM23-1</t>
  </si>
  <si>
    <t>U전의05-RTS1-VRS-RTCM23-2</t>
  </si>
  <si>
    <t>U전의05-RTS1-VRS-RTCM23-3</t>
  </si>
  <si>
    <t>U전의05-RTS1-VRS-RTCM23-4</t>
  </si>
  <si>
    <t>U전의05-RTS1-VRS-RTCM23-5</t>
  </si>
  <si>
    <t>U전의05-RTS1-RTK-RTCM32-1</t>
  </si>
  <si>
    <t>U전의05-RTS1-RTK-RTCM32-2</t>
  </si>
  <si>
    <t>U전의05-RTS1-RTK-RTCM32-3</t>
  </si>
  <si>
    <t>U전의05-RTS1-RTK-RTCM32-4</t>
  </si>
  <si>
    <t>U전의05-RTS1-RTK-RTCM32-5</t>
  </si>
  <si>
    <t>U전의05-RTS1-VRS-RTCM34-1</t>
  </si>
  <si>
    <t>U전의05-RTS1-VRS-RTCM34-2</t>
  </si>
  <si>
    <t>U전의05-RTS1-VRS-RTCM34-3</t>
  </si>
  <si>
    <t>U전의05-RTS1-VRS-RTCM34-4</t>
  </si>
  <si>
    <t>U전의05-RTS1-VRS-RTCM34-5</t>
  </si>
  <si>
    <t>U전의05-RTS2-FKP-RTCM31-1</t>
  </si>
  <si>
    <t>U전의05-RTS2-FKP-RTCM31-2</t>
  </si>
  <si>
    <t>U전의05-RTS2-FKP-RTCM31-3</t>
  </si>
  <si>
    <t>U전의05-RTS2-FKP-RTCM31-4</t>
  </si>
  <si>
    <t>U전의05-RTS2-FKP-RTCM31-5</t>
  </si>
  <si>
    <t>U전의05-RTS2-VRS-RTCM31-2</t>
  </si>
  <si>
    <t>U전의05-RTS2-VRS-RTCM31-3</t>
  </si>
  <si>
    <t>U전의05-RTS2-VRS-RTCM31-4</t>
  </si>
  <si>
    <t>U전의05-RTS2-VRS-RTCM31-5</t>
  </si>
  <si>
    <t>U전의05-RTS2-VRS-RTCM32-1</t>
  </si>
  <si>
    <t>U전의05-RTS2-VRS-RTCM32-2</t>
  </si>
  <si>
    <t>U전의05-RTS2-VRS-RTCM32-3</t>
  </si>
  <si>
    <t>U전의05-RTS2-VRS-RTCM32-4</t>
  </si>
  <si>
    <t>U전의05-RTS2-VRS-RTCM32-5</t>
  </si>
  <si>
    <t>U전의05-RTS3-GVRS-AUTO-1</t>
  </si>
  <si>
    <t>U전의05-RTS3-GVRS-AUTO-2</t>
  </si>
  <si>
    <t>U전의05-RTS3-GVRS-AUTO-3</t>
  </si>
  <si>
    <t>U전의05-RTS3-GVRS-CHEONAN단방향-1</t>
  </si>
  <si>
    <t>U전의05-RTS3-GVRS-CHEONAN단방향-2</t>
  </si>
  <si>
    <t>U전의05-RTS3-GVRS-CHEONAN단방향-3</t>
  </si>
  <si>
    <t>U전의05-RTS3-GVRS-CHEONAN단방향-4</t>
  </si>
  <si>
    <t>U전의05-RTS3-GVRS-Uljin단방향-1</t>
  </si>
  <si>
    <t>U전의05-RTS3-GVRS-Uljin단방향-2</t>
  </si>
  <si>
    <t>U전의05-RTS3-GVRS-Uljin단방향-3</t>
  </si>
  <si>
    <t>U전의05-RTS3-GVRS-Uljin단방향-4</t>
  </si>
  <si>
    <t>U전의05-RTS3-GVRS-Uljin단방향-5</t>
  </si>
  <si>
    <t>U전의05-RTS3-GVRS-AUTO-11</t>
  </si>
  <si>
    <t>U전의05-RTS3-GVRS-AUTO-12</t>
  </si>
  <si>
    <t>U전의05-RTS3-GVRS-AUTO-13</t>
  </si>
  <si>
    <t>U전의05-RTS3-GVRS-AUTO-14</t>
  </si>
  <si>
    <t>U전의05-RTS3-GVRS-AUTO-15</t>
  </si>
  <si>
    <t>U충주18-RTS1-VRS-RTCM32-1</t>
  </si>
  <si>
    <t>U충주18-RTS1-VRS-RTCM32-2</t>
  </si>
  <si>
    <t>U충주18-RTS1-VRS-RTCM32-3</t>
  </si>
  <si>
    <t>U충주18-RTS1-VRS-RTCM31-4</t>
  </si>
  <si>
    <t>U충주18-RTS1-VRS-RTCM31-5</t>
  </si>
  <si>
    <t>U충주18-RTS1-VRS-RTCM31-6</t>
  </si>
  <si>
    <t>U충주18-RTS1-VRS-CMRX-1</t>
  </si>
  <si>
    <t>U충주18-RTS1-VRS-CMRX-2</t>
  </si>
  <si>
    <t>U충주18-RTS1-VRS-CMRX-3</t>
  </si>
  <si>
    <t>U충주18-RTS1-VRS-RTCM23-1</t>
  </si>
  <si>
    <t>U충주18-RTS1-VRS-RTCM23-2</t>
  </si>
  <si>
    <t>U충주18-RTS1-VRS-RTCM23-3</t>
  </si>
  <si>
    <t>U충주18-RTS1-RTK-RTCM32-1</t>
  </si>
  <si>
    <t>U충주18-RTS1-RTK-RTCM32-2</t>
  </si>
  <si>
    <t>U충주18-RTS1-RTK-RTCM32-3</t>
  </si>
  <si>
    <t>U충주18-RTS1-VRS-RTCM34-1</t>
  </si>
  <si>
    <t>U충주18-RTS1-VRS-RTCM34-2</t>
  </si>
  <si>
    <t>U충주18-RTS1-VRS-RTCM34-3</t>
  </si>
  <si>
    <t>U충주18-RTS2-FKP-RTCM31-1</t>
  </si>
  <si>
    <t>U충주18-RTS2-FKP-RTCM31-2</t>
  </si>
  <si>
    <t>U충주18-RTS2-FKP-RTCM31-3</t>
  </si>
  <si>
    <t>U충주18-RTS2-VRS-RTCM31-1</t>
  </si>
  <si>
    <t>U충주18-RTS2-VRS-RTCM31-2</t>
  </si>
  <si>
    <t>U충주18-RTS2-VRS-RTCM31-3</t>
  </si>
  <si>
    <t>U충주18-RTS2-VRS-RTCM31-4</t>
  </si>
  <si>
    <t>U충주18-RTS2-VRS-RTCM32-2</t>
  </si>
  <si>
    <t>U충주18-RTS2-VRS-RTCM32-3</t>
  </si>
  <si>
    <t>U충주18-RTS3-GVRS-AUTO-1</t>
  </si>
  <si>
    <t>U충주18-RTS3-GVRS-AUTO-2</t>
  </si>
  <si>
    <t>U충주18-RTS3-GVRS-AUTO-3</t>
  </si>
  <si>
    <t>U충주18-RTS3-GVRS-Goesan-1</t>
  </si>
  <si>
    <t>U충주18-RTS3-GVRS-Goesan-2</t>
  </si>
  <si>
    <t>U충주18-RTS3-GVRS-Goesan-3</t>
  </si>
  <si>
    <t>U0248-rts1-vrs31-1</t>
  </si>
  <si>
    <t>U0248-rts1-vrs31-2</t>
  </si>
  <si>
    <t>U0248-rts1-vrs31-3</t>
  </si>
  <si>
    <t>U0248-rts1-cmrx-1</t>
  </si>
  <si>
    <t>U0248-rts1-cmrx-2</t>
  </si>
  <si>
    <t>U0248-rts1-cmrx-3</t>
  </si>
  <si>
    <t>U0248-rts1-rts23-1</t>
  </si>
  <si>
    <t>U0248-rts1-rts23-2</t>
  </si>
  <si>
    <t>U0248-rts1-rts23-3</t>
  </si>
  <si>
    <t>U0248-rts1-rts32-1</t>
  </si>
  <si>
    <t>U0248-rts1-rts32-2</t>
  </si>
  <si>
    <t>U0248-rts1-rts32-3</t>
  </si>
  <si>
    <t>U0248-rts1-rts34-1</t>
  </si>
  <si>
    <t>U0248-rts1-rts34-2</t>
  </si>
  <si>
    <t>U0248-rts1-rts34-3</t>
  </si>
  <si>
    <t>U0248-rts2-fkp31-1</t>
  </si>
  <si>
    <t>U0248-rts2-fkp31-2</t>
  </si>
  <si>
    <t>U0248-rts2-fkp31-3</t>
  </si>
  <si>
    <t>U0248-rts2-vrs31-1</t>
  </si>
  <si>
    <t>U0248-rts2-vrs31-2</t>
  </si>
  <si>
    <t>U0248-rts2-vrs31-3</t>
  </si>
  <si>
    <t>U0248-rts2-vrs32-1</t>
  </si>
  <si>
    <t>U0248-rts2-vrs32-2</t>
  </si>
  <si>
    <t>U0248-rts2-vrs32-3</t>
  </si>
  <si>
    <t>U0248-rts3-gvrs-원주지정-1</t>
  </si>
  <si>
    <t>U0248-rts3-gvrs-원주지정-2</t>
  </si>
  <si>
    <t>U0248-rts3-gvrs-원주지정-3</t>
  </si>
  <si>
    <t>U0248-rts3-gvrs-gvrs-1</t>
  </si>
  <si>
    <t>U0248-rts3-gvrs-gvrs-2</t>
  </si>
  <si>
    <t>U0248-rts3-gvrs-gvrs-3</t>
  </si>
  <si>
    <t>U0248-rts1-vrs23-1</t>
  </si>
  <si>
    <t>U0248-rts1-vrs23-2</t>
  </si>
  <si>
    <t>U0248-rts1-vrs23-3</t>
  </si>
  <si>
    <t>U0313-RTS1-VRS31-1</t>
  </si>
  <si>
    <t>U0313-RTS1-VRS31-2</t>
  </si>
  <si>
    <t>U0313-RTS1-VRS31-3</t>
  </si>
  <si>
    <t>U0313-RTS1-CMRX-1</t>
  </si>
  <si>
    <t>U0313-RTS1-CMRX-2</t>
  </si>
  <si>
    <t>U0313-RTS1-CMRX-3</t>
  </si>
  <si>
    <t>U0313-RTS1-RTK32-1</t>
  </si>
  <si>
    <t>U0313-RTS1-RTK32-2</t>
  </si>
  <si>
    <t>U0313-RTS1-RTK32-3</t>
  </si>
  <si>
    <t>U0313-RTS1-RTK34-1</t>
  </si>
  <si>
    <t>U0313-RTS1-RTK34-2</t>
  </si>
  <si>
    <t>U0313-RTS1-RTK34-3</t>
  </si>
  <si>
    <t>U0313-RTS2-VRS31-1</t>
  </si>
  <si>
    <t>U0313-RTS2-VRS31-2</t>
  </si>
  <si>
    <t>U0313-RTS2-VRS31-3</t>
  </si>
  <si>
    <t>U0313-RTS2-VRS32-1</t>
  </si>
  <si>
    <t>U0313-RTS2-VRS32-2</t>
  </si>
  <si>
    <t>U0313-RTS2-VRS32-3</t>
  </si>
  <si>
    <t>U0317-RTS1-VRS31-1</t>
  </si>
  <si>
    <t>U0317-RTS1-VRS31-2</t>
  </si>
  <si>
    <t>U0317-RTS1-VRS31-3</t>
  </si>
  <si>
    <t>U0317-RTS1-CMRX-1</t>
  </si>
  <si>
    <t>U0317-RTS1-CMRX-2</t>
  </si>
  <si>
    <t>U0317-RTS1-CMRX-3</t>
  </si>
  <si>
    <t>U0317-RTS1-RTS32-1</t>
  </si>
  <si>
    <t>U0317-RTS1-RTS32-2</t>
  </si>
  <si>
    <t>U0317-RTS1-RTS32-3</t>
  </si>
  <si>
    <t>U0317-RTS1-RTS34-2</t>
  </si>
  <si>
    <t>U0317-RTS1-RTS34-3</t>
  </si>
  <si>
    <t>U0317-RTS2FKP31-1</t>
  </si>
  <si>
    <t>U0317-RTS2FKP31-2</t>
  </si>
  <si>
    <t>U0317-RTS2FKP31-3</t>
  </si>
  <si>
    <t>U0317-RTS2-VRS31-1</t>
  </si>
  <si>
    <t>U0317-RTS2-VRS31-2</t>
  </si>
  <si>
    <t>U0317-RTS2-VRS31-3</t>
  </si>
  <si>
    <t>U0317-RTS2-VRS32-1</t>
  </si>
  <si>
    <t>U0317-RTS2-VRS32-2</t>
  </si>
  <si>
    <t>U0317-RTS2-VRS32-3</t>
  </si>
  <si>
    <t>U0193-rts1-vrs31-1</t>
  </si>
  <si>
    <t>U0193-rts1-vrs31-2</t>
  </si>
  <si>
    <t>U0193-rts1-vrs31-3</t>
  </si>
  <si>
    <t>U0193-rts1-cmrx-1</t>
  </si>
  <si>
    <t>U0193-rts1-cmrx-2</t>
  </si>
  <si>
    <t>U0193-rts1-cmrx-3</t>
  </si>
  <si>
    <t>U0193-rts1-rtk32-1</t>
  </si>
  <si>
    <t>U0193-rts1-rtk32-2</t>
  </si>
  <si>
    <t>U0193-rts1-rtk32-3</t>
  </si>
  <si>
    <t>U0193-rts1-vrs34-1</t>
  </si>
  <si>
    <t>U0193-rts1-vrs34-2</t>
  </si>
  <si>
    <t>U0193-rts1-vrs34-3</t>
  </si>
  <si>
    <t>U0193-rts2-vrs31-1</t>
  </si>
  <si>
    <t>U0193-rts2-vrs31-2</t>
  </si>
  <si>
    <t>U0193-rts2-vrs31-3</t>
  </si>
  <si>
    <t>U0193-rts2-vrs32-1</t>
  </si>
  <si>
    <t>U0193-rts2-vrs32-2</t>
  </si>
  <si>
    <t>U0193-rts2-vrs32-3</t>
  </si>
  <si>
    <t>U0195-rts2-fkp-1</t>
  </si>
  <si>
    <t>U0195-rts2-fkp-2</t>
  </si>
  <si>
    <t>U0195-rts2-fkp-3</t>
  </si>
  <si>
    <t>U0195-rts2-vrs31-1</t>
  </si>
  <si>
    <t>U0195-rts2-vrs31-2</t>
  </si>
  <si>
    <t>U0195-rts2-vrs31-3</t>
  </si>
  <si>
    <t>U0195-rts2-vrs32-1</t>
  </si>
  <si>
    <t>U0195-rts2-vrs32-2</t>
  </si>
  <si>
    <t>U0195-rts2-vrs32-3</t>
  </si>
  <si>
    <t>U0195-rts1-vrs31-1</t>
  </si>
  <si>
    <t>U0195-rts1-vrs31-2</t>
  </si>
  <si>
    <t>U0195-rts1-vrs31-3</t>
  </si>
  <si>
    <t>U0195-rts1-cmrx-1</t>
  </si>
  <si>
    <t>U0195-rts1-cmrx-2</t>
  </si>
  <si>
    <t>U0195-rts1-cmrx-3</t>
  </si>
  <si>
    <t>U0195-rts1-rtk32-1</t>
  </si>
  <si>
    <t>U0195-rts1-rtk32-2</t>
  </si>
  <si>
    <t>U0195-rts1-rtk32-3</t>
  </si>
  <si>
    <t>U0195-rts1-rtk34-1</t>
  </si>
  <si>
    <t>U0195-rts1-rtk34-2</t>
  </si>
  <si>
    <t>U0195-rts1-rtk34-3</t>
  </si>
  <si>
    <t>U0195-gvrs-gn-1</t>
  </si>
  <si>
    <t>U0195-gvrs-gn-2</t>
  </si>
  <si>
    <t>U0195-gvrs-gn-3</t>
  </si>
  <si>
    <t>U덕산21-rts1-vrs31-1</t>
  </si>
  <si>
    <t>U덕산21-rts1-vrs31-2</t>
  </si>
  <si>
    <t>U덕산21-rts1-vrs31-3</t>
  </si>
  <si>
    <t>U덕산21-rts1-cmrx-1</t>
  </si>
  <si>
    <t>U덕산21-rts1-cmrx-2</t>
  </si>
  <si>
    <t>U덕산21-rts1-cmrx-3</t>
  </si>
  <si>
    <t>U덕산21-rts1-rts32-1</t>
  </si>
  <si>
    <t>U덕산21-rts1-rts32-2</t>
  </si>
  <si>
    <t>U덕산21-rts1-rts32-3</t>
  </si>
  <si>
    <t>U덕산21-rts1-rts34-1</t>
  </si>
  <si>
    <t>U덕산21-rts1-rts34-2</t>
  </si>
  <si>
    <t>U덕산21-rts1-rts34-3</t>
  </si>
  <si>
    <t>U덕산21-RTS2-FKP31-1</t>
  </si>
  <si>
    <t>U덕산21-RTS2-FKP31-2</t>
  </si>
  <si>
    <t>U덕산21-RTS2-FKP31-3</t>
  </si>
  <si>
    <t>U덕산21-RTS2-VRS31-1</t>
  </si>
  <si>
    <t>U덕산21-RTS2-VRS31-2</t>
  </si>
  <si>
    <t>U덕산21-RTS2-VRS31-3</t>
  </si>
  <si>
    <t>U덕산21-RTS2-VRS32-1</t>
  </si>
  <si>
    <t>U덕산21-RTS2-VRS32-2</t>
  </si>
  <si>
    <t>U덕산21-RTS2-VRS32-3</t>
  </si>
  <si>
    <t>U덕산24-RTS1-VRS31-1</t>
  </si>
  <si>
    <t>U덕산24-RTS1-VRS31-2</t>
  </si>
  <si>
    <t>U덕산24-RTS1-VRS31-3</t>
  </si>
  <si>
    <t>U덕산24-RTS1-VRS32-1</t>
  </si>
  <si>
    <t>U덕산24-RTS1-VRS32-2</t>
  </si>
  <si>
    <t>U덕산24-RTS1-VRS32-3</t>
  </si>
  <si>
    <t>U덕산24-RTS1-VRS34-1</t>
  </si>
  <si>
    <t>U덕산24-RTS1-VRS34-2</t>
  </si>
  <si>
    <t>U덕산24-RTS1-VRS34-3</t>
  </si>
  <si>
    <t>U덕산24-RTS1-CMRX-1</t>
  </si>
  <si>
    <t>U덕산24-RTS1-CMRX-2</t>
  </si>
  <si>
    <t>U덕산24-RTS1-CMRX-3</t>
  </si>
  <si>
    <t>U덕산24-RTS2-FKP31</t>
  </si>
  <si>
    <t>U덕산24-RTS2-FKP31-1</t>
  </si>
  <si>
    <t>U덕산24-RTS2-FKP31-2</t>
  </si>
  <si>
    <t>U덕산24-RTS2-FKP31-3</t>
  </si>
  <si>
    <t>U덕산24-RTS2-VRS32-1</t>
  </si>
  <si>
    <t>U덕산24-RTS2-VRS32-2</t>
  </si>
  <si>
    <t>U덕산24-RTS2-VRS32-3</t>
  </si>
  <si>
    <t>U덕산24-RTS2-VRS31-1</t>
  </si>
  <si>
    <t>U덕산24-RTS2-VRS31-2</t>
  </si>
  <si>
    <t>U덕산24-RTS2-VRS31-3</t>
  </si>
  <si>
    <t>U영주84-RTS1-VRS31-1</t>
  </si>
  <si>
    <t>U영주84-RTS1-VRS31-2</t>
  </si>
  <si>
    <t>U영주84-RTS1-VRS31-3</t>
  </si>
  <si>
    <t>U영주84-RTS1-CMRX-1</t>
  </si>
  <si>
    <t>U영주84-RTS1-CMRX-2</t>
  </si>
  <si>
    <t>U영주84-RTS1-CMRX-3</t>
  </si>
  <si>
    <t>U영주84-RTS1-RTK32-1</t>
  </si>
  <si>
    <t>U영주84-RTS1-RTK32-2</t>
  </si>
  <si>
    <t>U영주84-RTS1-RTK32-3</t>
  </si>
  <si>
    <t>U영주84-RTS1-VRS34-1</t>
  </si>
  <si>
    <t>U영주84-RTS1-VRS34-2</t>
  </si>
  <si>
    <t>U영주84-RTS1-VRS34-3</t>
  </si>
  <si>
    <t>U영주84-RTS2-VRS31-1</t>
  </si>
  <si>
    <t>U영주84-RTS2-VRS31-2</t>
  </si>
  <si>
    <t>U영주84-RTS2-VRS31-3</t>
  </si>
  <si>
    <t>U영주84-RTS2-VRS32-1</t>
  </si>
  <si>
    <t>U영주84-RTS2-VRS32-2</t>
  </si>
  <si>
    <t>U영주84-RTS2-VRS32-3</t>
  </si>
  <si>
    <t>U예천08-RTS1-VRS31-1</t>
  </si>
  <si>
    <t>U예천08-RTS1-VRS31-2</t>
  </si>
  <si>
    <t>U예천08-RTS1-VRS31-3</t>
  </si>
  <si>
    <t>U예천08-RTS1-CMRX-1</t>
  </si>
  <si>
    <t>U예천08-RTS1-CMRX-2</t>
  </si>
  <si>
    <t>U예천08-RTS1-CMRX-3</t>
  </si>
  <si>
    <t>U예천08-RTS1-32-1</t>
  </si>
  <si>
    <t>U예천08-RTS1-32-2</t>
  </si>
  <si>
    <t>U예천08-RTS1-32-3</t>
  </si>
  <si>
    <t>U예천08-RTS1-34-1</t>
  </si>
  <si>
    <t>U예천08-RTS1-34-2</t>
  </si>
  <si>
    <t>U예천08-RTS1-34-3</t>
  </si>
  <si>
    <t>U예천08-RTS2-FKP31ㅣ</t>
  </si>
  <si>
    <t>U예천08-RTS2-FKP31ㅤ</t>
  </si>
  <si>
    <t>U예천08-RTS2-FKP31ㅥ</t>
  </si>
  <si>
    <t>U예천08-RTS2-VRS31-1</t>
  </si>
  <si>
    <t>U예천08-RTS2-VRS31-2</t>
  </si>
  <si>
    <t>U예천08-RTS2-VRS31-3</t>
  </si>
  <si>
    <t>U예천08-RTS2-VRS32-1</t>
  </si>
  <si>
    <t>U예천08-RTS2-VRS32-2</t>
  </si>
  <si>
    <t>U예천08-RTS2-VRS32-3</t>
  </si>
  <si>
    <t>u용두31-rts2-fkprtcm31-1</t>
  </si>
  <si>
    <t>u용두31-rts2-fkprtcm31-2</t>
  </si>
  <si>
    <t>u용두31-rts2-fkprtcm31-3</t>
  </si>
  <si>
    <t>u용두31-rts2-vrsrtcm31-1</t>
  </si>
  <si>
    <t>u용두31-rts2-vrsrtcm31-2</t>
  </si>
  <si>
    <t>u용두31-rts2-vrsrtcm31-3</t>
  </si>
  <si>
    <t>u용두31-rts2-vrsrtcm32-1</t>
  </si>
  <si>
    <t>u용두31-rts2-vrsrtcm32-2</t>
  </si>
  <si>
    <t>u용두31-rts2-vrsrtcm32-3</t>
  </si>
  <si>
    <t>u용두31-rts1-vrsrtcm31-1</t>
  </si>
  <si>
    <t>u용두31-rts1-vrsrtcm31-2</t>
  </si>
  <si>
    <t>u용두31-rts1-vrsrtcm31-3</t>
  </si>
  <si>
    <t>u용두31-rts1-cmrx-1</t>
  </si>
  <si>
    <t>u용두31-rts1-cmrx-2</t>
  </si>
  <si>
    <t>u용두31-rts1-cmrx-3</t>
  </si>
  <si>
    <t>u용두31-rts1-vrsrtcm23</t>
  </si>
  <si>
    <t>u용두31-rts1-vrsrtcm23-1</t>
  </si>
  <si>
    <t>u용두31-rts1-vrsrtcm23-2</t>
  </si>
  <si>
    <t>u용두31-rts1-vrsrtcm23-3</t>
  </si>
  <si>
    <t>u용두31-rts1-rtkrtc.32-1</t>
  </si>
  <si>
    <t>u용두31-rts1-rtkrtc.32-2</t>
  </si>
  <si>
    <t>u용두31-rts1-rtkrtc.32-3</t>
  </si>
  <si>
    <t>u용두31-rts1-vrsrtcm34-1</t>
  </si>
  <si>
    <t>u용두31-rts1-vrsrtcm34-2</t>
  </si>
  <si>
    <t>u용두31-rts1-vrsrtcm34-3</t>
  </si>
  <si>
    <t>U춘천03-rts1-vrsrtcm31-1</t>
  </si>
  <si>
    <t>U춘천03-rts1-vrsrtcm31-2</t>
  </si>
  <si>
    <t>U춘천03-rts1-vrsrtcm31-3</t>
  </si>
  <si>
    <t>U춘천03-rts1-vrscmrx-1</t>
  </si>
  <si>
    <t>U춘천03-rts1-vrscmrx-2</t>
  </si>
  <si>
    <t>U춘천03-rts1-vrscmrx-3</t>
  </si>
  <si>
    <t>U춘천03-rts1-vrsrtcm23-1</t>
  </si>
  <si>
    <t>U춘천03-rts1-vrsrtcm23-2</t>
  </si>
  <si>
    <t>U춘천03-rts1-vrsrtcm23-3</t>
  </si>
  <si>
    <t>U춘천03-rts1-rtcm32-1</t>
  </si>
  <si>
    <t>U춘천03-rts1-rtcm32-2</t>
  </si>
  <si>
    <t>U춘천03-rts1-rtcm32-3</t>
  </si>
  <si>
    <t>U춘천03-rts1-rtcm34-1</t>
  </si>
  <si>
    <t>U춘천03-rts1-rtcm34-2</t>
  </si>
  <si>
    <t>U춘천03-rts1-rtcm34-3</t>
  </si>
  <si>
    <t>U춘천03-rts2-fkprtcm31-3</t>
  </si>
  <si>
    <t>U춘천03-rts2-fkprtcm31-1</t>
  </si>
  <si>
    <t>U춘천03-rts2-fkprtcm31-2</t>
  </si>
  <si>
    <t>U춘천03-rts2-vrsrtcm31-1</t>
  </si>
  <si>
    <t>U춘천03-rts2-vrsrtcm31-2</t>
  </si>
  <si>
    <t>U춘천03-rts2-vrsrtcm31-3</t>
  </si>
  <si>
    <t>U춘천03-rts2-vrsrtcm32-1</t>
  </si>
  <si>
    <t>U춘천03-rts2-vrsrtcm32-2</t>
  </si>
  <si>
    <t>U춘천03-rts2-vrsrtcm32-3</t>
  </si>
  <si>
    <t>U춘천09-gvrs-춘천남산-1</t>
  </si>
  <si>
    <t>U춘천09-gvrs-춘천남산-2</t>
  </si>
  <si>
    <t>U춘천09-gvrs-춘천남산-3</t>
  </si>
  <si>
    <t>U춘천09-gvrs-춘천동산-1</t>
  </si>
  <si>
    <t>U춘천09-gvrs-춘천동산-2</t>
  </si>
  <si>
    <t>U춘천09-gvrs-춘천동산-3</t>
  </si>
  <si>
    <t>U춘천09-gvrs-gvrs-1</t>
  </si>
  <si>
    <t>U춘천09-gvrs-gvrs-2</t>
  </si>
  <si>
    <t>U춘천09-gvrs-gvrs-3</t>
  </si>
  <si>
    <t>U춘천09-rts1-vrs31-1</t>
  </si>
  <si>
    <t>U춘천09-rts1-vrs31-2</t>
  </si>
  <si>
    <t>U춘천09-rts1-vrs31-3</t>
  </si>
  <si>
    <t>U춘천09-rts1-cmrx-1</t>
  </si>
  <si>
    <t>U춘천09-rts1-cmrx-2</t>
  </si>
  <si>
    <t>U춘천09-rts1-cmrx-3</t>
  </si>
  <si>
    <t>U춘천09-rts1-vrs23-1</t>
  </si>
  <si>
    <t>U춘천09-rts1-vrs23-2</t>
  </si>
  <si>
    <t>U춘천09-rts1-vrs23-3</t>
  </si>
  <si>
    <t>U춘천09-rts1-rtk32-1</t>
  </si>
  <si>
    <t>U춘천09-rts1-rtk32-2</t>
  </si>
  <si>
    <t>U춘천09-rts1-rtk32-3</t>
  </si>
  <si>
    <t>U춘천09-rts1-rtk34-1</t>
  </si>
  <si>
    <t>U춘천09-rts1-rtk34-2</t>
  </si>
  <si>
    <t>U춘천09-rts1-rtk34-3</t>
  </si>
  <si>
    <t>U춘천09-rts2-fkp31-1</t>
  </si>
  <si>
    <t>U춘천09-rts2-fkp31-2</t>
  </si>
  <si>
    <t>U춘천09-rts2-fkp31-3</t>
  </si>
  <si>
    <t>U춘천09-rts2-vrs31-1</t>
  </si>
  <si>
    <t>U춘천09-rts2-vrs31-2</t>
  </si>
  <si>
    <t>U춘천09-rts2-vrs31-3</t>
  </si>
  <si>
    <t>U춘천09-rts2-vrs32-1</t>
  </si>
  <si>
    <t>U춘천09-rts2-vrs32-2</t>
  </si>
  <si>
    <t>U춘천09-rts2-vrs32-3</t>
  </si>
  <si>
    <t>u춘천14-rts1-vrs31-1</t>
  </si>
  <si>
    <t>u춘천14-rts1-vrs31-2</t>
  </si>
  <si>
    <t>u춘천14-rts1-vrs31-3</t>
  </si>
  <si>
    <t>u춘천14-rts1-vrs23-1</t>
  </si>
  <si>
    <t>u춘천14-rts1-vrs23-2</t>
  </si>
  <si>
    <t>u춘천14-rts1-vrs23-3</t>
  </si>
  <si>
    <t>u춘천14-rts1-cmrx-1</t>
  </si>
  <si>
    <t>u춘천14-rts1-cmrx-2</t>
  </si>
  <si>
    <t>u춘천14-rts1-cmrx-3</t>
  </si>
  <si>
    <t>u춘천14-rts1-rtkrtcm32-1</t>
  </si>
  <si>
    <t>u춘천14-rts1-rtkrtcm32-2</t>
  </si>
  <si>
    <t>u춘천14-rts1-rtkrtcm32-3</t>
  </si>
  <si>
    <t>u춘천14-rts1-vrs34-1</t>
  </si>
  <si>
    <t>u춘천14-rts1-vrs34-2</t>
  </si>
  <si>
    <t>u춘천14-rts1-vrs34-3</t>
  </si>
  <si>
    <t>u춘천14-rts2-fkp31-1</t>
  </si>
  <si>
    <t>u춘천14-rts2-fkp31-2</t>
  </si>
  <si>
    <t>u춘천14-rts2-fkp31-3</t>
  </si>
  <si>
    <t>u춘천14-rts2-vrs32-1</t>
  </si>
  <si>
    <t>u춘천14-rts2-vrs32-2</t>
  </si>
  <si>
    <t>u춘천14-rts2-vrs32-3</t>
  </si>
  <si>
    <t>u춘천14-rts2-vrs31-1</t>
  </si>
  <si>
    <t>u춘천14-rts2-vrs31-2</t>
  </si>
  <si>
    <t>u춘천14-rts2-vrs31-3</t>
  </si>
  <si>
    <t>u춘천14-gvrs-gvrs-1</t>
  </si>
  <si>
    <t>u춘천14-gvrs-gvrs-2</t>
  </si>
  <si>
    <t>u춘천14-gvrs-gvrs-3</t>
  </si>
  <si>
    <t>u춘천14-gvrs-춘천남산-01</t>
  </si>
  <si>
    <t>u춘천14-gvrs-춘천남산-02</t>
  </si>
  <si>
    <t>u춘천14-gvrs-춘천남산-03</t>
  </si>
  <si>
    <t>목포15-1</t>
  </si>
  <si>
    <t>목포15-2</t>
  </si>
  <si>
    <t>목포15-3</t>
  </si>
  <si>
    <t>목포15-4</t>
  </si>
  <si>
    <t>목포15-5</t>
  </si>
  <si>
    <t>목포15-6</t>
  </si>
  <si>
    <t>목포15-7</t>
  </si>
  <si>
    <t>목포15-8</t>
  </si>
  <si>
    <t>목포15-9</t>
  </si>
  <si>
    <t>목포15-10</t>
  </si>
  <si>
    <t>목포15-11</t>
  </si>
  <si>
    <t>목포15-12</t>
  </si>
  <si>
    <t>목포15-13</t>
  </si>
  <si>
    <t>목포15-14</t>
  </si>
  <si>
    <t>목포15-15</t>
  </si>
  <si>
    <t>목포15-16</t>
  </si>
  <si>
    <t>목포15-17</t>
  </si>
  <si>
    <t>목포15-18</t>
  </si>
  <si>
    <t>목포15-19</t>
  </si>
  <si>
    <t>목포15-20</t>
  </si>
  <si>
    <t>목포15-21</t>
  </si>
  <si>
    <t>복내36-1</t>
  </si>
  <si>
    <t>복내36-2</t>
  </si>
  <si>
    <t>복내36-3</t>
  </si>
  <si>
    <t>복내36-4</t>
  </si>
  <si>
    <t>복내36-5</t>
  </si>
  <si>
    <t>복내36-6</t>
  </si>
  <si>
    <t>복내36-10</t>
  </si>
  <si>
    <t>복내36-11</t>
  </si>
  <si>
    <t>복내36-12</t>
  </si>
  <si>
    <t>복내36-7</t>
  </si>
  <si>
    <t>복내36-8</t>
  </si>
  <si>
    <t>복내36-9</t>
  </si>
  <si>
    <t>복내36-13</t>
  </si>
  <si>
    <t>복내36-14</t>
  </si>
  <si>
    <t>복내36-15</t>
  </si>
  <si>
    <t>복내36-16</t>
  </si>
  <si>
    <t>복내36-17</t>
  </si>
  <si>
    <t>복내36-18</t>
  </si>
  <si>
    <t>복내36-19</t>
  </si>
  <si>
    <t>복내36-20</t>
  </si>
  <si>
    <t>복내36-21</t>
  </si>
  <si>
    <t>청풍66-1</t>
  </si>
  <si>
    <t>청풍66-2</t>
  </si>
  <si>
    <t>청풍66-3</t>
  </si>
  <si>
    <t>청풍66-4</t>
  </si>
  <si>
    <t>청풍66-5</t>
  </si>
  <si>
    <t>청풍66-6</t>
  </si>
  <si>
    <t>청풍66-7</t>
  </si>
  <si>
    <t>청풍66-8</t>
  </si>
  <si>
    <t>청풍66-9</t>
  </si>
  <si>
    <t>청풍66-10</t>
  </si>
  <si>
    <t>청풍66-11</t>
  </si>
  <si>
    <t>청풍66-12</t>
  </si>
  <si>
    <t>청풍66-13</t>
  </si>
  <si>
    <t>청풍66-14</t>
  </si>
  <si>
    <t>청풍66-15</t>
  </si>
  <si>
    <t>청풍66-16</t>
  </si>
  <si>
    <t>청풍66-17</t>
  </si>
  <si>
    <t>청풍66-18</t>
  </si>
  <si>
    <t>청풍66-19</t>
  </si>
  <si>
    <t>청풍66-20</t>
  </si>
  <si>
    <t>청풍66-21</t>
  </si>
  <si>
    <t>복내1026-1</t>
  </si>
  <si>
    <t>복내1026-2</t>
  </si>
  <si>
    <t>복내1026-3</t>
  </si>
  <si>
    <t>복내1026-4</t>
  </si>
  <si>
    <t>복내1026-5</t>
  </si>
  <si>
    <t>복내1026-6</t>
  </si>
  <si>
    <t>복내1026-7</t>
  </si>
  <si>
    <t>복내1026-8</t>
  </si>
  <si>
    <t>복내1026-9</t>
  </si>
  <si>
    <t>복내1026-10</t>
  </si>
  <si>
    <t>복내1026-11</t>
  </si>
  <si>
    <t>복내1026-12</t>
  </si>
  <si>
    <t>복내1026-13</t>
  </si>
  <si>
    <t>복내1026-14</t>
  </si>
  <si>
    <t>복내1026-15</t>
  </si>
  <si>
    <t>복내1026-16</t>
  </si>
  <si>
    <t>복내1026-17</t>
  </si>
  <si>
    <t>복내1026-18</t>
  </si>
  <si>
    <t>복내1026-19</t>
  </si>
  <si>
    <t>복내1026-20</t>
  </si>
  <si>
    <t>복내1026-21</t>
  </si>
  <si>
    <t>광주35-1</t>
  </si>
  <si>
    <t>광주35-2</t>
  </si>
  <si>
    <t>광주35-3</t>
  </si>
  <si>
    <t>광주35-4</t>
  </si>
  <si>
    <t>광주35-5</t>
  </si>
  <si>
    <t>광주35-6</t>
  </si>
  <si>
    <t>광주35-10</t>
  </si>
  <si>
    <t>광주35-11</t>
  </si>
  <si>
    <t>광주35-12</t>
  </si>
  <si>
    <t>광주35-13</t>
  </si>
  <si>
    <t>광주35-14</t>
  </si>
  <si>
    <t>광주35-15</t>
  </si>
  <si>
    <t>광주35-16</t>
  </si>
  <si>
    <t>광주35-17</t>
  </si>
  <si>
    <t>광주35-18</t>
  </si>
  <si>
    <t>광주35-19</t>
  </si>
  <si>
    <t>광주35-20</t>
  </si>
  <si>
    <t>광주35-21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</si>
  <si>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</si>
  <si>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</si>
  <si>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</si>
  <si>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</si>
  <si>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</si>
  <si>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</si>
  <si>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</si>
  <si>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</si>
  <si>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</si>
  <si>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</si>
  <si>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</si>
  <si>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</si>
  <si>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</si>
  <si>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</si>
  <si>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</si>
  <si>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</si>
  <si>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</si>
  <si>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</si>
  <si>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</si>
  <si>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</si>
  <si>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</si>
  <si>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</si>
  <si>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</si>
  <si>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</si>
  <si>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</si>
  <si>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</si>
  <si>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</si>
  <si>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</si>
  <si>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</si>
  <si>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</si>
  <si>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</si>
  <si>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</si>
  <si>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</si>
  <si>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</si>
  <si>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</si>
  <si>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</si>
  <si>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</si>
  <si>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</si>
  <si>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</si>
  <si>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</si>
  <si>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</si>
  <si>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</si>
  <si>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45</t>
  </si>
  <si>
    <t>47</t>
  </si>
  <si>
    <t>49</t>
  </si>
  <si>
    <t>51</t>
  </si>
  <si>
    <t>52</t>
  </si>
  <si>
    <t>54</t>
  </si>
  <si>
    <t>55</t>
  </si>
  <si>
    <t>59</t>
  </si>
  <si>
    <t>61</t>
  </si>
  <si>
    <t>70</t>
  </si>
  <si>
    <t>72</t>
  </si>
  <si>
    <t>74</t>
  </si>
  <si>
    <t>78</t>
  </si>
  <si>
    <t>80</t>
  </si>
  <si>
    <t>81</t>
  </si>
  <si>
    <t>97</t>
  </si>
  <si>
    <t>99</t>
  </si>
  <si>
    <t>105</t>
  </si>
  <si>
    <t>113</t>
  </si>
  <si>
    <t>120</t>
  </si>
  <si>
    <t>122</t>
  </si>
  <si>
    <t>132</t>
  </si>
  <si>
    <t>149</t>
  </si>
  <si>
    <t>198</t>
  </si>
  <si>
    <t>224</t>
  </si>
  <si>
    <t>298</t>
  </si>
  <si>
    <t>0.012</t>
  </si>
  <si>
    <t>0.026</t>
  </si>
  <si>
    <t>0.009</t>
  </si>
  <si>
    <t>0.010</t>
  </si>
  <si>
    <t>0.016</t>
  </si>
  <si>
    <t>0.017</t>
  </si>
  <si>
    <t>0.013</t>
  </si>
  <si>
    <t>0.021</t>
  </si>
  <si>
    <t>0.022</t>
  </si>
  <si>
    <t>0.014</t>
  </si>
  <si>
    <t>0.015</t>
  </si>
  <si>
    <t>0.011</t>
  </si>
  <si>
    <t>0.006</t>
  </si>
  <si>
    <t>0.008</t>
  </si>
  <si>
    <t>0.005</t>
  </si>
  <si>
    <t>0.007</t>
  </si>
  <si>
    <t>0.019</t>
  </si>
  <si>
    <t>0.018</t>
  </si>
  <si>
    <t>0.004</t>
  </si>
  <si>
    <t>0.116</t>
  </si>
  <si>
    <t>0.065</t>
  </si>
  <si>
    <t>0.805</t>
  </si>
  <si>
    <t>0.763</t>
  </si>
  <si>
    <t>0.735</t>
  </si>
  <si>
    <t>0.030</t>
  </si>
  <si>
    <t>0.028</t>
  </si>
  <si>
    <t>0.082</t>
  </si>
  <si>
    <t>0.023</t>
  </si>
  <si>
    <t>0.020</t>
  </si>
  <si>
    <t>0.230</t>
  </si>
  <si>
    <t>0.253</t>
  </si>
  <si>
    <t>0.134</t>
  </si>
  <si>
    <t>0.003</t>
  </si>
  <si>
    <t>0.047</t>
  </si>
  <si>
    <t>0.002</t>
  </si>
  <si>
    <t>0.029</t>
  </si>
  <si>
    <t>0.024</t>
  </si>
  <si>
    <t>0.025</t>
  </si>
  <si>
    <t>0.031</t>
  </si>
  <si>
    <t>0.037</t>
  </si>
  <si>
    <t>0.027</t>
  </si>
  <si>
    <t>0.039</t>
  </si>
  <si>
    <t>0.041</t>
  </si>
  <si>
    <t>0.380</t>
  </si>
  <si>
    <t>0.920</t>
  </si>
  <si>
    <t>0.282</t>
  </si>
  <si>
    <t>0.484</t>
  </si>
  <si>
    <t>0.711</t>
  </si>
  <si>
    <t>0.234</t>
  </si>
  <si>
    <t>0.280</t>
  </si>
  <si>
    <t>0.435</t>
  </si>
  <si>
    <t>0.038</t>
  </si>
  <si>
    <t>0.040</t>
  </si>
  <si>
    <t>0.034</t>
  </si>
  <si>
    <t>0.957</t>
  </si>
  <si>
    <t>1.019</t>
  </si>
  <si>
    <t>0.764</t>
  </si>
  <si>
    <t>0.728</t>
  </si>
  <si>
    <t>0.732</t>
  </si>
  <si>
    <t>0.033</t>
  </si>
  <si>
    <t>0.114</t>
  </si>
  <si>
    <t>0.140</t>
  </si>
  <si>
    <t>0.142</t>
  </si>
  <si>
    <t>0.272</t>
  </si>
  <si>
    <t>0.402</t>
  </si>
  <si>
    <t>0.354</t>
  </si>
  <si>
    <t>0.061</t>
  </si>
  <si>
    <t>0.077</t>
  </si>
  <si>
    <t>0.078</t>
  </si>
  <si>
    <t>0.102</t>
  </si>
  <si>
    <t>0.064</t>
  </si>
  <si>
    <t>0.073</t>
  </si>
  <si>
    <t>0.934</t>
  </si>
  <si>
    <t>1.214</t>
  </si>
  <si>
    <t>0.819</t>
  </si>
  <si>
    <t>0.876</t>
  </si>
  <si>
    <t>0.192</t>
  </si>
  <si>
    <t>0.640</t>
  </si>
  <si>
    <t>0.831</t>
  </si>
  <si>
    <t>0.816</t>
  </si>
  <si>
    <t>1.144</t>
  </si>
  <si>
    <t>1.340</t>
  </si>
  <si>
    <t>0.276</t>
  </si>
  <si>
    <t>0.337</t>
  </si>
  <si>
    <t>0.485</t>
  </si>
  <si>
    <t>0.120</t>
  </si>
  <si>
    <t>0.032</t>
  </si>
  <si>
    <t>0.530</t>
  </si>
  <si>
    <t>0.815</t>
  </si>
  <si>
    <t>0.619</t>
  </si>
  <si>
    <t>0.036</t>
  </si>
  <si>
    <t>0.686</t>
  </si>
  <si>
    <t>0.448</t>
  </si>
  <si>
    <t>0.336</t>
  </si>
  <si>
    <t>0.420</t>
  </si>
  <si>
    <t>0.424</t>
  </si>
  <si>
    <t>0.650</t>
  </si>
  <si>
    <t>0.323</t>
  </si>
  <si>
    <t>0.195</t>
  </si>
  <si>
    <t>0.229</t>
  </si>
  <si>
    <t>0.138</t>
  </si>
  <si>
    <t>0.533</t>
  </si>
  <si>
    <t>1.204</t>
  </si>
  <si>
    <t>1.044</t>
  </si>
  <si>
    <t>0.071</t>
  </si>
  <si>
    <t>0.275</t>
  </si>
  <si>
    <t>0.174</t>
  </si>
  <si>
    <t>0.096</t>
  </si>
  <si>
    <t>0.070</t>
  </si>
  <si>
    <t>0.055</t>
  </si>
  <si>
    <t>0.063</t>
  </si>
  <si>
    <t>0.069</t>
  </si>
  <si>
    <t>0.085</t>
  </si>
  <si>
    <t>0.080</t>
  </si>
  <si>
    <t>0.067</t>
  </si>
  <si>
    <t>0.044</t>
  </si>
  <si>
    <t>0.051</t>
  </si>
  <si>
    <t>0.056</t>
  </si>
  <si>
    <t>0.049</t>
  </si>
  <si>
    <t>0.053</t>
  </si>
  <si>
    <t>0.068</t>
  </si>
  <si>
    <t>0.145</t>
  </si>
  <si>
    <t>0.372</t>
  </si>
  <si>
    <t>0.355</t>
  </si>
  <si>
    <t>0.124</t>
  </si>
  <si>
    <t>0.086</t>
  </si>
  <si>
    <t>0.079</t>
  </si>
  <si>
    <t>0.100</t>
  </si>
  <si>
    <t>0.095</t>
  </si>
  <si>
    <t>0.097</t>
  </si>
  <si>
    <t>0.242</t>
  </si>
  <si>
    <t>0.194</t>
  </si>
  <si>
    <t>0.212</t>
  </si>
  <si>
    <t>0.238</t>
  </si>
  <si>
    <t>0.307</t>
  </si>
  <si>
    <t>0.958</t>
  </si>
  <si>
    <t>0.954</t>
  </si>
  <si>
    <t>0.057</t>
  </si>
  <si>
    <t>0.046</t>
  </si>
  <si>
    <t>0.045</t>
  </si>
  <si>
    <t>0.060</t>
  </si>
  <si>
    <t>0.388</t>
  </si>
  <si>
    <t>0.368</t>
  </si>
  <si>
    <t>0.428</t>
  </si>
  <si>
    <t>0.498</t>
  </si>
  <si>
    <t>0.478</t>
  </si>
  <si>
    <t>0.456</t>
  </si>
  <si>
    <t>0.426</t>
  </si>
  <si>
    <t>0.690</t>
  </si>
  <si>
    <t>0.684</t>
  </si>
  <si>
    <t>0.689</t>
  </si>
  <si>
    <t>0.806</t>
  </si>
  <si>
    <t>0.756</t>
  </si>
  <si>
    <t>0.722</t>
  </si>
  <si>
    <t>0.035</t>
  </si>
  <si>
    <t>0.087</t>
  </si>
  <si>
    <t>0.074</t>
  </si>
  <si>
    <t>0.731</t>
  </si>
  <si>
    <t>0.709</t>
  </si>
  <si>
    <t>0.623</t>
  </si>
  <si>
    <t>0.416</t>
  </si>
  <si>
    <t>0.439</t>
  </si>
  <si>
    <t>0.335</t>
  </si>
  <si>
    <t>0.318</t>
  </si>
  <si>
    <t>0.317</t>
  </si>
  <si>
    <t>0.043</t>
  </si>
  <si>
    <t>0.542</t>
  </si>
  <si>
    <t>0.504</t>
  </si>
  <si>
    <t>0.297</t>
  </si>
  <si>
    <t>0.376</t>
  </si>
  <si>
    <t>0.427</t>
  </si>
  <si>
    <t>0.544</t>
  </si>
  <si>
    <t>0.551</t>
  </si>
  <si>
    <t>0.084</t>
  </si>
  <si>
    <t>0.076</t>
  </si>
  <si>
    <t>0.072</t>
  </si>
  <si>
    <t>Vaccuracy</t>
  </si>
  <si>
    <t>1.598</t>
  </si>
  <si>
    <t>1.426</t>
  </si>
  <si>
    <t>1.316</t>
  </si>
  <si>
    <t>0.093</t>
  </si>
  <si>
    <t>0.226</t>
  </si>
  <si>
    <t>0.258</t>
  </si>
  <si>
    <t>0.136</t>
  </si>
  <si>
    <t>0.059</t>
  </si>
  <si>
    <t>0.058</t>
  </si>
  <si>
    <t>0.042</t>
  </si>
  <si>
    <t>0.054</t>
  </si>
  <si>
    <t>0.048</t>
  </si>
  <si>
    <t>0.050</t>
  </si>
  <si>
    <t>0.143</t>
  </si>
  <si>
    <t>1.666</t>
  </si>
  <si>
    <t>0.131</t>
  </si>
  <si>
    <t>0.225</t>
  </si>
  <si>
    <t>1.159</t>
  </si>
  <si>
    <t>1.242</t>
  </si>
  <si>
    <t>1.264</t>
  </si>
  <si>
    <t>1.273</t>
  </si>
  <si>
    <t>1.272</t>
  </si>
  <si>
    <t>0.737</t>
  </si>
  <si>
    <t>0.915</t>
  </si>
  <si>
    <t>1.234</t>
  </si>
  <si>
    <t>0.081</t>
  </si>
  <si>
    <t>1.625</t>
  </si>
  <si>
    <t>1.646</t>
  </si>
  <si>
    <t>1.643</t>
  </si>
  <si>
    <t>1.641</t>
  </si>
  <si>
    <t>1.980</t>
  </si>
  <si>
    <t>1.400</t>
  </si>
  <si>
    <t>1.293</t>
  </si>
  <si>
    <t>1.295</t>
  </si>
  <si>
    <t>1.299</t>
  </si>
  <si>
    <t>1.301</t>
  </si>
  <si>
    <t>1.442</t>
  </si>
  <si>
    <t>0.213</t>
  </si>
  <si>
    <t>0.283</t>
  </si>
  <si>
    <t>0.245</t>
  </si>
  <si>
    <t>0.875</t>
  </si>
  <si>
    <t>1.976</t>
  </si>
  <si>
    <t>1.749</t>
  </si>
  <si>
    <t>0.089</t>
  </si>
  <si>
    <t>0.288</t>
  </si>
  <si>
    <t>0.091</t>
  </si>
  <si>
    <t>0.149</t>
  </si>
  <si>
    <t>0.178</t>
  </si>
  <si>
    <t>0.183</t>
  </si>
  <si>
    <t>1.194</t>
  </si>
  <si>
    <t>1.609</t>
  </si>
  <si>
    <t>1.027</t>
  </si>
  <si>
    <t>1.152</t>
  </si>
  <si>
    <t>1.018</t>
  </si>
  <si>
    <t>1.477</t>
  </si>
  <si>
    <t>1.072</t>
  </si>
  <si>
    <t>1.406</t>
  </si>
  <si>
    <t>1.970</t>
  </si>
  <si>
    <t>2.414</t>
  </si>
  <si>
    <t>0.537</t>
  </si>
  <si>
    <t>1.034</t>
  </si>
  <si>
    <t>0.231</t>
  </si>
  <si>
    <t>0.066</t>
  </si>
  <si>
    <t>0.090</t>
  </si>
  <si>
    <t>0.966</t>
  </si>
  <si>
    <t>1.524</t>
  </si>
  <si>
    <t>1.145</t>
  </si>
  <si>
    <t>0.896</t>
  </si>
  <si>
    <t>0.483</t>
  </si>
  <si>
    <t>0.458</t>
  </si>
  <si>
    <t>0.944</t>
  </si>
  <si>
    <t>0.822</t>
  </si>
  <si>
    <t>1.173</t>
  </si>
  <si>
    <t>0.959</t>
  </si>
  <si>
    <t>0.620</t>
  </si>
  <si>
    <t>0.586</t>
  </si>
  <si>
    <t>0.394</t>
  </si>
  <si>
    <t>0.274</t>
  </si>
  <si>
    <t>1.032</t>
  </si>
  <si>
    <t>1.882</t>
  </si>
  <si>
    <t>1.820</t>
  </si>
  <si>
    <t>0.181</t>
  </si>
  <si>
    <t>0.199</t>
  </si>
  <si>
    <t>1.262</t>
  </si>
  <si>
    <t>0.950</t>
  </si>
  <si>
    <t>0.208</t>
  </si>
  <si>
    <t>0.128</t>
  </si>
  <si>
    <t>0.148</t>
  </si>
  <si>
    <t>0.122</t>
  </si>
  <si>
    <t>0.141</t>
  </si>
  <si>
    <t>0.163</t>
  </si>
  <si>
    <t>0.171</t>
  </si>
  <si>
    <t>0.052</t>
  </si>
  <si>
    <t>0.106</t>
  </si>
  <si>
    <t>0.159</t>
  </si>
  <si>
    <t>0.129</t>
  </si>
  <si>
    <t>0.115</t>
  </si>
  <si>
    <t>0.101</t>
  </si>
  <si>
    <t>0.062</t>
  </si>
  <si>
    <t>0.099</t>
  </si>
  <si>
    <t>0.094</t>
  </si>
  <si>
    <t>0.823</t>
  </si>
  <si>
    <t>0.315</t>
  </si>
  <si>
    <t>0.170</t>
  </si>
  <si>
    <t>0.187</t>
  </si>
  <si>
    <t>0.188</t>
  </si>
  <si>
    <t>0.561</t>
  </si>
  <si>
    <t>0.413</t>
  </si>
  <si>
    <t>0.432</t>
  </si>
  <si>
    <t>0.481</t>
  </si>
  <si>
    <t>0.614</t>
  </si>
  <si>
    <t>1.566</t>
  </si>
  <si>
    <t>1.545</t>
  </si>
  <si>
    <t>1.532</t>
  </si>
  <si>
    <t>1.514</t>
  </si>
  <si>
    <t>1.503</t>
  </si>
  <si>
    <t>1.533</t>
  </si>
  <si>
    <t>1.510</t>
  </si>
  <si>
    <t>1.525</t>
  </si>
  <si>
    <t>1.502</t>
  </si>
  <si>
    <t>0.228</t>
  </si>
  <si>
    <t>0.262</t>
  </si>
  <si>
    <t>0.256</t>
  </si>
  <si>
    <t>0.270</t>
  </si>
  <si>
    <t>0.268</t>
  </si>
  <si>
    <t>0.330</t>
  </si>
  <si>
    <t>0.627</t>
  </si>
  <si>
    <t>0.545</t>
  </si>
  <si>
    <t>0.525</t>
  </si>
  <si>
    <t>0.654</t>
  </si>
  <si>
    <t>0.510</t>
  </si>
  <si>
    <t>1.419</t>
  </si>
  <si>
    <t>1.122</t>
  </si>
  <si>
    <t>1.096</t>
  </si>
  <si>
    <t>1.014</t>
  </si>
  <si>
    <t>0.243</t>
  </si>
  <si>
    <t>0.161</t>
  </si>
  <si>
    <t>0.132</t>
  </si>
  <si>
    <t>1.100</t>
  </si>
  <si>
    <t>0.858</t>
  </si>
  <si>
    <t>1.081</t>
  </si>
  <si>
    <t>0.154</t>
  </si>
  <si>
    <t>0.130</t>
  </si>
  <si>
    <t>0.653</t>
  </si>
  <si>
    <t>0.682</t>
  </si>
  <si>
    <t>0.465</t>
  </si>
  <si>
    <t>0.513</t>
  </si>
  <si>
    <t>0.555</t>
  </si>
  <si>
    <t>0.125</t>
  </si>
  <si>
    <t>0.108</t>
  </si>
  <si>
    <t>1.055</t>
  </si>
  <si>
    <t>0.925</t>
  </si>
  <si>
    <t>0.395</t>
  </si>
  <si>
    <t>0.505</t>
  </si>
  <si>
    <t>0.526</t>
  </si>
  <si>
    <t>1.143</t>
  </si>
  <si>
    <t>1.139</t>
  </si>
  <si>
    <t>1.437</t>
  </si>
  <si>
    <t>1.314</t>
  </si>
  <si>
    <t>1.408</t>
  </si>
  <si>
    <t>1.489</t>
  </si>
  <si>
    <t>1.486</t>
  </si>
  <si>
    <t>1.418</t>
  </si>
  <si>
    <t>Latitude</t>
  </si>
  <si>
    <t>Longitude</t>
  </si>
  <si>
    <t>Starttime</t>
  </si>
  <si>
    <t>20250618091323</t>
  </si>
  <si>
    <t>20250618091334</t>
  </si>
  <si>
    <t>20250618091346</t>
  </si>
  <si>
    <t>20250618091416</t>
  </si>
  <si>
    <t>20250618091441</t>
  </si>
  <si>
    <t>20250618091452</t>
  </si>
  <si>
    <t>20250618091520</t>
  </si>
  <si>
    <t>20250618091541</t>
  </si>
  <si>
    <t>20250618091552</t>
  </si>
  <si>
    <t>20250618091624</t>
  </si>
  <si>
    <t>20250618091641</t>
  </si>
  <si>
    <t>20250618091653</t>
  </si>
  <si>
    <t>20250618091719</t>
  </si>
  <si>
    <t>20250618092022</t>
  </si>
  <si>
    <t>20250618092044</t>
  </si>
  <si>
    <t>20250618092123</t>
  </si>
  <si>
    <t>20250618092143</t>
  </si>
  <si>
    <t>20250618092154</t>
  </si>
  <si>
    <t>20250618092227</t>
  </si>
  <si>
    <t>20250618092248</t>
  </si>
  <si>
    <t>20250618092259</t>
  </si>
  <si>
    <t>20250618092324</t>
  </si>
  <si>
    <t>20250618092348</t>
  </si>
  <si>
    <t>20250618092359</t>
  </si>
  <si>
    <t>20250618092429</t>
  </si>
  <si>
    <t>20250618092454</t>
  </si>
  <si>
    <t>20250618092505</t>
  </si>
  <si>
    <t>20250618092541</t>
  </si>
  <si>
    <t>20250618092608</t>
  </si>
  <si>
    <t>20250618092619</t>
  </si>
  <si>
    <t>20250618095615</t>
  </si>
  <si>
    <t>20250618095628</t>
  </si>
  <si>
    <t>20250618095639</t>
  </si>
  <si>
    <t>20250618095703</t>
  </si>
  <si>
    <t>20250618095729</t>
  </si>
  <si>
    <t>20250618095741</t>
  </si>
  <si>
    <t>20250618095818</t>
  </si>
  <si>
    <t>20250618095833</t>
  </si>
  <si>
    <t>20250618095844</t>
  </si>
  <si>
    <t>20250618095909</t>
  </si>
  <si>
    <t>20250618095933</t>
  </si>
  <si>
    <t>20250618095944</t>
  </si>
  <si>
    <t>20250618100012</t>
  </si>
  <si>
    <t>20250618100033</t>
  </si>
  <si>
    <t>20250618100044</t>
  </si>
  <si>
    <t>20250618100115</t>
  </si>
  <si>
    <t>20250618100138</t>
  </si>
  <si>
    <t>20250618100149</t>
  </si>
  <si>
    <t>20250618100217</t>
  </si>
  <si>
    <t>20250618100257</t>
  </si>
  <si>
    <t>20250618100308</t>
  </si>
  <si>
    <t>20250618100333</t>
  </si>
  <si>
    <t>20250618100358</t>
  </si>
  <si>
    <t>20250618100409</t>
  </si>
  <si>
    <t>20250618100446</t>
  </si>
  <si>
    <t>20250618100503</t>
  </si>
  <si>
    <t>20250618100514</t>
  </si>
  <si>
    <t>20250618100538</t>
  </si>
  <si>
    <t>20250618100608</t>
  </si>
  <si>
    <t>20250618100619</t>
  </si>
  <si>
    <t>20250618103430</t>
  </si>
  <si>
    <t>20250618103442</t>
  </si>
  <si>
    <t>20250618103455</t>
  </si>
  <si>
    <t>20250618103508</t>
  </si>
  <si>
    <t>20250618103538</t>
  </si>
  <si>
    <t>20250618103603</t>
  </si>
  <si>
    <t>20250618103623</t>
  </si>
  <si>
    <t>20250618103652</t>
  </si>
  <si>
    <t>20250618103720</t>
  </si>
  <si>
    <t>20250618103732</t>
  </si>
  <si>
    <t>20250618103801</t>
  </si>
  <si>
    <t>20250618103824</t>
  </si>
  <si>
    <t>20250618103836</t>
  </si>
  <si>
    <t>20250618103905</t>
  </si>
  <si>
    <t>20250618103924</t>
  </si>
  <si>
    <t>20250618103936</t>
  </si>
  <si>
    <t>20250618104009</t>
  </si>
  <si>
    <t>20250618104029</t>
  </si>
  <si>
    <t>20250618104040</t>
  </si>
  <si>
    <t>20250618104113</t>
  </si>
  <si>
    <t>20250618104134</t>
  </si>
  <si>
    <t>20250618104145</t>
  </si>
  <si>
    <t>20250618104207</t>
  </si>
  <si>
    <t>20250618104234</t>
  </si>
  <si>
    <t>20250618104246</t>
  </si>
  <si>
    <t>20250618104323</t>
  </si>
  <si>
    <t>20250618104341</t>
  </si>
  <si>
    <t>20250618104353</t>
  </si>
  <si>
    <t>20250618104431</t>
  </si>
  <si>
    <t>20250618104446</t>
  </si>
  <si>
    <t>20250618104457</t>
  </si>
  <si>
    <t>20250618115133</t>
  </si>
  <si>
    <t>20250618115144</t>
  </si>
  <si>
    <t>20250618115156</t>
  </si>
  <si>
    <t>20250618115223</t>
  </si>
  <si>
    <t>20250618115248</t>
  </si>
  <si>
    <t>20250618115300</t>
  </si>
  <si>
    <t>20250618115327</t>
  </si>
  <si>
    <t>20250618115351</t>
  </si>
  <si>
    <t>20250618115402</t>
  </si>
  <si>
    <t>20250618115439</t>
  </si>
  <si>
    <t>20250618115453</t>
  </si>
  <si>
    <t>20250618115505</t>
  </si>
  <si>
    <t>20250618115534</t>
  </si>
  <si>
    <t>20250618115554</t>
  </si>
  <si>
    <t>20250618115605</t>
  </si>
  <si>
    <t>20250618115652</t>
  </si>
  <si>
    <t>20250618115704</t>
  </si>
  <si>
    <t>20250618115715</t>
  </si>
  <si>
    <t>20250618115739</t>
  </si>
  <si>
    <t>20250618115804</t>
  </si>
  <si>
    <t>20250618115815</t>
  </si>
  <si>
    <t>20250618115838</t>
  </si>
  <si>
    <t>20250618115904</t>
  </si>
  <si>
    <t>20250618115915</t>
  </si>
  <si>
    <t>20250618115956</t>
  </si>
  <si>
    <t>20250618120014</t>
  </si>
  <si>
    <t>20250618120025</t>
  </si>
  <si>
    <t>20250618120050</t>
  </si>
  <si>
    <t>20250618120119</t>
  </si>
  <si>
    <t>20250618120130</t>
  </si>
  <si>
    <t>20250618125523</t>
  </si>
  <si>
    <t>20250618125539</t>
  </si>
  <si>
    <t>20250618125553</t>
  </si>
  <si>
    <t>20250618125620</t>
  </si>
  <si>
    <t>20250618125645</t>
  </si>
  <si>
    <t>20250618125701</t>
  </si>
  <si>
    <t>20250618125732</t>
  </si>
  <si>
    <t>20250618125754</t>
  </si>
  <si>
    <t>20250618125805</t>
  </si>
  <si>
    <t>20250618125839</t>
  </si>
  <si>
    <t>20250618125900</t>
  </si>
  <si>
    <t>20250618125911</t>
  </si>
  <si>
    <t>20250618125948</t>
  </si>
  <si>
    <t>20250618130000</t>
  </si>
  <si>
    <t>20250618130011</t>
  </si>
  <si>
    <t>20250618130053</t>
  </si>
  <si>
    <t>20250618130109</t>
  </si>
  <si>
    <t>20250618130142</t>
  </si>
  <si>
    <t>20250618130207</t>
  </si>
  <si>
    <t>20250618130234</t>
  </si>
  <si>
    <t>20250618130245</t>
  </si>
  <si>
    <t>20250618130308</t>
  </si>
  <si>
    <t>20250618130334</t>
  </si>
  <si>
    <t>20250618130345</t>
  </si>
  <si>
    <t>20250618130421</t>
  </si>
  <si>
    <t>20250618130444</t>
  </si>
  <si>
    <t>20250618130455</t>
  </si>
  <si>
    <t>20250618171339</t>
  </si>
  <si>
    <t>20250618171351</t>
  </si>
  <si>
    <t>20250618171402</t>
  </si>
  <si>
    <t>20250618171429</t>
  </si>
  <si>
    <t>20250618171453</t>
  </si>
  <si>
    <t>20250618171504</t>
  </si>
  <si>
    <t>20250618171527</t>
  </si>
  <si>
    <t>20250618171552</t>
  </si>
  <si>
    <t>20250618171603</t>
  </si>
  <si>
    <t>20250618171639</t>
  </si>
  <si>
    <t>20250618171654</t>
  </si>
  <si>
    <t>20250618171705</t>
  </si>
  <si>
    <t>20250618171734</t>
  </si>
  <si>
    <t>20250618171755</t>
  </si>
  <si>
    <t>20250618171806</t>
  </si>
  <si>
    <t>20250618171839</t>
  </si>
  <si>
    <t>20250618172016</t>
  </si>
  <si>
    <t>20250618172047</t>
  </si>
  <si>
    <t>20250618172113</t>
  </si>
  <si>
    <t>20250618172137</t>
  </si>
  <si>
    <t>20250618172148</t>
  </si>
  <si>
    <t>20250618172210</t>
  </si>
  <si>
    <t>20250618172237</t>
  </si>
  <si>
    <t>20250618172248</t>
  </si>
  <si>
    <t>20250618172320</t>
  </si>
  <si>
    <t>20250618172342</t>
  </si>
  <si>
    <t>20250618172353</t>
  </si>
  <si>
    <t>20250618172418</t>
  </si>
  <si>
    <t>20250618172448</t>
  </si>
  <si>
    <t>20250618172459</t>
  </si>
  <si>
    <t>20250618181841</t>
  </si>
  <si>
    <t>20250618181858</t>
  </si>
  <si>
    <t>20250618181909</t>
  </si>
  <si>
    <t>20250618181934</t>
  </si>
  <si>
    <t>20250618181958</t>
  </si>
  <si>
    <t>20250618182009</t>
  </si>
  <si>
    <t>20250618182032</t>
  </si>
  <si>
    <t>20250618182059</t>
  </si>
  <si>
    <t>20250618182111</t>
  </si>
  <si>
    <t>20250618182138</t>
  </si>
  <si>
    <t>20250618182203</t>
  </si>
  <si>
    <t>20250618182214</t>
  </si>
  <si>
    <t>20250618182246</t>
  </si>
  <si>
    <t>20250618182307</t>
  </si>
  <si>
    <t>20250618182319</t>
  </si>
  <si>
    <t>20250618182404</t>
  </si>
  <si>
    <t>20250618182424</t>
  </si>
  <si>
    <t>20250618182436</t>
  </si>
  <si>
    <t>20250618182514</t>
  </si>
  <si>
    <t>20250618182540</t>
  </si>
  <si>
    <t>20250618182554</t>
  </si>
  <si>
    <t>20250618182626</t>
  </si>
  <si>
    <t>20250618182644</t>
  </si>
  <si>
    <t>20250618182656</t>
  </si>
  <si>
    <t>20250618182729</t>
  </si>
  <si>
    <t>20250618182749</t>
  </si>
  <si>
    <t>20250618182800</t>
  </si>
  <si>
    <t>20250618182824</t>
  </si>
  <si>
    <t>20250618182854</t>
  </si>
  <si>
    <t>20250618182905</t>
  </si>
  <si>
    <t>20250618182921</t>
  </si>
  <si>
    <t>20250618191443</t>
  </si>
  <si>
    <t>20250618191457</t>
  </si>
  <si>
    <t>20250618191508</t>
  </si>
  <si>
    <t>20250618191533</t>
  </si>
  <si>
    <t>20250618191558</t>
  </si>
  <si>
    <t>20250618191609</t>
  </si>
  <si>
    <t>20250618191634</t>
  </si>
  <si>
    <t>20250618191658</t>
  </si>
  <si>
    <t>20250618191709</t>
  </si>
  <si>
    <t>20250618191734</t>
  </si>
  <si>
    <t>20250618191758</t>
  </si>
  <si>
    <t>20250618191809</t>
  </si>
  <si>
    <t>20250618191838</t>
  </si>
  <si>
    <t>20250618191858</t>
  </si>
  <si>
    <t>20250618191909</t>
  </si>
  <si>
    <t>20250618191942</t>
  </si>
  <si>
    <t>20250618192003</t>
  </si>
  <si>
    <t>20250618192014</t>
  </si>
  <si>
    <t>20250618192047</t>
  </si>
  <si>
    <t>20250618192113</t>
  </si>
  <si>
    <t>20250618192125</t>
  </si>
  <si>
    <t>20250618192147</t>
  </si>
  <si>
    <t>20250618192213</t>
  </si>
  <si>
    <t>20250618192224</t>
  </si>
  <si>
    <t>20250618192312</t>
  </si>
  <si>
    <t>20250618192333</t>
  </si>
  <si>
    <t>20250618192345</t>
  </si>
  <si>
    <t>20250618192408</t>
  </si>
  <si>
    <t>20250618192438</t>
  </si>
  <si>
    <t>20250618192450</t>
  </si>
  <si>
    <t>20250415133711</t>
  </si>
  <si>
    <t>20250415133723</t>
  </si>
  <si>
    <t>20250415133735</t>
  </si>
  <si>
    <t>20250415133853</t>
  </si>
  <si>
    <t>20250415133909</t>
  </si>
  <si>
    <t>20250415133926</t>
  </si>
  <si>
    <t>20250415134047</t>
  </si>
  <si>
    <t>20250415134417</t>
  </si>
  <si>
    <t>20250415134429</t>
  </si>
  <si>
    <t>20250415134518</t>
  </si>
  <si>
    <t>20250415134530</t>
  </si>
  <si>
    <t>20250415134542</t>
  </si>
  <si>
    <t>20250415135734</t>
  </si>
  <si>
    <t>20250415135746</t>
  </si>
  <si>
    <t>20250415135758</t>
  </si>
  <si>
    <t>20250415135858</t>
  </si>
  <si>
    <t>20250415135910</t>
  </si>
  <si>
    <t>20250415135922</t>
  </si>
  <si>
    <t>20250415140035</t>
  </si>
  <si>
    <t>20250415140049</t>
  </si>
  <si>
    <t>20250415140102</t>
  </si>
  <si>
    <t>20250415140219</t>
  </si>
  <si>
    <t>20250415140234</t>
  </si>
  <si>
    <t>20250415140248</t>
  </si>
  <si>
    <t>20250415153100</t>
  </si>
  <si>
    <t>20250415153115</t>
  </si>
  <si>
    <t>20250415153129</t>
  </si>
  <si>
    <t>20250415153207</t>
  </si>
  <si>
    <t>20250415153226</t>
  </si>
  <si>
    <t>20250415153238</t>
  </si>
  <si>
    <t>20250415153314</t>
  </si>
  <si>
    <t>20250415153328</t>
  </si>
  <si>
    <t>20250415153340</t>
  </si>
  <si>
    <t>20250415153418</t>
  </si>
  <si>
    <t>20250415153431</t>
  </si>
  <si>
    <t>20250415153445</t>
  </si>
  <si>
    <t>20250415153541</t>
  </si>
  <si>
    <t>20250415153554</t>
  </si>
  <si>
    <t>20250415153609</t>
  </si>
  <si>
    <t>20250415153733</t>
  </si>
  <si>
    <t>20250415153756</t>
  </si>
  <si>
    <t>20250415153814</t>
  </si>
  <si>
    <t>20250415153904</t>
  </si>
  <si>
    <t>20250415153957</t>
  </si>
  <si>
    <t>20250415154009</t>
  </si>
  <si>
    <t>20250415154040</t>
  </si>
  <si>
    <t>20250415154054</t>
  </si>
  <si>
    <t>20250415154106</t>
  </si>
  <si>
    <t>20250415154448</t>
  </si>
  <si>
    <t>20250415154502</t>
  </si>
  <si>
    <t>20250415154515</t>
  </si>
  <si>
    <t>20250415154528</t>
  </si>
  <si>
    <t>20250415154540</t>
  </si>
  <si>
    <t>20250415154829</t>
  </si>
  <si>
    <t>20250415154842</t>
  </si>
  <si>
    <t>20250415154855</t>
  </si>
  <si>
    <t>20250415154907</t>
  </si>
  <si>
    <t>20250415154919</t>
  </si>
  <si>
    <t>20250415114803</t>
  </si>
  <si>
    <t>20250415114817</t>
  </si>
  <si>
    <t>20250415114830</t>
  </si>
  <si>
    <t>20250415115008</t>
  </si>
  <si>
    <t>20250415115022</t>
  </si>
  <si>
    <t>20250415115041</t>
  </si>
  <si>
    <t>20250415115138</t>
  </si>
  <si>
    <t>20250415115154</t>
  </si>
  <si>
    <t>20250415115205</t>
  </si>
  <si>
    <t>20250415115303</t>
  </si>
  <si>
    <t>20250415115315</t>
  </si>
  <si>
    <t>20250415115327</t>
  </si>
  <si>
    <t>20250415115432</t>
  </si>
  <si>
    <t>20250415115443</t>
  </si>
  <si>
    <t>20250415115508</t>
  </si>
  <si>
    <t>20250415115745</t>
  </si>
  <si>
    <t>20250415115758</t>
  </si>
  <si>
    <t>20250415115810</t>
  </si>
  <si>
    <t>20250415115928</t>
  </si>
  <si>
    <t>20250415120033</t>
  </si>
  <si>
    <t>20250415120045</t>
  </si>
  <si>
    <t>20250415120219</t>
  </si>
  <si>
    <t>20250415120231</t>
  </si>
  <si>
    <t>20250415120243</t>
  </si>
  <si>
    <t>20250415120443</t>
  </si>
  <si>
    <t>20250415120458</t>
  </si>
  <si>
    <t>20250415120512</t>
  </si>
  <si>
    <t>20250415120710</t>
  </si>
  <si>
    <t>20250415120723</t>
  </si>
  <si>
    <t>20250415120735</t>
  </si>
  <si>
    <t>20250512121412</t>
  </si>
  <si>
    <t>20250512123802</t>
  </si>
  <si>
    <t>20250512123934</t>
  </si>
  <si>
    <t>20250512124056</t>
  </si>
  <si>
    <t>20250512124254</t>
  </si>
  <si>
    <t>20250512124428</t>
  </si>
  <si>
    <t>20250512125532</t>
  </si>
  <si>
    <t>20250512130046</t>
  </si>
  <si>
    <t>20250512131436</t>
  </si>
  <si>
    <t>20250512142028</t>
  </si>
  <si>
    <t>20250512142144</t>
  </si>
  <si>
    <t>20250512142243</t>
  </si>
  <si>
    <t>20250512142341</t>
  </si>
  <si>
    <t>20250512142430</t>
  </si>
  <si>
    <t>20250512142657</t>
  </si>
  <si>
    <t>20250512142921</t>
  </si>
  <si>
    <t>20250512143020</t>
  </si>
  <si>
    <t>20250512144520</t>
  </si>
  <si>
    <t>20250512153949</t>
  </si>
  <si>
    <t>20250512154046</t>
  </si>
  <si>
    <t>20250512154143</t>
  </si>
  <si>
    <t>20250512154237</t>
  </si>
  <si>
    <t>20250512154331</t>
  </si>
  <si>
    <t>20250512154445</t>
  </si>
  <si>
    <t>20250512155312</t>
  </si>
  <si>
    <t>20250512155444</t>
  </si>
  <si>
    <t>20250512163329</t>
  </si>
  <si>
    <t>20250512163535</t>
  </si>
  <si>
    <t>20250512163647</t>
  </si>
  <si>
    <t>20250512163735</t>
  </si>
  <si>
    <t>20250512163856</t>
  </si>
  <si>
    <t>20250512164047</t>
  </si>
  <si>
    <t>20250512164325</t>
  </si>
  <si>
    <t>20250512164429</t>
  </si>
  <si>
    <t>20250512164541</t>
  </si>
  <si>
    <t>20250512173450</t>
  </si>
  <si>
    <t>20250512173550</t>
  </si>
  <si>
    <t>20250512173716</t>
  </si>
  <si>
    <t>20250512173833</t>
  </si>
  <si>
    <t>20250512173924</t>
  </si>
  <si>
    <t>20250512174027</t>
  </si>
  <si>
    <t>20250512174119</t>
  </si>
  <si>
    <t>20250512174200</t>
  </si>
  <si>
    <t>20250512174325</t>
  </si>
  <si>
    <t>20250513085502</t>
  </si>
  <si>
    <t>20250513085640</t>
  </si>
  <si>
    <t>20250513085818</t>
  </si>
  <si>
    <t>20250513090301</t>
  </si>
  <si>
    <t>20250513090433</t>
  </si>
  <si>
    <t>20250513091149</t>
  </si>
  <si>
    <t>20250513095642</t>
  </si>
  <si>
    <t>20250513095743</t>
  </si>
  <si>
    <t>20250513095908</t>
  </si>
  <si>
    <t>20250513095955</t>
  </si>
  <si>
    <t>20250513100045</t>
  </si>
  <si>
    <t>20250513100209</t>
  </si>
  <si>
    <t>20250513100300</t>
  </si>
  <si>
    <t>20250513100341</t>
  </si>
  <si>
    <t>20250513100454</t>
  </si>
  <si>
    <t>20250513103030</t>
  </si>
  <si>
    <t>20250513103132</t>
  </si>
  <si>
    <t>20250513103247</t>
  </si>
  <si>
    <t>20250513103340</t>
  </si>
  <si>
    <t>20250513103427</t>
  </si>
  <si>
    <t>20250513103552</t>
  </si>
  <si>
    <t>20250513103648</t>
  </si>
  <si>
    <t>20250513103726</t>
  </si>
  <si>
    <t>20250513103858</t>
  </si>
  <si>
    <t>20250513111051</t>
  </si>
  <si>
    <t>20250513111238</t>
  </si>
  <si>
    <t>20250513111338</t>
  </si>
  <si>
    <t>20250513111425</t>
  </si>
  <si>
    <t>20250513111514</t>
  </si>
  <si>
    <t>20250513111639</t>
  </si>
  <si>
    <t>20250513111723</t>
  </si>
  <si>
    <t>20250513111816</t>
  </si>
  <si>
    <t>20250513111935</t>
  </si>
  <si>
    <t>20250513114742</t>
  </si>
  <si>
    <t>20250513114915</t>
  </si>
  <si>
    <t>20250513115118</t>
  </si>
  <si>
    <t>20250513115205</t>
  </si>
  <si>
    <t>20250513115253</t>
  </si>
  <si>
    <t>20250513115359</t>
  </si>
  <si>
    <t>20250513115520</t>
  </si>
  <si>
    <t>20250513115604</t>
  </si>
  <si>
    <t>20250513115722</t>
  </si>
  <si>
    <t>20250513130624</t>
  </si>
  <si>
    <t>20250513130724</t>
  </si>
  <si>
    <t>20250513130911</t>
  </si>
  <si>
    <t>20250513131619</t>
  </si>
  <si>
    <t>20250513131720</t>
  </si>
  <si>
    <t>20250513131848</t>
  </si>
  <si>
    <t>20250513131941</t>
  </si>
  <si>
    <t>20250513132419</t>
  </si>
  <si>
    <t>20250513132538</t>
  </si>
  <si>
    <t>20250513140035</t>
  </si>
  <si>
    <t>20250513140155</t>
  </si>
  <si>
    <t>20250513140252</t>
  </si>
  <si>
    <t>20250513140341</t>
  </si>
  <si>
    <t>20250513140430</t>
  </si>
  <si>
    <t>20250513140548</t>
  </si>
  <si>
    <t>20250513140827</t>
  </si>
  <si>
    <t>20250513140905</t>
  </si>
  <si>
    <t>20250513145053</t>
  </si>
  <si>
    <t>20250513145155</t>
  </si>
  <si>
    <t>20250513145322</t>
  </si>
  <si>
    <t>20250513145432</t>
  </si>
  <si>
    <t>20250513145608</t>
  </si>
  <si>
    <t>20250513145748</t>
  </si>
  <si>
    <t>20250513145850</t>
  </si>
  <si>
    <t>20250513145936</t>
  </si>
  <si>
    <t>20250513150051</t>
  </si>
  <si>
    <t>20250513152838</t>
  </si>
  <si>
    <t>20250513152939</t>
  </si>
  <si>
    <t>20250513153049</t>
  </si>
  <si>
    <t>20250513153138</t>
  </si>
  <si>
    <t>20250513153224</t>
  </si>
  <si>
    <t>20250513153335</t>
  </si>
  <si>
    <t>20250513153440</t>
  </si>
  <si>
    <t>20250513153520</t>
  </si>
  <si>
    <t>20250513153645</t>
  </si>
  <si>
    <t>20250513162919</t>
  </si>
  <si>
    <t>20250513163138</t>
  </si>
  <si>
    <t>20250513163235</t>
  </si>
  <si>
    <t>20250513163319</t>
  </si>
  <si>
    <t>20250513163420</t>
  </si>
  <si>
    <t>20250513163526</t>
  </si>
  <si>
    <t>20250513163648</t>
  </si>
  <si>
    <t>20250513163731</t>
  </si>
  <si>
    <t>20250513163854</t>
  </si>
  <si>
    <t>20250513171801</t>
  </si>
  <si>
    <t>20250513171921</t>
  </si>
  <si>
    <t>20250513172014</t>
  </si>
  <si>
    <t>20250513172117</t>
  </si>
  <si>
    <t>20250513172214</t>
  </si>
  <si>
    <t>20250513172418</t>
  </si>
  <si>
    <t>20250513172735</t>
  </si>
  <si>
    <t>20250513172812</t>
  </si>
  <si>
    <t>20250513172914</t>
  </si>
  <si>
    <t>20250514085102</t>
  </si>
  <si>
    <t>20250514085217</t>
  </si>
  <si>
    <t>20250514085714</t>
  </si>
  <si>
    <t>20250514090110</t>
  </si>
  <si>
    <t>20250514090232</t>
  </si>
  <si>
    <t>20250514090407</t>
  </si>
  <si>
    <t>20250514090459</t>
  </si>
  <si>
    <t>20250514091035</t>
  </si>
  <si>
    <t>20250514093121</t>
  </si>
  <si>
    <t>20250514095630</t>
  </si>
  <si>
    <t>20250514095727</t>
  </si>
  <si>
    <t>20250514095817</t>
  </si>
  <si>
    <t>20250514095946</t>
  </si>
  <si>
    <t>20250514100048</t>
  </si>
  <si>
    <t>20250514100207</t>
  </si>
  <si>
    <t>20250514100309</t>
  </si>
  <si>
    <t>20250514100351</t>
  </si>
  <si>
    <t>20250514102014</t>
  </si>
  <si>
    <t>20250514105347</t>
  </si>
  <si>
    <t>20250514105442</t>
  </si>
  <si>
    <t>20250514105533</t>
  </si>
  <si>
    <t>20250514105621</t>
  </si>
  <si>
    <t>20250514105717</t>
  </si>
  <si>
    <t>20250514105818</t>
  </si>
  <si>
    <t>20250514105902</t>
  </si>
  <si>
    <t>20250514105945</t>
  </si>
  <si>
    <t>20250514110135</t>
  </si>
  <si>
    <t>20250514110256</t>
  </si>
  <si>
    <t>20250514122712</t>
  </si>
  <si>
    <t>20250514122832</t>
  </si>
  <si>
    <t>20250514122919</t>
  </si>
  <si>
    <t>20250514123018</t>
  </si>
  <si>
    <t>20250514123108</t>
  </si>
  <si>
    <t>20250514123229</t>
  </si>
  <si>
    <t>20250514123657</t>
  </si>
  <si>
    <t>20250514123757</t>
  </si>
  <si>
    <t>20250514123955</t>
  </si>
  <si>
    <t>20250514124041</t>
  </si>
  <si>
    <t>20250528110042</t>
  </si>
  <si>
    <t>20250528110412</t>
  </si>
  <si>
    <t>20250528110425</t>
  </si>
  <si>
    <t>20250528110930</t>
  </si>
  <si>
    <t>20250528110945</t>
  </si>
  <si>
    <t>20250528110957</t>
  </si>
  <si>
    <t>20250528111208</t>
  </si>
  <si>
    <t>20250528112109</t>
  </si>
  <si>
    <t>20250528112121</t>
  </si>
  <si>
    <t>20250528112216</t>
  </si>
  <si>
    <t>20250528112415</t>
  </si>
  <si>
    <t>20250528112427</t>
  </si>
  <si>
    <t>20250528112605</t>
  </si>
  <si>
    <t>20250528112835</t>
  </si>
  <si>
    <t>20250528112846</t>
  </si>
  <si>
    <t>20250528113045</t>
  </si>
  <si>
    <t>20250528113205</t>
  </si>
  <si>
    <t>20250528113219</t>
  </si>
  <si>
    <t>20250528113230</t>
  </si>
  <si>
    <t>20250528113307</t>
  </si>
  <si>
    <t>20250528113322</t>
  </si>
  <si>
    <t>20250528113335</t>
  </si>
  <si>
    <t>20250528114411</t>
  </si>
  <si>
    <t>20250528114426</t>
  </si>
  <si>
    <t>20250528114440</t>
  </si>
  <si>
    <t>20250528131007</t>
  </si>
  <si>
    <t>20250528131019</t>
  </si>
  <si>
    <t>20250528131035</t>
  </si>
  <si>
    <t>20250528131118</t>
  </si>
  <si>
    <t>20250528131137</t>
  </si>
  <si>
    <t>20250528131149</t>
  </si>
  <si>
    <t>20250528131230</t>
  </si>
  <si>
    <t>20250528131242</t>
  </si>
  <si>
    <t>20250528131254</t>
  </si>
  <si>
    <t>20250528131337</t>
  </si>
  <si>
    <t>20250528131353</t>
  </si>
  <si>
    <t>20250528131404</t>
  </si>
  <si>
    <t>20250528131447</t>
  </si>
  <si>
    <t>20250528131501</t>
  </si>
  <si>
    <t>20250528131512</t>
  </si>
  <si>
    <t>20250528131607</t>
  </si>
  <si>
    <t>20250528131618</t>
  </si>
  <si>
    <t>20250528131630</t>
  </si>
  <si>
    <t>20250528131721</t>
  </si>
  <si>
    <t>20250528131734</t>
  </si>
  <si>
    <t>20250528131746</t>
  </si>
  <si>
    <t>20250528131832</t>
  </si>
  <si>
    <t>20250528131843</t>
  </si>
  <si>
    <t>20250528131855</t>
  </si>
  <si>
    <t>20250528161903</t>
  </si>
  <si>
    <t>20250528161916</t>
  </si>
  <si>
    <t>20250528161929</t>
  </si>
  <si>
    <t>20250528162018</t>
  </si>
  <si>
    <t>20250528162032</t>
  </si>
  <si>
    <t>20250528162043</t>
  </si>
  <si>
    <t>20250528162128</t>
  </si>
  <si>
    <t>20250528162139</t>
  </si>
  <si>
    <t>20250528162157</t>
  </si>
  <si>
    <t>20250528162401</t>
  </si>
  <si>
    <t>20250528162449</t>
  </si>
  <si>
    <t>20250528162501</t>
  </si>
  <si>
    <t>20250528162544</t>
  </si>
  <si>
    <t>20250528162603</t>
  </si>
  <si>
    <t>20250528162619</t>
  </si>
  <si>
    <t>20250528162733</t>
  </si>
  <si>
    <t>20250528162820</t>
  </si>
  <si>
    <t>20250528162832</t>
  </si>
  <si>
    <t>20250528162912</t>
  </si>
  <si>
    <t>20250528162924</t>
  </si>
  <si>
    <t>20250528162935</t>
  </si>
  <si>
    <t>20250528163036</t>
  </si>
  <si>
    <t>20250528163048</t>
  </si>
  <si>
    <t>20250528163154</t>
  </si>
  <si>
    <t>20250528163206</t>
  </si>
  <si>
    <t>20250528163218</t>
  </si>
  <si>
    <t>20250528163313</t>
  </si>
  <si>
    <t>20250528163806</t>
  </si>
  <si>
    <t>20250528163827</t>
  </si>
  <si>
    <t>20250528163843</t>
  </si>
  <si>
    <t>20250528163701</t>
  </si>
  <si>
    <t>20250528163715</t>
  </si>
  <si>
    <t>20250528163729</t>
  </si>
  <si>
    <t>20250528163839</t>
  </si>
  <si>
    <t>20250528163850</t>
  </si>
  <si>
    <t>20250528163933</t>
  </si>
  <si>
    <t>20250528164155</t>
  </si>
  <si>
    <t>20250528164206</t>
  </si>
  <si>
    <t>20250528164250</t>
  </si>
  <si>
    <t>20250528164310</t>
  </si>
  <si>
    <t>20250528164322</t>
  </si>
  <si>
    <t>20250528164405</t>
  </si>
  <si>
    <t>20250528164839</t>
  </si>
  <si>
    <t>20250528164850</t>
  </si>
  <si>
    <t>20250528164943</t>
  </si>
  <si>
    <t>20250528165000</t>
  </si>
  <si>
    <t>20250528165015</t>
  </si>
  <si>
    <t>20250528170336</t>
  </si>
  <si>
    <t>20250528170515</t>
  </si>
  <si>
    <t>20250528170526</t>
  </si>
  <si>
    <t>20250528180146</t>
  </si>
  <si>
    <t>20250528180202</t>
  </si>
  <si>
    <t>20250528180216</t>
  </si>
  <si>
    <t>20250528180258</t>
  </si>
  <si>
    <t>20250528180620</t>
  </si>
  <si>
    <t>20250528180632</t>
  </si>
  <si>
    <t>20250528180703</t>
  </si>
  <si>
    <t>20250528180720</t>
  </si>
  <si>
    <t>20250528180733</t>
  </si>
  <si>
    <t>20250528180858</t>
  </si>
  <si>
    <t>20250528180927</t>
  </si>
  <si>
    <t>20250528180938</t>
  </si>
  <si>
    <t>20250528181026</t>
  </si>
  <si>
    <t>20250528181700</t>
  </si>
  <si>
    <t>20250528181713</t>
  </si>
  <si>
    <t>20250528181757</t>
  </si>
  <si>
    <t>20250528181943</t>
  </si>
  <si>
    <t>20250528182108</t>
  </si>
  <si>
    <t>20250528182327</t>
  </si>
  <si>
    <t>20250528182338</t>
  </si>
  <si>
    <t>20250528182420</t>
  </si>
  <si>
    <t>20250528182454</t>
  </si>
  <si>
    <t>20250528182506</t>
  </si>
  <si>
    <t>20250528203636</t>
  </si>
  <si>
    <t>20250528203648</t>
  </si>
  <si>
    <t>20250528203700</t>
  </si>
  <si>
    <t>20250528203753</t>
  </si>
  <si>
    <t>20250528203806</t>
  </si>
  <si>
    <t>20250528203818</t>
  </si>
  <si>
    <t>20250528203905</t>
  </si>
  <si>
    <t>20250528204128</t>
  </si>
  <si>
    <t>20250528204139</t>
  </si>
  <si>
    <t>20250528204211</t>
  </si>
  <si>
    <t>20250528204229</t>
  </si>
  <si>
    <t>20250528204241</t>
  </si>
  <si>
    <t>20250528205710</t>
  </si>
  <si>
    <t>20250528205823</t>
  </si>
  <si>
    <t>20250528205856</t>
  </si>
  <si>
    <t>20250528211159</t>
  </si>
  <si>
    <t>20250528211605</t>
  </si>
  <si>
    <t>20250528211616</t>
  </si>
  <si>
    <t>20250528211756</t>
  </si>
  <si>
    <t>20250528211815</t>
  </si>
  <si>
    <t>20250528211827</t>
  </si>
  <si>
    <t>20250529160121</t>
  </si>
  <si>
    <t>20250529160137</t>
  </si>
  <si>
    <t>20250529160152</t>
  </si>
  <si>
    <t>20250529160229</t>
  </si>
  <si>
    <t>20250529160254</t>
  </si>
  <si>
    <t>20250529160306</t>
  </si>
  <si>
    <t>20250529160345</t>
  </si>
  <si>
    <t>20250529160738</t>
  </si>
  <si>
    <t>20250529160749</t>
  </si>
  <si>
    <t>20250529160821</t>
  </si>
  <si>
    <t>20250529160837</t>
  </si>
  <si>
    <t>20250529160848</t>
  </si>
  <si>
    <t>20250529160957</t>
  </si>
  <si>
    <t>20250529161008</t>
  </si>
  <si>
    <t>20250529161019</t>
  </si>
  <si>
    <t>20250529161050</t>
  </si>
  <si>
    <t>20250529161104</t>
  </si>
  <si>
    <t>20250529161115</t>
  </si>
  <si>
    <t>20250529161146</t>
  </si>
  <si>
    <t>20250529161202</t>
  </si>
  <si>
    <t>20250529161215</t>
  </si>
  <si>
    <t>20250529171327</t>
  </si>
  <si>
    <t>20250529171351</t>
  </si>
  <si>
    <t>20250529171407</t>
  </si>
  <si>
    <t>20250529171459</t>
  </si>
  <si>
    <t>20250529171522</t>
  </si>
  <si>
    <t>20250529171533</t>
  </si>
  <si>
    <t>20250529171621</t>
  </si>
  <si>
    <t>20250529171820</t>
  </si>
  <si>
    <t>20250529171831</t>
  </si>
  <si>
    <t>20250529171903</t>
  </si>
  <si>
    <t>20250529171919</t>
  </si>
  <si>
    <t>20250529171931</t>
  </si>
  <si>
    <t>20250529172151</t>
  </si>
  <si>
    <t>20250529172310</t>
  </si>
  <si>
    <t>20250529172322</t>
  </si>
  <si>
    <t>20250529172417</t>
  </si>
  <si>
    <t>20250529172428</t>
  </si>
  <si>
    <t>20250529172439</t>
  </si>
  <si>
    <t>20250529172506</t>
  </si>
  <si>
    <t>20250529172537</t>
  </si>
  <si>
    <t>20250529172549</t>
  </si>
  <si>
    <t>20250529172618</t>
  </si>
  <si>
    <t>20250529172840</t>
  </si>
  <si>
    <t>20250529172851</t>
  </si>
  <si>
    <t>20250529172918</t>
  </si>
  <si>
    <t>20250529172937</t>
  </si>
  <si>
    <t>20250529172950</t>
  </si>
  <si>
    <t>20250529181429</t>
  </si>
  <si>
    <t>20250529181642</t>
  </si>
  <si>
    <t>20250529181654</t>
  </si>
  <si>
    <t>20250529181729</t>
  </si>
  <si>
    <t>20250529181754</t>
  </si>
  <si>
    <t>20250529181805</t>
  </si>
  <si>
    <t>20250529181832</t>
  </si>
  <si>
    <t>20250529181940</t>
  </si>
  <si>
    <t>20250529181951</t>
  </si>
  <si>
    <t>20250529182022</t>
  </si>
  <si>
    <t>20250529182038</t>
  </si>
  <si>
    <t>20250529182050</t>
  </si>
  <si>
    <t>20250529182127</t>
  </si>
  <si>
    <t>20250529182242</t>
  </si>
  <si>
    <t>20250529182253</t>
  </si>
  <si>
    <t>20250529182337</t>
  </si>
  <si>
    <t>20250529182348</t>
  </si>
  <si>
    <t>20250529182602</t>
  </si>
  <si>
    <t>20250529183005</t>
  </si>
  <si>
    <t>20250529183017</t>
  </si>
  <si>
    <t>20250529183111</t>
  </si>
  <si>
    <t>20250529183123</t>
  </si>
  <si>
    <t>20250529183135</t>
  </si>
  <si>
    <t>20250529190522</t>
  </si>
  <si>
    <t>20250529190535</t>
  </si>
  <si>
    <t>20250529190548</t>
  </si>
  <si>
    <t>20250529190626</t>
  </si>
  <si>
    <t>20250529190642</t>
  </si>
  <si>
    <t>20250529190653</t>
  </si>
  <si>
    <t>20250529191059</t>
  </si>
  <si>
    <t>20250529191117</t>
  </si>
  <si>
    <t>20250529191156</t>
  </si>
  <si>
    <t>20250529191224</t>
  </si>
  <si>
    <t>20250529191241</t>
  </si>
  <si>
    <t>20250529191315</t>
  </si>
  <si>
    <t>20250529191421</t>
  </si>
  <si>
    <t>20250529191433</t>
  </si>
  <si>
    <t>20250529191503</t>
  </si>
  <si>
    <t>20250529191521</t>
  </si>
  <si>
    <t>20250529191532</t>
  </si>
  <si>
    <t>20250529191702</t>
  </si>
  <si>
    <t>20250529191714</t>
  </si>
  <si>
    <t>20250529191726</t>
  </si>
  <si>
    <t>20250529191756</t>
  </si>
  <si>
    <t>20250529191814</t>
  </si>
  <si>
    <t>20250529191826</t>
  </si>
  <si>
    <t>20250529194822</t>
  </si>
  <si>
    <t>20250529194922</t>
  </si>
  <si>
    <t>20250529194933</t>
  </si>
  <si>
    <t>20250529195011</t>
  </si>
  <si>
    <t>20250529195025</t>
  </si>
  <si>
    <t>20250529195037</t>
  </si>
  <si>
    <t>20250529195110</t>
  </si>
  <si>
    <t>20250529195523</t>
  </si>
  <si>
    <t>20250529195535</t>
  </si>
  <si>
    <t>20250529125108</t>
  </si>
  <si>
    <t>20250529125120</t>
  </si>
  <si>
    <t>20250529125132</t>
  </si>
  <si>
    <t>20250529125233</t>
  </si>
  <si>
    <t>20250529125246</t>
  </si>
  <si>
    <t>20250529125303</t>
  </si>
  <si>
    <t>20250529125428</t>
  </si>
  <si>
    <t>20250529125440</t>
  </si>
  <si>
    <t>20250529125451</t>
  </si>
  <si>
    <t>20250529125531</t>
  </si>
  <si>
    <t>20250529125543</t>
  </si>
  <si>
    <t>20250529125558</t>
  </si>
  <si>
    <t>20250529131027</t>
  </si>
  <si>
    <t>20250529131039</t>
  </si>
  <si>
    <t>20250529131051</t>
  </si>
  <si>
    <t>20250529131135</t>
  </si>
  <si>
    <t>20250529131148</t>
  </si>
  <si>
    <t>20250529131200</t>
  </si>
  <si>
    <t>20250529132513</t>
  </si>
  <si>
    <t>20250529132716</t>
  </si>
  <si>
    <t>20250529132728</t>
  </si>
  <si>
    <t>20250529111159</t>
  </si>
  <si>
    <t>20250529111211</t>
  </si>
  <si>
    <t>20250529111223</t>
  </si>
  <si>
    <t>20250529111458</t>
  </si>
  <si>
    <t>20250529111510</t>
  </si>
  <si>
    <t>20250529111523</t>
  </si>
  <si>
    <t>20250529112041</t>
  </si>
  <si>
    <t>20250529112341</t>
  </si>
  <si>
    <t>20250529112353</t>
  </si>
  <si>
    <t>20250529112426</t>
  </si>
  <si>
    <t>20250529112443</t>
  </si>
  <si>
    <t>20250529112456</t>
  </si>
  <si>
    <t>20250529112731</t>
  </si>
  <si>
    <t>20250529112743</t>
  </si>
  <si>
    <t>20250529112755</t>
  </si>
  <si>
    <t>20250529112918</t>
  </si>
  <si>
    <t>20250529112930</t>
  </si>
  <si>
    <t>20250529112942</t>
  </si>
  <si>
    <t>20250529113035</t>
  </si>
  <si>
    <t>20250529113047</t>
  </si>
  <si>
    <t>20250529113059</t>
  </si>
  <si>
    <t>20250529085604</t>
  </si>
  <si>
    <t>20250529085750</t>
  </si>
  <si>
    <t>20250529085804</t>
  </si>
  <si>
    <t>20250529085925</t>
  </si>
  <si>
    <t>20250529085937</t>
  </si>
  <si>
    <t>20250529085948</t>
  </si>
  <si>
    <t>20250529090028</t>
  </si>
  <si>
    <t>20250529090351</t>
  </si>
  <si>
    <t>20250529090404</t>
  </si>
  <si>
    <t>20250529090509</t>
  </si>
  <si>
    <t>20250529090521</t>
  </si>
  <si>
    <t>20250529090534</t>
  </si>
  <si>
    <t>20250529090923</t>
  </si>
  <si>
    <t>20250529090947</t>
  </si>
  <si>
    <t>20250529091001</t>
  </si>
  <si>
    <t>20250529091127</t>
  </si>
  <si>
    <t>20250529091139</t>
  </si>
  <si>
    <t>20250529091151</t>
  </si>
  <si>
    <t>20250529091241</t>
  </si>
  <si>
    <t>20250529091252</t>
  </si>
  <si>
    <t>20250529091307</t>
  </si>
  <si>
    <t>20250530121521</t>
  </si>
  <si>
    <t>20250530121533</t>
  </si>
  <si>
    <t>20250530121545</t>
  </si>
  <si>
    <t>20250530121700</t>
  </si>
  <si>
    <t>20250530121712</t>
  </si>
  <si>
    <t>20250530121724</t>
  </si>
  <si>
    <t>20250530122047</t>
  </si>
  <si>
    <t>20250530122059</t>
  </si>
  <si>
    <t>20250530122111</t>
  </si>
  <si>
    <t>20250530122212</t>
  </si>
  <si>
    <t>20250530122224</t>
  </si>
  <si>
    <t>20250530122236</t>
  </si>
  <si>
    <t>20250530122500</t>
  </si>
  <si>
    <t>20250530122512</t>
  </si>
  <si>
    <t>20250530122524</t>
  </si>
  <si>
    <t>20250530122612</t>
  </si>
  <si>
    <t>20250530122631</t>
  </si>
  <si>
    <t>20250530122645</t>
  </si>
  <si>
    <t>20250530130022</t>
  </si>
  <si>
    <t>20250530130034</t>
  </si>
  <si>
    <t>20250530130045</t>
  </si>
  <si>
    <t>20250530130116</t>
  </si>
  <si>
    <t>20250530130148</t>
  </si>
  <si>
    <t>20250530130200</t>
  </si>
  <si>
    <t>20250530130233</t>
  </si>
  <si>
    <t>20250530130251</t>
  </si>
  <si>
    <t>20250530130304</t>
  </si>
  <si>
    <t>20250530130336</t>
  </si>
  <si>
    <t>20250530130353</t>
  </si>
  <si>
    <t>20250530130404</t>
  </si>
  <si>
    <t>20250530130430</t>
  </si>
  <si>
    <t>20250530130449</t>
  </si>
  <si>
    <t>20250530130501</t>
  </si>
  <si>
    <t>20250530130535</t>
  </si>
  <si>
    <t>20250530130549</t>
  </si>
  <si>
    <t>20250530130600</t>
  </si>
  <si>
    <t>20250530130627</t>
  </si>
  <si>
    <t>20250530130701</t>
  </si>
  <si>
    <t>20250530130723</t>
  </si>
  <si>
    <t>20250530130751</t>
  </si>
  <si>
    <t>20250530131022</t>
  </si>
  <si>
    <t>20250530131033</t>
  </si>
  <si>
    <t>20250530131113</t>
  </si>
  <si>
    <t>20250530131131</t>
  </si>
  <si>
    <t>20250530131142</t>
  </si>
  <si>
    <t>20250530145407</t>
  </si>
  <si>
    <t>20250530145419</t>
  </si>
  <si>
    <t>20250530145430</t>
  </si>
  <si>
    <t>20250530145522</t>
  </si>
  <si>
    <t>20250530145557</t>
  </si>
  <si>
    <t>20250530145609</t>
  </si>
  <si>
    <t>20250530145645</t>
  </si>
  <si>
    <t>20250530145657</t>
  </si>
  <si>
    <t>20250530145708</t>
  </si>
  <si>
    <t>20250530145745</t>
  </si>
  <si>
    <t>20250530145810</t>
  </si>
  <si>
    <t>20250530145821</t>
  </si>
  <si>
    <t>20250530145852</t>
  </si>
  <si>
    <t>20250530150101</t>
  </si>
  <si>
    <t>20250530150113</t>
  </si>
  <si>
    <t>20250530150140</t>
  </si>
  <si>
    <t>20250530150204</t>
  </si>
  <si>
    <t>20250530150220</t>
  </si>
  <si>
    <t>20250530150747</t>
  </si>
  <si>
    <t>20250530150804</t>
  </si>
  <si>
    <t>20250530150815</t>
  </si>
  <si>
    <t>20250530150859</t>
  </si>
  <si>
    <t>20250530150910</t>
  </si>
  <si>
    <t>20250530160304</t>
  </si>
  <si>
    <t>20250530160315</t>
  </si>
  <si>
    <t>20250530160327</t>
  </si>
  <si>
    <t>20250530160352</t>
  </si>
  <si>
    <t>20250530160411</t>
  </si>
  <si>
    <t>20250530160422</t>
  </si>
  <si>
    <t>20250530160452</t>
  </si>
  <si>
    <t>20250530160505</t>
  </si>
  <si>
    <t>20250530160516</t>
  </si>
  <si>
    <t>20250530160750</t>
  </si>
  <si>
    <t>20250530160934</t>
  </si>
  <si>
    <t>20250530160946</t>
  </si>
  <si>
    <t>20250530161014</t>
  </si>
  <si>
    <t>20250530161136</t>
  </si>
  <si>
    <t>20250530161147</t>
  </si>
  <si>
    <t>20250530161214</t>
  </si>
  <si>
    <t>20250530161248</t>
  </si>
  <si>
    <t>20250530161300</t>
  </si>
  <si>
    <t>20250530161328</t>
  </si>
  <si>
    <t>20250530161513</t>
  </si>
  <si>
    <t>20250530161525</t>
  </si>
  <si>
    <t>20250530161536</t>
  </si>
  <si>
    <t>20250530161630</t>
  </si>
  <si>
    <t>20250530161641</t>
  </si>
  <si>
    <t>20250609112349</t>
  </si>
  <si>
    <t>20250609112404</t>
  </si>
  <si>
    <t>20250609112416</t>
  </si>
  <si>
    <t>20250609112524</t>
  </si>
  <si>
    <t>20250609112535</t>
  </si>
  <si>
    <t>20250609112546</t>
  </si>
  <si>
    <t>20250609112645</t>
  </si>
  <si>
    <t>20250609112656</t>
  </si>
  <si>
    <t>20250609112708</t>
  </si>
  <si>
    <t>20250609112806</t>
  </si>
  <si>
    <t>20250609112819</t>
  </si>
  <si>
    <t>20250609112831</t>
  </si>
  <si>
    <t>20250609112929</t>
  </si>
  <si>
    <t>20250609112940</t>
  </si>
  <si>
    <t>20250609112951</t>
  </si>
  <si>
    <t>20250609113057</t>
  </si>
  <si>
    <t>20250609113109</t>
  </si>
  <si>
    <t>20250609113120</t>
  </si>
  <si>
    <t>20250609113214</t>
  </si>
  <si>
    <t>20250609113226</t>
  </si>
  <si>
    <t>20250609113238</t>
  </si>
  <si>
    <t>20250609113321</t>
  </si>
  <si>
    <t>20250609113332</t>
  </si>
  <si>
    <t>20250609113344</t>
  </si>
  <si>
    <t>20250609113822</t>
  </si>
  <si>
    <t>20250609113833</t>
  </si>
  <si>
    <t>20250609113845</t>
  </si>
  <si>
    <t>20250609131819</t>
  </si>
  <si>
    <t>20250609131831</t>
  </si>
  <si>
    <t>20250609131842</t>
  </si>
  <si>
    <t>20250609131940</t>
  </si>
  <si>
    <t>20250609131951</t>
  </si>
  <si>
    <t>20250609132002</t>
  </si>
  <si>
    <t>20250609132215</t>
  </si>
  <si>
    <t>20250609132227</t>
  </si>
  <si>
    <t>20250609132239</t>
  </si>
  <si>
    <t>20250609132329</t>
  </si>
  <si>
    <t>20250609132340</t>
  </si>
  <si>
    <t>20250609132351</t>
  </si>
  <si>
    <t>20250609132437</t>
  </si>
  <si>
    <t>20250609132449</t>
  </si>
  <si>
    <t>20250609132501</t>
  </si>
  <si>
    <t>20250609132608</t>
  </si>
  <si>
    <t>20250609132837</t>
  </si>
  <si>
    <t>20250609132848</t>
  </si>
  <si>
    <t>20250609132937</t>
  </si>
  <si>
    <t>20250609132948</t>
  </si>
  <si>
    <t>20250609132959</t>
  </si>
  <si>
    <t>20250609133406</t>
  </si>
  <si>
    <t>20250609133418</t>
  </si>
  <si>
    <t>20250609133430</t>
  </si>
  <si>
    <t>20250609142830</t>
  </si>
  <si>
    <t>20250609142841</t>
  </si>
  <si>
    <t>20250609142853</t>
  </si>
  <si>
    <t>20250609143000</t>
  </si>
  <si>
    <t>20250609143012</t>
  </si>
  <si>
    <t>20250609143024</t>
  </si>
  <si>
    <t>20250609143115</t>
  </si>
  <si>
    <t>20250609143127</t>
  </si>
  <si>
    <t>20250609143138</t>
  </si>
  <si>
    <t>20250609143233</t>
  </si>
  <si>
    <t>20250609143244</t>
  </si>
  <si>
    <t>20250609143255</t>
  </si>
  <si>
    <t>20250609143344</t>
  </si>
  <si>
    <t>20250609143355</t>
  </si>
  <si>
    <t>20250609143406</t>
  </si>
  <si>
    <t>20250609143517</t>
  </si>
  <si>
    <t>20250609143529</t>
  </si>
  <si>
    <t>20250609143540</t>
  </si>
  <si>
    <t>20250609143630</t>
  </si>
  <si>
    <t>20250609143641</t>
  </si>
  <si>
    <t>20250609143652</t>
  </si>
  <si>
    <t>20250609143738</t>
  </si>
  <si>
    <t>20250609143749</t>
  </si>
  <si>
    <t>20250609143800</t>
  </si>
  <si>
    <t>20250609153053</t>
  </si>
  <si>
    <t>20250609153107</t>
  </si>
  <si>
    <t>20250609153118</t>
  </si>
  <si>
    <t>20250609153209</t>
  </si>
  <si>
    <t>20250609153220</t>
  </si>
  <si>
    <t>20250609153231</t>
  </si>
  <si>
    <t>20250609153322</t>
  </si>
  <si>
    <t>20250609153333</t>
  </si>
  <si>
    <t>20250609153344</t>
  </si>
  <si>
    <t>20250609153434</t>
  </si>
  <si>
    <t>20250609153445</t>
  </si>
  <si>
    <t>20250609153456</t>
  </si>
  <si>
    <t>20250609153545</t>
  </si>
  <si>
    <t>20250609153556</t>
  </si>
  <si>
    <t>20250609153607</t>
  </si>
  <si>
    <t>20250609153705</t>
  </si>
  <si>
    <t>20250609153735</t>
  </si>
  <si>
    <t>20250609153746</t>
  </si>
  <si>
    <t>20250609153839</t>
  </si>
  <si>
    <t>20250609153853</t>
  </si>
  <si>
    <t>20250609153904</t>
  </si>
  <si>
    <t>20250609153945</t>
  </si>
  <si>
    <t>20250609153956</t>
  </si>
  <si>
    <t>20250609154007</t>
  </si>
  <si>
    <t>20250609154110</t>
  </si>
  <si>
    <t>20250609154121</t>
  </si>
  <si>
    <t>20250609154132</t>
  </si>
  <si>
    <t>20250609160907</t>
  </si>
  <si>
    <t>20250609160919</t>
  </si>
  <si>
    <t>20250609160930</t>
  </si>
  <si>
    <t>20250609161022</t>
  </si>
  <si>
    <t>20250609161033</t>
  </si>
  <si>
    <t>20250609161044</t>
  </si>
  <si>
    <t>20250609161134</t>
  </si>
  <si>
    <t>20250609161145</t>
  </si>
  <si>
    <t>20250609161156</t>
  </si>
  <si>
    <t>20250609161240</t>
  </si>
  <si>
    <t>20250609161251</t>
  </si>
  <si>
    <t>20250609161303</t>
  </si>
  <si>
    <t>20250609161348</t>
  </si>
  <si>
    <t>20250609161359</t>
  </si>
  <si>
    <t>20250609161410</t>
  </si>
  <si>
    <t>20250609161519</t>
  </si>
  <si>
    <t>20250609161530</t>
  </si>
  <si>
    <t>20250609161541</t>
  </si>
  <si>
    <t>20250609161632</t>
  </si>
  <si>
    <t>20250609161643</t>
  </si>
  <si>
    <t>20250609161701</t>
  </si>
  <si>
    <t>20250609161747</t>
  </si>
  <si>
    <t>20250609161758</t>
  </si>
  <si>
    <t>20250609161809</t>
  </si>
  <si>
    <t>20250609162009</t>
  </si>
  <si>
    <t>20250609162021</t>
  </si>
  <si>
    <t>20250609162032</t>
  </si>
  <si>
    <t>20250609170009</t>
  </si>
  <si>
    <t>20250609170021</t>
  </si>
  <si>
    <t>20250609170033</t>
  </si>
  <si>
    <t>20250609170125</t>
  </si>
  <si>
    <t>20250609170137</t>
  </si>
  <si>
    <t>20250609170148</t>
  </si>
  <si>
    <t>20250609170239</t>
  </si>
  <si>
    <t>20250609170250</t>
  </si>
  <si>
    <t>20250609170302</t>
  </si>
  <si>
    <t>20250609170355</t>
  </si>
  <si>
    <t>20250609170406</t>
  </si>
  <si>
    <t>20250609170417</t>
  </si>
  <si>
    <t>20250609170509</t>
  </si>
  <si>
    <t>20250609170520</t>
  </si>
  <si>
    <t>20250609170531</t>
  </si>
  <si>
    <t>20250609170629</t>
  </si>
  <si>
    <t>20250609170640</t>
  </si>
  <si>
    <t>20250609170651</t>
  </si>
  <si>
    <t>20250609170747</t>
  </si>
  <si>
    <t>20250609170800</t>
  </si>
  <si>
    <t>20250609170812</t>
  </si>
  <si>
    <t>20250609170853</t>
  </si>
  <si>
    <t>20250609170905</t>
  </si>
  <si>
    <t>20250609170916</t>
  </si>
  <si>
    <t>20250609171017</t>
  </si>
  <si>
    <t>20250609171029</t>
  </si>
  <si>
    <t>20250609171040</t>
  </si>
  <si>
    <t>20250609174457</t>
  </si>
  <si>
    <t>20250609174509</t>
  </si>
  <si>
    <t>20250609174525</t>
  </si>
  <si>
    <t>20250609174634</t>
  </si>
  <si>
    <t>20250609174646</t>
  </si>
  <si>
    <t>20250609174658</t>
  </si>
  <si>
    <t>20250609174748</t>
  </si>
  <si>
    <t>20250609174851</t>
  </si>
  <si>
    <t>20250609174902</t>
  </si>
  <si>
    <t>20250609174953</t>
  </si>
  <si>
    <t>20250609175005</t>
  </si>
  <si>
    <t>20250609175017</t>
  </si>
  <si>
    <t>20250609175102</t>
  </si>
  <si>
    <t>20250609175115</t>
  </si>
  <si>
    <t>20250609175126</t>
  </si>
  <si>
    <t>20250609175223</t>
  </si>
  <si>
    <t>20250609175305</t>
  </si>
  <si>
    <t>20250609175634</t>
  </si>
  <si>
    <t>20250609175645</t>
  </si>
  <si>
    <t>20250609175727</t>
  </si>
  <si>
    <t>20250609175739</t>
  </si>
  <si>
    <t>20250609175750</t>
  </si>
  <si>
    <t>20250610091900</t>
  </si>
  <si>
    <t>20250610091912</t>
  </si>
  <si>
    <t>20250610091923</t>
  </si>
  <si>
    <t>20250610092013</t>
  </si>
  <si>
    <t>20250610092024</t>
  </si>
  <si>
    <t>20250610092036</t>
  </si>
  <si>
    <t>20250610092125</t>
  </si>
  <si>
    <t>20250610092136</t>
  </si>
  <si>
    <t>20250610092147</t>
  </si>
  <si>
    <t>20250610092316</t>
  </si>
  <si>
    <t>20250610092327</t>
  </si>
  <si>
    <t>20250610092338</t>
  </si>
  <si>
    <t>20250610092422</t>
  </si>
  <si>
    <t>20250610092434</t>
  </si>
  <si>
    <t>20250610092445</t>
  </si>
  <si>
    <t>20250610092543</t>
  </si>
  <si>
    <t>20250610092555</t>
  </si>
  <si>
    <t>20250610092606</t>
  </si>
  <si>
    <t>20250610092655</t>
  </si>
  <si>
    <t>20250610092707</t>
  </si>
  <si>
    <t>20250610092719</t>
  </si>
  <si>
    <t>20250610092759</t>
  </si>
  <si>
    <t>20250610092810</t>
  </si>
  <si>
    <t>20250610092821</t>
  </si>
  <si>
    <t>20250610092920</t>
  </si>
  <si>
    <t>20250610092931</t>
  </si>
  <si>
    <t>20250610092942</t>
  </si>
  <si>
    <t>20250610095214</t>
  </si>
  <si>
    <t>20250610095226</t>
  </si>
  <si>
    <t>20250610095237</t>
  </si>
  <si>
    <t>20250610095331</t>
  </si>
  <si>
    <t>20250610095343</t>
  </si>
  <si>
    <t>20250610095354</t>
  </si>
  <si>
    <t>20250610095449</t>
  </si>
  <si>
    <t>20250610095500</t>
  </si>
  <si>
    <t>20250610095513</t>
  </si>
  <si>
    <t>20250610095604</t>
  </si>
  <si>
    <t>20250610095616</t>
  </si>
  <si>
    <t>20250610095627</t>
  </si>
  <si>
    <t>20250610095717</t>
  </si>
  <si>
    <t>20250610095729</t>
  </si>
  <si>
    <t>20250610095740</t>
  </si>
  <si>
    <t>20250610095837</t>
  </si>
  <si>
    <t>20250610095849</t>
  </si>
  <si>
    <t>20250610095900</t>
  </si>
  <si>
    <t>20250610095944</t>
  </si>
  <si>
    <t>20250610095955</t>
  </si>
  <si>
    <t>20250610100006</t>
  </si>
  <si>
    <t>20250610100048</t>
  </si>
  <si>
    <t>20250610100059</t>
  </si>
  <si>
    <t>20250610100111</t>
  </si>
  <si>
    <t>20250610100229</t>
  </si>
  <si>
    <t>20250610100241</t>
  </si>
  <si>
    <t>20250610100254</t>
  </si>
  <si>
    <t>20250610102724</t>
  </si>
  <si>
    <t>20250610102739</t>
  </si>
  <si>
    <t>20250610102752</t>
  </si>
  <si>
    <t>20250610102844</t>
  </si>
  <si>
    <t>20250610102856</t>
  </si>
  <si>
    <t>20250610102908</t>
  </si>
  <si>
    <t>20250610103007</t>
  </si>
  <si>
    <t>20250610103206</t>
  </si>
  <si>
    <t>20250610103218</t>
  </si>
  <si>
    <t>20250610103326</t>
  </si>
  <si>
    <t>20250610103338</t>
  </si>
  <si>
    <t>20250610103349</t>
  </si>
  <si>
    <t>20250610103447</t>
  </si>
  <si>
    <t>20250610103459</t>
  </si>
  <si>
    <t>20250610103510</t>
  </si>
  <si>
    <t>20250610103601</t>
  </si>
  <si>
    <t>20250610103613</t>
  </si>
  <si>
    <t>20250610103625</t>
  </si>
  <si>
    <t>20250610103707</t>
  </si>
  <si>
    <t>20250610103719</t>
  </si>
  <si>
    <t>20250610103730</t>
  </si>
  <si>
    <t>20250610103829</t>
  </si>
  <si>
    <t>20250610103841</t>
  </si>
  <si>
    <t>20250610103853</t>
  </si>
  <si>
    <t>20250610103950</t>
  </si>
  <si>
    <t>20250610104001</t>
  </si>
  <si>
    <t>20250610104013</t>
  </si>
  <si>
    <t>20250610110834</t>
  </si>
  <si>
    <t>20250610110854</t>
  </si>
  <si>
    <t>20250610110913</t>
  </si>
  <si>
    <t>20250610111210</t>
  </si>
  <si>
    <t>20250610111223</t>
  </si>
  <si>
    <t>20250610111235</t>
  </si>
  <si>
    <t>20250610111323</t>
  </si>
  <si>
    <t>20250610111335</t>
  </si>
  <si>
    <t>20250610111347</t>
  </si>
  <si>
    <t>20250610111434</t>
  </si>
  <si>
    <t>20250610111446</t>
  </si>
  <si>
    <t>20250610111459</t>
  </si>
  <si>
    <t>20250610111541</t>
  </si>
  <si>
    <t>20250610111552</t>
  </si>
  <si>
    <t>20250610111603</t>
  </si>
  <si>
    <t>20250610111657</t>
  </si>
  <si>
    <t>20250610111828</t>
  </si>
  <si>
    <t>20250610111839</t>
  </si>
  <si>
    <t>20250610111922</t>
  </si>
  <si>
    <t>20250610111934</t>
  </si>
  <si>
    <t>20250610111945</t>
  </si>
  <si>
    <t>20250610112049</t>
  </si>
  <si>
    <t>20250610112100</t>
  </si>
  <si>
    <t>20250610112111</t>
  </si>
  <si>
    <t>20250610120839</t>
  </si>
  <si>
    <t>20250610120851</t>
  </si>
  <si>
    <t>20250610120903</t>
  </si>
  <si>
    <t>20250610120953</t>
  </si>
  <si>
    <t>20250610121005</t>
  </si>
  <si>
    <t>20250610121017</t>
  </si>
  <si>
    <t>20250610121112</t>
  </si>
  <si>
    <t>20250610121124</t>
  </si>
  <si>
    <t>20250610121136</t>
  </si>
  <si>
    <t>20250610121224</t>
  </si>
  <si>
    <t>20250610121236</t>
  </si>
  <si>
    <t>20250610121248</t>
  </si>
  <si>
    <t>20250610121338</t>
  </si>
  <si>
    <t>20250610121350</t>
  </si>
  <si>
    <t>20250610121403</t>
  </si>
  <si>
    <t>20250610121507</t>
  </si>
  <si>
    <t>20250610121519</t>
  </si>
  <si>
    <t>20250610121531</t>
  </si>
  <si>
    <t>20250610121648</t>
  </si>
  <si>
    <t>20250610121700</t>
  </si>
  <si>
    <t>20250610121712</t>
  </si>
  <si>
    <t>20250610121756</t>
  </si>
  <si>
    <t>20250610121808</t>
  </si>
  <si>
    <t>20250610121820</t>
  </si>
  <si>
    <t>20250610121927</t>
  </si>
  <si>
    <t>20250610121938</t>
  </si>
  <si>
    <t>20250610121949</t>
  </si>
  <si>
    <t>20250610124012</t>
  </si>
  <si>
    <t>20250610124024</t>
  </si>
  <si>
    <t>20250610124036</t>
  </si>
  <si>
    <t>20250610124128</t>
  </si>
  <si>
    <t>20250610124140</t>
  </si>
  <si>
    <t>20250610124154</t>
  </si>
  <si>
    <t>20250610124246</t>
  </si>
  <si>
    <t>20250610124258</t>
  </si>
  <si>
    <t>20250610124311</t>
  </si>
  <si>
    <t>20250610124402</t>
  </si>
  <si>
    <t>20250610124414</t>
  </si>
  <si>
    <t>20250610124504</t>
  </si>
  <si>
    <t>20250610124548</t>
  </si>
  <si>
    <t>20250610124601</t>
  </si>
  <si>
    <t>20250610124613</t>
  </si>
  <si>
    <t>20250610124705</t>
  </si>
  <si>
    <t>20250610124718</t>
  </si>
  <si>
    <t>20250610124730</t>
  </si>
  <si>
    <t>20250610124815</t>
  </si>
  <si>
    <t>20250610124828</t>
  </si>
  <si>
    <t>20250610124840</t>
  </si>
  <si>
    <t>20250610124921</t>
  </si>
  <si>
    <t>20250610124933</t>
  </si>
  <si>
    <t>20250610124945</t>
  </si>
  <si>
    <t>20250610131124</t>
  </si>
  <si>
    <t>20250610131136</t>
  </si>
  <si>
    <t>20250610131148</t>
  </si>
  <si>
    <t>20250610131247</t>
  </si>
  <si>
    <t>20250610131259</t>
  </si>
  <si>
    <t>20250610131311</t>
  </si>
  <si>
    <t>20250610131404</t>
  </si>
  <si>
    <t>20250610131416</t>
  </si>
  <si>
    <t>20250610131428</t>
  </si>
  <si>
    <t>20250610131513</t>
  </si>
  <si>
    <t>20250610131525</t>
  </si>
  <si>
    <t>20250610131537</t>
  </si>
  <si>
    <t>20250610131627</t>
  </si>
  <si>
    <t>20250610131639</t>
  </si>
  <si>
    <t>20250610131651</t>
  </si>
  <si>
    <t>20250610131757</t>
  </si>
  <si>
    <t>20250610131809</t>
  </si>
  <si>
    <t>20250610131821</t>
  </si>
  <si>
    <t>20250610131914</t>
  </si>
  <si>
    <t>20250610131926</t>
  </si>
  <si>
    <t>20250610131938</t>
  </si>
  <si>
    <t>20250610132019</t>
  </si>
  <si>
    <t>20250610132031</t>
  </si>
  <si>
    <t>20250610132043</t>
  </si>
  <si>
    <t>20250610141912</t>
  </si>
  <si>
    <t>20250610141924</t>
  </si>
  <si>
    <t>20250610141936</t>
  </si>
  <si>
    <t>20250610142022</t>
  </si>
  <si>
    <t>20250610142034</t>
  </si>
  <si>
    <t>20250610142046</t>
  </si>
  <si>
    <t>20250610142134</t>
  </si>
  <si>
    <t>20250610142152</t>
  </si>
  <si>
    <t>20250610142204</t>
  </si>
  <si>
    <t>20250610142248</t>
  </si>
  <si>
    <t>20250610142300</t>
  </si>
  <si>
    <t>20250610142312</t>
  </si>
  <si>
    <t>20250610142410</t>
  </si>
  <si>
    <t>20250610142423</t>
  </si>
  <si>
    <t>20250610142435</t>
  </si>
  <si>
    <t>20250610142533</t>
  </si>
  <si>
    <t>20250610142545</t>
  </si>
  <si>
    <t>20250610142557</t>
  </si>
  <si>
    <t>20250610142646</t>
  </si>
  <si>
    <t>20250610142658</t>
  </si>
  <si>
    <t>20250610142711</t>
  </si>
  <si>
    <t>20250610142752</t>
  </si>
  <si>
    <t>20250610142804</t>
  </si>
  <si>
    <t>20250610142816</t>
  </si>
  <si>
    <t>20250610142908</t>
  </si>
  <si>
    <t>20250610142920</t>
  </si>
  <si>
    <t>20250610142932</t>
  </si>
  <si>
    <t>20250610150033</t>
  </si>
  <si>
    <t>20250610150101</t>
  </si>
  <si>
    <t>20250610150118</t>
  </si>
  <si>
    <t>20250610150222</t>
  </si>
  <si>
    <t>20250610150235</t>
  </si>
  <si>
    <t>20250610150247</t>
  </si>
  <si>
    <t>20250610150341</t>
  </si>
  <si>
    <t>20250610150618</t>
  </si>
  <si>
    <t>20250610150630</t>
  </si>
  <si>
    <t>20250610150722</t>
  </si>
  <si>
    <t>20250610150734</t>
  </si>
  <si>
    <t>20250610150746</t>
  </si>
  <si>
    <t>20250610150840</t>
  </si>
  <si>
    <t>20250610150852</t>
  </si>
  <si>
    <t>20250610150905</t>
  </si>
  <si>
    <t>20250610150958</t>
  </si>
  <si>
    <t>20250610151010</t>
  </si>
  <si>
    <t>20250610151022</t>
  </si>
  <si>
    <t>20250610151107</t>
  </si>
  <si>
    <t>20250610151119</t>
  </si>
  <si>
    <t>20250610151131</t>
  </si>
  <si>
    <t>20250610151225</t>
  </si>
  <si>
    <t>20250610151237</t>
  </si>
  <si>
    <t>20250610151249</t>
  </si>
  <si>
    <t>20250610165817</t>
  </si>
  <si>
    <t>20250610165829</t>
  </si>
  <si>
    <t>20250610165841</t>
  </si>
  <si>
    <t>20250610165930</t>
  </si>
  <si>
    <t>20250610165950</t>
  </si>
  <si>
    <t>20250610170007</t>
  </si>
  <si>
    <t>20250610170208</t>
  </si>
  <si>
    <t>20250610170220</t>
  </si>
  <si>
    <t>20250610170232</t>
  </si>
  <si>
    <t>20250610170322</t>
  </si>
  <si>
    <t>20250610170334</t>
  </si>
  <si>
    <t>20250610170346</t>
  </si>
  <si>
    <t>20250610170432</t>
  </si>
  <si>
    <t>20250610170444</t>
  </si>
  <si>
    <t>20250610170456</t>
  </si>
  <si>
    <t>20250610170550</t>
  </si>
  <si>
    <t>20250610170602</t>
  </si>
  <si>
    <t>20250610170616</t>
  </si>
  <si>
    <t>20250610170702</t>
  </si>
  <si>
    <t>20250610170714</t>
  </si>
  <si>
    <t>20250610170726</t>
  </si>
  <si>
    <t>20250610170805</t>
  </si>
  <si>
    <t>20250610170817</t>
  </si>
  <si>
    <t>20250610170829</t>
  </si>
  <si>
    <t>20250610170924</t>
  </si>
  <si>
    <t>20250610170936</t>
  </si>
  <si>
    <t>20250610170952</t>
  </si>
  <si>
    <t>20250610183754</t>
  </si>
  <si>
    <t>20250610184014</t>
  </si>
  <si>
    <t>20250610184026</t>
  </si>
  <si>
    <t>20250610184112</t>
  </si>
  <si>
    <t>20250610184124</t>
  </si>
  <si>
    <t>20250610184137</t>
  </si>
  <si>
    <t>20250610184233</t>
  </si>
  <si>
    <t>20250610184706</t>
  </si>
  <si>
    <t>20250610184718</t>
  </si>
  <si>
    <t>20250610184803</t>
  </si>
  <si>
    <t>20250610184815</t>
  </si>
  <si>
    <t>20250610184827</t>
  </si>
  <si>
    <t>20250610184913</t>
  </si>
  <si>
    <t>20250610184925</t>
  </si>
  <si>
    <t>20250610184937</t>
  </si>
  <si>
    <t>20250610185039</t>
  </si>
  <si>
    <t>20250610185051</t>
  </si>
  <si>
    <t>20250610185103</t>
  </si>
  <si>
    <t>20250610185157</t>
  </si>
  <si>
    <t>20250610185209</t>
  </si>
  <si>
    <t>20250610185221</t>
  </si>
  <si>
    <t>20250610185320</t>
  </si>
  <si>
    <t>20250610185353</t>
  </si>
  <si>
    <t>20250610185405</t>
  </si>
  <si>
    <t>20250611094341</t>
  </si>
  <si>
    <t>20250611094353</t>
  </si>
  <si>
    <t>20250611094405</t>
  </si>
  <si>
    <t>20250611094500</t>
  </si>
  <si>
    <t>20250611094512</t>
  </si>
  <si>
    <t>20250611094524</t>
  </si>
  <si>
    <t>20250611094611</t>
  </si>
  <si>
    <t>20250611094627</t>
  </si>
  <si>
    <t>20250611094639</t>
  </si>
  <si>
    <t>20250611094724</t>
  </si>
  <si>
    <t>20250611094937</t>
  </si>
  <si>
    <t>20250611094949</t>
  </si>
  <si>
    <t>20250611095049</t>
  </si>
  <si>
    <t>20250611095101</t>
  </si>
  <si>
    <t>20250611095113</t>
  </si>
  <si>
    <t>20250611095159</t>
  </si>
  <si>
    <t>20250611095211</t>
  </si>
  <si>
    <t>20250611095223</t>
  </si>
  <si>
    <t>20250611095302</t>
  </si>
  <si>
    <t>20250611095314</t>
  </si>
  <si>
    <t>20250611095326</t>
  </si>
  <si>
    <t>20250611103902</t>
  </si>
  <si>
    <t>20250611103914</t>
  </si>
  <si>
    <t>20250611103928</t>
  </si>
  <si>
    <t>20250611104046</t>
  </si>
  <si>
    <t>20250611104058</t>
  </si>
  <si>
    <t>20250611104113</t>
  </si>
  <si>
    <t>20250611104159</t>
  </si>
  <si>
    <t>20250611104211</t>
  </si>
  <si>
    <t>20250611104224</t>
  </si>
  <si>
    <t>20250611104306</t>
  </si>
  <si>
    <t>20250611104318</t>
  </si>
  <si>
    <t>20250611104331</t>
  </si>
  <si>
    <t>20250611104424</t>
  </si>
  <si>
    <t>20250611104437</t>
  </si>
  <si>
    <t>20250611104450</t>
  </si>
  <si>
    <t>20250611104752</t>
  </si>
  <si>
    <t>20250611104804</t>
  </si>
  <si>
    <t>20250611104816</t>
  </si>
  <si>
    <t>20250611104858</t>
  </si>
  <si>
    <t>20250611104910</t>
  </si>
  <si>
    <t>20250611104922</t>
  </si>
  <si>
    <t>20250611105001</t>
  </si>
  <si>
    <t>20250611105013</t>
  </si>
  <si>
    <t>20250611105025</t>
  </si>
  <si>
    <t>20250611105127</t>
  </si>
  <si>
    <t>20250611105139</t>
  </si>
  <si>
    <t>20250611105151</t>
  </si>
  <si>
    <t>20250611113016</t>
  </si>
  <si>
    <t>20250611113029</t>
  </si>
  <si>
    <t>20250611113045</t>
  </si>
  <si>
    <t>20250611113133</t>
  </si>
  <si>
    <t>20250611113145</t>
  </si>
  <si>
    <t>20250611113157</t>
  </si>
  <si>
    <t>20250611113240</t>
  </si>
  <si>
    <t>20250611113255</t>
  </si>
  <si>
    <t>20250611113307</t>
  </si>
  <si>
    <t>20250611113355</t>
  </si>
  <si>
    <t>20250611113411</t>
  </si>
  <si>
    <t>20250611113423</t>
  </si>
  <si>
    <t>20250611113507</t>
  </si>
  <si>
    <t>20250611113520</t>
  </si>
  <si>
    <t>20250611113532</t>
  </si>
  <si>
    <t>20250611113629</t>
  </si>
  <si>
    <t>20250611113645</t>
  </si>
  <si>
    <t>20250611113657</t>
  </si>
  <si>
    <t>20250611113738</t>
  </si>
  <si>
    <t>20250611113750</t>
  </si>
  <si>
    <t>20250611113803</t>
  </si>
  <si>
    <t>20250611113845</t>
  </si>
  <si>
    <t>20250611113857</t>
  </si>
  <si>
    <t>20250611113909</t>
  </si>
  <si>
    <t>20250611120614</t>
  </si>
  <si>
    <t>20250611120628</t>
  </si>
  <si>
    <t>20250611120641</t>
  </si>
  <si>
    <t>20250611120734</t>
  </si>
  <si>
    <t>20250611120749</t>
  </si>
  <si>
    <t>20250611120801</t>
  </si>
  <si>
    <t>20250611120853</t>
  </si>
  <si>
    <t>20250611120906</t>
  </si>
  <si>
    <t>20250611120924</t>
  </si>
  <si>
    <t>20250611121007</t>
  </si>
  <si>
    <t>20250611121019</t>
  </si>
  <si>
    <t>20250611121031</t>
  </si>
  <si>
    <t>20250611121115</t>
  </si>
  <si>
    <t>20250611121127</t>
  </si>
  <si>
    <t>20250611121139</t>
  </si>
  <si>
    <t>20250611121233</t>
  </si>
  <si>
    <t>20250611121413</t>
  </si>
  <si>
    <t>20250611121425</t>
  </si>
  <si>
    <t>20250611121505</t>
  </si>
  <si>
    <t>20250611121517</t>
  </si>
  <si>
    <t>20250611121529</t>
  </si>
  <si>
    <t>20250611121627</t>
  </si>
  <si>
    <t>20250611121639</t>
  </si>
  <si>
    <t>20250611121651</t>
  </si>
  <si>
    <t>20250611121751</t>
  </si>
  <si>
    <t>20250611121807</t>
  </si>
  <si>
    <t>20250611121819</t>
  </si>
  <si>
    <t>20250611125459</t>
  </si>
  <si>
    <t>20250611125512</t>
  </si>
  <si>
    <t>20250611125526</t>
  </si>
  <si>
    <t>20250611125620</t>
  </si>
  <si>
    <t>20250611125632</t>
  </si>
  <si>
    <t>20250611125644</t>
  </si>
  <si>
    <t>20250611125731</t>
  </si>
  <si>
    <t>20250611125750</t>
  </si>
  <si>
    <t>20250611125804</t>
  </si>
  <si>
    <t>20250611125851</t>
  </si>
  <si>
    <t>20250611125903</t>
  </si>
  <si>
    <t>20250611125915</t>
  </si>
  <si>
    <t>20250611125959</t>
  </si>
  <si>
    <t>20250611130011</t>
  </si>
  <si>
    <t>20250611130023</t>
  </si>
  <si>
    <t>20250611130115</t>
  </si>
  <si>
    <t>20250611130137</t>
  </si>
  <si>
    <t>20250611130150</t>
  </si>
  <si>
    <t>20250611130238</t>
  </si>
  <si>
    <t>20250611130250</t>
  </si>
  <si>
    <t>20250611130302</t>
  </si>
  <si>
    <t>20250611130441</t>
  </si>
  <si>
    <t>20250611130453</t>
  </si>
  <si>
    <t>20250611130505</t>
  </si>
  <si>
    <t>20250611130602</t>
  </si>
  <si>
    <t>20250611130614</t>
  </si>
  <si>
    <t>20250611130626</t>
  </si>
  <si>
    <t>20250611133227</t>
  </si>
  <si>
    <t>20250611143630</t>
  </si>
  <si>
    <t>20250611143828</t>
  </si>
  <si>
    <t>20250611143841</t>
  </si>
  <si>
    <t>20250611143934</t>
  </si>
  <si>
    <t>20250611144024</t>
  </si>
  <si>
    <t>20250611144036</t>
  </si>
  <si>
    <t>20250611144122</t>
  </si>
  <si>
    <t>20250611144441</t>
  </si>
  <si>
    <t>20250611144453</t>
  </si>
  <si>
    <t>20250611144540</t>
  </si>
  <si>
    <t>20250611144552</t>
  </si>
  <si>
    <t>20250611144604</t>
  </si>
  <si>
    <t>20250611144704</t>
  </si>
  <si>
    <t>20250611144922</t>
  </si>
  <si>
    <t>20250611144935</t>
  </si>
  <si>
    <t>20250611145017</t>
  </si>
  <si>
    <t>20250611145029</t>
  </si>
  <si>
    <t>20250611145041</t>
  </si>
  <si>
    <t>20250611154428</t>
  </si>
  <si>
    <t>20250611154440</t>
  </si>
  <si>
    <t>20250611154452</t>
  </si>
  <si>
    <t>20250611154549</t>
  </si>
  <si>
    <t>20250611154602</t>
  </si>
  <si>
    <t>20250611154614</t>
  </si>
  <si>
    <t>20250611154702</t>
  </si>
  <si>
    <t>20250611154714</t>
  </si>
  <si>
    <t>20250611154731</t>
  </si>
  <si>
    <t>20250611154815</t>
  </si>
  <si>
    <t>20250611154827</t>
  </si>
  <si>
    <t>20250611154839</t>
  </si>
  <si>
    <t>20250611154921</t>
  </si>
  <si>
    <t>20250611154933</t>
  </si>
  <si>
    <t>20250611154945</t>
  </si>
  <si>
    <t>20250611155033</t>
  </si>
  <si>
    <t>20250611155046</t>
  </si>
  <si>
    <t>20250611155058</t>
  </si>
  <si>
    <t>20250611155144</t>
  </si>
  <si>
    <t>20250611155156</t>
  </si>
  <si>
    <t>20250611155209</t>
  </si>
  <si>
    <t>20250611155249</t>
  </si>
  <si>
    <t>20250611155304</t>
  </si>
  <si>
    <t>20250611155316</t>
  </si>
  <si>
    <t>20250611155410</t>
  </si>
  <si>
    <t>20250611155422</t>
  </si>
  <si>
    <t>20250611155434</t>
  </si>
  <si>
    <t>20250611161101</t>
  </si>
  <si>
    <t>20250611161115</t>
  </si>
  <si>
    <t>20250611161127</t>
  </si>
  <si>
    <t>20250611161314</t>
  </si>
  <si>
    <t>20250611161326</t>
  </si>
  <si>
    <t>20250611161338</t>
  </si>
  <si>
    <t>20250611161433</t>
  </si>
  <si>
    <t>20250611161629</t>
  </si>
  <si>
    <t>20250611161641</t>
  </si>
  <si>
    <t>20250611161722</t>
  </si>
  <si>
    <t>20250611161734</t>
  </si>
  <si>
    <t>20250611161746</t>
  </si>
  <si>
    <t>20250611161839</t>
  </si>
  <si>
    <t>20250611161852</t>
  </si>
  <si>
    <t>20250611161906</t>
  </si>
  <si>
    <t>20250611161947</t>
  </si>
  <si>
    <t>20250611161959</t>
  </si>
  <si>
    <t>20250611162011</t>
  </si>
  <si>
    <t>20250611162102</t>
  </si>
  <si>
    <t>20250611162114</t>
  </si>
  <si>
    <t>20250611162126</t>
  </si>
  <si>
    <t>20250611162222</t>
  </si>
  <si>
    <t>20250611162235</t>
  </si>
  <si>
    <t>20250611162808</t>
  </si>
  <si>
    <t>20250611162820</t>
  </si>
  <si>
    <t>20250611165317</t>
  </si>
  <si>
    <t>20250611165329</t>
  </si>
  <si>
    <t>20250611165341</t>
  </si>
  <si>
    <t>20250611165432</t>
  </si>
  <si>
    <t>20250611165505</t>
  </si>
  <si>
    <t>20250611165518</t>
  </si>
  <si>
    <t>20250611165605</t>
  </si>
  <si>
    <t>20250611165630</t>
  </si>
  <si>
    <t>20250611165642</t>
  </si>
  <si>
    <t>20250611165725</t>
  </si>
  <si>
    <t>20250611170103</t>
  </si>
  <si>
    <t>20250611170137</t>
  </si>
  <si>
    <t>20250611170245</t>
  </si>
  <si>
    <t>20250611170257</t>
  </si>
  <si>
    <t>20250611170309</t>
  </si>
  <si>
    <t>20250611170437</t>
  </si>
  <si>
    <t>20250611170829</t>
  </si>
  <si>
    <t>20250611170841</t>
  </si>
  <si>
    <t>20250611171021</t>
  </si>
  <si>
    <t>20250611171144</t>
  </si>
  <si>
    <t>20250611171158</t>
  </si>
  <si>
    <t>20250611174645</t>
  </si>
  <si>
    <t>20250611174657</t>
  </si>
  <si>
    <t>20250611174709</t>
  </si>
  <si>
    <t>20250611174801</t>
  </si>
  <si>
    <t>20250611174813</t>
  </si>
  <si>
    <t>20250611174825</t>
  </si>
  <si>
    <t>20250611174911</t>
  </si>
  <si>
    <t>20250611174924</t>
  </si>
  <si>
    <t>20250611174937</t>
  </si>
  <si>
    <t>20250611175023</t>
  </si>
  <si>
    <t>20250611175036</t>
  </si>
  <si>
    <t>20250611175048</t>
  </si>
  <si>
    <t>20250611175128</t>
  </si>
  <si>
    <t>20250611175140</t>
  </si>
  <si>
    <t>20250611175152</t>
  </si>
  <si>
    <t>20250611175243</t>
  </si>
  <si>
    <t>20250611175255</t>
  </si>
  <si>
    <t>20250611175307</t>
  </si>
  <si>
    <t>20250611175347</t>
  </si>
  <si>
    <t>20250611175359</t>
  </si>
  <si>
    <t>20250611175411</t>
  </si>
  <si>
    <t>20250611175450</t>
  </si>
  <si>
    <t>20250611175502</t>
  </si>
  <si>
    <t>20250611175515</t>
  </si>
  <si>
    <t>20250611175607</t>
  </si>
  <si>
    <t>20250611175619</t>
  </si>
  <si>
    <t>20250611175631</t>
  </si>
  <si>
    <t>20250617104910</t>
  </si>
  <si>
    <t>20250617104925</t>
  </si>
  <si>
    <t>20250617104937</t>
  </si>
  <si>
    <t>20250617105014</t>
  </si>
  <si>
    <t>20250617105041</t>
  </si>
  <si>
    <t>20250617105052</t>
  </si>
  <si>
    <t>20250617105119</t>
  </si>
  <si>
    <t>20250617105140</t>
  </si>
  <si>
    <t>20250617105151</t>
  </si>
  <si>
    <t>20250617105217</t>
  </si>
  <si>
    <t>20250617105245</t>
  </si>
  <si>
    <t>20250617105256</t>
  </si>
  <si>
    <t>20250617105331</t>
  </si>
  <si>
    <t>20250617105345</t>
  </si>
  <si>
    <t>20250617105356</t>
  </si>
  <si>
    <t>20250617105438</t>
  </si>
  <si>
    <t>20250617105456</t>
  </si>
  <si>
    <t>20250617105507</t>
  </si>
  <si>
    <t>20250617105534</t>
  </si>
  <si>
    <t>20250617105556</t>
  </si>
  <si>
    <t>20250617105609</t>
  </si>
  <si>
    <t>20250617105636</t>
  </si>
  <si>
    <t>20250617105701</t>
  </si>
  <si>
    <t>20250617105713</t>
  </si>
  <si>
    <t>20250617105757</t>
  </si>
  <si>
    <t>20250617105816</t>
  </si>
  <si>
    <t>20250617105827</t>
  </si>
  <si>
    <t>20250617105911</t>
  </si>
  <si>
    <t>20250617105931</t>
  </si>
  <si>
    <t>20250617105942</t>
  </si>
  <si>
    <t>20250617114711</t>
  </si>
  <si>
    <t>20250617114722</t>
  </si>
  <si>
    <t>20250617114733</t>
  </si>
  <si>
    <t>20250617114826</t>
  </si>
  <si>
    <t>20250617114845</t>
  </si>
  <si>
    <t>20250617114856</t>
  </si>
  <si>
    <t>20250617114922</t>
  </si>
  <si>
    <t>20250617114945</t>
  </si>
  <si>
    <t>20250617114956</t>
  </si>
  <si>
    <t>20250617115025</t>
  </si>
  <si>
    <t>20250617115047</t>
  </si>
  <si>
    <t>20250617115101</t>
  </si>
  <si>
    <t>20250617115131</t>
  </si>
  <si>
    <t>20250617115150</t>
  </si>
  <si>
    <t>20250617115201</t>
  </si>
  <si>
    <t>20250617115238</t>
  </si>
  <si>
    <t>20250617115256</t>
  </si>
  <si>
    <t>20250617115308</t>
  </si>
  <si>
    <t>20250617115338</t>
  </si>
  <si>
    <t>20250617115401</t>
  </si>
  <si>
    <t>20250617115412</t>
  </si>
  <si>
    <t>20250617115437</t>
  </si>
  <si>
    <t>20250617115500</t>
  </si>
  <si>
    <t>20250617115511</t>
  </si>
  <si>
    <t>20250617115548</t>
  </si>
  <si>
    <t>20250617115610</t>
  </si>
  <si>
    <t>20250617115621</t>
  </si>
  <si>
    <t>20250617115651</t>
  </si>
  <si>
    <t>20250617115715</t>
  </si>
  <si>
    <t>20250617115726</t>
  </si>
  <si>
    <t>20250617130024</t>
  </si>
  <si>
    <t>20250617130040</t>
  </si>
  <si>
    <t>20250617130052</t>
  </si>
  <si>
    <t>20250617130120</t>
  </si>
  <si>
    <t>20250617130302</t>
  </si>
  <si>
    <t>20250617130316</t>
  </si>
  <si>
    <t>20250617130343</t>
  </si>
  <si>
    <t>20250617130602</t>
  </si>
  <si>
    <t>20250617130615</t>
  </si>
  <si>
    <t>20250617130648</t>
  </si>
  <si>
    <t>20250617130707</t>
  </si>
  <si>
    <t>20250617130719</t>
  </si>
  <si>
    <t>20250617130749</t>
  </si>
  <si>
    <t>20250617130819</t>
  </si>
  <si>
    <t>20250617130830</t>
  </si>
  <si>
    <t>20250617130908</t>
  </si>
  <si>
    <t>20250617130927</t>
  </si>
  <si>
    <t>20250617130939</t>
  </si>
  <si>
    <t>20250617131013</t>
  </si>
  <si>
    <t>20250617131032</t>
  </si>
  <si>
    <t>20250617131043</t>
  </si>
  <si>
    <t>20250617131111</t>
  </si>
  <si>
    <t>20250617131133</t>
  </si>
  <si>
    <t>20250617131145</t>
  </si>
  <si>
    <t>20250617131232</t>
  </si>
  <si>
    <t>20250617131255</t>
  </si>
  <si>
    <t>20250617131307</t>
  </si>
  <si>
    <t>20250617131340</t>
  </si>
  <si>
    <t>20250617131402</t>
  </si>
  <si>
    <t>20250617131414</t>
  </si>
  <si>
    <t>20250617142220</t>
  </si>
  <si>
    <t>20250617142231</t>
  </si>
  <si>
    <t>20250617142244</t>
  </si>
  <si>
    <t>20250617142321</t>
  </si>
  <si>
    <t>20250617142349</t>
  </si>
  <si>
    <t>20250617142401</t>
  </si>
  <si>
    <t>20250617142434</t>
  </si>
  <si>
    <t>20250617142454</t>
  </si>
  <si>
    <t>20250617142506</t>
  </si>
  <si>
    <t>20250617142538</t>
  </si>
  <si>
    <t>20250617142629</t>
  </si>
  <si>
    <t>20250617142641</t>
  </si>
  <si>
    <t>20250617142710</t>
  </si>
  <si>
    <t>20250617142734</t>
  </si>
  <si>
    <t>20250617142745</t>
  </si>
  <si>
    <t>20250617142827</t>
  </si>
  <si>
    <t>20250617142850</t>
  </si>
  <si>
    <t>20250617142901</t>
  </si>
  <si>
    <t>20250617142938</t>
  </si>
  <si>
    <t>20250617142954</t>
  </si>
  <si>
    <t>20250617143005</t>
  </si>
  <si>
    <t>20250617143030</t>
  </si>
  <si>
    <t>20250617143058</t>
  </si>
  <si>
    <t>20250617143109</t>
  </si>
  <si>
    <t>20250617143145</t>
  </si>
  <si>
    <t>20250617143209</t>
  </si>
  <si>
    <t>20250617143223</t>
  </si>
  <si>
    <t>20250617143257</t>
  </si>
  <si>
    <t>20250617143318</t>
  </si>
  <si>
    <t>20250617143329</t>
  </si>
  <si>
    <t>20250617143402</t>
  </si>
  <si>
    <t>20250617143429</t>
  </si>
  <si>
    <t>20250617143442</t>
  </si>
  <si>
    <t>20250617150308</t>
  </si>
  <si>
    <t>20250617150344</t>
  </si>
  <si>
    <t>20250617150400</t>
  </si>
  <si>
    <t>20250617150413</t>
  </si>
  <si>
    <t>20250617150503</t>
  </si>
  <si>
    <t>20250617150529</t>
  </si>
  <si>
    <t>20250617150541</t>
  </si>
  <si>
    <t>20250617150627</t>
  </si>
  <si>
    <t>20250617150653</t>
  </si>
  <si>
    <t>20250617150708</t>
  </si>
  <si>
    <t>20250617150740</t>
  </si>
  <si>
    <t>20250617150806</t>
  </si>
  <si>
    <t>20250617150817</t>
  </si>
  <si>
    <t>20250617150829</t>
  </si>
  <si>
    <t>20250617150858</t>
  </si>
  <si>
    <t>20250617150921</t>
  </si>
  <si>
    <t>20250617150934</t>
  </si>
  <si>
    <t>20250617151011</t>
  </si>
  <si>
    <t>20250617151030</t>
  </si>
  <si>
    <t>20250617151042</t>
  </si>
  <si>
    <t>20250617151109</t>
  </si>
  <si>
    <t>20250617151133</t>
  </si>
  <si>
    <t>20250617151144</t>
  </si>
  <si>
    <t>20250617151208</t>
  </si>
  <si>
    <t>20250617151235</t>
  </si>
  <si>
    <t>20250617151246</t>
  </si>
  <si>
    <t>20250617151328</t>
  </si>
  <si>
    <t>20250617151346</t>
  </si>
  <si>
    <t>20250617151357</t>
  </si>
  <si>
    <t>20250617151437</t>
  </si>
  <si>
    <t>20250617151449</t>
  </si>
  <si>
    <t>20250617151501</t>
  </si>
  <si>
    <t>20250617151534</t>
  </si>
  <si>
    <t>20250617151603</t>
  </si>
  <si>
    <t>20250617151614</t>
  </si>
  <si>
    <t>20250617155619</t>
  </si>
  <si>
    <t>20250617155635</t>
  </si>
  <si>
    <t>20250617155651</t>
  </si>
  <si>
    <t>20250617155727</t>
  </si>
  <si>
    <t>20250617155745</t>
  </si>
  <si>
    <t>20250617155758</t>
  </si>
  <si>
    <t>20250617155823</t>
  </si>
  <si>
    <t>20250617155852</t>
  </si>
  <si>
    <t>20250617155904</t>
  </si>
  <si>
    <t>20250617155935</t>
  </si>
  <si>
    <t>20250617160026</t>
  </si>
  <si>
    <t>20250617160039</t>
  </si>
  <si>
    <t>20250617160112</t>
  </si>
  <si>
    <t>20250617160134</t>
  </si>
  <si>
    <t>20250617160146</t>
  </si>
  <si>
    <t>20250617160225</t>
  </si>
  <si>
    <t>20250617160248</t>
  </si>
  <si>
    <t>20250617160303</t>
  </si>
  <si>
    <t>20250617160332</t>
  </si>
  <si>
    <t>20250617160354</t>
  </si>
  <si>
    <t>20250617160407</t>
  </si>
  <si>
    <t>20250617160432</t>
  </si>
  <si>
    <t>20250617160458</t>
  </si>
  <si>
    <t>20250617160510</t>
  </si>
  <si>
    <t>20250617160622</t>
  </si>
  <si>
    <t>20250617160647</t>
  </si>
  <si>
    <t>20250617160658</t>
  </si>
  <si>
    <t>20250617160723</t>
  </si>
  <si>
    <t>20250617160758</t>
  </si>
  <si>
    <t>20250617160809</t>
  </si>
  <si>
    <t>20250617171557</t>
  </si>
  <si>
    <t>20250617171611</t>
  </si>
  <si>
    <t>20250617171623</t>
  </si>
  <si>
    <t>20250617171657</t>
  </si>
  <si>
    <t>20250617171734</t>
  </si>
  <si>
    <t>20250617171745</t>
  </si>
  <si>
    <t>20250617171812</t>
  </si>
  <si>
    <t>20250617171839</t>
  </si>
  <si>
    <t>20250617171851</t>
  </si>
  <si>
    <t>20250617171921</t>
  </si>
  <si>
    <t>20250617171940</t>
  </si>
  <si>
    <t>20250617171951</t>
  </si>
  <si>
    <t>20250617172014</t>
  </si>
  <si>
    <t>20250617172041</t>
  </si>
  <si>
    <t>20250617172053</t>
  </si>
  <si>
    <t>20250617172146</t>
  </si>
  <si>
    <t>20250617172211</t>
  </si>
  <si>
    <t>20250617172222</t>
  </si>
  <si>
    <t>20250617172247</t>
  </si>
  <si>
    <t>20250617172311</t>
  </si>
  <si>
    <t>20250617172322</t>
  </si>
  <si>
    <t>20250617172344</t>
  </si>
  <si>
    <t>20250617172411</t>
  </si>
  <si>
    <t>20250617172423</t>
  </si>
  <si>
    <t>20250617172459</t>
  </si>
  <si>
    <t>20250617172521</t>
  </si>
  <si>
    <t>20250617172536</t>
  </si>
  <si>
    <t>20250617172602</t>
  </si>
  <si>
    <t>20250617172631</t>
  </si>
  <si>
    <t>20250617172642</t>
  </si>
  <si>
    <t>20250617175746</t>
  </si>
  <si>
    <t>20250617175759</t>
  </si>
  <si>
    <t>20250617175813</t>
  </si>
  <si>
    <t>20250617175839</t>
  </si>
  <si>
    <t>20250617180025</t>
  </si>
  <si>
    <t>20250617180036</t>
  </si>
  <si>
    <t>20250617180103</t>
  </si>
  <si>
    <t>20250617180124</t>
  </si>
  <si>
    <t>20250617180135</t>
  </si>
  <si>
    <t>20250617180204</t>
  </si>
  <si>
    <t>20250617180224</t>
  </si>
  <si>
    <t>20250617180235</t>
  </si>
  <si>
    <t>20250617180259</t>
  </si>
  <si>
    <t>20250617180324</t>
  </si>
  <si>
    <t>20250617180335</t>
  </si>
  <si>
    <t>20250617180410</t>
  </si>
  <si>
    <t>20250617180429</t>
  </si>
  <si>
    <t>20250617180440</t>
  </si>
  <si>
    <t>20250617180504</t>
  </si>
  <si>
    <t>20250617180529</t>
  </si>
  <si>
    <t>20250617180540</t>
  </si>
  <si>
    <t>20250617180603</t>
  </si>
  <si>
    <t>20250617180629</t>
  </si>
  <si>
    <t>20250617180640</t>
  </si>
  <si>
    <t>20250617180712</t>
  </si>
  <si>
    <t>20250617180734</t>
  </si>
  <si>
    <t>20250617180745</t>
  </si>
  <si>
    <t>20250617180815</t>
  </si>
  <si>
    <t>20250617180841</t>
  </si>
  <si>
    <t>20250617180852</t>
  </si>
  <si>
    <t>20250619090247</t>
  </si>
  <si>
    <t>20250619090300</t>
  </si>
  <si>
    <t>20250619090312</t>
  </si>
  <si>
    <t>20250619090338</t>
  </si>
  <si>
    <t>20250619090403</t>
  </si>
  <si>
    <t>20250619090417</t>
  </si>
  <si>
    <t>20250619090449</t>
  </si>
  <si>
    <t>20250619090513</t>
  </si>
  <si>
    <t>20250619090524</t>
  </si>
  <si>
    <t>20250619090556</t>
  </si>
  <si>
    <t>20250619090617</t>
  </si>
  <si>
    <t>20250619090628</t>
  </si>
  <si>
    <t>20250619090654</t>
  </si>
  <si>
    <t>20250619090717</t>
  </si>
  <si>
    <t>20250619090729</t>
  </si>
  <si>
    <t>20250619090803</t>
  </si>
  <si>
    <t>20250619090828</t>
  </si>
  <si>
    <t>20250619090840</t>
  </si>
  <si>
    <t>20250619090912</t>
  </si>
  <si>
    <t>20250619090932</t>
  </si>
  <si>
    <t>20250619090943</t>
  </si>
  <si>
    <t>20250619091008</t>
  </si>
  <si>
    <t>20250619091037</t>
  </si>
  <si>
    <t>20250619091048</t>
  </si>
  <si>
    <t>20250619091130</t>
  </si>
  <si>
    <t>20250619091150</t>
  </si>
  <si>
    <t>20250619091202</t>
  </si>
  <si>
    <t>20250619091232</t>
  </si>
  <si>
    <t>20250619091257</t>
  </si>
  <si>
    <t>20250619091309</t>
  </si>
  <si>
    <t>20250619091353</t>
  </si>
  <si>
    <t>20250619091412</t>
  </si>
  <si>
    <t>20250619091423</t>
  </si>
  <si>
    <t>20250619101921</t>
  </si>
  <si>
    <t>20250619101935</t>
  </si>
  <si>
    <t>20250619101947</t>
  </si>
  <si>
    <t>20250619102024</t>
  </si>
  <si>
    <t>20250619102047</t>
  </si>
  <si>
    <t>20250619102100</t>
  </si>
  <si>
    <t>20250619102125</t>
  </si>
  <si>
    <t>20250619102150</t>
  </si>
  <si>
    <t>20250619102201</t>
  </si>
  <si>
    <t>20250619102231</t>
  </si>
  <si>
    <t>20250619102254</t>
  </si>
  <si>
    <t>20250619102305</t>
  </si>
  <si>
    <t>20250619102355</t>
  </si>
  <si>
    <t>20250619102420</t>
  </si>
  <si>
    <t>20250619102432</t>
  </si>
  <si>
    <t>20250619102816</t>
  </si>
  <si>
    <t>20250619102949</t>
  </si>
  <si>
    <t>20250619103000</t>
  </si>
  <si>
    <t>20250619103012</t>
  </si>
  <si>
    <t>20250619103037</t>
  </si>
  <si>
    <t>20250619103100</t>
  </si>
  <si>
    <t>20250619103111</t>
  </si>
  <si>
    <t>20250619103141</t>
  </si>
  <si>
    <t>20250619103201</t>
  </si>
  <si>
    <t>20250619103213</t>
  </si>
  <si>
    <t>20250619103249</t>
  </si>
  <si>
    <t>20250619103310</t>
  </si>
  <si>
    <t>20250619103321</t>
  </si>
  <si>
    <t>20250619103352</t>
  </si>
  <si>
    <t>20250619103415</t>
  </si>
  <si>
    <t>20250619103426</t>
  </si>
  <si>
    <t>20250619111524</t>
  </si>
  <si>
    <t>20250619111551</t>
  </si>
  <si>
    <t>20250619111602</t>
  </si>
  <si>
    <t>20250619111629</t>
  </si>
  <si>
    <t>20250619111659</t>
  </si>
  <si>
    <t>20250619111710</t>
  </si>
  <si>
    <t>20250619111734</t>
  </si>
  <si>
    <t>20250619111801</t>
  </si>
  <si>
    <t>20250619111814</t>
  </si>
  <si>
    <t>20250619111843</t>
  </si>
  <si>
    <t>20250619111905</t>
  </si>
  <si>
    <t>20250619111916</t>
  </si>
  <si>
    <t>20250619112428</t>
  </si>
  <si>
    <t>20250619112451</t>
  </si>
  <si>
    <t>20250619112502</t>
  </si>
  <si>
    <t>20250619112533</t>
  </si>
  <si>
    <t>20250619112558</t>
  </si>
  <si>
    <t>20250619112610</t>
  </si>
  <si>
    <t>20250619112641</t>
  </si>
  <si>
    <t>20250619112701</t>
  </si>
  <si>
    <t>20250619112712</t>
  </si>
  <si>
    <t>20250619112733</t>
  </si>
  <si>
    <t>20250619112801</t>
  </si>
  <si>
    <t>20250619112812</t>
  </si>
  <si>
    <t>20250619112843</t>
  </si>
  <si>
    <t>20250619112907</t>
  </si>
  <si>
    <t>20250619112919</t>
  </si>
  <si>
    <t>20250619112949</t>
  </si>
  <si>
    <t>20250619113016</t>
  </si>
  <si>
    <t>20250619113027</t>
  </si>
  <si>
    <t>20250619121115</t>
  </si>
  <si>
    <t>20250619121138</t>
  </si>
  <si>
    <t>20250619121150</t>
  </si>
  <si>
    <t>20250619121215</t>
  </si>
  <si>
    <t>20250619121241</t>
  </si>
  <si>
    <t>20250619121252</t>
  </si>
  <si>
    <t>20250619121321</t>
  </si>
  <si>
    <t>20250619121344</t>
  </si>
  <si>
    <t>20250619121356</t>
  </si>
  <si>
    <t>20250619121424</t>
  </si>
  <si>
    <t>20250619121450</t>
  </si>
  <si>
    <t>20250619121502</t>
  </si>
  <si>
    <t>20250619121533</t>
  </si>
  <si>
    <t>20250619121600</t>
  </si>
  <si>
    <t>20250619121611</t>
  </si>
  <si>
    <t>20250619121646</t>
  </si>
  <si>
    <t>20250619121705</t>
  </si>
  <si>
    <t>20250619121717</t>
  </si>
  <si>
    <t>20250619121744</t>
  </si>
  <si>
    <t>20250619121810</t>
  </si>
  <si>
    <t>20250619121822</t>
  </si>
  <si>
    <t>20250619121846</t>
  </si>
  <si>
    <t>20250619121914</t>
  </si>
  <si>
    <t>20250619121925</t>
  </si>
  <si>
    <t>20250619121958</t>
  </si>
  <si>
    <t>20250619122019</t>
  </si>
  <si>
    <t>20250619122031</t>
  </si>
  <si>
    <t>20250619122055</t>
  </si>
  <si>
    <t>20250619122125</t>
  </si>
  <si>
    <t>20250619122136</t>
  </si>
  <si>
    <t>20250619124531</t>
  </si>
  <si>
    <t>20250619124549</t>
  </si>
  <si>
    <t>20250619124605</t>
  </si>
  <si>
    <t>20250619124630</t>
  </si>
  <si>
    <t>20250619124655</t>
  </si>
  <si>
    <t>20250619124706</t>
  </si>
  <si>
    <t>20250619124735</t>
  </si>
  <si>
    <t>20250619124754</t>
  </si>
  <si>
    <t>20250619124805</t>
  </si>
  <si>
    <t>20250619124834</t>
  </si>
  <si>
    <t>20250619124854</t>
  </si>
  <si>
    <t>20250619124907</t>
  </si>
  <si>
    <t>20250619124937</t>
  </si>
  <si>
    <t>20250619125000</t>
  </si>
  <si>
    <t>20250619125014</t>
  </si>
  <si>
    <t>20250619125050</t>
  </si>
  <si>
    <t>20250619125110</t>
  </si>
  <si>
    <t>20250619125121</t>
  </si>
  <si>
    <t>20250619125146</t>
  </si>
  <si>
    <t>20250619125210</t>
  </si>
  <si>
    <t>20250619125222</t>
  </si>
  <si>
    <t>20250619125246</t>
  </si>
  <si>
    <t>20250619125315</t>
  </si>
  <si>
    <t>20250619125327</t>
  </si>
  <si>
    <t>20250619125404</t>
  </si>
  <si>
    <t>20250619125425</t>
  </si>
  <si>
    <t>20250619125438</t>
  </si>
  <si>
    <t>20250619125504</t>
  </si>
  <si>
    <t>20250619125535</t>
  </si>
  <si>
    <t>20250619125549</t>
  </si>
  <si>
    <t>20250619131738</t>
  </si>
  <si>
    <t>20250619131753</t>
  </si>
  <si>
    <t>20250619131807</t>
  </si>
  <si>
    <t>20250619131835</t>
  </si>
  <si>
    <t>20250619131859</t>
  </si>
  <si>
    <t>20250619131914</t>
  </si>
  <si>
    <t>20250619131939</t>
  </si>
  <si>
    <t>20250619132006</t>
  </si>
  <si>
    <t>20250619132021</t>
  </si>
  <si>
    <t>20250619132049</t>
  </si>
  <si>
    <t>20250619132116</t>
  </si>
  <si>
    <t>20250619132132</t>
  </si>
  <si>
    <t>20250619132210</t>
  </si>
  <si>
    <t>20250619132224</t>
  </si>
  <si>
    <t>20250619132236</t>
  </si>
  <si>
    <t>20250619132320</t>
  </si>
  <si>
    <t>20250619132334</t>
  </si>
  <si>
    <t>20250619132346</t>
  </si>
  <si>
    <t>20250619132413</t>
  </si>
  <si>
    <t>20250619132439</t>
  </si>
  <si>
    <t>20250619132451</t>
  </si>
  <si>
    <t>20250619132515</t>
  </si>
  <si>
    <t>20250619132543</t>
  </si>
  <si>
    <t>20250619132554</t>
  </si>
  <si>
    <t>20250619132624</t>
  </si>
  <si>
    <t>20250619132650</t>
  </si>
  <si>
    <t>20250619132703</t>
  </si>
  <si>
    <t>20250619132729</t>
  </si>
  <si>
    <t>20250619132801</t>
  </si>
  <si>
    <t>20250619132814</t>
  </si>
  <si>
    <t>20250619155441</t>
  </si>
  <si>
    <t>20250619155454</t>
  </si>
  <si>
    <t>20250619155507</t>
  </si>
  <si>
    <t>20250619155532</t>
  </si>
  <si>
    <t>20250619155558</t>
  </si>
  <si>
    <t>20250619155610</t>
  </si>
  <si>
    <t>20250619155647</t>
  </si>
  <si>
    <t>20250619155706</t>
  </si>
  <si>
    <t>20250619155718</t>
  </si>
  <si>
    <t>20250619155755</t>
  </si>
  <si>
    <t>20250619155809</t>
  </si>
  <si>
    <t>20250619155821</t>
  </si>
  <si>
    <t>20250619155855</t>
  </si>
  <si>
    <t>20250619155909</t>
  </si>
  <si>
    <t>20250619155921</t>
  </si>
  <si>
    <t>20250619155955</t>
  </si>
  <si>
    <t>20250619160014</t>
  </si>
  <si>
    <t>20250619160027</t>
  </si>
  <si>
    <t>20250619160052</t>
  </si>
  <si>
    <t>20250619160119</t>
  </si>
  <si>
    <t>20250619160130</t>
  </si>
  <si>
    <t>20250619160155</t>
  </si>
  <si>
    <t>20250619160220</t>
  </si>
  <si>
    <t>20250619160232</t>
  </si>
  <si>
    <t>20250619160311</t>
  </si>
  <si>
    <t>20250619160329</t>
  </si>
  <si>
    <t>20250619160342</t>
  </si>
  <si>
    <t>20250619160415</t>
  </si>
  <si>
    <t>20250619160435</t>
  </si>
  <si>
    <t>20250619160446</t>
  </si>
  <si>
    <t>20250624134721</t>
  </si>
  <si>
    <t>20250624135044</t>
  </si>
  <si>
    <t>20250624135056</t>
  </si>
  <si>
    <t>20250624135159</t>
  </si>
  <si>
    <t>20250624135212</t>
  </si>
  <si>
    <t>20250624135332</t>
  </si>
  <si>
    <t>20250624135455</t>
  </si>
  <si>
    <t>20250624135506</t>
  </si>
  <si>
    <t>20250624135517</t>
  </si>
  <si>
    <t>20250624135552</t>
  </si>
  <si>
    <t>20250624135649</t>
  </si>
  <si>
    <t>20250624135700</t>
  </si>
  <si>
    <t>20250624135741</t>
  </si>
  <si>
    <t>20250624135756</t>
  </si>
  <si>
    <t>20250624135808</t>
  </si>
  <si>
    <t>20250624135908</t>
  </si>
  <si>
    <t>20250624135921</t>
  </si>
  <si>
    <t>20250624135933</t>
  </si>
  <si>
    <t>20250624140033</t>
  </si>
  <si>
    <t>20250624140237</t>
  </si>
  <si>
    <t>20250624140257</t>
  </si>
  <si>
    <t>20250624140346</t>
  </si>
  <si>
    <t>20250624140358</t>
  </si>
  <si>
    <t>20250624140506</t>
  </si>
  <si>
    <t>20250624140518</t>
  </si>
  <si>
    <t>20250624140531</t>
  </si>
  <si>
    <t>20250624140630</t>
  </si>
  <si>
    <t>20250624140642</t>
  </si>
  <si>
    <t>20250624140653</t>
  </si>
  <si>
    <t>20250624160706</t>
  </si>
  <si>
    <t>20250624160718</t>
  </si>
  <si>
    <t>20250624160731</t>
  </si>
  <si>
    <t>20250624160814</t>
  </si>
  <si>
    <t>20250624160826</t>
  </si>
  <si>
    <t>20250624160838</t>
  </si>
  <si>
    <t>20250624160914</t>
  </si>
  <si>
    <t>20250624161313</t>
  </si>
  <si>
    <t>20250624161324</t>
  </si>
  <si>
    <t>20250624161342</t>
  </si>
  <si>
    <t>20250624161355</t>
  </si>
  <si>
    <t>20250624161457</t>
  </si>
  <si>
    <t>20250624161516</t>
  </si>
  <si>
    <t>20250624161528</t>
  </si>
  <si>
    <t>20250624161611</t>
  </si>
  <si>
    <t>20250624161818</t>
  </si>
  <si>
    <t>20250624161933</t>
  </si>
  <si>
    <t>20250624161945</t>
  </si>
  <si>
    <t>20250624161957</t>
  </si>
  <si>
    <t>20250624162009</t>
  </si>
  <si>
    <t>20250624162100</t>
  </si>
  <si>
    <t>20250624162511</t>
  </si>
  <si>
    <t>20250624162523</t>
  </si>
  <si>
    <t>20250624162534</t>
  </si>
  <si>
    <t>20250624162545</t>
  </si>
  <si>
    <t>20250624162557</t>
  </si>
  <si>
    <t>20250624162644</t>
  </si>
  <si>
    <t>20250624162746</t>
  </si>
  <si>
    <t>20250624162758</t>
  </si>
  <si>
    <t>20250624162847</t>
  </si>
  <si>
    <t>20250624162900</t>
  </si>
  <si>
    <t>20250624162911</t>
  </si>
  <si>
    <t>20250624163006</t>
  </si>
  <si>
    <t>20250624163017</t>
  </si>
  <si>
    <t>20250624163029</t>
  </si>
  <si>
    <t>20250624163122</t>
  </si>
  <si>
    <t>20250624163134</t>
  </si>
  <si>
    <t>20250624163157</t>
  </si>
  <si>
    <t>20250624104928</t>
  </si>
  <si>
    <t>20250624104939</t>
  </si>
  <si>
    <t>20250624104951</t>
  </si>
  <si>
    <t>20250624105041</t>
  </si>
  <si>
    <t>20250624105052</t>
  </si>
  <si>
    <t>20250624105103</t>
  </si>
  <si>
    <t>20250624105143</t>
  </si>
  <si>
    <t>20250624105155</t>
  </si>
  <si>
    <t>20250624105206</t>
  </si>
  <si>
    <t>20250624105244</t>
  </si>
  <si>
    <t>20250624105255</t>
  </si>
  <si>
    <t>20250624105307</t>
  </si>
  <si>
    <t>20250624105343</t>
  </si>
  <si>
    <t>20250624105355</t>
  </si>
  <si>
    <t>20250624105407</t>
  </si>
  <si>
    <t>20250624105503</t>
  </si>
  <si>
    <t>20250624105515</t>
  </si>
  <si>
    <t>20250624105528</t>
  </si>
  <si>
    <t>20250624105608</t>
  </si>
  <si>
    <t>20250624105619</t>
  </si>
  <si>
    <t>20250624105631</t>
  </si>
  <si>
    <t>20250624105708</t>
  </si>
  <si>
    <t>20250624105726</t>
  </si>
  <si>
    <t>20250624105739</t>
  </si>
  <si>
    <t>20250624105844</t>
  </si>
  <si>
    <t>20250624105943</t>
  </si>
  <si>
    <t>20250624105955</t>
  </si>
  <si>
    <t>20250624110137</t>
  </si>
  <si>
    <t>20250624110326</t>
  </si>
  <si>
    <t>20250624110337</t>
  </si>
  <si>
    <t>20250624110440</t>
  </si>
  <si>
    <t>20250624110452</t>
  </si>
  <si>
    <t>20250624110504</t>
  </si>
  <si>
    <t>20250624092023</t>
  </si>
  <si>
    <t>20250624093045</t>
  </si>
  <si>
    <t>20250624093100</t>
  </si>
  <si>
    <t>20250624093112</t>
  </si>
  <si>
    <t>20250624093124</t>
  </si>
  <si>
    <t>20250624093225</t>
  </si>
  <si>
    <t>20250624093237</t>
  </si>
  <si>
    <t>20250624093249</t>
  </si>
  <si>
    <t>20250624093301</t>
  </si>
  <si>
    <t>20250624093312</t>
  </si>
  <si>
    <t>20250624093422</t>
  </si>
  <si>
    <t>20250624093800</t>
  </si>
  <si>
    <t>20250624093813</t>
  </si>
  <si>
    <t>20250624093825</t>
  </si>
  <si>
    <t>20250624093838</t>
  </si>
  <si>
    <t>20250624093942</t>
  </si>
  <si>
    <t>20250624093954</t>
  </si>
  <si>
    <t>20250624094006</t>
  </si>
  <si>
    <t>20250624094018</t>
  </si>
  <si>
    <t>20250624094029</t>
  </si>
  <si>
    <t>20250624094113</t>
  </si>
  <si>
    <t>20250624094406</t>
  </si>
  <si>
    <t>20250624094419</t>
  </si>
  <si>
    <t>20250624094607</t>
  </si>
  <si>
    <t>20250624094855</t>
  </si>
  <si>
    <t>20250624094909</t>
  </si>
  <si>
    <t>20250624094921</t>
  </si>
  <si>
    <t>20250624094933</t>
  </si>
  <si>
    <t>20250624095415</t>
  </si>
  <si>
    <t>20250624095444</t>
  </si>
  <si>
    <t>20250624095459</t>
  </si>
  <si>
    <t>20250624095511</t>
  </si>
  <si>
    <t>20250624095523</t>
  </si>
  <si>
    <t>20250624095603</t>
  </si>
  <si>
    <t>20250624095615</t>
  </si>
  <si>
    <t>20250624095626</t>
  </si>
  <si>
    <t>20250624095639</t>
  </si>
  <si>
    <t>20250624095650</t>
  </si>
  <si>
    <t>20250624095917</t>
  </si>
  <si>
    <t>20250624095928</t>
  </si>
  <si>
    <t>20250624100037</t>
  </si>
  <si>
    <t>20250624100053</t>
  </si>
  <si>
    <t>20250624100104</t>
  </si>
  <si>
    <t>20250624100253</t>
  </si>
  <si>
    <t>20250624100305</t>
  </si>
  <si>
    <t>20250624100318</t>
  </si>
  <si>
    <t>20250624100331</t>
  </si>
  <si>
    <t>20250624100342</t>
  </si>
  <si>
    <t>20250624115415</t>
  </si>
  <si>
    <t>20250624115429</t>
  </si>
  <si>
    <t>20250624115441</t>
  </si>
  <si>
    <t>20250624115544</t>
  </si>
  <si>
    <t>20250624115557</t>
  </si>
  <si>
    <t>20250624115610</t>
  </si>
  <si>
    <t>20250624115656</t>
  </si>
  <si>
    <t>20250624115711</t>
  </si>
  <si>
    <t>20250624115722</t>
  </si>
  <si>
    <t>20250624115807</t>
  </si>
  <si>
    <t>20250624115819</t>
  </si>
  <si>
    <t>20250624115830</t>
  </si>
  <si>
    <t>20250624115908</t>
  </si>
  <si>
    <t>20250624115919</t>
  </si>
  <si>
    <t>20250624115930</t>
  </si>
  <si>
    <t>20250624120022</t>
  </si>
  <si>
    <t>20250624120033</t>
  </si>
  <si>
    <t>20250624120046</t>
  </si>
  <si>
    <t>20250624120201</t>
  </si>
  <si>
    <t>20250624120213</t>
  </si>
  <si>
    <t>20250624120225</t>
  </si>
  <si>
    <t>20250624120259</t>
  </si>
  <si>
    <t>20250624120312</t>
  </si>
  <si>
    <t>20250624120324</t>
  </si>
  <si>
    <t>20250624120432</t>
  </si>
  <si>
    <t>20250624120737</t>
  </si>
  <si>
    <t>20250624120748</t>
  </si>
  <si>
    <t>20250624120807</t>
  </si>
  <si>
    <t>20250624120820</t>
  </si>
  <si>
    <t>20250624120951</t>
  </si>
  <si>
    <t>20250624121004</t>
  </si>
  <si>
    <t>20250624121016</t>
  </si>
  <si>
    <t>20250624121028</t>
  </si>
  <si>
    <t>20250624121040</t>
  </si>
  <si>
    <t>20250624121123</t>
  </si>
  <si>
    <t>20250624121136</t>
  </si>
  <si>
    <t>20250624121148</t>
  </si>
  <si>
    <t>20250624121159</t>
  </si>
  <si>
    <t>20250624121316</t>
  </si>
  <si>
    <t>20250624144103</t>
  </si>
  <si>
    <t>20250624144331</t>
  </si>
  <si>
    <t>20250624144343</t>
  </si>
  <si>
    <t>20250624144356</t>
  </si>
  <si>
    <t>20250624144431</t>
  </si>
  <si>
    <t>20250624144713</t>
  </si>
  <si>
    <t>20250624144725</t>
  </si>
  <si>
    <t>20250624144810</t>
  </si>
  <si>
    <t>20250624145205</t>
  </si>
  <si>
    <t>20250624145217</t>
  </si>
  <si>
    <t>20250624145229</t>
  </si>
  <si>
    <t>20250624145240</t>
  </si>
  <si>
    <t>20250624145322</t>
  </si>
  <si>
    <t>20250624145338</t>
  </si>
  <si>
    <t>20250624145350</t>
  </si>
  <si>
    <t>20250624145453</t>
  </si>
  <si>
    <t>20250624145707</t>
  </si>
  <si>
    <t>20250624145718</t>
  </si>
  <si>
    <t>20250624145805</t>
  </si>
  <si>
    <t>20250624145820</t>
  </si>
  <si>
    <t>20250624145831</t>
  </si>
  <si>
    <t>20250624145902</t>
  </si>
  <si>
    <t>20250624145917</t>
  </si>
  <si>
    <t>20250624145928</t>
  </si>
  <si>
    <t>20250701125830</t>
  </si>
  <si>
    <t>20250701125842</t>
  </si>
  <si>
    <t>20250701125854</t>
  </si>
  <si>
    <t>20250701130229</t>
  </si>
  <si>
    <t>20250701130242</t>
  </si>
  <si>
    <t>20250701130257</t>
  </si>
  <si>
    <t>20250701130403</t>
  </si>
  <si>
    <t>20250701130420</t>
  </si>
  <si>
    <t>20250701130433</t>
  </si>
  <si>
    <t>20250701130537</t>
  </si>
  <si>
    <t>20250701130549</t>
  </si>
  <si>
    <t>20250701130601</t>
  </si>
  <si>
    <t>20250701130802</t>
  </si>
  <si>
    <t>20250701130950</t>
  </si>
  <si>
    <t>20250701131001</t>
  </si>
  <si>
    <t>20250701131051</t>
  </si>
  <si>
    <t>20250701131103</t>
  </si>
  <si>
    <t>20250701131115</t>
  </si>
  <si>
    <t>20250701131202</t>
  </si>
  <si>
    <t>20250701131215</t>
  </si>
  <si>
    <t>20250701131228</t>
  </si>
  <si>
    <t>20250701151728</t>
  </si>
  <si>
    <t>20250701151744</t>
  </si>
  <si>
    <t>20250701151755</t>
  </si>
  <si>
    <t>20250701151909</t>
  </si>
  <si>
    <t>20250701151924</t>
  </si>
  <si>
    <t>20250701151937</t>
  </si>
  <si>
    <t>20250701152257</t>
  </si>
  <si>
    <t>20250701152309</t>
  </si>
  <si>
    <t>20250701152323</t>
  </si>
  <si>
    <t>20250701152411</t>
  </si>
  <si>
    <t>20250701152424</t>
  </si>
  <si>
    <t>20250701152436</t>
  </si>
  <si>
    <t>20250701152535</t>
  </si>
  <si>
    <t>20250701152550</t>
  </si>
  <si>
    <t>20250701152603</t>
  </si>
  <si>
    <t>20250701152658</t>
  </si>
  <si>
    <t>20250701152711</t>
  </si>
  <si>
    <t>20250701152724</t>
  </si>
  <si>
    <t>20250701152811</t>
  </si>
  <si>
    <t>20250701152826</t>
  </si>
  <si>
    <t>20250701152839</t>
  </si>
  <si>
    <t>20250701161144</t>
  </si>
  <si>
    <t>20250701161156</t>
  </si>
  <si>
    <t>20250701161209</t>
  </si>
  <si>
    <t>20250701161309</t>
  </si>
  <si>
    <t>20250701161322</t>
  </si>
  <si>
    <t>20250701161334</t>
  </si>
  <si>
    <t>20250701161437</t>
  </si>
  <si>
    <t>20250701161449</t>
  </si>
  <si>
    <t>20250701161501</t>
  </si>
  <si>
    <t>20250701161549</t>
  </si>
  <si>
    <t>20250701161605</t>
  </si>
  <si>
    <t>20250701161617</t>
  </si>
  <si>
    <t>20250701161742</t>
  </si>
  <si>
    <t>20250701161755</t>
  </si>
  <si>
    <t>20250701161807</t>
  </si>
  <si>
    <t>20250701161856</t>
  </si>
  <si>
    <t>20250701161908</t>
  </si>
  <si>
    <t>20250701161921</t>
  </si>
  <si>
    <t>20250701162010</t>
  </si>
  <si>
    <t>20250701162023</t>
  </si>
  <si>
    <t>20250701162035</t>
  </si>
  <si>
    <t>20250702140141</t>
  </si>
  <si>
    <t>20250702140153</t>
  </si>
  <si>
    <t>20250702140205</t>
  </si>
  <si>
    <t>20250702140307</t>
  </si>
  <si>
    <t>20250702140319</t>
  </si>
  <si>
    <t>20250702140330</t>
  </si>
  <si>
    <t>20250702140437</t>
  </si>
  <si>
    <t>20250702140449</t>
  </si>
  <si>
    <t>20250702140501</t>
  </si>
  <si>
    <t>20250702140553</t>
  </si>
  <si>
    <t>20250702140605</t>
  </si>
  <si>
    <t>20250702140617</t>
  </si>
  <si>
    <t>20250702140716</t>
  </si>
  <si>
    <t>20250702140730</t>
  </si>
  <si>
    <t>20250702140742</t>
  </si>
  <si>
    <t>20250702140835</t>
  </si>
  <si>
    <t>20250702140848</t>
  </si>
  <si>
    <t>20250702140901</t>
  </si>
  <si>
    <t>20250702140950</t>
  </si>
  <si>
    <t>20250702141002</t>
  </si>
  <si>
    <t>20250702141014</t>
  </si>
  <si>
    <t>20250702170236</t>
  </si>
  <si>
    <t>20250702170248</t>
  </si>
  <si>
    <t>20250702170300</t>
  </si>
  <si>
    <t>20250702170946</t>
  </si>
  <si>
    <t>20250702170958</t>
  </si>
  <si>
    <t>20250702171011</t>
  </si>
  <si>
    <t>20250702171058</t>
  </si>
  <si>
    <t>20250702171110</t>
  </si>
  <si>
    <t>20250702171122</t>
  </si>
  <si>
    <t>20250702171705</t>
  </si>
  <si>
    <t>20250702171718</t>
  </si>
  <si>
    <t>20250702171730</t>
  </si>
  <si>
    <t>20250702172052</t>
  </si>
  <si>
    <t>20250702172104</t>
  </si>
  <si>
    <t>20250702172412</t>
  </si>
  <si>
    <t>20250702152206</t>
  </si>
  <si>
    <t>20250702152218</t>
  </si>
  <si>
    <t>20250702152230</t>
  </si>
  <si>
    <t>20250702152927</t>
  </si>
  <si>
    <t>20250702152940</t>
  </si>
  <si>
    <t>20250702152958</t>
  </si>
  <si>
    <t>20250702161219</t>
  </si>
  <si>
    <t>20250702161231</t>
  </si>
  <si>
    <t>20250702161243</t>
  </si>
  <si>
    <t>20250702161337</t>
  </si>
  <si>
    <t>20250702161349</t>
  </si>
  <si>
    <t>20250702161401</t>
  </si>
  <si>
    <t>20250702161456</t>
  </si>
  <si>
    <t>20250702161508</t>
  </si>
  <si>
    <t>20250702161520</t>
  </si>
  <si>
    <t>20250702161604</t>
  </si>
  <si>
    <t>20250702161616</t>
  </si>
  <si>
    <t>20250702161627</t>
  </si>
  <si>
    <t>20250702161810</t>
  </si>
  <si>
    <t>20250702161821</t>
  </si>
  <si>
    <t>20250702161832</t>
  </si>
  <si>
    <t>20250702161917</t>
  </si>
  <si>
    <t>20250702161928</t>
  </si>
  <si>
    <t>20250702161940</t>
  </si>
  <si>
    <t>20250702162023</t>
  </si>
  <si>
    <t>20250702162035</t>
  </si>
  <si>
    <t>20250702162047</t>
  </si>
  <si>
    <t>20250702120907</t>
  </si>
  <si>
    <t>20250702120919</t>
  </si>
  <si>
    <t>20250702120931</t>
  </si>
  <si>
    <t>20250702121027</t>
  </si>
  <si>
    <t>20250702121039</t>
  </si>
  <si>
    <t>20250702121051</t>
  </si>
  <si>
    <t>20250702121152</t>
  </si>
  <si>
    <t>20250702121204</t>
  </si>
  <si>
    <t>20250702121216</t>
  </si>
  <si>
    <t>20250702121303</t>
  </si>
  <si>
    <t>20250702121315</t>
  </si>
  <si>
    <t>20250702121326</t>
  </si>
  <si>
    <t>20250702121421</t>
  </si>
  <si>
    <t>20250702121433</t>
  </si>
  <si>
    <t>20250702121445</t>
  </si>
  <si>
    <t>20250702121530</t>
  </si>
  <si>
    <t>20250702121542</t>
  </si>
  <si>
    <t>20250702121554</t>
  </si>
  <si>
    <t>20250702121637</t>
  </si>
  <si>
    <t>20250702121650</t>
  </si>
  <si>
    <t>20250702121702</t>
  </si>
  <si>
    <t>20250715163007</t>
  </si>
  <si>
    <t>20250715163020</t>
  </si>
  <si>
    <t>20250715163031</t>
  </si>
  <si>
    <t>20250715163428</t>
  </si>
  <si>
    <t>20250715163440</t>
  </si>
  <si>
    <t>20250715163452</t>
  </si>
  <si>
    <t>20250715163653</t>
  </si>
  <si>
    <t>20250715163705</t>
  </si>
  <si>
    <t>20250715163717</t>
  </si>
  <si>
    <t>20250715163759</t>
  </si>
  <si>
    <t>20250715163812</t>
  </si>
  <si>
    <t>20250715163824</t>
  </si>
  <si>
    <t>20250703102802</t>
  </si>
  <si>
    <t>20250703102839</t>
  </si>
  <si>
    <t>20250703102851</t>
  </si>
  <si>
    <t>20250703102947</t>
  </si>
  <si>
    <t>20250703102958</t>
  </si>
  <si>
    <t>20250703103010</t>
  </si>
  <si>
    <t>20250703103111</t>
  </si>
  <si>
    <t>20250703103123</t>
  </si>
  <si>
    <t>20250703103136</t>
  </si>
  <si>
    <t>20250703103225</t>
  </si>
  <si>
    <t>20250703103237</t>
  </si>
  <si>
    <t>20250703103248</t>
  </si>
  <si>
    <t>20250703103335</t>
  </si>
  <si>
    <t>20250703103346</t>
  </si>
  <si>
    <t>20250703103358</t>
  </si>
  <si>
    <t>20250703103440</t>
  </si>
  <si>
    <t>20250703103451</t>
  </si>
  <si>
    <t>20250703103502</t>
  </si>
  <si>
    <t>20250703103545</t>
  </si>
  <si>
    <t>20250703103556</t>
  </si>
  <si>
    <t>20250703103607</t>
  </si>
  <si>
    <t>20250703121157</t>
  </si>
  <si>
    <t>20250703121210</t>
  </si>
  <si>
    <t>20250703121222</t>
  </si>
  <si>
    <t>20250703121424</t>
  </si>
  <si>
    <t>20250703121435</t>
  </si>
  <si>
    <t>20250703121447</t>
  </si>
  <si>
    <t>20250703121543</t>
  </si>
  <si>
    <t>20250703121555</t>
  </si>
  <si>
    <t>20250703121606</t>
  </si>
  <si>
    <t>20250703121648</t>
  </si>
  <si>
    <t>20250703121659</t>
  </si>
  <si>
    <t>20250703121711</t>
  </si>
  <si>
    <t>20250703121931</t>
  </si>
  <si>
    <t>20250703121943</t>
  </si>
  <si>
    <t>20250703121955</t>
  </si>
  <si>
    <t>20250703122048</t>
  </si>
  <si>
    <t>20250703122100</t>
  </si>
  <si>
    <t>20250703122112</t>
  </si>
  <si>
    <t>20250703122154</t>
  </si>
  <si>
    <t>20250703122205</t>
  </si>
  <si>
    <t>20250703122216</t>
  </si>
  <si>
    <t>20250703125952</t>
  </si>
  <si>
    <t>20250703130004</t>
  </si>
  <si>
    <t>20250703130016</t>
  </si>
  <si>
    <t>20250703130119</t>
  </si>
  <si>
    <t>20250703130131</t>
  </si>
  <si>
    <t>20250703130143</t>
  </si>
  <si>
    <t>20250703130327</t>
  </si>
  <si>
    <t>20250703130339</t>
  </si>
  <si>
    <t>20250703130351</t>
  </si>
  <si>
    <t>20250703130435</t>
  </si>
  <si>
    <t>20250703130449</t>
  </si>
  <si>
    <t>20250703130501</t>
  </si>
  <si>
    <t>20250703130930</t>
  </si>
  <si>
    <t>20250703130943</t>
  </si>
  <si>
    <t>20250703130955</t>
  </si>
  <si>
    <t>20250703131040</t>
  </si>
  <si>
    <t>20250703131051</t>
  </si>
  <si>
    <t>20250703131103</t>
  </si>
  <si>
    <t>20250703131252</t>
  </si>
  <si>
    <t>20250703131304</t>
  </si>
  <si>
    <t>20250703131315</t>
  </si>
  <si>
    <t>20250702104644</t>
  </si>
  <si>
    <t>20250702104657</t>
  </si>
  <si>
    <t>20250702104709</t>
  </si>
  <si>
    <t>20250702104807</t>
  </si>
  <si>
    <t>20250702104819</t>
  </si>
  <si>
    <t>20250702104832</t>
  </si>
  <si>
    <t>20250702104935</t>
  </si>
  <si>
    <t>20250702104949</t>
  </si>
  <si>
    <t>20250702105002</t>
  </si>
  <si>
    <t>20250702105059</t>
  </si>
  <si>
    <t>20250702105112</t>
  </si>
  <si>
    <t>20250702105126</t>
  </si>
  <si>
    <t>20250702105714</t>
  </si>
  <si>
    <t>20250702105726</t>
  </si>
  <si>
    <t>20250702105739</t>
  </si>
  <si>
    <t>20250702105829</t>
  </si>
  <si>
    <t>20250702105841</t>
  </si>
  <si>
    <t>20250702105852</t>
  </si>
  <si>
    <t>20250714152859</t>
  </si>
  <si>
    <t>20250714152912</t>
  </si>
  <si>
    <t>20250714152924</t>
  </si>
  <si>
    <t>20250714153547</t>
  </si>
  <si>
    <t>20250714153559</t>
  </si>
  <si>
    <t>20250714153611</t>
  </si>
  <si>
    <t>20250714153911</t>
  </si>
  <si>
    <t>20250714153922</t>
  </si>
  <si>
    <t>20250714153934</t>
  </si>
  <si>
    <t>20250714154020</t>
  </si>
  <si>
    <t>20250714154031</t>
  </si>
  <si>
    <t>20250714154043</t>
  </si>
  <si>
    <t>20250714154128</t>
  </si>
  <si>
    <t>20250714154141</t>
  </si>
  <si>
    <t>20250714154153</t>
  </si>
  <si>
    <t>20250714164305</t>
  </si>
  <si>
    <t>20250714164320</t>
  </si>
  <si>
    <t>20250714164332</t>
  </si>
  <si>
    <t>20250714164838</t>
  </si>
  <si>
    <t>20250714164849</t>
  </si>
  <si>
    <t>20250714164901</t>
  </si>
  <si>
    <t>20250714164947</t>
  </si>
  <si>
    <t>20250714165001</t>
  </si>
  <si>
    <t>20250714165015</t>
  </si>
  <si>
    <t>20250714165304</t>
  </si>
  <si>
    <t>20250714165316</t>
  </si>
  <si>
    <t>20250714165328</t>
  </si>
  <si>
    <t>20250714165412</t>
  </si>
  <si>
    <t>20250714165423</t>
  </si>
  <si>
    <t>20250714165435</t>
  </si>
  <si>
    <t>20250714165517</t>
  </si>
  <si>
    <t>20250714165528</t>
  </si>
  <si>
    <t>20250714165540</t>
  </si>
  <si>
    <t>20250714144156</t>
  </si>
  <si>
    <t>20250714144208</t>
  </si>
  <si>
    <t>20250714144222</t>
  </si>
  <si>
    <t>20250714144318</t>
  </si>
  <si>
    <t>20250714144330</t>
  </si>
  <si>
    <t>20250714144341</t>
  </si>
  <si>
    <t>20250714144544</t>
  </si>
  <si>
    <t>20250714144556</t>
  </si>
  <si>
    <t>20250714144608</t>
  </si>
  <si>
    <t>20250714144652</t>
  </si>
  <si>
    <t>20250714144703</t>
  </si>
  <si>
    <t>20250714144715</t>
  </si>
  <si>
    <t>20250714144807</t>
  </si>
  <si>
    <t>20250714144818</t>
  </si>
  <si>
    <t>20250714144831</t>
  </si>
  <si>
    <t>20250714144916</t>
  </si>
  <si>
    <t>20250714144927</t>
  </si>
  <si>
    <t>20250714144939</t>
  </si>
  <si>
    <t>20250714145021</t>
  </si>
  <si>
    <t>20250714145032</t>
  </si>
  <si>
    <t>20250714145044</t>
  </si>
  <si>
    <t>20250714132307</t>
  </si>
  <si>
    <t>20250714132319</t>
  </si>
  <si>
    <t>20250714132331</t>
  </si>
  <si>
    <t>20250714132532</t>
  </si>
  <si>
    <t>20250714132543</t>
  </si>
  <si>
    <t>20250714132558</t>
  </si>
  <si>
    <t>20250714133122</t>
  </si>
  <si>
    <t>20250714133134</t>
  </si>
  <si>
    <t>20250714133146</t>
  </si>
  <si>
    <t>20250714133506</t>
  </si>
  <si>
    <t>20250714133518</t>
  </si>
  <si>
    <t>20250714133530</t>
  </si>
  <si>
    <t>20250714133615</t>
  </si>
  <si>
    <t>20250714133626</t>
  </si>
  <si>
    <t>20250714133638</t>
  </si>
  <si>
    <t>20250714133730</t>
  </si>
  <si>
    <t>20250714133741</t>
  </si>
  <si>
    <t>20250714133752</t>
  </si>
  <si>
    <t>20250714122426</t>
  </si>
  <si>
    <t>20250714122438</t>
  </si>
  <si>
    <t>20250714122450</t>
  </si>
  <si>
    <t>20250714122859</t>
  </si>
  <si>
    <t>20250714122910</t>
  </si>
  <si>
    <t>20250714122921</t>
  </si>
  <si>
    <t>20250714123031</t>
  </si>
  <si>
    <t>20250714123044</t>
  </si>
  <si>
    <t>20250714123055</t>
  </si>
  <si>
    <t>20250714123145</t>
  </si>
  <si>
    <t>20250714123156</t>
  </si>
  <si>
    <t>20250714123208</t>
  </si>
  <si>
    <t>20250714123303</t>
  </si>
  <si>
    <t>20250714123314</t>
  </si>
  <si>
    <t>20250714123333</t>
  </si>
  <si>
    <t>20250714123417</t>
  </si>
  <si>
    <t>20250714123429</t>
  </si>
  <si>
    <t>20250714123441</t>
  </si>
  <si>
    <t>20250714123528</t>
  </si>
  <si>
    <t>20250714123540</t>
  </si>
  <si>
    <t>20250714123552</t>
  </si>
  <si>
    <t>20250701175300</t>
  </si>
  <si>
    <t>20250701175313</t>
  </si>
  <si>
    <t>20250701175325</t>
  </si>
  <si>
    <t>20250701175923</t>
  </si>
  <si>
    <t>20250701175935</t>
  </si>
  <si>
    <t>20250701175948</t>
  </si>
  <si>
    <t>20250701180715</t>
  </si>
  <si>
    <t>20250701180727</t>
  </si>
  <si>
    <t>20250701180739</t>
  </si>
  <si>
    <t>20250701180825</t>
  </si>
  <si>
    <t>20250701180839</t>
  </si>
  <si>
    <t>20250701180851</t>
  </si>
  <si>
    <t>20250701182515</t>
  </si>
  <si>
    <t>20250701182527</t>
  </si>
  <si>
    <t>20250701182538</t>
  </si>
  <si>
    <t>20250701182627</t>
  </si>
  <si>
    <t>20250701182640</t>
  </si>
  <si>
    <t>20250701182652</t>
  </si>
  <si>
    <t>20250701182956</t>
  </si>
  <si>
    <t>20250701183121</t>
  </si>
  <si>
    <t>20250715154618</t>
  </si>
  <si>
    <t>20250715154633</t>
  </si>
  <si>
    <t>20250715154644</t>
  </si>
  <si>
    <t>20250715154740</t>
  </si>
  <si>
    <t>20250715154752</t>
  </si>
  <si>
    <t>20250715154811</t>
  </si>
  <si>
    <t>20250715155155</t>
  </si>
  <si>
    <t>20250715155208</t>
  </si>
  <si>
    <t>20250715155220</t>
  </si>
  <si>
    <t>20250715155517</t>
  </si>
  <si>
    <t>20250715155529</t>
  </si>
  <si>
    <t>20250715155540</t>
  </si>
  <si>
    <t>20250715155623</t>
  </si>
  <si>
    <t>20250715155637</t>
  </si>
  <si>
    <t>20250715155649</t>
  </si>
  <si>
    <t>20250715170137</t>
  </si>
  <si>
    <t>20250715170149</t>
  </si>
  <si>
    <t>20250715170200</t>
  </si>
  <si>
    <t>20250715170254</t>
  </si>
  <si>
    <t>20250715170306</t>
  </si>
  <si>
    <t>20250715170318</t>
  </si>
  <si>
    <t>20250715170625</t>
  </si>
  <si>
    <t>20250715170636</t>
  </si>
  <si>
    <t>20250715170648</t>
  </si>
  <si>
    <t>20250715170918</t>
  </si>
  <si>
    <t>20250715170930</t>
  </si>
  <si>
    <t>20250715170941</t>
  </si>
  <si>
    <t>20250715171032</t>
  </si>
  <si>
    <t>20250715171044</t>
  </si>
  <si>
    <t>20250715171056</t>
  </si>
  <si>
    <t>20250715115124</t>
  </si>
  <si>
    <t>20250715115136</t>
  </si>
  <si>
    <t>20250715115150</t>
  </si>
  <si>
    <t>20250715115514</t>
  </si>
  <si>
    <t>20250715115527</t>
  </si>
  <si>
    <t>20250715115539</t>
  </si>
  <si>
    <t>20250715115627</t>
  </si>
  <si>
    <t>20250715115640</t>
  </si>
  <si>
    <t>20250715115653</t>
  </si>
  <si>
    <t>20250715115745</t>
  </si>
  <si>
    <t>20250715115757</t>
  </si>
  <si>
    <t>20250715115810</t>
  </si>
  <si>
    <t>20250715115855</t>
  </si>
  <si>
    <t>20250715115908</t>
  </si>
  <si>
    <t>20250715115921</t>
  </si>
  <si>
    <t>20250715120005</t>
  </si>
  <si>
    <t>20250715120018</t>
  </si>
  <si>
    <t>20250715120033</t>
  </si>
  <si>
    <t>20250715131713</t>
  </si>
  <si>
    <t>20250715131725</t>
  </si>
  <si>
    <t>20250715131738</t>
  </si>
  <si>
    <t>20250715131848</t>
  </si>
  <si>
    <t>20250715131901</t>
  </si>
  <si>
    <t>20250715131912</t>
  </si>
  <si>
    <t>20250715132232</t>
  </si>
  <si>
    <t>20250715132246</t>
  </si>
  <si>
    <t>20250715132259</t>
  </si>
  <si>
    <t>20250715132351</t>
  </si>
  <si>
    <t>20250715132404</t>
  </si>
  <si>
    <t>20250715132416</t>
  </si>
  <si>
    <t>20250715132501</t>
  </si>
  <si>
    <t>20250715132513</t>
  </si>
  <si>
    <t>20250715132525</t>
  </si>
  <si>
    <t>20250715132612</t>
  </si>
  <si>
    <t>20250715132628</t>
  </si>
  <si>
    <t>20250715132644</t>
  </si>
  <si>
    <t>20250715111206</t>
  </si>
  <si>
    <t>20250715111218</t>
  </si>
  <si>
    <t>20250715111230</t>
  </si>
  <si>
    <t>20250715111336</t>
  </si>
  <si>
    <t>20250715111348</t>
  </si>
  <si>
    <t>20250715111401</t>
  </si>
  <si>
    <t>20250715111657</t>
  </si>
  <si>
    <t>20250715111708</t>
  </si>
  <si>
    <t>20250715111721</t>
  </si>
  <si>
    <t>20250715112115</t>
  </si>
  <si>
    <t>20250715112134</t>
  </si>
  <si>
    <t>20250715112146</t>
  </si>
  <si>
    <t>20250715112232</t>
  </si>
  <si>
    <t>20250715112243</t>
  </si>
  <si>
    <t>20250715112255</t>
  </si>
  <si>
    <t>20250715112339</t>
  </si>
  <si>
    <t>20250715112351</t>
  </si>
  <si>
    <t>20250715112403</t>
  </si>
  <si>
    <t>20250715145648</t>
  </si>
  <si>
    <t>20250715145700</t>
  </si>
  <si>
    <t>20250715145712</t>
  </si>
  <si>
    <t>20250715145817</t>
  </si>
  <si>
    <t>20250715145941</t>
  </si>
  <si>
    <t>20250715150138</t>
  </si>
  <si>
    <t>20250715150546</t>
  </si>
  <si>
    <t>20250715150557</t>
  </si>
  <si>
    <t>20250715150609</t>
  </si>
  <si>
    <t>20250715151216</t>
  </si>
  <si>
    <t>20250715151227</t>
  </si>
  <si>
    <t>20250715151238</t>
  </si>
  <si>
    <t>20250715151323</t>
  </si>
  <si>
    <t>20250715151339</t>
  </si>
  <si>
    <t>20250715151351</t>
  </si>
  <si>
    <t>20250716120215</t>
  </si>
  <si>
    <t>20250716120227</t>
  </si>
  <si>
    <t>20250716120238</t>
  </si>
  <si>
    <t>20250716120711</t>
  </si>
  <si>
    <t>20250716120723</t>
  </si>
  <si>
    <t>20250716120735</t>
  </si>
  <si>
    <t>20250717120349</t>
  </si>
  <si>
    <t>20250717120400</t>
  </si>
  <si>
    <t>20250717120412</t>
  </si>
  <si>
    <t>20250717120612</t>
  </si>
  <si>
    <t>20250717120624</t>
  </si>
  <si>
    <t>20250717120638</t>
  </si>
  <si>
    <t>20250717120827</t>
  </si>
  <si>
    <t>20250717120839</t>
  </si>
  <si>
    <t>20250717120851</t>
  </si>
  <si>
    <t>20250717104443</t>
  </si>
  <si>
    <t>20250717104519</t>
  </si>
  <si>
    <t>20250717104532</t>
  </si>
  <si>
    <t>20250717104933</t>
  </si>
  <si>
    <t>20250717104946</t>
  </si>
  <si>
    <t>20250717104958</t>
  </si>
  <si>
    <t>20250717105051</t>
  </si>
  <si>
    <t>20250717105103</t>
  </si>
  <si>
    <t>20250717105116</t>
  </si>
  <si>
    <t>20250717105200</t>
  </si>
  <si>
    <t>20250717105212</t>
  </si>
  <si>
    <t>20250717105224</t>
  </si>
  <si>
    <t>20250725111342</t>
  </si>
  <si>
    <t>20250725111355</t>
  </si>
  <si>
    <t>20250725111407</t>
  </si>
  <si>
    <t>20250725111444</t>
  </si>
  <si>
    <t>20250725111501</t>
  </si>
  <si>
    <t>20250725111513</t>
  </si>
  <si>
    <t>20250725111552</t>
  </si>
  <si>
    <t>20250725111608</t>
  </si>
  <si>
    <t>20250725111702</t>
  </si>
  <si>
    <t>20250725111745</t>
  </si>
  <si>
    <t>20250725112156</t>
  </si>
  <si>
    <t>20250725112207</t>
  </si>
  <si>
    <t>20250725112251</t>
  </si>
  <si>
    <t>20250725112302</t>
  </si>
  <si>
    <t>20250725112315</t>
  </si>
  <si>
    <t>20250725112409</t>
  </si>
  <si>
    <t>20250725112612</t>
  </si>
  <si>
    <t>20250725112623</t>
  </si>
  <si>
    <t>20250725112636</t>
  </si>
  <si>
    <t>20250725112648</t>
  </si>
  <si>
    <t>20250725112733</t>
  </si>
  <si>
    <t>20250725112744</t>
  </si>
  <si>
    <t>20250725112755</t>
  </si>
  <si>
    <t>20250725112838</t>
  </si>
  <si>
    <t>20250725112852</t>
  </si>
  <si>
    <t>20250725112904</t>
  </si>
  <si>
    <t>20250725112957</t>
  </si>
  <si>
    <t>20250725113011</t>
  </si>
  <si>
    <t>20250725113023</t>
  </si>
  <si>
    <t>20250725113128</t>
  </si>
  <si>
    <t>20250725113139</t>
  </si>
  <si>
    <t>20250725113150</t>
  </si>
  <si>
    <t>20250725144630</t>
  </si>
  <si>
    <t>20250725144643</t>
  </si>
  <si>
    <t>20250725144655</t>
  </si>
  <si>
    <t>20250725144955</t>
  </si>
  <si>
    <t>20250725145008</t>
  </si>
  <si>
    <t>20250725145020</t>
  </si>
  <si>
    <t>20250725145057</t>
  </si>
  <si>
    <t>20250725145110</t>
  </si>
  <si>
    <t>20250725145122</t>
  </si>
  <si>
    <t>20250725145210</t>
  </si>
  <si>
    <t>20250725145222</t>
  </si>
  <si>
    <t>20250725145234</t>
  </si>
  <si>
    <t>20250725145310</t>
  </si>
  <si>
    <t>20250725145322</t>
  </si>
  <si>
    <t>20250725145333</t>
  </si>
  <si>
    <t>20250725145422</t>
  </si>
  <si>
    <t>20250725145434</t>
  </si>
  <si>
    <t>20250725145447</t>
  </si>
  <si>
    <t>20250725145531</t>
  </si>
  <si>
    <t>20250725145542</t>
  </si>
  <si>
    <t>20250725145554</t>
  </si>
  <si>
    <t>20250725145635</t>
  </si>
  <si>
    <t>20250725145647</t>
  </si>
  <si>
    <t>20250725145659</t>
  </si>
  <si>
    <t>20250725145755</t>
  </si>
  <si>
    <t>20250725145807</t>
  </si>
  <si>
    <t>20250725145819</t>
  </si>
  <si>
    <t>20250725145903</t>
  </si>
  <si>
    <t>20250725145915</t>
  </si>
  <si>
    <t>20250725145928</t>
  </si>
  <si>
    <t>20250725150020</t>
  </si>
  <si>
    <t>20250725150032</t>
  </si>
  <si>
    <t>20250725150044</t>
  </si>
  <si>
    <t>20250725084401</t>
  </si>
  <si>
    <t>20250725084413</t>
  </si>
  <si>
    <t>20250725084425</t>
  </si>
  <si>
    <t>20250725084518</t>
  </si>
  <si>
    <t>20250725084530</t>
  </si>
  <si>
    <t>20250725084542</t>
  </si>
  <si>
    <t>20250725084646</t>
  </si>
  <si>
    <t>20250725084659</t>
  </si>
  <si>
    <t>20250725084711</t>
  </si>
  <si>
    <t>20250725084802</t>
  </si>
  <si>
    <t>20250725084814</t>
  </si>
  <si>
    <t>20250725084826</t>
  </si>
  <si>
    <t>20250725084920</t>
  </si>
  <si>
    <t>20250725084932</t>
  </si>
  <si>
    <t>20250725085031</t>
  </si>
  <si>
    <t>20250725085042</t>
  </si>
  <si>
    <t>20250725085055</t>
  </si>
  <si>
    <t>20250725085135</t>
  </si>
  <si>
    <t>20250725085146</t>
  </si>
  <si>
    <t>20250725085158</t>
  </si>
  <si>
    <t>20250725085243</t>
  </si>
  <si>
    <t>20250725085257</t>
  </si>
  <si>
    <t>20250725085309</t>
  </si>
  <si>
    <t>20250725085428</t>
  </si>
  <si>
    <t>20250725085659</t>
  </si>
  <si>
    <t>20250725085711</t>
  </si>
  <si>
    <t>20250725085723</t>
  </si>
  <si>
    <t>20250725085735</t>
  </si>
  <si>
    <t>20250725085906</t>
  </si>
  <si>
    <t>20250725085918</t>
  </si>
  <si>
    <t>20250725085930</t>
  </si>
  <si>
    <t>20250725161528</t>
  </si>
  <si>
    <t>20250725161932</t>
  </si>
  <si>
    <t>20250725161944</t>
  </si>
  <si>
    <t>20250725162016</t>
  </si>
  <si>
    <t>20250725162028</t>
  </si>
  <si>
    <t>20250725162039</t>
  </si>
  <si>
    <t>20250725162052</t>
  </si>
  <si>
    <t>20250725162109</t>
  </si>
  <si>
    <t>20250725162156</t>
  </si>
  <si>
    <t>20250725162209</t>
  </si>
  <si>
    <t>20250725162221</t>
  </si>
  <si>
    <t>20250725162233</t>
  </si>
  <si>
    <t>20250725162245</t>
  </si>
  <si>
    <t>20250725162340</t>
  </si>
  <si>
    <t>20250725162403</t>
  </si>
  <si>
    <t>20250725162417</t>
  </si>
  <si>
    <t>20250725162429</t>
  </si>
  <si>
    <t>20250725162441</t>
  </si>
  <si>
    <t>20250725162525</t>
  </si>
  <si>
    <t>20250725162537</t>
  </si>
  <si>
    <t>20250725162549</t>
  </si>
  <si>
    <t>20250725162600</t>
  </si>
  <si>
    <t>20250725162611</t>
  </si>
  <si>
    <t>20250725162651</t>
  </si>
  <si>
    <t>20250725162702</t>
  </si>
  <si>
    <t>20250725162714</t>
  </si>
  <si>
    <t>20250725162727</t>
  </si>
  <si>
    <t>20250725162739</t>
  </si>
  <si>
    <t>20250725162830</t>
  </si>
  <si>
    <t>20250725162842</t>
  </si>
  <si>
    <t>20250725162854</t>
  </si>
  <si>
    <t>20250725162906</t>
  </si>
  <si>
    <t>20250725162918</t>
  </si>
  <si>
    <t>20250725163002</t>
  </si>
  <si>
    <t>20250725163015</t>
  </si>
  <si>
    <t>20250725163028</t>
  </si>
  <si>
    <t>20250725163046</t>
  </si>
  <si>
    <t>20250725163122</t>
  </si>
  <si>
    <t>20250725163135</t>
  </si>
  <si>
    <t>20250725163146</t>
  </si>
  <si>
    <t>20250725163158</t>
  </si>
  <si>
    <t>20250725163210</t>
  </si>
  <si>
    <t>20250725163305</t>
  </si>
  <si>
    <t>20250725163316</t>
  </si>
  <si>
    <t>20250725163331</t>
  </si>
  <si>
    <t>20250725163343</t>
  </si>
  <si>
    <t>20250725163728</t>
  </si>
  <si>
    <t>20250725163739</t>
  </si>
  <si>
    <t>20250725163751</t>
  </si>
  <si>
    <t>20250725163939</t>
  </si>
  <si>
    <t>20250725163951</t>
  </si>
  <si>
    <t>20250725164003</t>
  </si>
  <si>
    <t>20250725164020</t>
  </si>
  <si>
    <t>20250725164032</t>
  </si>
  <si>
    <t>20250725164135</t>
  </si>
  <si>
    <t>20250725164146</t>
  </si>
  <si>
    <t>20250725164158</t>
  </si>
  <si>
    <t>20250725164211</t>
  </si>
  <si>
    <t>20250725164232</t>
  </si>
  <si>
    <t>20250725124622</t>
  </si>
  <si>
    <t>20250725124636</t>
  </si>
  <si>
    <t>20250725124647</t>
  </si>
  <si>
    <t>20250725124721</t>
  </si>
  <si>
    <t>20250725124732</t>
  </si>
  <si>
    <t>20250725124743</t>
  </si>
  <si>
    <t>20250725124821</t>
  </si>
  <si>
    <t>20250725124837</t>
  </si>
  <si>
    <t>20250725124849</t>
  </si>
  <si>
    <t>20250725124929</t>
  </si>
  <si>
    <t>20250725124944</t>
  </si>
  <si>
    <t>20250725124956</t>
  </si>
  <si>
    <t>20250725125041</t>
  </si>
  <si>
    <t>20250725125052</t>
  </si>
  <si>
    <t>20250725125104</t>
  </si>
  <si>
    <t>20250725125142</t>
  </si>
  <si>
    <t>20250725125154</t>
  </si>
  <si>
    <t>20250725125206</t>
  </si>
  <si>
    <t>20250725125255</t>
  </si>
  <si>
    <t>20250725125307</t>
  </si>
  <si>
    <t>20250725125327</t>
  </si>
  <si>
    <t>20250725125408</t>
  </si>
  <si>
    <t>20250725125436</t>
  </si>
  <si>
    <t>20250725125449</t>
  </si>
  <si>
    <t>20250725125502</t>
  </si>
  <si>
    <t>20250725125550</t>
  </si>
  <si>
    <t>20250725125602</t>
  </si>
  <si>
    <t>20250725125655</t>
  </si>
  <si>
    <t>20250725125707</t>
  </si>
  <si>
    <t>20250725125719</t>
  </si>
  <si>
    <t>20250725125825</t>
  </si>
  <si>
    <t>20250725125837</t>
  </si>
  <si>
    <t>20250725125855</t>
  </si>
  <si>
    <t>20250613161736</t>
  </si>
  <si>
    <t>20250613161748</t>
  </si>
  <si>
    <t>20250613161800</t>
  </si>
  <si>
    <t>20250613161831</t>
  </si>
  <si>
    <t>20250613162142</t>
  </si>
  <si>
    <t>20250613162153</t>
  </si>
  <si>
    <t>20250613162235</t>
  </si>
  <si>
    <t>20250613162605</t>
  </si>
  <si>
    <t>20250613162616</t>
  </si>
  <si>
    <t>20250613162722</t>
  </si>
  <si>
    <t>20250613162733</t>
  </si>
  <si>
    <t>20250613162746</t>
  </si>
  <si>
    <t>20250613162849</t>
  </si>
  <si>
    <t>20250613162900</t>
  </si>
  <si>
    <t>20250613162912</t>
  </si>
  <si>
    <t>20250613163004</t>
  </si>
  <si>
    <t>20250613163016</t>
  </si>
  <si>
    <t>20250613163028</t>
  </si>
  <si>
    <t>20250613163116</t>
  </si>
  <si>
    <t>20250613163128</t>
  </si>
  <si>
    <t>20250613163139</t>
  </si>
  <si>
    <t>20250613163216</t>
  </si>
  <si>
    <t>20250613163233</t>
  </si>
  <si>
    <t>20250613163244</t>
  </si>
  <si>
    <t>20250613163507</t>
  </si>
  <si>
    <t>20250613163551</t>
  </si>
  <si>
    <t>20250613163603</t>
  </si>
  <si>
    <t>20250613163726</t>
  </si>
  <si>
    <t>20250613163739</t>
  </si>
  <si>
    <t>20250613163751</t>
  </si>
  <si>
    <t>20250613164057</t>
  </si>
  <si>
    <t>20250613164111</t>
  </si>
  <si>
    <t>20250613164142</t>
  </si>
  <si>
    <t>20250619170136</t>
  </si>
  <si>
    <t>20250619170154</t>
  </si>
  <si>
    <t>20250619170207</t>
  </si>
  <si>
    <t>20250619170251</t>
  </si>
  <si>
    <t>20250619170308</t>
  </si>
  <si>
    <t>20250619170319</t>
  </si>
  <si>
    <t>20250619170444</t>
  </si>
  <si>
    <t>20250619170455</t>
  </si>
  <si>
    <t>20250619170507</t>
  </si>
  <si>
    <t>20250619170543</t>
  </si>
  <si>
    <t>20250619170556</t>
  </si>
  <si>
    <t>20250619170607</t>
  </si>
  <si>
    <t>20250619171055</t>
  </si>
  <si>
    <t>20250619171118</t>
  </si>
  <si>
    <t>20250619171132</t>
  </si>
  <si>
    <t>20250619171200</t>
  </si>
  <si>
    <t>20250619171225</t>
  </si>
  <si>
    <t>20250619171236</t>
  </si>
  <si>
    <t>20250619155935</t>
  </si>
  <si>
    <t>20250619155947</t>
  </si>
  <si>
    <t>20250619160000</t>
  </si>
  <si>
    <t>20250619160038</t>
  </si>
  <si>
    <t>20250619160100</t>
  </si>
  <si>
    <t>20250619160111</t>
  </si>
  <si>
    <t>20250619160147</t>
  </si>
  <si>
    <t>20250619160212</t>
  </si>
  <si>
    <t>20250619160223</t>
  </si>
  <si>
    <t>20250619160601</t>
  </si>
  <si>
    <t>20250619160613</t>
  </si>
  <si>
    <t>20250619160656</t>
  </si>
  <si>
    <t>20250619160759</t>
  </si>
  <si>
    <t>20250619160811</t>
  </si>
  <si>
    <t>20250619160858</t>
  </si>
  <si>
    <t>20250619160934</t>
  </si>
  <si>
    <t>20250619160953</t>
  </si>
  <si>
    <t>20250619161014</t>
  </si>
  <si>
    <t>20250619161039</t>
  </si>
  <si>
    <t>20250619161051</t>
  </si>
  <si>
    <t>20250530093754</t>
  </si>
  <si>
    <t>20250530094221</t>
  </si>
  <si>
    <t>20250530094232</t>
  </si>
  <si>
    <t>20250530094310</t>
  </si>
  <si>
    <t>20250530094332</t>
  </si>
  <si>
    <t>20250530094344</t>
  </si>
  <si>
    <t>20250530094414</t>
  </si>
  <si>
    <t>20250530094558</t>
  </si>
  <si>
    <t>20250530094609</t>
  </si>
  <si>
    <t>20250530094636</t>
  </si>
  <si>
    <t>20250530094716</t>
  </si>
  <si>
    <t>20250530094727</t>
  </si>
  <si>
    <t>20250530094812</t>
  </si>
  <si>
    <t>20250530094946</t>
  </si>
  <si>
    <t>20250530094958</t>
  </si>
  <si>
    <t>20250530095057</t>
  </si>
  <si>
    <t>20250530095108</t>
  </si>
  <si>
    <t>20250530095120</t>
  </si>
  <si>
    <t>20250530111308</t>
  </si>
  <si>
    <t>20250530111548</t>
  </si>
  <si>
    <t>20250530111559</t>
  </si>
  <si>
    <t>20250530111702</t>
  </si>
  <si>
    <t>20250530111713</t>
  </si>
  <si>
    <t>20250530111727</t>
  </si>
  <si>
    <t>20250530111823</t>
  </si>
  <si>
    <t>20250530111845</t>
  </si>
  <si>
    <t>20250530111902</t>
  </si>
  <si>
    <t>20250530111943</t>
  </si>
  <si>
    <t>20250530111954</t>
  </si>
  <si>
    <t>20250530112006</t>
  </si>
  <si>
    <t>20250530112037</t>
  </si>
  <si>
    <t>20250530112104</t>
  </si>
  <si>
    <t>20250530112117</t>
  </si>
  <si>
    <t>20250530112151</t>
  </si>
  <si>
    <t>20250530112540</t>
  </si>
  <si>
    <t>20250530112553</t>
  </si>
  <si>
    <t>20250530112619</t>
  </si>
  <si>
    <t>20250530112653</t>
  </si>
  <si>
    <t>20250530112704</t>
  </si>
  <si>
    <t>20250530112736</t>
  </si>
  <si>
    <t>20250530112934</t>
  </si>
  <si>
    <t>20250530112946</t>
  </si>
  <si>
    <t>20250619112432</t>
  </si>
  <si>
    <t>20250619112443</t>
  </si>
  <si>
    <t>20250619112454</t>
  </si>
  <si>
    <t>20250619112523</t>
  </si>
  <si>
    <t>20250619112552</t>
  </si>
  <si>
    <t>20250619112603</t>
  </si>
  <si>
    <t>20250619112653</t>
  </si>
  <si>
    <t>20250619112705</t>
  </si>
  <si>
    <t>20250619112716</t>
  </si>
  <si>
    <t>20250619112746</t>
  </si>
  <si>
    <t>20250619112804</t>
  </si>
  <si>
    <t>20250619112815</t>
  </si>
  <si>
    <t>20250619112902</t>
  </si>
  <si>
    <t>20250619112915</t>
  </si>
  <si>
    <t>20250619112928</t>
  </si>
  <si>
    <t>20250619113001</t>
  </si>
  <si>
    <t>20250619113021</t>
  </si>
  <si>
    <t>20250619113032</t>
  </si>
  <si>
    <t>20250619113057</t>
  </si>
  <si>
    <t>20250619113116</t>
  </si>
  <si>
    <t>20250619113132</t>
  </si>
  <si>
    <t>20250619121002</t>
  </si>
  <si>
    <t>20250619121018</t>
  </si>
  <si>
    <t>20250619121032</t>
  </si>
  <si>
    <t>20250619121151</t>
  </si>
  <si>
    <t>20250619121721</t>
  </si>
  <si>
    <t>20250619121733</t>
  </si>
  <si>
    <t>20250619121807</t>
  </si>
  <si>
    <t>20250619121819</t>
  </si>
  <si>
    <t>20250619121830</t>
  </si>
  <si>
    <t>20250619121935</t>
  </si>
  <si>
    <t>20250619121946</t>
  </si>
  <si>
    <t>20250619122117</t>
  </si>
  <si>
    <t>20250619122130</t>
  </si>
  <si>
    <t>20250619122151</t>
  </si>
  <si>
    <t>20250619122203</t>
  </si>
  <si>
    <t>20250619122238</t>
  </si>
  <si>
    <t>20250619122535</t>
  </si>
  <si>
    <t>20250619122546</t>
  </si>
  <si>
    <t>20250619122639</t>
  </si>
  <si>
    <t>20250619122651</t>
  </si>
  <si>
    <t>20250619122702</t>
  </si>
  <si>
    <t>20250619141910</t>
  </si>
  <si>
    <t>20250619141923</t>
  </si>
  <si>
    <t>20250619141935</t>
  </si>
  <si>
    <t>20250619142007</t>
  </si>
  <si>
    <t>20250619142035</t>
  </si>
  <si>
    <t>20250619142046</t>
  </si>
  <si>
    <t>20250619142143</t>
  </si>
  <si>
    <t>20250619142155</t>
  </si>
  <si>
    <t>20250619142206</t>
  </si>
  <si>
    <t>20250619142237</t>
  </si>
  <si>
    <t>20250619142252</t>
  </si>
  <si>
    <t>20250619142303</t>
  </si>
  <si>
    <t>20250619142631</t>
  </si>
  <si>
    <t>20250619142902</t>
  </si>
  <si>
    <t>20250619142913</t>
  </si>
  <si>
    <t>20250619143129</t>
  </si>
  <si>
    <t>20250619143140</t>
  </si>
  <si>
    <t>20250619143152</t>
  </si>
  <si>
    <t>20250619132529</t>
  </si>
  <si>
    <t>20250619132555</t>
  </si>
  <si>
    <t>20250619132606</t>
  </si>
  <si>
    <t>20250619132643</t>
  </si>
  <si>
    <t>20250619132704</t>
  </si>
  <si>
    <t>20250619132715</t>
  </si>
  <si>
    <t>20250619132816</t>
  </si>
  <si>
    <t>20250619132921</t>
  </si>
  <si>
    <t>20250619132932</t>
  </si>
  <si>
    <t>20250619133008</t>
  </si>
  <si>
    <t>20250619133019</t>
  </si>
  <si>
    <t>20250619133030</t>
  </si>
  <si>
    <t>20250619133152</t>
  </si>
  <si>
    <t>20250619133205</t>
  </si>
  <si>
    <t>20250619133216</t>
  </si>
  <si>
    <t>20250619133248</t>
  </si>
  <si>
    <t>20250619133401</t>
  </si>
  <si>
    <t>20250619133413</t>
  </si>
  <si>
    <t>20250619133440</t>
  </si>
  <si>
    <t>20250619133459</t>
  </si>
  <si>
    <t>20250619133510</t>
  </si>
  <si>
    <t>20250612111131</t>
  </si>
  <si>
    <t>20250612111144</t>
  </si>
  <si>
    <t>20250612111155</t>
  </si>
  <si>
    <t>20250612111315</t>
  </si>
  <si>
    <t>20250612111326</t>
  </si>
  <si>
    <t>20250612111338</t>
  </si>
  <si>
    <t>20250612111421</t>
  </si>
  <si>
    <t>20250612111448</t>
  </si>
  <si>
    <t>20250612111502</t>
  </si>
  <si>
    <t>20250612111633</t>
  </si>
  <si>
    <t>20250612111645</t>
  </si>
  <si>
    <t>20250612111658</t>
  </si>
  <si>
    <t>20250612111743</t>
  </si>
  <si>
    <t>20250612111804</t>
  </si>
  <si>
    <t>20250612111815</t>
  </si>
  <si>
    <t>20250612111856</t>
  </si>
  <si>
    <t>20250612111928</t>
  </si>
  <si>
    <t>20250612111939</t>
  </si>
  <si>
    <t>20250612111950</t>
  </si>
  <si>
    <t>20250612112046</t>
  </si>
  <si>
    <t>20250612112059</t>
  </si>
  <si>
    <t>20250612112111</t>
  </si>
  <si>
    <t>20250612112225</t>
  </si>
  <si>
    <t>20250612112237</t>
  </si>
  <si>
    <t>20250612112249</t>
  </si>
  <si>
    <t>20250612134408</t>
  </si>
  <si>
    <t>20250612134420</t>
  </si>
  <si>
    <t>20250612134446</t>
  </si>
  <si>
    <t>20250612134618</t>
  </si>
  <si>
    <t>20250612134630</t>
  </si>
  <si>
    <t>20250612134642</t>
  </si>
  <si>
    <t>20250612134721</t>
  </si>
  <si>
    <t>20250612134737</t>
  </si>
  <si>
    <t>20250612134752</t>
  </si>
  <si>
    <t>20250612134953</t>
  </si>
  <si>
    <t>20250612134958</t>
  </si>
  <si>
    <t>20250612135209</t>
  </si>
  <si>
    <t>20250612135330</t>
  </si>
  <si>
    <t>20250612135346</t>
  </si>
  <si>
    <t>20250612135400</t>
  </si>
  <si>
    <t>20250612135553</t>
  </si>
  <si>
    <t>20250612135637</t>
  </si>
  <si>
    <t>20250612135649</t>
  </si>
  <si>
    <t>20250612135737</t>
  </si>
  <si>
    <t>20250612135749</t>
  </si>
  <si>
    <t>20250612135801</t>
  </si>
  <si>
    <t>20250612135850</t>
  </si>
  <si>
    <t>20250612135910</t>
  </si>
  <si>
    <t>20250612135921</t>
  </si>
  <si>
    <t>20250612164851</t>
  </si>
  <si>
    <t>20250612164902</t>
  </si>
  <si>
    <t>20250612164913</t>
  </si>
  <si>
    <t>20250612165014</t>
  </si>
  <si>
    <t>20250612165026</t>
  </si>
  <si>
    <t>20250612165037</t>
  </si>
  <si>
    <t>20250612165140</t>
  </si>
  <si>
    <t>20250612165210</t>
  </si>
  <si>
    <t>20250612165707</t>
  </si>
  <si>
    <t>20250612165803</t>
  </si>
  <si>
    <t>20250612165815</t>
  </si>
  <si>
    <t>20250612165827</t>
  </si>
  <si>
    <t>20250612165900</t>
  </si>
  <si>
    <t>20250612165920</t>
  </si>
  <si>
    <t>20250612165931</t>
  </si>
  <si>
    <t>20250612170021</t>
  </si>
  <si>
    <t>20250612170033</t>
  </si>
  <si>
    <t>20250612170044</t>
  </si>
  <si>
    <t>20250612170117</t>
  </si>
  <si>
    <t>20250612170145</t>
  </si>
  <si>
    <t>20250612170156</t>
  </si>
  <si>
    <t>20250612170244</t>
  </si>
  <si>
    <t>20250612170304</t>
  </si>
  <si>
    <t>20250612170316</t>
  </si>
  <si>
    <t>20250612170412</t>
  </si>
  <si>
    <t>20250612170424</t>
  </si>
  <si>
    <t>20250612170435</t>
  </si>
  <si>
    <t>20250612170510</t>
  </si>
  <si>
    <t>20250612170522</t>
  </si>
  <si>
    <t>20250612170533</t>
  </si>
  <si>
    <t>20250612170607</t>
  </si>
  <si>
    <t>20250612170619</t>
  </si>
  <si>
    <t>20250612170630</t>
  </si>
  <si>
    <t>20250612145128</t>
  </si>
  <si>
    <t>20250612145153</t>
  </si>
  <si>
    <t>20250612145208</t>
  </si>
  <si>
    <t>20250612145439</t>
  </si>
  <si>
    <t>20250612145451</t>
  </si>
  <si>
    <t>20250612145503</t>
  </si>
  <si>
    <t>20250612145544</t>
  </si>
  <si>
    <t>20250612145556</t>
  </si>
  <si>
    <t>20250612145609</t>
  </si>
  <si>
    <t>20250612145655</t>
  </si>
  <si>
    <t>20250612145708</t>
  </si>
  <si>
    <t>20250612145719</t>
  </si>
  <si>
    <t>20250612150305</t>
  </si>
  <si>
    <t>20250612150317</t>
  </si>
  <si>
    <t>20250612150328</t>
  </si>
  <si>
    <t>20250612150419</t>
  </si>
  <si>
    <t>20250612150431</t>
  </si>
  <si>
    <t>20250612150442</t>
  </si>
  <si>
    <t>20250612150636</t>
  </si>
  <si>
    <t>20250612150650</t>
  </si>
  <si>
    <t>20250612150703</t>
  </si>
  <si>
    <t>20250612150748</t>
  </si>
  <si>
    <t>20250612150805</t>
  </si>
  <si>
    <t>20250612150817</t>
  </si>
  <si>
    <t>20250612154605</t>
  </si>
  <si>
    <t>20250612154617</t>
  </si>
  <si>
    <t>20250612154628</t>
  </si>
  <si>
    <t>20250612154737</t>
  </si>
  <si>
    <t>20250612154748</t>
  </si>
  <si>
    <t>20250612154810</t>
  </si>
  <si>
    <t>20250715102211</t>
  </si>
  <si>
    <t>20250715102224</t>
  </si>
  <si>
    <t>20250715102236</t>
  </si>
  <si>
    <t>20250715102333</t>
  </si>
  <si>
    <t>20250715102344</t>
  </si>
  <si>
    <t>20250715102356</t>
  </si>
  <si>
    <t>20250715102452</t>
  </si>
  <si>
    <t>20250715102503</t>
  </si>
  <si>
    <t>20250715102514</t>
  </si>
  <si>
    <t>20250715102558</t>
  </si>
  <si>
    <t>20250715102610</t>
  </si>
  <si>
    <t>20250715102622</t>
  </si>
  <si>
    <t>20250715102713</t>
  </si>
  <si>
    <t>20250715102725</t>
  </si>
  <si>
    <t>20250715102737</t>
  </si>
  <si>
    <t>20250715102820</t>
  </si>
  <si>
    <t>20250715102832</t>
  </si>
  <si>
    <t>20250715102844</t>
  </si>
  <si>
    <t>20250715102926</t>
  </si>
  <si>
    <t>20250715102938</t>
  </si>
  <si>
    <t>20250715102950</t>
  </si>
  <si>
    <t>20250716135851</t>
  </si>
  <si>
    <t>20250716135904</t>
  </si>
  <si>
    <t>20250716135916</t>
  </si>
  <si>
    <t>20250716140012</t>
  </si>
  <si>
    <t>20250716140023</t>
  </si>
  <si>
    <t>20250716140034</t>
  </si>
  <si>
    <t>20250716140323</t>
  </si>
  <si>
    <t>20250716140334</t>
  </si>
  <si>
    <t>20250716140345</t>
  </si>
  <si>
    <t>20250716140503</t>
  </si>
  <si>
    <t>20250716140515</t>
  </si>
  <si>
    <t>20250716140526</t>
  </si>
  <si>
    <t>20250716140616</t>
  </si>
  <si>
    <t>20250716140627</t>
  </si>
  <si>
    <t>20250716140640</t>
  </si>
  <si>
    <t>20250716140720</t>
  </si>
  <si>
    <t>20250716140733</t>
  </si>
  <si>
    <t>20250716140746</t>
  </si>
  <si>
    <t>20250716140828</t>
  </si>
  <si>
    <t>20250716140840</t>
  </si>
  <si>
    <t>20250716140855</t>
  </si>
  <si>
    <t>20250716123118</t>
  </si>
  <si>
    <t>20250716123130</t>
  </si>
  <si>
    <t>20250716123142</t>
  </si>
  <si>
    <t>20250716123237</t>
  </si>
  <si>
    <t>20250716123248</t>
  </si>
  <si>
    <t>20250716123300</t>
  </si>
  <si>
    <t>20250716123508</t>
  </si>
  <si>
    <t>20250716123526</t>
  </si>
  <si>
    <t>20250716123538</t>
  </si>
  <si>
    <t>20250716123624</t>
  </si>
  <si>
    <t>20250716123637</t>
  </si>
  <si>
    <t>20250716123648</t>
  </si>
  <si>
    <t>20250716123748</t>
  </si>
  <si>
    <t>20250716123800</t>
  </si>
  <si>
    <t>20250716123811</t>
  </si>
  <si>
    <t>20250716123854</t>
  </si>
  <si>
    <t>20250716123906</t>
  </si>
  <si>
    <t>20250716123918</t>
  </si>
  <si>
    <t>20250716123959</t>
  </si>
  <si>
    <t>20250716124010</t>
  </si>
  <si>
    <t>20250716124021</t>
  </si>
  <si>
    <t>20250716131926</t>
  </si>
  <si>
    <t>20250716131937</t>
  </si>
  <si>
    <t>20250716131949</t>
  </si>
  <si>
    <t>20250716132044</t>
  </si>
  <si>
    <t>20250716132057</t>
  </si>
  <si>
    <t>20250716132113</t>
  </si>
  <si>
    <t>20250716132233</t>
  </si>
  <si>
    <t>20250716132245</t>
  </si>
  <si>
    <t>20250716132256</t>
  </si>
  <si>
    <t>20250716132345</t>
  </si>
  <si>
    <t>20250716132357</t>
  </si>
  <si>
    <t>20250716132408</t>
  </si>
  <si>
    <t>20250716132520</t>
  </si>
  <si>
    <t>20250716132531</t>
  </si>
  <si>
    <t>20250716132543</t>
  </si>
  <si>
    <t>20250716132625</t>
  </si>
  <si>
    <t>20250716132636</t>
  </si>
  <si>
    <t>20250716132648</t>
  </si>
  <si>
    <t>20250716132729</t>
  </si>
  <si>
    <t>20250716132741</t>
  </si>
  <si>
    <t>20250716132753</t>
  </si>
  <si>
    <t>20250716105251</t>
  </si>
  <si>
    <t>20250716105303</t>
  </si>
  <si>
    <t>20250716105315</t>
  </si>
  <si>
    <t>20250716105550</t>
  </si>
  <si>
    <t>20250716105601</t>
  </si>
  <si>
    <t>20250716105613</t>
  </si>
  <si>
    <t>20250716110123</t>
  </si>
  <si>
    <t>20250716110136</t>
  </si>
  <si>
    <t>20250716110148</t>
  </si>
  <si>
    <t>20250716110430</t>
  </si>
  <si>
    <t>20250716110441</t>
  </si>
  <si>
    <t>20250716110453</t>
  </si>
  <si>
    <t>20250716110541</t>
  </si>
  <si>
    <t>20250716110559</t>
  </si>
  <si>
    <t>20250716110612</t>
  </si>
  <si>
    <t>20250716110656</t>
  </si>
  <si>
    <t>20250716110708</t>
  </si>
  <si>
    <t>20250716110720</t>
  </si>
  <si>
    <t>Endtime</t>
  </si>
  <si>
    <t>20250618091332</t>
  </si>
  <si>
    <t>20250618091343</t>
  </si>
  <si>
    <t>20250618091355</t>
  </si>
  <si>
    <t>20250618091439</t>
  </si>
  <si>
    <t>20250618091450</t>
  </si>
  <si>
    <t>20250618091501</t>
  </si>
  <si>
    <t>20250618091539</t>
  </si>
  <si>
    <t>20250618091550</t>
  </si>
  <si>
    <t>20250618091601</t>
  </si>
  <si>
    <t>20250618091639</t>
  </si>
  <si>
    <t>20250618091650</t>
  </si>
  <si>
    <t>20250618091702</t>
  </si>
  <si>
    <t>20250618091759</t>
  </si>
  <si>
    <t>20250618092031</t>
  </si>
  <si>
    <t>20250618092053</t>
  </si>
  <si>
    <t>20250618092141</t>
  </si>
  <si>
    <t>20250618092152</t>
  </si>
  <si>
    <t>20250618092203</t>
  </si>
  <si>
    <t>20250618092246</t>
  </si>
  <si>
    <t>20250618092257</t>
  </si>
  <si>
    <t>20250618092308</t>
  </si>
  <si>
    <t>20250618092346</t>
  </si>
  <si>
    <t>20250618092357</t>
  </si>
  <si>
    <t>20250618092408</t>
  </si>
  <si>
    <t>20250618092451</t>
  </si>
  <si>
    <t>20250618092503</t>
  </si>
  <si>
    <t>20250618092514</t>
  </si>
  <si>
    <t>20250618092606</t>
  </si>
  <si>
    <t>20250618092617</t>
  </si>
  <si>
    <t>20250618092628</t>
  </si>
  <si>
    <t>20250618095626</t>
  </si>
  <si>
    <t>20250618095637</t>
  </si>
  <si>
    <t>20250618095648</t>
  </si>
  <si>
    <t>20250618095726</t>
  </si>
  <si>
    <t>20250618095738</t>
  </si>
  <si>
    <t>20250618095750</t>
  </si>
  <si>
    <t>20250618095831</t>
  </si>
  <si>
    <t>20250618095842</t>
  </si>
  <si>
    <t>20250618095853</t>
  </si>
  <si>
    <t>20250618095931</t>
  </si>
  <si>
    <t>20250618095942</t>
  </si>
  <si>
    <t>20250618095953</t>
  </si>
  <si>
    <t>20250618100031</t>
  </si>
  <si>
    <t>20250618100042</t>
  </si>
  <si>
    <t>20250618100053</t>
  </si>
  <si>
    <t>20250618100136</t>
  </si>
  <si>
    <t>20250618100147</t>
  </si>
  <si>
    <t>20250618100158</t>
  </si>
  <si>
    <t>20250618100241</t>
  </si>
  <si>
    <t>20250618100306</t>
  </si>
  <si>
    <t>20250618100317</t>
  </si>
  <si>
    <t>20250618100356</t>
  </si>
  <si>
    <t>20250618100407</t>
  </si>
  <si>
    <t>20250618100418</t>
  </si>
  <si>
    <t>20250618100501</t>
  </si>
  <si>
    <t>20250618100512</t>
  </si>
  <si>
    <t>20250618100523</t>
  </si>
  <si>
    <t>20250618100606</t>
  </si>
  <si>
    <t>20250618100617</t>
  </si>
  <si>
    <t>20250618100628</t>
  </si>
  <si>
    <t>20250618103439</t>
  </si>
  <si>
    <t>20250618103451</t>
  </si>
  <si>
    <t>20250618103504</t>
  </si>
  <si>
    <t>20250618103517</t>
  </si>
  <si>
    <t>20250618103555</t>
  </si>
  <si>
    <t>20250618103612</t>
  </si>
  <si>
    <t>20250618103632</t>
  </si>
  <si>
    <t>20250618103717</t>
  </si>
  <si>
    <t>20250618103729</t>
  </si>
  <si>
    <t>20250618103741</t>
  </si>
  <si>
    <t>20250618103822</t>
  </si>
  <si>
    <t>20250618103833</t>
  </si>
  <si>
    <t>20250618103845</t>
  </si>
  <si>
    <t>20250618103922</t>
  </si>
  <si>
    <t>20250618103933</t>
  </si>
  <si>
    <t>20250618103945</t>
  </si>
  <si>
    <t>20250618104027</t>
  </si>
  <si>
    <t>20250618104038</t>
  </si>
  <si>
    <t>20250618104049</t>
  </si>
  <si>
    <t>20250618104132</t>
  </si>
  <si>
    <t>20250618104143</t>
  </si>
  <si>
    <t>20250618104154</t>
  </si>
  <si>
    <t>20250618104232</t>
  </si>
  <si>
    <t>20250618104243</t>
  </si>
  <si>
    <t>20250618104255</t>
  </si>
  <si>
    <t>20250618104338</t>
  </si>
  <si>
    <t>20250618104350</t>
  </si>
  <si>
    <t>20250618104402</t>
  </si>
  <si>
    <t>20250618104443</t>
  </si>
  <si>
    <t>20250618104455</t>
  </si>
  <si>
    <t>20250618104506</t>
  </si>
  <si>
    <t>20250618115142</t>
  </si>
  <si>
    <t>20250618115154</t>
  </si>
  <si>
    <t>20250618115205</t>
  </si>
  <si>
    <t>20250618115246</t>
  </si>
  <si>
    <t>20250618115257</t>
  </si>
  <si>
    <t>20250618115309</t>
  </si>
  <si>
    <t>20250618115347</t>
  </si>
  <si>
    <t>20250618115400</t>
  </si>
  <si>
    <t>20250618115411</t>
  </si>
  <si>
    <t>20250618115451</t>
  </si>
  <si>
    <t>20250618115502</t>
  </si>
  <si>
    <t>20250618115514</t>
  </si>
  <si>
    <t>20250618115552</t>
  </si>
  <si>
    <t>20250618115603</t>
  </si>
  <si>
    <t>20250618115614</t>
  </si>
  <si>
    <t>20250618115702</t>
  </si>
  <si>
    <t>20250618115713</t>
  </si>
  <si>
    <t>20250618115724</t>
  </si>
  <si>
    <t>20250618115802</t>
  </si>
  <si>
    <t>20250618115813</t>
  </si>
  <si>
    <t>20250618115824</t>
  </si>
  <si>
    <t>20250618115902</t>
  </si>
  <si>
    <t>20250618115913</t>
  </si>
  <si>
    <t>20250618115924</t>
  </si>
  <si>
    <t>20250618120012</t>
  </si>
  <si>
    <t>20250618120023</t>
  </si>
  <si>
    <t>20250618120034</t>
  </si>
  <si>
    <t>20250618120117</t>
  </si>
  <si>
    <t>20250618120128</t>
  </si>
  <si>
    <t>20250618120139</t>
  </si>
  <si>
    <t>20250618125537</t>
  </si>
  <si>
    <t>20250618125548</t>
  </si>
  <si>
    <t>20250618125602</t>
  </si>
  <si>
    <t>20250618125642</t>
  </si>
  <si>
    <t>20250618125654</t>
  </si>
  <si>
    <t>20250618125710</t>
  </si>
  <si>
    <t>20250618125752</t>
  </si>
  <si>
    <t>20250618125803</t>
  </si>
  <si>
    <t>20250618125814</t>
  </si>
  <si>
    <t>20250618125857</t>
  </si>
  <si>
    <t>20250618125909</t>
  </si>
  <si>
    <t>20250618125920</t>
  </si>
  <si>
    <t>20250618125957</t>
  </si>
  <si>
    <t>20250618130009</t>
  </si>
  <si>
    <t>20250618130020</t>
  </si>
  <si>
    <t>20250618130107</t>
  </si>
  <si>
    <t>20250618130139</t>
  </si>
  <si>
    <t>20250618130151</t>
  </si>
  <si>
    <t>20250618130232</t>
  </si>
  <si>
    <t>20250618130243</t>
  </si>
  <si>
    <t>20250618130254</t>
  </si>
  <si>
    <t>20250618130332</t>
  </si>
  <si>
    <t>20250618130343</t>
  </si>
  <si>
    <t>20250618130354</t>
  </si>
  <si>
    <t>20250618130442</t>
  </si>
  <si>
    <t>20250618130453</t>
  </si>
  <si>
    <t>20250618130504</t>
  </si>
  <si>
    <t>20250618171348</t>
  </si>
  <si>
    <t>20250618171400</t>
  </si>
  <si>
    <t>20250618171411</t>
  </si>
  <si>
    <t>20250618171450</t>
  </si>
  <si>
    <t>20250618171502</t>
  </si>
  <si>
    <t>20250618171513</t>
  </si>
  <si>
    <t>20250618171550</t>
  </si>
  <si>
    <t>20250618171601</t>
  </si>
  <si>
    <t>20250618171612</t>
  </si>
  <si>
    <t>20250618171651</t>
  </si>
  <si>
    <t>20250618171703</t>
  </si>
  <si>
    <t>20250618171714</t>
  </si>
  <si>
    <t>20250618171751</t>
  </si>
  <si>
    <t>20250618171804</t>
  </si>
  <si>
    <t>20250618171815</t>
  </si>
  <si>
    <t>20250618171901</t>
  </si>
  <si>
    <t>20250618172045</t>
  </si>
  <si>
    <t>20250618172056</t>
  </si>
  <si>
    <t>20250618172135</t>
  </si>
  <si>
    <t>20250618172146</t>
  </si>
  <si>
    <t>20250618172157</t>
  </si>
  <si>
    <t>20250618172235</t>
  </si>
  <si>
    <t>20250618172246</t>
  </si>
  <si>
    <t>20250618172257</t>
  </si>
  <si>
    <t>20250618172340</t>
  </si>
  <si>
    <t>20250618172351</t>
  </si>
  <si>
    <t>20250618172402</t>
  </si>
  <si>
    <t>20250618172445</t>
  </si>
  <si>
    <t>20250618172457</t>
  </si>
  <si>
    <t>20250618172508</t>
  </si>
  <si>
    <t>20250618181856</t>
  </si>
  <si>
    <t>20250618181907</t>
  </si>
  <si>
    <t>20250618181918</t>
  </si>
  <si>
    <t>20250618181956</t>
  </si>
  <si>
    <t>20250618182007</t>
  </si>
  <si>
    <t>20250618182018</t>
  </si>
  <si>
    <t>20250618182056</t>
  </si>
  <si>
    <t>20250618182108</t>
  </si>
  <si>
    <t>20250618182120</t>
  </si>
  <si>
    <t>20250618182201</t>
  </si>
  <si>
    <t>20250618182212</t>
  </si>
  <si>
    <t>20250618182223</t>
  </si>
  <si>
    <t>20250618182301</t>
  </si>
  <si>
    <t>20250618182316</t>
  </si>
  <si>
    <t>20250618182328</t>
  </si>
  <si>
    <t>20250618182421</t>
  </si>
  <si>
    <t>20250618182433</t>
  </si>
  <si>
    <t>20250618182445</t>
  </si>
  <si>
    <t>20250618182537</t>
  </si>
  <si>
    <t>20250618182549</t>
  </si>
  <si>
    <t>20250618182603</t>
  </si>
  <si>
    <t>20250618182641</t>
  </si>
  <si>
    <t>20250618182653</t>
  </si>
  <si>
    <t>20250618182705</t>
  </si>
  <si>
    <t>20250618182746</t>
  </si>
  <si>
    <t>20250618182758</t>
  </si>
  <si>
    <t>20250618182809</t>
  </si>
  <si>
    <t>20250618182851</t>
  </si>
  <si>
    <t>20250618182903</t>
  </si>
  <si>
    <t>20250618182914</t>
  </si>
  <si>
    <t>20250618182930</t>
  </si>
  <si>
    <t>20250618191452</t>
  </si>
  <si>
    <t>20250618191506</t>
  </si>
  <si>
    <t>20250618191517</t>
  </si>
  <si>
    <t>20250618191556</t>
  </si>
  <si>
    <t>20250618191607</t>
  </si>
  <si>
    <t>20250618191618</t>
  </si>
  <si>
    <t>20250618191656</t>
  </si>
  <si>
    <t>20250618191707</t>
  </si>
  <si>
    <t>20250618191718</t>
  </si>
  <si>
    <t>20250618191756</t>
  </si>
  <si>
    <t>20250618191807</t>
  </si>
  <si>
    <t>20250618191818</t>
  </si>
  <si>
    <t>20250618191856</t>
  </si>
  <si>
    <t>20250618191907</t>
  </si>
  <si>
    <t>20250618191918</t>
  </si>
  <si>
    <t>20250618192001</t>
  </si>
  <si>
    <t>20250618192012</t>
  </si>
  <si>
    <t>20250618192023</t>
  </si>
  <si>
    <t>20250618192111</t>
  </si>
  <si>
    <t>20250618192122</t>
  </si>
  <si>
    <t>20250618192134</t>
  </si>
  <si>
    <t>20250618192211</t>
  </si>
  <si>
    <t>20250618192222</t>
  </si>
  <si>
    <t>20250618192233</t>
  </si>
  <si>
    <t>20250618192331</t>
  </si>
  <si>
    <t>20250618192342</t>
  </si>
  <si>
    <t>20250618192354</t>
  </si>
  <si>
    <t>20250618192436</t>
  </si>
  <si>
    <t>20250618192447</t>
  </si>
  <si>
    <t>20250618192459</t>
  </si>
  <si>
    <t>20250415133720</t>
  </si>
  <si>
    <t>20250415133732</t>
  </si>
  <si>
    <t>20250415133744</t>
  </si>
  <si>
    <t>20250415133904</t>
  </si>
  <si>
    <t>20250415133918</t>
  </si>
  <si>
    <t>20250415133937</t>
  </si>
  <si>
    <t>20250415134408</t>
  </si>
  <si>
    <t>20250415134426</t>
  </si>
  <si>
    <t>20250415134438</t>
  </si>
  <si>
    <t>20250415134527</t>
  </si>
  <si>
    <t>20250415134539</t>
  </si>
  <si>
    <t>20250415134551</t>
  </si>
  <si>
    <t>20250415135743</t>
  </si>
  <si>
    <t>20250415135755</t>
  </si>
  <si>
    <t>20250415135807</t>
  </si>
  <si>
    <t>20250415135907</t>
  </si>
  <si>
    <t>20250415135919</t>
  </si>
  <si>
    <t>20250415135931</t>
  </si>
  <si>
    <t>20250415140046</t>
  </si>
  <si>
    <t>20250415140058</t>
  </si>
  <si>
    <t>20250415140111</t>
  </si>
  <si>
    <t>20250415140228</t>
  </si>
  <si>
    <t>20250415140243</t>
  </si>
  <si>
    <t>20250415140257</t>
  </si>
  <si>
    <t>20250415153109</t>
  </si>
  <si>
    <t>20250415153124</t>
  </si>
  <si>
    <t>20250415153138</t>
  </si>
  <si>
    <t>20250415153221</t>
  </si>
  <si>
    <t>20250415153235</t>
  </si>
  <si>
    <t>20250415153247</t>
  </si>
  <si>
    <t>20250415153325</t>
  </si>
  <si>
    <t>20250415153337</t>
  </si>
  <si>
    <t>20250415153349</t>
  </si>
  <si>
    <t>20250415153427</t>
  </si>
  <si>
    <t>20250415153440</t>
  </si>
  <si>
    <t>20250415153454</t>
  </si>
  <si>
    <t>20250415153550</t>
  </si>
  <si>
    <t>20250415153603</t>
  </si>
  <si>
    <t>20250415153618</t>
  </si>
  <si>
    <t>20250415153744</t>
  </si>
  <si>
    <t>20250415153805</t>
  </si>
  <si>
    <t>20250415153823</t>
  </si>
  <si>
    <t>20250415153954</t>
  </si>
  <si>
    <t>20250415154006</t>
  </si>
  <si>
    <t>20250415154018</t>
  </si>
  <si>
    <t>20250415154052</t>
  </si>
  <si>
    <t>20250415154103</t>
  </si>
  <si>
    <t>20250415154115</t>
  </si>
  <si>
    <t>20250415154457</t>
  </si>
  <si>
    <t>20250415154511</t>
  </si>
  <si>
    <t>20250415154524</t>
  </si>
  <si>
    <t>20250415154537</t>
  </si>
  <si>
    <t>20250415154549</t>
  </si>
  <si>
    <t>20250415154838</t>
  </si>
  <si>
    <t>20250415154851</t>
  </si>
  <si>
    <t>20250415154904</t>
  </si>
  <si>
    <t>20250415154916</t>
  </si>
  <si>
    <t>20250415154928</t>
  </si>
  <si>
    <t>20250415114812</t>
  </si>
  <si>
    <t>20250415114827</t>
  </si>
  <si>
    <t>20250415114839</t>
  </si>
  <si>
    <t>20250415115017</t>
  </si>
  <si>
    <t>20250415115031</t>
  </si>
  <si>
    <t>20250415115050</t>
  </si>
  <si>
    <t>20250415115149</t>
  </si>
  <si>
    <t>20250415115203</t>
  </si>
  <si>
    <t>20250415115214</t>
  </si>
  <si>
    <t>20250415115312</t>
  </si>
  <si>
    <t>20250415115324</t>
  </si>
  <si>
    <t>20250415115336</t>
  </si>
  <si>
    <t>20250415115441</t>
  </si>
  <si>
    <t>20250415115452</t>
  </si>
  <si>
    <t>20250415115517</t>
  </si>
  <si>
    <t>20250415115754</t>
  </si>
  <si>
    <t>20250415115807</t>
  </si>
  <si>
    <t>20250415115819</t>
  </si>
  <si>
    <t>20250415120030</t>
  </si>
  <si>
    <t>20250415120042</t>
  </si>
  <si>
    <t>20250415120054</t>
  </si>
  <si>
    <t>20250415120228</t>
  </si>
  <si>
    <t>20250415120240</t>
  </si>
  <si>
    <t>20250415120252</t>
  </si>
  <si>
    <t>20250415120452</t>
  </si>
  <si>
    <t>20250415120507</t>
  </si>
  <si>
    <t>20250415120521</t>
  </si>
  <si>
    <t>20250415120719</t>
  </si>
  <si>
    <t>20250415120732</t>
  </si>
  <si>
    <t>20250415120744</t>
  </si>
  <si>
    <t>20250512121421</t>
  </si>
  <si>
    <t>20250512123811</t>
  </si>
  <si>
    <t>20250512123943</t>
  </si>
  <si>
    <t>20250512124105</t>
  </si>
  <si>
    <t>20250512124303</t>
  </si>
  <si>
    <t>20250512124437</t>
  </si>
  <si>
    <t>20250512125541</t>
  </si>
  <si>
    <t>20250512130543</t>
  </si>
  <si>
    <t>20250512131445</t>
  </si>
  <si>
    <t>20250512142037</t>
  </si>
  <si>
    <t>20250512142153</t>
  </si>
  <si>
    <t>20250512142252</t>
  </si>
  <si>
    <t>20250512142350</t>
  </si>
  <si>
    <t>20250512142439</t>
  </si>
  <si>
    <t>20250512142835</t>
  </si>
  <si>
    <t>20250512142930</t>
  </si>
  <si>
    <t>20250512143029</t>
  </si>
  <si>
    <t>20250512144529</t>
  </si>
  <si>
    <t>20250512153958</t>
  </si>
  <si>
    <t>20250512154055</t>
  </si>
  <si>
    <t>20250512154152</t>
  </si>
  <si>
    <t>20250512154246</t>
  </si>
  <si>
    <t>20250512154340</t>
  </si>
  <si>
    <t>20250512155219</t>
  </si>
  <si>
    <t>20250512155321</t>
  </si>
  <si>
    <t>20250512155458</t>
  </si>
  <si>
    <t>20250512163338</t>
  </si>
  <si>
    <t>20250512163544</t>
  </si>
  <si>
    <t>20250512163656</t>
  </si>
  <si>
    <t>20250512163744</t>
  </si>
  <si>
    <t>20250512163905</t>
  </si>
  <si>
    <t>20250512164239</t>
  </si>
  <si>
    <t>20250512164334</t>
  </si>
  <si>
    <t>20250512164438</t>
  </si>
  <si>
    <t>20250512164550</t>
  </si>
  <si>
    <t>20250512173459</t>
  </si>
  <si>
    <t>20250512173559</t>
  </si>
  <si>
    <t>20250512173725</t>
  </si>
  <si>
    <t>20250512173842</t>
  </si>
  <si>
    <t>20250512173933</t>
  </si>
  <si>
    <t>20250512174036</t>
  </si>
  <si>
    <t>20250512174128</t>
  </si>
  <si>
    <t>20250512174209</t>
  </si>
  <si>
    <t>20250512174334</t>
  </si>
  <si>
    <t>20250513085552</t>
  </si>
  <si>
    <t>20250513085649</t>
  </si>
  <si>
    <t>20250513090223</t>
  </si>
  <si>
    <t>20250513090310</t>
  </si>
  <si>
    <t>20250513091049</t>
  </si>
  <si>
    <t>20250513091158</t>
  </si>
  <si>
    <t>20250513095651</t>
  </si>
  <si>
    <t>20250513095752</t>
  </si>
  <si>
    <t>20250513095917</t>
  </si>
  <si>
    <t>20250513100004</t>
  </si>
  <si>
    <t>20250513100054</t>
  </si>
  <si>
    <t>20250513100218</t>
  </si>
  <si>
    <t>20250513100309</t>
  </si>
  <si>
    <t>20250513100350</t>
  </si>
  <si>
    <t>20250513100503</t>
  </si>
  <si>
    <t>20250513103039</t>
  </si>
  <si>
    <t>20250513103141</t>
  </si>
  <si>
    <t>20250513103256</t>
  </si>
  <si>
    <t>20250513103349</t>
  </si>
  <si>
    <t>20250513103436</t>
  </si>
  <si>
    <t>20250513103601</t>
  </si>
  <si>
    <t>20250513103657</t>
  </si>
  <si>
    <t>20250513103735</t>
  </si>
  <si>
    <t>20250513103907</t>
  </si>
  <si>
    <t>20250513111100</t>
  </si>
  <si>
    <t>20250513111247</t>
  </si>
  <si>
    <t>20250513111347</t>
  </si>
  <si>
    <t>20250513111434</t>
  </si>
  <si>
    <t>20250513111523</t>
  </si>
  <si>
    <t>20250513111648</t>
  </si>
  <si>
    <t>20250513111732</t>
  </si>
  <si>
    <t>20250513111825</t>
  </si>
  <si>
    <t>20250513111944</t>
  </si>
  <si>
    <t>20250513114751</t>
  </si>
  <si>
    <t>20250513114924</t>
  </si>
  <si>
    <t>20250513115127</t>
  </si>
  <si>
    <t>20250513115214</t>
  </si>
  <si>
    <t>20250513115302</t>
  </si>
  <si>
    <t>20250513115408</t>
  </si>
  <si>
    <t>20250513115529</t>
  </si>
  <si>
    <t>20250513115613</t>
  </si>
  <si>
    <t>20250513115731</t>
  </si>
  <si>
    <t>20250513130633</t>
  </si>
  <si>
    <t>20250513130733</t>
  </si>
  <si>
    <t>20250513130943</t>
  </si>
  <si>
    <t>20250513131628</t>
  </si>
  <si>
    <t>20250513131729</t>
  </si>
  <si>
    <t>20250513131857</t>
  </si>
  <si>
    <t>20250513131950</t>
  </si>
  <si>
    <t>20250513132428</t>
  </si>
  <si>
    <t>20250513132547</t>
  </si>
  <si>
    <t>20250513140044</t>
  </si>
  <si>
    <t>20250513140204</t>
  </si>
  <si>
    <t>20250513140301</t>
  </si>
  <si>
    <t>20250513140350</t>
  </si>
  <si>
    <t>20250513140439</t>
  </si>
  <si>
    <t>20250513140701</t>
  </si>
  <si>
    <t>20250513140836</t>
  </si>
  <si>
    <t>20250513140914</t>
  </si>
  <si>
    <t>20250513145102</t>
  </si>
  <si>
    <t>20250513145204</t>
  </si>
  <si>
    <t>20250513145331</t>
  </si>
  <si>
    <t>20250513145441</t>
  </si>
  <si>
    <t>20250513145617</t>
  </si>
  <si>
    <t>20250513145757</t>
  </si>
  <si>
    <t>20250513145859</t>
  </si>
  <si>
    <t>20250513145945</t>
  </si>
  <si>
    <t>20250513150100</t>
  </si>
  <si>
    <t>20250513152847</t>
  </si>
  <si>
    <t>20250513152948</t>
  </si>
  <si>
    <t>20250513153058</t>
  </si>
  <si>
    <t>20250513153147</t>
  </si>
  <si>
    <t>20250513153233</t>
  </si>
  <si>
    <t>20250513153344</t>
  </si>
  <si>
    <t>20250513153449</t>
  </si>
  <si>
    <t>20250513153529</t>
  </si>
  <si>
    <t>20250513153654</t>
  </si>
  <si>
    <t>20250513162928</t>
  </si>
  <si>
    <t>20250513163147</t>
  </si>
  <si>
    <t>20250513163244</t>
  </si>
  <si>
    <t>20250513163328</t>
  </si>
  <si>
    <t>20250513163429</t>
  </si>
  <si>
    <t>20250513163552</t>
  </si>
  <si>
    <t>20250513163657</t>
  </si>
  <si>
    <t>20250513163740</t>
  </si>
  <si>
    <t>20250513163904</t>
  </si>
  <si>
    <t>20250513171810</t>
  </si>
  <si>
    <t>20250513171930</t>
  </si>
  <si>
    <t>20250513172023</t>
  </si>
  <si>
    <t>20250513172126</t>
  </si>
  <si>
    <t>20250513172223</t>
  </si>
  <si>
    <t>20250513172640</t>
  </si>
  <si>
    <t>20250513172744</t>
  </si>
  <si>
    <t>20250513172823</t>
  </si>
  <si>
    <t>20250513172923</t>
  </si>
  <si>
    <t>20250514085132</t>
  </si>
  <si>
    <t>20250514085226</t>
  </si>
  <si>
    <t>20250514090032</t>
  </si>
  <si>
    <t>20250514090119</t>
  </si>
  <si>
    <t>20250514090318</t>
  </si>
  <si>
    <t>20250514090416</t>
  </si>
  <si>
    <t>20250514090508</t>
  </si>
  <si>
    <t>20250514092231</t>
  </si>
  <si>
    <t>20250514093156</t>
  </si>
  <si>
    <t>20250514095639</t>
  </si>
  <si>
    <t>20250514095736</t>
  </si>
  <si>
    <t>20250514095843</t>
  </si>
  <si>
    <t>20250514095955</t>
  </si>
  <si>
    <t>20250514100057</t>
  </si>
  <si>
    <t>20250514100217</t>
  </si>
  <si>
    <t>20250514100319</t>
  </si>
  <si>
    <t>20250514100402</t>
  </si>
  <si>
    <t>20250514103010</t>
  </si>
  <si>
    <t>20250514105356</t>
  </si>
  <si>
    <t>20250514105451</t>
  </si>
  <si>
    <t>20250514105542</t>
  </si>
  <si>
    <t>20250514105630</t>
  </si>
  <si>
    <t>20250514105726</t>
  </si>
  <si>
    <t>20250514105827</t>
  </si>
  <si>
    <t>20250514105911</t>
  </si>
  <si>
    <t>20250514105954</t>
  </si>
  <si>
    <t>20250514110144</t>
  </si>
  <si>
    <t>20250514110305</t>
  </si>
  <si>
    <t>20250514122722</t>
  </si>
  <si>
    <t>20250514122841</t>
  </si>
  <si>
    <t>20250514122928</t>
  </si>
  <si>
    <t>20250514123027</t>
  </si>
  <si>
    <t>20250514123117</t>
  </si>
  <si>
    <t>20250514123617</t>
  </si>
  <si>
    <t>20250514123707</t>
  </si>
  <si>
    <t>20250514123852</t>
  </si>
  <si>
    <t>20250514124006</t>
  </si>
  <si>
    <t>20250514124051</t>
  </si>
  <si>
    <t>20250528110405</t>
  </si>
  <si>
    <t>20250528110421</t>
  </si>
  <si>
    <t>20250528110742</t>
  </si>
  <si>
    <t>20250528110939</t>
  </si>
  <si>
    <t>20250528110954</t>
  </si>
  <si>
    <t>20250528111006</t>
  </si>
  <si>
    <t>20250528112103</t>
  </si>
  <si>
    <t>20250528112118</t>
  </si>
  <si>
    <t>20250528112130</t>
  </si>
  <si>
    <t>20250528112412</t>
  </si>
  <si>
    <t>20250528112424</t>
  </si>
  <si>
    <t>20250528112436</t>
  </si>
  <si>
    <t>20250528112833</t>
  </si>
  <si>
    <t>20250528112844</t>
  </si>
  <si>
    <t>20250528113042</t>
  </si>
  <si>
    <t>20250528113054</t>
  </si>
  <si>
    <t>20250528113214</t>
  </si>
  <si>
    <t>20250528113228</t>
  </si>
  <si>
    <t>20250528113239</t>
  </si>
  <si>
    <t>20250528113316</t>
  </si>
  <si>
    <t>20250528113331</t>
  </si>
  <si>
    <t>20250528113344</t>
  </si>
  <si>
    <t>20250528114423</t>
  </si>
  <si>
    <t>20250528114435</t>
  </si>
  <si>
    <t>20250528114451</t>
  </si>
  <si>
    <t>20250528131016</t>
  </si>
  <si>
    <t>20250528131028</t>
  </si>
  <si>
    <t>20250528131044</t>
  </si>
  <si>
    <t>20250528131127</t>
  </si>
  <si>
    <t>20250528131146</t>
  </si>
  <si>
    <t>20250528131158</t>
  </si>
  <si>
    <t>20250528131239</t>
  </si>
  <si>
    <t>20250528131251</t>
  </si>
  <si>
    <t>20250528131303</t>
  </si>
  <si>
    <t>20250528131346</t>
  </si>
  <si>
    <t>20250528131402</t>
  </si>
  <si>
    <t>20250528131413</t>
  </si>
  <si>
    <t>20250528131457</t>
  </si>
  <si>
    <t>20250528131510</t>
  </si>
  <si>
    <t>20250528131521</t>
  </si>
  <si>
    <t>20250528131616</t>
  </si>
  <si>
    <t>20250528131627</t>
  </si>
  <si>
    <t>20250528131639</t>
  </si>
  <si>
    <t>20250528131731</t>
  </si>
  <si>
    <t>20250528131743</t>
  </si>
  <si>
    <t>20250528131755</t>
  </si>
  <si>
    <t>20250528131841</t>
  </si>
  <si>
    <t>20250528131852</t>
  </si>
  <si>
    <t>20250528131904</t>
  </si>
  <si>
    <t>20250528161912</t>
  </si>
  <si>
    <t>20250528161925</t>
  </si>
  <si>
    <t>20250528161938</t>
  </si>
  <si>
    <t>20250528162027</t>
  </si>
  <si>
    <t>20250528162041</t>
  </si>
  <si>
    <t>20250528162052</t>
  </si>
  <si>
    <t>20250528162137</t>
  </si>
  <si>
    <t>20250528162154</t>
  </si>
  <si>
    <t>20250528162358</t>
  </si>
  <si>
    <t>20250528162410</t>
  </si>
  <si>
    <t>20250528162458</t>
  </si>
  <si>
    <t>20250528162510</t>
  </si>
  <si>
    <t>20250528162553</t>
  </si>
  <si>
    <t>20250528162612</t>
  </si>
  <si>
    <t>20250528162628</t>
  </si>
  <si>
    <t>20250528162817</t>
  </si>
  <si>
    <t>20250528162829</t>
  </si>
  <si>
    <t>20250528162841</t>
  </si>
  <si>
    <t>20250528162921</t>
  </si>
  <si>
    <t>20250528162933</t>
  </si>
  <si>
    <t>20250528162944</t>
  </si>
  <si>
    <t>20250528163045</t>
  </si>
  <si>
    <t>20250528163057</t>
  </si>
  <si>
    <t>20250528163203</t>
  </si>
  <si>
    <t>20250528163215</t>
  </si>
  <si>
    <t>20250528163227</t>
  </si>
  <si>
    <t>20250528163801</t>
  </si>
  <si>
    <t>20250528163815</t>
  </si>
  <si>
    <t>20250528163836</t>
  </si>
  <si>
    <t>20250528163852</t>
  </si>
  <si>
    <t>20250528163710</t>
  </si>
  <si>
    <t>20250528163724</t>
  </si>
  <si>
    <t>20250528163738</t>
  </si>
  <si>
    <t>20250528163848</t>
  </si>
  <si>
    <t>20250528163859</t>
  </si>
  <si>
    <t>20250528164152</t>
  </si>
  <si>
    <t>20250528164204</t>
  </si>
  <si>
    <t>20250528164217</t>
  </si>
  <si>
    <t>20250528164304</t>
  </si>
  <si>
    <t>20250528164319</t>
  </si>
  <si>
    <t>20250528164331</t>
  </si>
  <si>
    <t>20250528164836</t>
  </si>
  <si>
    <t>20250528164848</t>
  </si>
  <si>
    <t>20250528164907</t>
  </si>
  <si>
    <t>20250528164952</t>
  </si>
  <si>
    <t>20250528165009</t>
  </si>
  <si>
    <t>20250528165024</t>
  </si>
  <si>
    <t>20250528170512</t>
  </si>
  <si>
    <t>20250528170524</t>
  </si>
  <si>
    <t>20250528170535</t>
  </si>
  <si>
    <t>20250528180159</t>
  </si>
  <si>
    <t>20250528180213</t>
  </si>
  <si>
    <t>20250528180225</t>
  </si>
  <si>
    <t>20250528180618</t>
  </si>
  <si>
    <t>20250528180629</t>
  </si>
  <si>
    <t>20250528180641</t>
  </si>
  <si>
    <t>20250528180716</t>
  </si>
  <si>
    <t>20250528180729</t>
  </si>
  <si>
    <t>20250528180742</t>
  </si>
  <si>
    <t>20250528180925</t>
  </si>
  <si>
    <t>20250528180936</t>
  </si>
  <si>
    <t>20250528180947</t>
  </si>
  <si>
    <t>20250528181656</t>
  </si>
  <si>
    <t>20250528181709</t>
  </si>
  <si>
    <t>20250528181722</t>
  </si>
  <si>
    <t>20250528181941</t>
  </si>
  <si>
    <t>20250528182036</t>
  </si>
  <si>
    <t>20250528182324</t>
  </si>
  <si>
    <t>20250528182336</t>
  </si>
  <si>
    <t>20250528182347</t>
  </si>
  <si>
    <t>20250528182451</t>
  </si>
  <si>
    <t>20250528182503</t>
  </si>
  <si>
    <t>20250528182515</t>
  </si>
  <si>
    <t>20250528203645</t>
  </si>
  <si>
    <t>20250528203657</t>
  </si>
  <si>
    <t>20250528203709</t>
  </si>
  <si>
    <t>20250528203803</t>
  </si>
  <si>
    <t>20250528203815</t>
  </si>
  <si>
    <t>20250528203827</t>
  </si>
  <si>
    <t>20250528204126</t>
  </si>
  <si>
    <t>20250528204137</t>
  </si>
  <si>
    <t>20250528204148</t>
  </si>
  <si>
    <t>20250528204226</t>
  </si>
  <si>
    <t>20250528204238</t>
  </si>
  <si>
    <t>20250528204250</t>
  </si>
  <si>
    <t>20250528205819</t>
  </si>
  <si>
    <t>20250528205832</t>
  </si>
  <si>
    <t>20250528205905</t>
  </si>
  <si>
    <t>20250528211602</t>
  </si>
  <si>
    <t>20250528211614</t>
  </si>
  <si>
    <t>20250528211625</t>
  </si>
  <si>
    <t>20250528211805</t>
  </si>
  <si>
    <t>20250528211824</t>
  </si>
  <si>
    <t>20250528211836</t>
  </si>
  <si>
    <t>20250529160130</t>
  </si>
  <si>
    <t>20250529160148</t>
  </si>
  <si>
    <t>20250529160201</t>
  </si>
  <si>
    <t>20250529160252</t>
  </si>
  <si>
    <t>20250529160303</t>
  </si>
  <si>
    <t>20250529160315</t>
  </si>
  <si>
    <t>20250529160735</t>
  </si>
  <si>
    <t>20250529160747</t>
  </si>
  <si>
    <t>20250529160758</t>
  </si>
  <si>
    <t>20250529160834</t>
  </si>
  <si>
    <t>20250529160846</t>
  </si>
  <si>
    <t>20250529160857</t>
  </si>
  <si>
    <t>20250529161006</t>
  </si>
  <si>
    <t>20250529161017</t>
  </si>
  <si>
    <t>20250529161028</t>
  </si>
  <si>
    <t>20250529161102</t>
  </si>
  <si>
    <t>20250529161113</t>
  </si>
  <si>
    <t>20250529161124</t>
  </si>
  <si>
    <t>20250529161200</t>
  </si>
  <si>
    <t>20250529161211</t>
  </si>
  <si>
    <t>20250529161224</t>
  </si>
  <si>
    <t>20250529171336</t>
  </si>
  <si>
    <t>20250529171400</t>
  </si>
  <si>
    <t>20250529171416</t>
  </si>
  <si>
    <t>20250529171517</t>
  </si>
  <si>
    <t>20250529171531</t>
  </si>
  <si>
    <t>20250529171542</t>
  </si>
  <si>
    <t>20250529171818</t>
  </si>
  <si>
    <t>20250529171829</t>
  </si>
  <si>
    <t>20250529171840</t>
  </si>
  <si>
    <t>20250529171917</t>
  </si>
  <si>
    <t>20250529171928</t>
  </si>
  <si>
    <t>20250529171940</t>
  </si>
  <si>
    <t>20250529172307</t>
  </si>
  <si>
    <t>20250529172319</t>
  </si>
  <si>
    <t>20250529172331</t>
  </si>
  <si>
    <t>20250529172426</t>
  </si>
  <si>
    <t>20250529172437</t>
  </si>
  <si>
    <t>20250529172448</t>
  </si>
  <si>
    <t>20250529172534</t>
  </si>
  <si>
    <t>20250529172546</t>
  </si>
  <si>
    <t>20250529172558</t>
  </si>
  <si>
    <t>20250529172838</t>
  </si>
  <si>
    <t>20250529172849</t>
  </si>
  <si>
    <t>20250529172900</t>
  </si>
  <si>
    <t>20250529172934</t>
  </si>
  <si>
    <t>20250529172946</t>
  </si>
  <si>
    <t>20250529172959</t>
  </si>
  <si>
    <t>20250529181639</t>
  </si>
  <si>
    <t>20250529181651</t>
  </si>
  <si>
    <t>20250529181703</t>
  </si>
  <si>
    <t>20250529181752</t>
  </si>
  <si>
    <t>20250529181803</t>
  </si>
  <si>
    <t>20250529181814</t>
  </si>
  <si>
    <t>20250529181938</t>
  </si>
  <si>
    <t>20250529181949</t>
  </si>
  <si>
    <t>20250529182000</t>
  </si>
  <si>
    <t>20250529182035</t>
  </si>
  <si>
    <t>20250529182047</t>
  </si>
  <si>
    <t>20250529182059</t>
  </si>
  <si>
    <t>20250529182240</t>
  </si>
  <si>
    <t>20250529182251</t>
  </si>
  <si>
    <t>20250529182302</t>
  </si>
  <si>
    <t>20250529182346</t>
  </si>
  <si>
    <t>20250529182357</t>
  </si>
  <si>
    <t>20250529183002</t>
  </si>
  <si>
    <t>20250529183014</t>
  </si>
  <si>
    <t>20250529183026</t>
  </si>
  <si>
    <t>20250529183120</t>
  </si>
  <si>
    <t>20250529183132</t>
  </si>
  <si>
    <t>20250529183144</t>
  </si>
  <si>
    <t>20250529190531</t>
  </si>
  <si>
    <t>20250529190544</t>
  </si>
  <si>
    <t>20250529190557</t>
  </si>
  <si>
    <t>20250529190639</t>
  </si>
  <si>
    <t>20250529190651</t>
  </si>
  <si>
    <t>20250529190702</t>
  </si>
  <si>
    <t>20250529191108</t>
  </si>
  <si>
    <t>20250529191126</t>
  </si>
  <si>
    <t>20250529191221</t>
  </si>
  <si>
    <t>20250529191233</t>
  </si>
  <si>
    <t>20250529191250</t>
  </si>
  <si>
    <t>20250529191419</t>
  </si>
  <si>
    <t>20250529191430</t>
  </si>
  <si>
    <t>20250529191442</t>
  </si>
  <si>
    <t>20250529191518</t>
  </si>
  <si>
    <t>20250529191530</t>
  </si>
  <si>
    <t>20250529191541</t>
  </si>
  <si>
    <t>20250529191711</t>
  </si>
  <si>
    <t>20250529191723</t>
  </si>
  <si>
    <t>20250529191735</t>
  </si>
  <si>
    <t>20250529191811</t>
  </si>
  <si>
    <t>20250529191823</t>
  </si>
  <si>
    <t>20250529191835</t>
  </si>
  <si>
    <t>20250529194920</t>
  </si>
  <si>
    <t>20250529194931</t>
  </si>
  <si>
    <t>20250529194942</t>
  </si>
  <si>
    <t>20250529195020</t>
  </si>
  <si>
    <t>20250529195034</t>
  </si>
  <si>
    <t>20250529195046</t>
  </si>
  <si>
    <t>20250529195520</t>
  </si>
  <si>
    <t>20250529195532</t>
  </si>
  <si>
    <t>20250529195544</t>
  </si>
  <si>
    <t>20250529125117</t>
  </si>
  <si>
    <t>20250529125129</t>
  </si>
  <si>
    <t>20250529125141</t>
  </si>
  <si>
    <t>20250529125242</t>
  </si>
  <si>
    <t>20250529125255</t>
  </si>
  <si>
    <t>20250529125312</t>
  </si>
  <si>
    <t>20250529125437</t>
  </si>
  <si>
    <t>20250529125449</t>
  </si>
  <si>
    <t>20250529125500</t>
  </si>
  <si>
    <t>20250529125540</t>
  </si>
  <si>
    <t>20250529125552</t>
  </si>
  <si>
    <t>20250529125607</t>
  </si>
  <si>
    <t>20250529131036</t>
  </si>
  <si>
    <t>20250529131048</t>
  </si>
  <si>
    <t>20250529131100</t>
  </si>
  <si>
    <t>20250529131144</t>
  </si>
  <si>
    <t>20250529131157</t>
  </si>
  <si>
    <t>20250529131209</t>
  </si>
  <si>
    <t>20250529132712</t>
  </si>
  <si>
    <t>20250529132725</t>
  </si>
  <si>
    <t>20250529132737</t>
  </si>
  <si>
    <t>20250529111208</t>
  </si>
  <si>
    <t>20250529111220</t>
  </si>
  <si>
    <t>20250529111232</t>
  </si>
  <si>
    <t>20250529111507</t>
  </si>
  <si>
    <t>20250529111519</t>
  </si>
  <si>
    <t>20250529111532</t>
  </si>
  <si>
    <t>20250529112338</t>
  </si>
  <si>
    <t>20250529112350</t>
  </si>
  <si>
    <t>20250529112402</t>
  </si>
  <si>
    <t>20250529112440</t>
  </si>
  <si>
    <t>20250529112452</t>
  </si>
  <si>
    <t>20250529112505</t>
  </si>
  <si>
    <t>20250529112740</t>
  </si>
  <si>
    <t>20250529112752</t>
  </si>
  <si>
    <t>20250529112804</t>
  </si>
  <si>
    <t>20250529112927</t>
  </si>
  <si>
    <t>20250529112939</t>
  </si>
  <si>
    <t>20250529112951</t>
  </si>
  <si>
    <t>20250529113044</t>
  </si>
  <si>
    <t>20250529113056</t>
  </si>
  <si>
    <t>20250529113108</t>
  </si>
  <si>
    <t>20250529085747</t>
  </si>
  <si>
    <t>20250529085759</t>
  </si>
  <si>
    <t>20250529085813</t>
  </si>
  <si>
    <t>20250529085934</t>
  </si>
  <si>
    <t>20250529085946</t>
  </si>
  <si>
    <t>20250529085957</t>
  </si>
  <si>
    <t>20250529090348</t>
  </si>
  <si>
    <t>20250529090400</t>
  </si>
  <si>
    <t>20250529090413</t>
  </si>
  <si>
    <t>20250529090518</t>
  </si>
  <si>
    <t>20250529090530</t>
  </si>
  <si>
    <t>20250529090543</t>
  </si>
  <si>
    <t>20250529090932</t>
  </si>
  <si>
    <t>20250529090956</t>
  </si>
  <si>
    <t>20250529091010</t>
  </si>
  <si>
    <t>20250529091136</t>
  </si>
  <si>
    <t>20250529091148</t>
  </si>
  <si>
    <t>20250529091200</t>
  </si>
  <si>
    <t>20250529091250</t>
  </si>
  <si>
    <t>20250529091301</t>
  </si>
  <si>
    <t>20250529091316</t>
  </si>
  <si>
    <t>20250530121530</t>
  </si>
  <si>
    <t>20250530121542</t>
  </si>
  <si>
    <t>20250530121554</t>
  </si>
  <si>
    <t>20250530121709</t>
  </si>
  <si>
    <t>20250530121721</t>
  </si>
  <si>
    <t>20250530121733</t>
  </si>
  <si>
    <t>20250530122056</t>
  </si>
  <si>
    <t>20250530122108</t>
  </si>
  <si>
    <t>20250530122120</t>
  </si>
  <si>
    <t>20250530122221</t>
  </si>
  <si>
    <t>20250530122233</t>
  </si>
  <si>
    <t>20250530122245</t>
  </si>
  <si>
    <t>20250530122509</t>
  </si>
  <si>
    <t>20250530122521</t>
  </si>
  <si>
    <t>20250530122533</t>
  </si>
  <si>
    <t>20250530122627</t>
  </si>
  <si>
    <t>20250530122640</t>
  </si>
  <si>
    <t>20250530122654</t>
  </si>
  <si>
    <t>20250530130031</t>
  </si>
  <si>
    <t>20250530130043</t>
  </si>
  <si>
    <t>20250530130054</t>
  </si>
  <si>
    <t>20250530130146</t>
  </si>
  <si>
    <t>20250530130157</t>
  </si>
  <si>
    <t>20250530130209</t>
  </si>
  <si>
    <t>20250530130247</t>
  </si>
  <si>
    <t>20250530130300</t>
  </si>
  <si>
    <t>20250530130313</t>
  </si>
  <si>
    <t>20250530130351</t>
  </si>
  <si>
    <t>20250530130402</t>
  </si>
  <si>
    <t>20250530130413</t>
  </si>
  <si>
    <t>20250530130446</t>
  </si>
  <si>
    <t>20250530130458</t>
  </si>
  <si>
    <t>20250530130510</t>
  </si>
  <si>
    <t>20250530130546</t>
  </si>
  <si>
    <t>20250530130558</t>
  </si>
  <si>
    <t>20250530130609</t>
  </si>
  <si>
    <t>20250530130657</t>
  </si>
  <si>
    <t>20250530130710</t>
  </si>
  <si>
    <t>20250530130732</t>
  </si>
  <si>
    <t>20250530131019</t>
  </si>
  <si>
    <t>20250530131031</t>
  </si>
  <si>
    <t>20250530131042</t>
  </si>
  <si>
    <t>20250530131122</t>
  </si>
  <si>
    <t>20250530131140</t>
  </si>
  <si>
    <t>20250530131151</t>
  </si>
  <si>
    <t>20250530145416</t>
  </si>
  <si>
    <t>20250530145428</t>
  </si>
  <si>
    <t>20250530145439</t>
  </si>
  <si>
    <t>20250530145554</t>
  </si>
  <si>
    <t>20250530145606</t>
  </si>
  <si>
    <t>20250530145618</t>
  </si>
  <si>
    <t>20250530145655</t>
  </si>
  <si>
    <t>20250530145706</t>
  </si>
  <si>
    <t>20250530145717</t>
  </si>
  <si>
    <t>20250530145805</t>
  </si>
  <si>
    <t>20250530145819</t>
  </si>
  <si>
    <t>20250530145830</t>
  </si>
  <si>
    <t>20250530150058</t>
  </si>
  <si>
    <t>20250530150110</t>
  </si>
  <si>
    <t>20250530150122</t>
  </si>
  <si>
    <t>20250530150157</t>
  </si>
  <si>
    <t>20250530150213</t>
  </si>
  <si>
    <t>20250530150229</t>
  </si>
  <si>
    <t>20250530150759</t>
  </si>
  <si>
    <t>20250530150813</t>
  </si>
  <si>
    <t>20250530150824</t>
  </si>
  <si>
    <t>20250530150908</t>
  </si>
  <si>
    <t>20250530150919</t>
  </si>
  <si>
    <t>20250530160313</t>
  </si>
  <si>
    <t>20250530160324</t>
  </si>
  <si>
    <t>20250530160336</t>
  </si>
  <si>
    <t>20250530160409</t>
  </si>
  <si>
    <t>20250530160420</t>
  </si>
  <si>
    <t>20250530160431</t>
  </si>
  <si>
    <t>20250530160503</t>
  </si>
  <si>
    <t>20250530160514</t>
  </si>
  <si>
    <t>20250530160525</t>
  </si>
  <si>
    <t>20250530160932</t>
  </si>
  <si>
    <t>20250530160943</t>
  </si>
  <si>
    <t>20250530160955</t>
  </si>
  <si>
    <t>20250530161133</t>
  </si>
  <si>
    <t>20250530161145</t>
  </si>
  <si>
    <t>20250530161156</t>
  </si>
  <si>
    <t>20250530161243</t>
  </si>
  <si>
    <t>20250530161257</t>
  </si>
  <si>
    <t>20250530161309</t>
  </si>
  <si>
    <t>20250530161507</t>
  </si>
  <si>
    <t>20250530161522</t>
  </si>
  <si>
    <t>20250530161534</t>
  </si>
  <si>
    <t>20250530161620</t>
  </si>
  <si>
    <t>20250530161639</t>
  </si>
  <si>
    <t>20250530161650</t>
  </si>
  <si>
    <t>20250609112358</t>
  </si>
  <si>
    <t>20250609112413</t>
  </si>
  <si>
    <t>20250609112425</t>
  </si>
  <si>
    <t>20250609112533</t>
  </si>
  <si>
    <t>20250609112544</t>
  </si>
  <si>
    <t>20250609112555</t>
  </si>
  <si>
    <t>20250609112654</t>
  </si>
  <si>
    <t>20250609112705</t>
  </si>
  <si>
    <t>20250609112717</t>
  </si>
  <si>
    <t>20250609112815</t>
  </si>
  <si>
    <t>20250609112828</t>
  </si>
  <si>
    <t>20250609112840</t>
  </si>
  <si>
    <t>20250609112938</t>
  </si>
  <si>
    <t>20250609112949</t>
  </si>
  <si>
    <t>20250609113000</t>
  </si>
  <si>
    <t>20250609113106</t>
  </si>
  <si>
    <t>20250609113118</t>
  </si>
  <si>
    <t>20250609113129</t>
  </si>
  <si>
    <t>20250609113223</t>
  </si>
  <si>
    <t>20250609113235</t>
  </si>
  <si>
    <t>20250609113247</t>
  </si>
  <si>
    <t>20250609113330</t>
  </si>
  <si>
    <t>20250609113341</t>
  </si>
  <si>
    <t>20250609113353</t>
  </si>
  <si>
    <t>20250609113831</t>
  </si>
  <si>
    <t>20250609113842</t>
  </si>
  <si>
    <t>20250609113854</t>
  </si>
  <si>
    <t>20250609131828</t>
  </si>
  <si>
    <t>20250609131840</t>
  </si>
  <si>
    <t>20250609131851</t>
  </si>
  <si>
    <t>20250609131949</t>
  </si>
  <si>
    <t>20250609132000</t>
  </si>
  <si>
    <t>20250609132011</t>
  </si>
  <si>
    <t>20250609132224</t>
  </si>
  <si>
    <t>20250609132236</t>
  </si>
  <si>
    <t>20250609132248</t>
  </si>
  <si>
    <t>20250609132338</t>
  </si>
  <si>
    <t>20250609132349</t>
  </si>
  <si>
    <t>20250609132400</t>
  </si>
  <si>
    <t>20250609132446</t>
  </si>
  <si>
    <t>20250609132458</t>
  </si>
  <si>
    <t>20250609132510</t>
  </si>
  <si>
    <t>20250609132835</t>
  </si>
  <si>
    <t>20250609132846</t>
  </si>
  <si>
    <t>20250609132857</t>
  </si>
  <si>
    <t>20250609132946</t>
  </si>
  <si>
    <t>20250609132957</t>
  </si>
  <si>
    <t>20250609133008</t>
  </si>
  <si>
    <t>20250609133415</t>
  </si>
  <si>
    <t>20250609133427</t>
  </si>
  <si>
    <t>20250609133439</t>
  </si>
  <si>
    <t>20250609142839</t>
  </si>
  <si>
    <t>20250609142850</t>
  </si>
  <si>
    <t>20250609142902</t>
  </si>
  <si>
    <t>20250609143009</t>
  </si>
  <si>
    <t>20250609143021</t>
  </si>
  <si>
    <t>20250609143033</t>
  </si>
  <si>
    <t>20250609143124</t>
  </si>
  <si>
    <t>20250609143136</t>
  </si>
  <si>
    <t>20250609143147</t>
  </si>
  <si>
    <t>20250609143242</t>
  </si>
  <si>
    <t>20250609143253</t>
  </si>
  <si>
    <t>20250609143304</t>
  </si>
  <si>
    <t>20250609143353</t>
  </si>
  <si>
    <t>20250609143404</t>
  </si>
  <si>
    <t>20250609143415</t>
  </si>
  <si>
    <t>20250609143526</t>
  </si>
  <si>
    <t>20250609143538</t>
  </si>
  <si>
    <t>20250609143549</t>
  </si>
  <si>
    <t>20250609143639</t>
  </si>
  <si>
    <t>20250609143650</t>
  </si>
  <si>
    <t>20250609143701</t>
  </si>
  <si>
    <t>20250609143747</t>
  </si>
  <si>
    <t>20250609143758</t>
  </si>
  <si>
    <t>20250609143809</t>
  </si>
  <si>
    <t>20250609153102</t>
  </si>
  <si>
    <t>20250609153116</t>
  </si>
  <si>
    <t>20250609153127</t>
  </si>
  <si>
    <t>20250609153218</t>
  </si>
  <si>
    <t>20250609153229</t>
  </si>
  <si>
    <t>20250609153240</t>
  </si>
  <si>
    <t>20250609153331</t>
  </si>
  <si>
    <t>20250609153342</t>
  </si>
  <si>
    <t>20250609153353</t>
  </si>
  <si>
    <t>20250609153443</t>
  </si>
  <si>
    <t>20250609153454</t>
  </si>
  <si>
    <t>20250609153505</t>
  </si>
  <si>
    <t>20250609153554</t>
  </si>
  <si>
    <t>20250609153605</t>
  </si>
  <si>
    <t>20250609153616</t>
  </si>
  <si>
    <t>20250609153733</t>
  </si>
  <si>
    <t>20250609153744</t>
  </si>
  <si>
    <t>20250609153755</t>
  </si>
  <si>
    <t>20250609153848</t>
  </si>
  <si>
    <t>20250609153902</t>
  </si>
  <si>
    <t>20250609153913</t>
  </si>
  <si>
    <t>20250609153954</t>
  </si>
  <si>
    <t>20250609154005</t>
  </si>
  <si>
    <t>20250609154016</t>
  </si>
  <si>
    <t>20250609154119</t>
  </si>
  <si>
    <t>20250609154130</t>
  </si>
  <si>
    <t>20250609154141</t>
  </si>
  <si>
    <t>20250609160916</t>
  </si>
  <si>
    <t>20250609160928</t>
  </si>
  <si>
    <t>20250609160939</t>
  </si>
  <si>
    <t>20250609161031</t>
  </si>
  <si>
    <t>20250609161042</t>
  </si>
  <si>
    <t>20250609161053</t>
  </si>
  <si>
    <t>20250609161143</t>
  </si>
  <si>
    <t>20250609161154</t>
  </si>
  <si>
    <t>20250609161205</t>
  </si>
  <si>
    <t>20250609161249</t>
  </si>
  <si>
    <t>20250609161300</t>
  </si>
  <si>
    <t>20250609161312</t>
  </si>
  <si>
    <t>20250609161357</t>
  </si>
  <si>
    <t>20250609161408</t>
  </si>
  <si>
    <t>20250609161419</t>
  </si>
  <si>
    <t>20250609161528</t>
  </si>
  <si>
    <t>20250609161539</t>
  </si>
  <si>
    <t>20250609161550</t>
  </si>
  <si>
    <t>20250609161641</t>
  </si>
  <si>
    <t>20250609161659</t>
  </si>
  <si>
    <t>20250609161711</t>
  </si>
  <si>
    <t>20250609161756</t>
  </si>
  <si>
    <t>20250609161807</t>
  </si>
  <si>
    <t>20250609161818</t>
  </si>
  <si>
    <t>20250609162018</t>
  </si>
  <si>
    <t>20250609162030</t>
  </si>
  <si>
    <t>20250609162041</t>
  </si>
  <si>
    <t>20250609170018</t>
  </si>
  <si>
    <t>20250609170030</t>
  </si>
  <si>
    <t>20250609170042</t>
  </si>
  <si>
    <t>20250609170134</t>
  </si>
  <si>
    <t>20250609170146</t>
  </si>
  <si>
    <t>20250609170157</t>
  </si>
  <si>
    <t>20250609170248</t>
  </si>
  <si>
    <t>20250609170259</t>
  </si>
  <si>
    <t>20250609170311</t>
  </si>
  <si>
    <t>20250609170404</t>
  </si>
  <si>
    <t>20250609170415</t>
  </si>
  <si>
    <t>20250609170426</t>
  </si>
  <si>
    <t>20250609170518</t>
  </si>
  <si>
    <t>20250609170529</t>
  </si>
  <si>
    <t>20250609170540</t>
  </si>
  <si>
    <t>20250609170638</t>
  </si>
  <si>
    <t>20250609170649</t>
  </si>
  <si>
    <t>20250609170705</t>
  </si>
  <si>
    <t>20250609170756</t>
  </si>
  <si>
    <t>20250609170809</t>
  </si>
  <si>
    <t>20250609170821</t>
  </si>
  <si>
    <t>20250609170902</t>
  </si>
  <si>
    <t>20250609170914</t>
  </si>
  <si>
    <t>20250609170925</t>
  </si>
  <si>
    <t>20250609171026</t>
  </si>
  <si>
    <t>20250609171038</t>
  </si>
  <si>
    <t>20250609171049</t>
  </si>
  <si>
    <t>20250609174506</t>
  </si>
  <si>
    <t>20250609174518</t>
  </si>
  <si>
    <t>20250609174534</t>
  </si>
  <si>
    <t>20250609174643</t>
  </si>
  <si>
    <t>20250609174655</t>
  </si>
  <si>
    <t>20250609174707</t>
  </si>
  <si>
    <t>20250609174848</t>
  </si>
  <si>
    <t>20250609174900</t>
  </si>
  <si>
    <t>20250609174911</t>
  </si>
  <si>
    <t>20250609175002</t>
  </si>
  <si>
    <t>20250609175014</t>
  </si>
  <si>
    <t>20250609175026</t>
  </si>
  <si>
    <t>20250609175111</t>
  </si>
  <si>
    <t>20250609175124</t>
  </si>
  <si>
    <t>20250609175135</t>
  </si>
  <si>
    <t>20250609175303</t>
  </si>
  <si>
    <t>20250609175632</t>
  </si>
  <si>
    <t>20250609175643</t>
  </si>
  <si>
    <t>20250609175654</t>
  </si>
  <si>
    <t>20250609175736</t>
  </si>
  <si>
    <t>20250609175748</t>
  </si>
  <si>
    <t>20250609175759</t>
  </si>
  <si>
    <t>20250610091909</t>
  </si>
  <si>
    <t>20250610091921</t>
  </si>
  <si>
    <t>20250610091932</t>
  </si>
  <si>
    <t>20250610092022</t>
  </si>
  <si>
    <t>20250610092033</t>
  </si>
  <si>
    <t>20250610092045</t>
  </si>
  <si>
    <t>20250610092134</t>
  </si>
  <si>
    <t>20250610092145</t>
  </si>
  <si>
    <t>20250610092156</t>
  </si>
  <si>
    <t>20250610092325</t>
  </si>
  <si>
    <t>20250610092336</t>
  </si>
  <si>
    <t>20250610092347</t>
  </si>
  <si>
    <t>20250610092431</t>
  </si>
  <si>
    <t>20250610092443</t>
  </si>
  <si>
    <t>20250610092454</t>
  </si>
  <si>
    <t>20250610092552</t>
  </si>
  <si>
    <t>20250610092604</t>
  </si>
  <si>
    <t>20250610092615</t>
  </si>
  <si>
    <t>20250610092704</t>
  </si>
  <si>
    <t>20250610092716</t>
  </si>
  <si>
    <t>20250610092728</t>
  </si>
  <si>
    <t>20250610092808</t>
  </si>
  <si>
    <t>20250610092819</t>
  </si>
  <si>
    <t>20250610092830</t>
  </si>
  <si>
    <t>20250610092929</t>
  </si>
  <si>
    <t>20250610092940</t>
  </si>
  <si>
    <t>20250610092951</t>
  </si>
  <si>
    <t>20250610095223</t>
  </si>
  <si>
    <t>20250610095235</t>
  </si>
  <si>
    <t>20250610095246</t>
  </si>
  <si>
    <t>20250610095340</t>
  </si>
  <si>
    <t>20250610095352</t>
  </si>
  <si>
    <t>20250610095403</t>
  </si>
  <si>
    <t>20250610095458</t>
  </si>
  <si>
    <t>20250610095509</t>
  </si>
  <si>
    <t>20250610095522</t>
  </si>
  <si>
    <t>20250610095613</t>
  </si>
  <si>
    <t>20250610095625</t>
  </si>
  <si>
    <t>20250610095636</t>
  </si>
  <si>
    <t>20250610095726</t>
  </si>
  <si>
    <t>20250610095738</t>
  </si>
  <si>
    <t>20250610095749</t>
  </si>
  <si>
    <t>20250610095846</t>
  </si>
  <si>
    <t>20250610095858</t>
  </si>
  <si>
    <t>20250610095909</t>
  </si>
  <si>
    <t>20250610095953</t>
  </si>
  <si>
    <t>20250610100004</t>
  </si>
  <si>
    <t>20250610100015</t>
  </si>
  <si>
    <t>20250610100057</t>
  </si>
  <si>
    <t>20250610100108</t>
  </si>
  <si>
    <t>20250610100120</t>
  </si>
  <si>
    <t>20250610100238</t>
  </si>
  <si>
    <t>20250610100250</t>
  </si>
  <si>
    <t>20250610100303</t>
  </si>
  <si>
    <t>20250610102734</t>
  </si>
  <si>
    <t>20250610102748</t>
  </si>
  <si>
    <t>20250610102801</t>
  </si>
  <si>
    <t>20250610102853</t>
  </si>
  <si>
    <t>20250610102905</t>
  </si>
  <si>
    <t>20250610102917</t>
  </si>
  <si>
    <t>20250610103203</t>
  </si>
  <si>
    <t>20250610103215</t>
  </si>
  <si>
    <t>20250610103227</t>
  </si>
  <si>
    <t>20250610103335</t>
  </si>
  <si>
    <t>20250610103347</t>
  </si>
  <si>
    <t>20250610103358</t>
  </si>
  <si>
    <t>20250610103456</t>
  </si>
  <si>
    <t>20250610103508</t>
  </si>
  <si>
    <t>20250610103519</t>
  </si>
  <si>
    <t>20250610103610</t>
  </si>
  <si>
    <t>20250610103622</t>
  </si>
  <si>
    <t>20250610103634</t>
  </si>
  <si>
    <t>20250610103716</t>
  </si>
  <si>
    <t>20250610103728</t>
  </si>
  <si>
    <t>20250610103739</t>
  </si>
  <si>
    <t>20250610103838</t>
  </si>
  <si>
    <t>20250610103850</t>
  </si>
  <si>
    <t>20250610103902</t>
  </si>
  <si>
    <t>20250610103959</t>
  </si>
  <si>
    <t>20250610104010</t>
  </si>
  <si>
    <t>20250610104022</t>
  </si>
  <si>
    <t>20250610110851</t>
  </si>
  <si>
    <t>20250610110911</t>
  </si>
  <si>
    <t>20250610110922</t>
  </si>
  <si>
    <t>20250610111219</t>
  </si>
  <si>
    <t>20250610111232</t>
  </si>
  <si>
    <t>20250610111244</t>
  </si>
  <si>
    <t>20250610111332</t>
  </si>
  <si>
    <t>20250610111344</t>
  </si>
  <si>
    <t>20250610111356</t>
  </si>
  <si>
    <t>20250610111443</t>
  </si>
  <si>
    <t>20250610111455</t>
  </si>
  <si>
    <t>20250610111508</t>
  </si>
  <si>
    <t>20250610111550</t>
  </si>
  <si>
    <t>20250610111601</t>
  </si>
  <si>
    <t>20250610111612</t>
  </si>
  <si>
    <t>20250610111825</t>
  </si>
  <si>
    <t>20250610111837</t>
  </si>
  <si>
    <t>20250610111848</t>
  </si>
  <si>
    <t>20250610111931</t>
  </si>
  <si>
    <t>20250610111943</t>
  </si>
  <si>
    <t>20250610111954</t>
  </si>
  <si>
    <t>20250610112058</t>
  </si>
  <si>
    <t>20250610112109</t>
  </si>
  <si>
    <t>20250610112120</t>
  </si>
  <si>
    <t>20250610120848</t>
  </si>
  <si>
    <t>20250610120900</t>
  </si>
  <si>
    <t>20250610120912</t>
  </si>
  <si>
    <t>20250610121002</t>
  </si>
  <si>
    <t>20250610121014</t>
  </si>
  <si>
    <t>20250610121026</t>
  </si>
  <si>
    <t>20250610121121</t>
  </si>
  <si>
    <t>20250610121133</t>
  </si>
  <si>
    <t>20250610121145</t>
  </si>
  <si>
    <t>20250610121233</t>
  </si>
  <si>
    <t>20250610121245</t>
  </si>
  <si>
    <t>20250610121257</t>
  </si>
  <si>
    <t>20250610121347</t>
  </si>
  <si>
    <t>20250610121359</t>
  </si>
  <si>
    <t>20250610121412</t>
  </si>
  <si>
    <t>20250610121516</t>
  </si>
  <si>
    <t>20250610121528</t>
  </si>
  <si>
    <t>20250610121540</t>
  </si>
  <si>
    <t>20250610121657</t>
  </si>
  <si>
    <t>20250610121709</t>
  </si>
  <si>
    <t>20250610121721</t>
  </si>
  <si>
    <t>20250610121805</t>
  </si>
  <si>
    <t>20250610121817</t>
  </si>
  <si>
    <t>20250610121829</t>
  </si>
  <si>
    <t>20250610121936</t>
  </si>
  <si>
    <t>20250610121947</t>
  </si>
  <si>
    <t>20250610121958</t>
  </si>
  <si>
    <t>20250610124021</t>
  </si>
  <si>
    <t>20250610124033</t>
  </si>
  <si>
    <t>20250610124045</t>
  </si>
  <si>
    <t>20250610124137</t>
  </si>
  <si>
    <t>20250610124149</t>
  </si>
  <si>
    <t>20250610124203</t>
  </si>
  <si>
    <t>20250610124255</t>
  </si>
  <si>
    <t>20250610124307</t>
  </si>
  <si>
    <t>20250610124320</t>
  </si>
  <si>
    <t>20250610124411</t>
  </si>
  <si>
    <t>20250610124501</t>
  </si>
  <si>
    <t>20250610124513</t>
  </si>
  <si>
    <t>20250610124557</t>
  </si>
  <si>
    <t>20250610124610</t>
  </si>
  <si>
    <t>20250610124622</t>
  </si>
  <si>
    <t>20250610124714</t>
  </si>
  <si>
    <t>20250610124727</t>
  </si>
  <si>
    <t>20250610124739</t>
  </si>
  <si>
    <t>20250610124824</t>
  </si>
  <si>
    <t>20250610124837</t>
  </si>
  <si>
    <t>20250610124849</t>
  </si>
  <si>
    <t>20250610124930</t>
  </si>
  <si>
    <t>20250610124942</t>
  </si>
  <si>
    <t>20250610124954</t>
  </si>
  <si>
    <t>20250610131133</t>
  </si>
  <si>
    <t>20250610131145</t>
  </si>
  <si>
    <t>20250610131157</t>
  </si>
  <si>
    <t>20250610131256</t>
  </si>
  <si>
    <t>20250610131308</t>
  </si>
  <si>
    <t>20250610131320</t>
  </si>
  <si>
    <t>20250610131413</t>
  </si>
  <si>
    <t>20250610131425</t>
  </si>
  <si>
    <t>20250610131437</t>
  </si>
  <si>
    <t>20250610131522</t>
  </si>
  <si>
    <t>20250610131534</t>
  </si>
  <si>
    <t>20250610131546</t>
  </si>
  <si>
    <t>20250610131636</t>
  </si>
  <si>
    <t>20250610131648</t>
  </si>
  <si>
    <t>20250610131700</t>
  </si>
  <si>
    <t>20250610131806</t>
  </si>
  <si>
    <t>20250610131818</t>
  </si>
  <si>
    <t>20250610131830</t>
  </si>
  <si>
    <t>20250610131923</t>
  </si>
  <si>
    <t>20250610131935</t>
  </si>
  <si>
    <t>20250610131947</t>
  </si>
  <si>
    <t>20250610132028</t>
  </si>
  <si>
    <t>20250610132040</t>
  </si>
  <si>
    <t>20250610132052</t>
  </si>
  <si>
    <t>20250610141921</t>
  </si>
  <si>
    <t>20250610141933</t>
  </si>
  <si>
    <t>20250610141945</t>
  </si>
  <si>
    <t>20250610142031</t>
  </si>
  <si>
    <t>20250610142043</t>
  </si>
  <si>
    <t>20250610142055</t>
  </si>
  <si>
    <t>20250610142143</t>
  </si>
  <si>
    <t>20250610142201</t>
  </si>
  <si>
    <t>20250610142213</t>
  </si>
  <si>
    <t>20250610142257</t>
  </si>
  <si>
    <t>20250610142309</t>
  </si>
  <si>
    <t>20250610142321</t>
  </si>
  <si>
    <t>20250610142419</t>
  </si>
  <si>
    <t>20250610142432</t>
  </si>
  <si>
    <t>20250610142444</t>
  </si>
  <si>
    <t>20250610142542</t>
  </si>
  <si>
    <t>20250610142554</t>
  </si>
  <si>
    <t>20250610142606</t>
  </si>
  <si>
    <t>20250610142655</t>
  </si>
  <si>
    <t>20250610142707</t>
  </si>
  <si>
    <t>20250610142720</t>
  </si>
  <si>
    <t>20250610142801</t>
  </si>
  <si>
    <t>20250610142813</t>
  </si>
  <si>
    <t>20250610142825</t>
  </si>
  <si>
    <t>20250610142917</t>
  </si>
  <si>
    <t>20250610142929</t>
  </si>
  <si>
    <t>20250610142941</t>
  </si>
  <si>
    <t>20250610150058</t>
  </si>
  <si>
    <t>20250610150110</t>
  </si>
  <si>
    <t>20250610150127</t>
  </si>
  <si>
    <t>20250610150231</t>
  </si>
  <si>
    <t>20250610150244</t>
  </si>
  <si>
    <t>20250610150256</t>
  </si>
  <si>
    <t>20250610150615</t>
  </si>
  <si>
    <t>20250610150627</t>
  </si>
  <si>
    <t>20250610150639</t>
  </si>
  <si>
    <t>20250610150731</t>
  </si>
  <si>
    <t>20250610150743</t>
  </si>
  <si>
    <t>20250610150755</t>
  </si>
  <si>
    <t>20250610150849</t>
  </si>
  <si>
    <t>20250610150901</t>
  </si>
  <si>
    <t>20250610150914</t>
  </si>
  <si>
    <t>20250610151007</t>
  </si>
  <si>
    <t>20250610151019</t>
  </si>
  <si>
    <t>20250610151031</t>
  </si>
  <si>
    <t>20250610151116</t>
  </si>
  <si>
    <t>20250610151128</t>
  </si>
  <si>
    <t>20250610151140</t>
  </si>
  <si>
    <t>20250610151234</t>
  </si>
  <si>
    <t>20250610151246</t>
  </si>
  <si>
    <t>20250610151258</t>
  </si>
  <si>
    <t>20250610165826</t>
  </si>
  <si>
    <t>20250610165838</t>
  </si>
  <si>
    <t>20250610165850</t>
  </si>
  <si>
    <t>20250610165939</t>
  </si>
  <si>
    <t>20250610165959</t>
  </si>
  <si>
    <t>20250610170016</t>
  </si>
  <si>
    <t>20250610170217</t>
  </si>
  <si>
    <t>20250610170229</t>
  </si>
  <si>
    <t>20250610170241</t>
  </si>
  <si>
    <t>20250610170331</t>
  </si>
  <si>
    <t>20250610170343</t>
  </si>
  <si>
    <t>20250610170355</t>
  </si>
  <si>
    <t>20250610170441</t>
  </si>
  <si>
    <t>20250610170453</t>
  </si>
  <si>
    <t>20250610170505</t>
  </si>
  <si>
    <t>20250610170559</t>
  </si>
  <si>
    <t>20250610170611</t>
  </si>
  <si>
    <t>20250610170625</t>
  </si>
  <si>
    <t>20250610170711</t>
  </si>
  <si>
    <t>20250610170723</t>
  </si>
  <si>
    <t>20250610170735</t>
  </si>
  <si>
    <t>20250610170814</t>
  </si>
  <si>
    <t>20250610170826</t>
  </si>
  <si>
    <t>20250610170838</t>
  </si>
  <si>
    <t>20250610170933</t>
  </si>
  <si>
    <t>20250610170949</t>
  </si>
  <si>
    <t>20250610171029</t>
  </si>
  <si>
    <t>20250610184011</t>
  </si>
  <si>
    <t>20250610184023</t>
  </si>
  <si>
    <t>20250610184035</t>
  </si>
  <si>
    <t>20250610184121</t>
  </si>
  <si>
    <t>20250610184133</t>
  </si>
  <si>
    <t>20250610184146</t>
  </si>
  <si>
    <t>20250610184703</t>
  </si>
  <si>
    <t>20250610184715</t>
  </si>
  <si>
    <t>20250610184727</t>
  </si>
  <si>
    <t>20250610184812</t>
  </si>
  <si>
    <t>20250610184824</t>
  </si>
  <si>
    <t>20250610184836</t>
  </si>
  <si>
    <t>20250610184922</t>
  </si>
  <si>
    <t>20250610184934</t>
  </si>
  <si>
    <t>20250610184946</t>
  </si>
  <si>
    <t>20250610185048</t>
  </si>
  <si>
    <t>20250610185100</t>
  </si>
  <si>
    <t>20250610185112</t>
  </si>
  <si>
    <t>20250610185206</t>
  </si>
  <si>
    <t>20250610185218</t>
  </si>
  <si>
    <t>20250610185230</t>
  </si>
  <si>
    <t>20250610185350</t>
  </si>
  <si>
    <t>20250610185402</t>
  </si>
  <si>
    <t>20250610185414</t>
  </si>
  <si>
    <t>20250611094350</t>
  </si>
  <si>
    <t>20250611094402</t>
  </si>
  <si>
    <t>20250611094414</t>
  </si>
  <si>
    <t>20250611094509</t>
  </si>
  <si>
    <t>20250611094521</t>
  </si>
  <si>
    <t>20250611094533</t>
  </si>
  <si>
    <t>20250611094620</t>
  </si>
  <si>
    <t>20250611094636</t>
  </si>
  <si>
    <t>20250611094648</t>
  </si>
  <si>
    <t>20250611094934</t>
  </si>
  <si>
    <t>20250611094946</t>
  </si>
  <si>
    <t>20250611094958</t>
  </si>
  <si>
    <t>20250611095058</t>
  </si>
  <si>
    <t>20250611095110</t>
  </si>
  <si>
    <t>20250611095122</t>
  </si>
  <si>
    <t>20250611095208</t>
  </si>
  <si>
    <t>20250611095220</t>
  </si>
  <si>
    <t>20250611095232</t>
  </si>
  <si>
    <t>20250611095311</t>
  </si>
  <si>
    <t>20250611095323</t>
  </si>
  <si>
    <t>20250611095335</t>
  </si>
  <si>
    <t>20250611103911</t>
  </si>
  <si>
    <t>20250611103925</t>
  </si>
  <si>
    <t>20250611103937</t>
  </si>
  <si>
    <t>20250611104055</t>
  </si>
  <si>
    <t>20250611104107</t>
  </si>
  <si>
    <t>20250611104122</t>
  </si>
  <si>
    <t>20250611104208</t>
  </si>
  <si>
    <t>20250611104220</t>
  </si>
  <si>
    <t>20250611104233</t>
  </si>
  <si>
    <t>20250611104315</t>
  </si>
  <si>
    <t>20250611104327</t>
  </si>
  <si>
    <t>20250611104340</t>
  </si>
  <si>
    <t>20250611104433</t>
  </si>
  <si>
    <t>20250611104446</t>
  </si>
  <si>
    <t>20250611104459</t>
  </si>
  <si>
    <t>20250611104801</t>
  </si>
  <si>
    <t>20250611104813</t>
  </si>
  <si>
    <t>20250611104825</t>
  </si>
  <si>
    <t>20250611104907</t>
  </si>
  <si>
    <t>20250611104919</t>
  </si>
  <si>
    <t>20250611104931</t>
  </si>
  <si>
    <t>20250611105010</t>
  </si>
  <si>
    <t>20250611105022</t>
  </si>
  <si>
    <t>20250611105034</t>
  </si>
  <si>
    <t>20250611105136</t>
  </si>
  <si>
    <t>20250611105148</t>
  </si>
  <si>
    <t>20250611105200</t>
  </si>
  <si>
    <t>20250611113025</t>
  </si>
  <si>
    <t>20250611113038</t>
  </si>
  <si>
    <t>20250611113054</t>
  </si>
  <si>
    <t>20250611113142</t>
  </si>
  <si>
    <t>20250611113154</t>
  </si>
  <si>
    <t>20250611113206</t>
  </si>
  <si>
    <t>20250611113249</t>
  </si>
  <si>
    <t>20250611113304</t>
  </si>
  <si>
    <t>20250611113316</t>
  </si>
  <si>
    <t>20250611113404</t>
  </si>
  <si>
    <t>20250611113420</t>
  </si>
  <si>
    <t>20250611113432</t>
  </si>
  <si>
    <t>20250611113516</t>
  </si>
  <si>
    <t>20250611113529</t>
  </si>
  <si>
    <t>20250611113541</t>
  </si>
  <si>
    <t>20250611113642</t>
  </si>
  <si>
    <t>20250611113654</t>
  </si>
  <si>
    <t>20250611113706</t>
  </si>
  <si>
    <t>20250611113747</t>
  </si>
  <si>
    <t>20250611113759</t>
  </si>
  <si>
    <t>20250611113812</t>
  </si>
  <si>
    <t>20250611113854</t>
  </si>
  <si>
    <t>20250611113906</t>
  </si>
  <si>
    <t>20250611113918</t>
  </si>
  <si>
    <t>20250611120623</t>
  </si>
  <si>
    <t>20250611120637</t>
  </si>
  <si>
    <t>20250611120650</t>
  </si>
  <si>
    <t>20250611120744</t>
  </si>
  <si>
    <t>20250611120758</t>
  </si>
  <si>
    <t>20250611120811</t>
  </si>
  <si>
    <t>20250611120903</t>
  </si>
  <si>
    <t>20250611120916</t>
  </si>
  <si>
    <t>20250611120934</t>
  </si>
  <si>
    <t>20250611121016</t>
  </si>
  <si>
    <t>20250611121028</t>
  </si>
  <si>
    <t>20250611121040</t>
  </si>
  <si>
    <t>20250611121124</t>
  </si>
  <si>
    <t>20250611121136</t>
  </si>
  <si>
    <t>20250611121149</t>
  </si>
  <si>
    <t>20250611121403</t>
  </si>
  <si>
    <t>20250611121422</t>
  </si>
  <si>
    <t>20250611121434</t>
  </si>
  <si>
    <t>20250611121514</t>
  </si>
  <si>
    <t>20250611121526</t>
  </si>
  <si>
    <t>20250611121538</t>
  </si>
  <si>
    <t>20250611121636</t>
  </si>
  <si>
    <t>20250611121648</t>
  </si>
  <si>
    <t>20250611121700</t>
  </si>
  <si>
    <t>20250611121804</t>
  </si>
  <si>
    <t>20250611121816</t>
  </si>
  <si>
    <t>20250611121828</t>
  </si>
  <si>
    <t>20250611125508</t>
  </si>
  <si>
    <t>20250611125521</t>
  </si>
  <si>
    <t>20250611125535</t>
  </si>
  <si>
    <t>20250611125629</t>
  </si>
  <si>
    <t>20250611125641</t>
  </si>
  <si>
    <t>20250611125654</t>
  </si>
  <si>
    <t>20250611125740</t>
  </si>
  <si>
    <t>20250611125801</t>
  </si>
  <si>
    <t>20250611125814</t>
  </si>
  <si>
    <t>20250611125900</t>
  </si>
  <si>
    <t>20250611125912</t>
  </si>
  <si>
    <t>20250611125925</t>
  </si>
  <si>
    <t>20250611130008</t>
  </si>
  <si>
    <t>20250611130020</t>
  </si>
  <si>
    <t>20250611130032</t>
  </si>
  <si>
    <t>20250611130134</t>
  </si>
  <si>
    <t>20250611130147</t>
  </si>
  <si>
    <t>20250611130200</t>
  </si>
  <si>
    <t>20250611130247</t>
  </si>
  <si>
    <t>20250611130259</t>
  </si>
  <si>
    <t>20250611130312</t>
  </si>
  <si>
    <t>20250611130450</t>
  </si>
  <si>
    <t>20250611130502</t>
  </si>
  <si>
    <t>20250611130514</t>
  </si>
  <si>
    <t>20250611130611</t>
  </si>
  <si>
    <t>20250611130623</t>
  </si>
  <si>
    <t>20250611130635</t>
  </si>
  <si>
    <t>20250611133537</t>
  </si>
  <si>
    <t>20250611143824</t>
  </si>
  <si>
    <t>20250611143837</t>
  </si>
  <si>
    <t>20250611143850</t>
  </si>
  <si>
    <t>20250611144014</t>
  </si>
  <si>
    <t>20250611144033</t>
  </si>
  <si>
    <t>20250611144045</t>
  </si>
  <si>
    <t>20250611144435</t>
  </si>
  <si>
    <t>20250611144450</t>
  </si>
  <si>
    <t>20250611144502</t>
  </si>
  <si>
    <t>20250611144549</t>
  </si>
  <si>
    <t>20250611144601</t>
  </si>
  <si>
    <t>20250611144613</t>
  </si>
  <si>
    <t>20250611144918</t>
  </si>
  <si>
    <t>20250611144931</t>
  </si>
  <si>
    <t>20250611144944</t>
  </si>
  <si>
    <t>20250611145026</t>
  </si>
  <si>
    <t>20250611145038</t>
  </si>
  <si>
    <t>20250611145050</t>
  </si>
  <si>
    <t>20250611154437</t>
  </si>
  <si>
    <t>20250611154449</t>
  </si>
  <si>
    <t>20250611154501</t>
  </si>
  <si>
    <t>20250611154558</t>
  </si>
  <si>
    <t>20250611154611</t>
  </si>
  <si>
    <t>20250611154623</t>
  </si>
  <si>
    <t>20250611154711</t>
  </si>
  <si>
    <t>20250611154723</t>
  </si>
  <si>
    <t>20250611154740</t>
  </si>
  <si>
    <t>20250611154824</t>
  </si>
  <si>
    <t>20250611154836</t>
  </si>
  <si>
    <t>20250611154848</t>
  </si>
  <si>
    <t>20250611154930</t>
  </si>
  <si>
    <t>20250611154942</t>
  </si>
  <si>
    <t>20250611154954</t>
  </si>
  <si>
    <t>20250611155042</t>
  </si>
  <si>
    <t>20250611155055</t>
  </si>
  <si>
    <t>20250611155107</t>
  </si>
  <si>
    <t>20250611155153</t>
  </si>
  <si>
    <t>20250611155205</t>
  </si>
  <si>
    <t>20250611155218</t>
  </si>
  <si>
    <t>20250611155258</t>
  </si>
  <si>
    <t>20250611155313</t>
  </si>
  <si>
    <t>20250611155325</t>
  </si>
  <si>
    <t>20250611155419</t>
  </si>
  <si>
    <t>20250611155431</t>
  </si>
  <si>
    <t>20250611155443</t>
  </si>
  <si>
    <t>20250611161112</t>
  </si>
  <si>
    <t>20250611161124</t>
  </si>
  <si>
    <t>20250611161136</t>
  </si>
  <si>
    <t>20250611161323</t>
  </si>
  <si>
    <t>20250611161335</t>
  </si>
  <si>
    <t>20250611161347</t>
  </si>
  <si>
    <t>20250611161626</t>
  </si>
  <si>
    <t>20250611161638</t>
  </si>
  <si>
    <t>20250611161650</t>
  </si>
  <si>
    <t>20250611161731</t>
  </si>
  <si>
    <t>20250611161743</t>
  </si>
  <si>
    <t>20250611161755</t>
  </si>
  <si>
    <t>20250611161849</t>
  </si>
  <si>
    <t>20250611161901</t>
  </si>
  <si>
    <t>20250611161915</t>
  </si>
  <si>
    <t>20250611161956</t>
  </si>
  <si>
    <t>20250611162008</t>
  </si>
  <si>
    <t>20250611162020</t>
  </si>
  <si>
    <t>20250611162111</t>
  </si>
  <si>
    <t>20250611162123</t>
  </si>
  <si>
    <t>20250611162135</t>
  </si>
  <si>
    <t>20250611162231</t>
  </si>
  <si>
    <t>20250611162805</t>
  </si>
  <si>
    <t>20250611162817</t>
  </si>
  <si>
    <t>20250611162829</t>
  </si>
  <si>
    <t>20250611165326</t>
  </si>
  <si>
    <t>20250611165338</t>
  </si>
  <si>
    <t>20250611165350</t>
  </si>
  <si>
    <t>20250611165502</t>
  </si>
  <si>
    <t>20250611165514</t>
  </si>
  <si>
    <t>20250611165527</t>
  </si>
  <si>
    <t>20250611165627</t>
  </si>
  <si>
    <t>20250611165639</t>
  </si>
  <si>
    <t>20250611165651</t>
  </si>
  <si>
    <t>20250611170100</t>
  </si>
  <si>
    <t>20250611170134</t>
  </si>
  <si>
    <t>20250611170205</t>
  </si>
  <si>
    <t>20250611170254</t>
  </si>
  <si>
    <t>20250611170306</t>
  </si>
  <si>
    <t>20250611170318</t>
  </si>
  <si>
    <t>20250611170826</t>
  </si>
  <si>
    <t>20250611170838</t>
  </si>
  <si>
    <t>20250611170850</t>
  </si>
  <si>
    <t>20250611171141</t>
  </si>
  <si>
    <t>20250611171155</t>
  </si>
  <si>
    <t>20250611171219</t>
  </si>
  <si>
    <t>20250611174654</t>
  </si>
  <si>
    <t>20250611174706</t>
  </si>
  <si>
    <t>20250611174718</t>
  </si>
  <si>
    <t>20250611174810</t>
  </si>
  <si>
    <t>20250611174822</t>
  </si>
  <si>
    <t>20250611174834</t>
  </si>
  <si>
    <t>20250611174920</t>
  </si>
  <si>
    <t>20250611174933</t>
  </si>
  <si>
    <t>20250611174946</t>
  </si>
  <si>
    <t>20250611175032</t>
  </si>
  <si>
    <t>20250611175045</t>
  </si>
  <si>
    <t>20250611175057</t>
  </si>
  <si>
    <t>20250611175137</t>
  </si>
  <si>
    <t>20250611175149</t>
  </si>
  <si>
    <t>20250611175201</t>
  </si>
  <si>
    <t>20250611175252</t>
  </si>
  <si>
    <t>20250611175304</t>
  </si>
  <si>
    <t>20250611175316</t>
  </si>
  <si>
    <t>20250611175356</t>
  </si>
  <si>
    <t>20250611175408</t>
  </si>
  <si>
    <t>20250611175420</t>
  </si>
  <si>
    <t>20250611175459</t>
  </si>
  <si>
    <t>20250611175511</t>
  </si>
  <si>
    <t>20250611175524</t>
  </si>
  <si>
    <t>20250611175616</t>
  </si>
  <si>
    <t>20250611175628</t>
  </si>
  <si>
    <t>20250611175640</t>
  </si>
  <si>
    <t>20250617104919</t>
  </si>
  <si>
    <t>20250617104934</t>
  </si>
  <si>
    <t>20250617104946</t>
  </si>
  <si>
    <t>20250617105028</t>
  </si>
  <si>
    <t>20250617105050</t>
  </si>
  <si>
    <t>20250617105101</t>
  </si>
  <si>
    <t>20250617105138</t>
  </si>
  <si>
    <t>20250617105149</t>
  </si>
  <si>
    <t>20250617105200</t>
  </si>
  <si>
    <t>20250617105243</t>
  </si>
  <si>
    <t>20250617105254</t>
  </si>
  <si>
    <t>20250617105305</t>
  </si>
  <si>
    <t>20250617105343</t>
  </si>
  <si>
    <t>20250617105354</t>
  </si>
  <si>
    <t>20250617105405</t>
  </si>
  <si>
    <t>20250617105454</t>
  </si>
  <si>
    <t>20250617105505</t>
  </si>
  <si>
    <t>20250617105516</t>
  </si>
  <si>
    <t>20250617105554</t>
  </si>
  <si>
    <t>20250617105605</t>
  </si>
  <si>
    <t>20250617105618</t>
  </si>
  <si>
    <t>20250617105659</t>
  </si>
  <si>
    <t>20250617105710</t>
  </si>
  <si>
    <t>20250617105722</t>
  </si>
  <si>
    <t>20250617105814</t>
  </si>
  <si>
    <t>20250617105825</t>
  </si>
  <si>
    <t>20250617105836</t>
  </si>
  <si>
    <t>20250617105929</t>
  </si>
  <si>
    <t>20250617105940</t>
  </si>
  <si>
    <t>20250617105951</t>
  </si>
  <si>
    <t>20250617114720</t>
  </si>
  <si>
    <t>20250617114731</t>
  </si>
  <si>
    <t>20250617114742</t>
  </si>
  <si>
    <t>20250617114843</t>
  </si>
  <si>
    <t>20250617114854</t>
  </si>
  <si>
    <t>20250617114905</t>
  </si>
  <si>
    <t>20250617114943</t>
  </si>
  <si>
    <t>20250617114954</t>
  </si>
  <si>
    <t>20250617115005</t>
  </si>
  <si>
    <t>20250617115043</t>
  </si>
  <si>
    <t>20250617115056</t>
  </si>
  <si>
    <t>20250617115110</t>
  </si>
  <si>
    <t>20250617115148</t>
  </si>
  <si>
    <t>20250617115159</t>
  </si>
  <si>
    <t>20250617115210</t>
  </si>
  <si>
    <t>20250617115253</t>
  </si>
  <si>
    <t>20250617115305</t>
  </si>
  <si>
    <t>20250617115317</t>
  </si>
  <si>
    <t>20250617115358</t>
  </si>
  <si>
    <t>20250617115410</t>
  </si>
  <si>
    <t>20250617115421</t>
  </si>
  <si>
    <t>20250617115458</t>
  </si>
  <si>
    <t>20250617115509</t>
  </si>
  <si>
    <t>20250617115520</t>
  </si>
  <si>
    <t>20250617115608</t>
  </si>
  <si>
    <t>20250617115619</t>
  </si>
  <si>
    <t>20250617115630</t>
  </si>
  <si>
    <t>20250617115713</t>
  </si>
  <si>
    <t>20250617115724</t>
  </si>
  <si>
    <t>20250617115735</t>
  </si>
  <si>
    <t>20250617130034</t>
  </si>
  <si>
    <t>20250617130049</t>
  </si>
  <si>
    <t>20250617130101</t>
  </si>
  <si>
    <t>20250617130139</t>
  </si>
  <si>
    <t>20250617130311</t>
  </si>
  <si>
    <t>20250617130325</t>
  </si>
  <si>
    <t>20250617130549</t>
  </si>
  <si>
    <t>20250617130611</t>
  </si>
  <si>
    <t>20250617130624</t>
  </si>
  <si>
    <t>20250617130705</t>
  </si>
  <si>
    <t>20250617130716</t>
  </si>
  <si>
    <t>20250617130728</t>
  </si>
  <si>
    <t>20250617130815</t>
  </si>
  <si>
    <t>20250617130828</t>
  </si>
  <si>
    <t>20250617130839</t>
  </si>
  <si>
    <t>20250617130925</t>
  </si>
  <si>
    <t>20250617130936</t>
  </si>
  <si>
    <t>20250617130948</t>
  </si>
  <si>
    <t>20250617131030</t>
  </si>
  <si>
    <t>20250617131041</t>
  </si>
  <si>
    <t>20250617131052</t>
  </si>
  <si>
    <t>20250617131130</t>
  </si>
  <si>
    <t>20250617131142</t>
  </si>
  <si>
    <t>20250617131154</t>
  </si>
  <si>
    <t>20250617131250</t>
  </si>
  <si>
    <t>20250617131304</t>
  </si>
  <si>
    <t>20250617131316</t>
  </si>
  <si>
    <t>20250617131400</t>
  </si>
  <si>
    <t>20250617131411</t>
  </si>
  <si>
    <t>20250617131423</t>
  </si>
  <si>
    <t>20250617142229</t>
  </si>
  <si>
    <t>20250617142240</t>
  </si>
  <si>
    <t>20250617142253</t>
  </si>
  <si>
    <t>20250617142341</t>
  </si>
  <si>
    <t>20250617142358</t>
  </si>
  <si>
    <t>20250617142410</t>
  </si>
  <si>
    <t>20250617142451</t>
  </si>
  <si>
    <t>20250617142503</t>
  </si>
  <si>
    <t>20250617142515</t>
  </si>
  <si>
    <t>20250617142556</t>
  </si>
  <si>
    <t>20250617142638</t>
  </si>
  <si>
    <t>20250617142650</t>
  </si>
  <si>
    <t>20250617142731</t>
  </si>
  <si>
    <t>20250617142743</t>
  </si>
  <si>
    <t>20250617142754</t>
  </si>
  <si>
    <t>20250617142846</t>
  </si>
  <si>
    <t>20250617142859</t>
  </si>
  <si>
    <t>20250617142910</t>
  </si>
  <si>
    <t>20250617142951</t>
  </si>
  <si>
    <t>20250617143003</t>
  </si>
  <si>
    <t>20250617143014</t>
  </si>
  <si>
    <t>20250617143056</t>
  </si>
  <si>
    <t>20250617143107</t>
  </si>
  <si>
    <t>20250617143118</t>
  </si>
  <si>
    <t>20250617143206</t>
  </si>
  <si>
    <t>20250617143218</t>
  </si>
  <si>
    <t>20250617143232</t>
  </si>
  <si>
    <t>20250617143316</t>
  </si>
  <si>
    <t>20250617143327</t>
  </si>
  <si>
    <t>20250617143338</t>
  </si>
  <si>
    <t>20250617143426</t>
  </si>
  <si>
    <t>20250617143438</t>
  </si>
  <si>
    <t>20250617143451</t>
  </si>
  <si>
    <t>20250617150323</t>
  </si>
  <si>
    <t>20250617150353</t>
  </si>
  <si>
    <t>20250617150409</t>
  </si>
  <si>
    <t>20250617150422</t>
  </si>
  <si>
    <t>20250617150523</t>
  </si>
  <si>
    <t>20250617150538</t>
  </si>
  <si>
    <t>20250617150550</t>
  </si>
  <si>
    <t>20250617150648</t>
  </si>
  <si>
    <t>20250617150702</t>
  </si>
  <si>
    <t>20250617150717</t>
  </si>
  <si>
    <t>20250617150802</t>
  </si>
  <si>
    <t>20250617150815</t>
  </si>
  <si>
    <t>20250617150826</t>
  </si>
  <si>
    <t>20250617150838</t>
  </si>
  <si>
    <t>20250617150918</t>
  </si>
  <si>
    <t>20250617150930</t>
  </si>
  <si>
    <t>20250617150943</t>
  </si>
  <si>
    <t>20250617151028</t>
  </si>
  <si>
    <t>20250617151039</t>
  </si>
  <si>
    <t>20250617151051</t>
  </si>
  <si>
    <t>20250617151128</t>
  </si>
  <si>
    <t>20250617151142</t>
  </si>
  <si>
    <t>20250617151153</t>
  </si>
  <si>
    <t>20250617151233</t>
  </si>
  <si>
    <t>20250617151244</t>
  </si>
  <si>
    <t>20250617151255</t>
  </si>
  <si>
    <t>20250617151343</t>
  </si>
  <si>
    <t>20250617151355</t>
  </si>
  <si>
    <t>20250617151408</t>
  </si>
  <si>
    <t>20250617151446</t>
  </si>
  <si>
    <t>20250617151458</t>
  </si>
  <si>
    <t>20250617151510</t>
  </si>
  <si>
    <t>20250617151559</t>
  </si>
  <si>
    <t>20250617151612</t>
  </si>
  <si>
    <t>20250617151623</t>
  </si>
  <si>
    <t>20250617155628</t>
  </si>
  <si>
    <t>20250617155644</t>
  </si>
  <si>
    <t>20250617155700</t>
  </si>
  <si>
    <t>20250617155740</t>
  </si>
  <si>
    <t>20250617155754</t>
  </si>
  <si>
    <t>20250617155807</t>
  </si>
  <si>
    <t>20250617155845</t>
  </si>
  <si>
    <t>20250617155901</t>
  </si>
  <si>
    <t>20250617155913</t>
  </si>
  <si>
    <t>20250617155950</t>
  </si>
  <si>
    <t>20250617160035</t>
  </si>
  <si>
    <t>20250617160048</t>
  </si>
  <si>
    <t>20250617160130</t>
  </si>
  <si>
    <t>20250617160143</t>
  </si>
  <si>
    <t>20250617160155</t>
  </si>
  <si>
    <t>20250617160245</t>
  </si>
  <si>
    <t>20250617160257</t>
  </si>
  <si>
    <t>20250617160312</t>
  </si>
  <si>
    <t>20250617160350</t>
  </si>
  <si>
    <t>20250617160403</t>
  </si>
  <si>
    <t>20250617160416</t>
  </si>
  <si>
    <t>20250617160455</t>
  </si>
  <si>
    <t>20250617160507</t>
  </si>
  <si>
    <t>20250617160519</t>
  </si>
  <si>
    <t>20250617160645</t>
  </si>
  <si>
    <t>20250617160656</t>
  </si>
  <si>
    <t>20250617160707</t>
  </si>
  <si>
    <t>20250617160755</t>
  </si>
  <si>
    <t>20250617160807</t>
  </si>
  <si>
    <t>20250617160818</t>
  </si>
  <si>
    <t>20250617171608</t>
  </si>
  <si>
    <t>20250617171620</t>
  </si>
  <si>
    <t>20250617171632</t>
  </si>
  <si>
    <t>20250617171718</t>
  </si>
  <si>
    <t>20250617171743</t>
  </si>
  <si>
    <t>20250617171754</t>
  </si>
  <si>
    <t>20250617171833</t>
  </si>
  <si>
    <t>20250617171848</t>
  </si>
  <si>
    <t>20250617171900</t>
  </si>
  <si>
    <t>20250617171938</t>
  </si>
  <si>
    <t>20250617171949</t>
  </si>
  <si>
    <t>20250617172000</t>
  </si>
  <si>
    <t>20250617172038</t>
  </si>
  <si>
    <t>20250617172050</t>
  </si>
  <si>
    <t>20250617172102</t>
  </si>
  <si>
    <t>20250617172155</t>
  </si>
  <si>
    <t>20250617172220</t>
  </si>
  <si>
    <t>20250617172231</t>
  </si>
  <si>
    <t>20250617172309</t>
  </si>
  <si>
    <t>20250617172320</t>
  </si>
  <si>
    <t>20250617172331</t>
  </si>
  <si>
    <t>20250617172409</t>
  </si>
  <si>
    <t>20250617172420</t>
  </si>
  <si>
    <t>20250617172432</t>
  </si>
  <si>
    <t>20250617172519</t>
  </si>
  <si>
    <t>20250617172530</t>
  </si>
  <si>
    <t>20250617172545</t>
  </si>
  <si>
    <t>20250617172629</t>
  </si>
  <si>
    <t>20250617172640</t>
  </si>
  <si>
    <t>20250617172651</t>
  </si>
  <si>
    <t>20250617175755</t>
  </si>
  <si>
    <t>20250617175808</t>
  </si>
  <si>
    <t>20250617175822</t>
  </si>
  <si>
    <t>20250617180022</t>
  </si>
  <si>
    <t>20250617180034</t>
  </si>
  <si>
    <t>20250617180045</t>
  </si>
  <si>
    <t>20250617180122</t>
  </si>
  <si>
    <t>20250617180133</t>
  </si>
  <si>
    <t>20250617180144</t>
  </si>
  <si>
    <t>20250617180222</t>
  </si>
  <si>
    <t>20250617180233</t>
  </si>
  <si>
    <t>20250617180244</t>
  </si>
  <si>
    <t>20250617180322</t>
  </si>
  <si>
    <t>20250617180333</t>
  </si>
  <si>
    <t>20250617180344</t>
  </si>
  <si>
    <t>20250617180427</t>
  </si>
  <si>
    <t>20250617180438</t>
  </si>
  <si>
    <t>20250617180449</t>
  </si>
  <si>
    <t>20250617180527</t>
  </si>
  <si>
    <t>20250617180538</t>
  </si>
  <si>
    <t>20250617180549</t>
  </si>
  <si>
    <t>20250617180627</t>
  </si>
  <si>
    <t>20250617180638</t>
  </si>
  <si>
    <t>20250617180649</t>
  </si>
  <si>
    <t>20250617180732</t>
  </si>
  <si>
    <t>20250617180743</t>
  </si>
  <si>
    <t>20250617180754</t>
  </si>
  <si>
    <t>20250617180837</t>
  </si>
  <si>
    <t>20250617180850</t>
  </si>
  <si>
    <t>20250617180901</t>
  </si>
  <si>
    <t>20250619090256</t>
  </si>
  <si>
    <t>20250619090309</t>
  </si>
  <si>
    <t>20250619090321</t>
  </si>
  <si>
    <t>20250619090400</t>
  </si>
  <si>
    <t>20250619090412</t>
  </si>
  <si>
    <t>20250619090426</t>
  </si>
  <si>
    <t>20250619090510</t>
  </si>
  <si>
    <t>20250619090522</t>
  </si>
  <si>
    <t>20250619090533</t>
  </si>
  <si>
    <t>20250619090615</t>
  </si>
  <si>
    <t>20250619090626</t>
  </si>
  <si>
    <t>20250619090637</t>
  </si>
  <si>
    <t>20250619090715</t>
  </si>
  <si>
    <t>20250619090726</t>
  </si>
  <si>
    <t>20250619090738</t>
  </si>
  <si>
    <t>20250619090825</t>
  </si>
  <si>
    <t>20250619090837</t>
  </si>
  <si>
    <t>20250619090849</t>
  </si>
  <si>
    <t>20250619090930</t>
  </si>
  <si>
    <t>20250619090941</t>
  </si>
  <si>
    <t>20250619090952</t>
  </si>
  <si>
    <t>20250619091035</t>
  </si>
  <si>
    <t>20250619091046</t>
  </si>
  <si>
    <t>20250619091057</t>
  </si>
  <si>
    <t>20250619091145</t>
  </si>
  <si>
    <t>20250619091159</t>
  </si>
  <si>
    <t>20250619091211</t>
  </si>
  <si>
    <t>20250619091255</t>
  </si>
  <si>
    <t>20250619091306</t>
  </si>
  <si>
    <t>20250619091318</t>
  </si>
  <si>
    <t>20250619091410</t>
  </si>
  <si>
    <t>20250619091421</t>
  </si>
  <si>
    <t>20250619091432</t>
  </si>
  <si>
    <t>20250619101930</t>
  </si>
  <si>
    <t>20250619101944</t>
  </si>
  <si>
    <t>20250619101956</t>
  </si>
  <si>
    <t>20250619102042</t>
  </si>
  <si>
    <t>20250619102056</t>
  </si>
  <si>
    <t>20250619102109</t>
  </si>
  <si>
    <t>20250619102147</t>
  </si>
  <si>
    <t>20250619102159</t>
  </si>
  <si>
    <t>20250619102210</t>
  </si>
  <si>
    <t>20250619102252</t>
  </si>
  <si>
    <t>20250619102303</t>
  </si>
  <si>
    <t>20250619102314</t>
  </si>
  <si>
    <t>20250619102417</t>
  </si>
  <si>
    <t>20250619102429</t>
  </si>
  <si>
    <t>20250619102441</t>
  </si>
  <si>
    <t>20250619102833</t>
  </si>
  <si>
    <t>20250619102958</t>
  </si>
  <si>
    <t>20250619103009</t>
  </si>
  <si>
    <t>20250619103021</t>
  </si>
  <si>
    <t>20250619103058</t>
  </si>
  <si>
    <t>20250619103109</t>
  </si>
  <si>
    <t>20250619103120</t>
  </si>
  <si>
    <t>20250619103159</t>
  </si>
  <si>
    <t>20250619103210</t>
  </si>
  <si>
    <t>20250619103222</t>
  </si>
  <si>
    <t>20250619103308</t>
  </si>
  <si>
    <t>20250619103319</t>
  </si>
  <si>
    <t>20250619103330</t>
  </si>
  <si>
    <t>20250619103413</t>
  </si>
  <si>
    <t>20250619103424</t>
  </si>
  <si>
    <t>20250619103435</t>
  </si>
  <si>
    <t>20250619111548</t>
  </si>
  <si>
    <t>20250619111600</t>
  </si>
  <si>
    <t>20250619111611</t>
  </si>
  <si>
    <t>20250619111653</t>
  </si>
  <si>
    <t>20250619111708</t>
  </si>
  <si>
    <t>20250619111719</t>
  </si>
  <si>
    <t>20250619111758</t>
  </si>
  <si>
    <t>20250619111810</t>
  </si>
  <si>
    <t>20250619111823</t>
  </si>
  <si>
    <t>20250619111903</t>
  </si>
  <si>
    <t>20250619111914</t>
  </si>
  <si>
    <t>20250619111925</t>
  </si>
  <si>
    <t>20250619112449</t>
  </si>
  <si>
    <t>20250619112500</t>
  </si>
  <si>
    <t>20250619112511</t>
  </si>
  <si>
    <t>20250619112554</t>
  </si>
  <si>
    <t>20250619112607</t>
  </si>
  <si>
    <t>20250619112619</t>
  </si>
  <si>
    <t>20250619112659</t>
  </si>
  <si>
    <t>20250619112710</t>
  </si>
  <si>
    <t>20250619112721</t>
  </si>
  <si>
    <t>20250619112759</t>
  </si>
  <si>
    <t>20250619112810</t>
  </si>
  <si>
    <t>20250619112821</t>
  </si>
  <si>
    <t>20250619112904</t>
  </si>
  <si>
    <t>20250619112916</t>
  </si>
  <si>
    <t>20250619113014</t>
  </si>
  <si>
    <t>20250619113025</t>
  </si>
  <si>
    <t>20250619113036</t>
  </si>
  <si>
    <t>20250619121132</t>
  </si>
  <si>
    <t>20250619121147</t>
  </si>
  <si>
    <t>20250619121159</t>
  </si>
  <si>
    <t>20250619121237</t>
  </si>
  <si>
    <t>20250619121250</t>
  </si>
  <si>
    <t>20250619121301</t>
  </si>
  <si>
    <t>20250619121342</t>
  </si>
  <si>
    <t>20250619121353</t>
  </si>
  <si>
    <t>20250619121405</t>
  </si>
  <si>
    <t>20250619121447</t>
  </si>
  <si>
    <t>20250619121459</t>
  </si>
  <si>
    <t>20250619121511</t>
  </si>
  <si>
    <t>20250619121552</t>
  </si>
  <si>
    <t>20250619121609</t>
  </si>
  <si>
    <t>20250619121620</t>
  </si>
  <si>
    <t>20250619121702</t>
  </si>
  <si>
    <t>20250619121714</t>
  </si>
  <si>
    <t>20250619121726</t>
  </si>
  <si>
    <t>20250619121831</t>
  </si>
  <si>
    <t>20250619121912</t>
  </si>
  <si>
    <t>20250619121923</t>
  </si>
  <si>
    <t>20250619121934</t>
  </si>
  <si>
    <t>20250619122017</t>
  </si>
  <si>
    <t>20250619122028</t>
  </si>
  <si>
    <t>20250619122040</t>
  </si>
  <si>
    <t>20250619122122</t>
  </si>
  <si>
    <t>20250619122134</t>
  </si>
  <si>
    <t>20250619122145</t>
  </si>
  <si>
    <t>20250619124547</t>
  </si>
  <si>
    <t>20250619124558</t>
  </si>
  <si>
    <t>20250619124614</t>
  </si>
  <si>
    <t>20250619124652</t>
  </si>
  <si>
    <t>20250619124704</t>
  </si>
  <si>
    <t>20250619124715</t>
  </si>
  <si>
    <t>20250619124752</t>
  </si>
  <si>
    <t>20250619124803</t>
  </si>
  <si>
    <t>20250619124814</t>
  </si>
  <si>
    <t>20250619124852</t>
  </si>
  <si>
    <t>20250619124903</t>
  </si>
  <si>
    <t>20250619124916</t>
  </si>
  <si>
    <t>20250619124957</t>
  </si>
  <si>
    <t>20250619125009</t>
  </si>
  <si>
    <t>20250619125023</t>
  </si>
  <si>
    <t>20250619125107</t>
  </si>
  <si>
    <t>20250619125119</t>
  </si>
  <si>
    <t>20250619125130</t>
  </si>
  <si>
    <t>20250619125207</t>
  </si>
  <si>
    <t>20250619125219</t>
  </si>
  <si>
    <t>20250619125231</t>
  </si>
  <si>
    <t>20250619125312</t>
  </si>
  <si>
    <t>20250619125324</t>
  </si>
  <si>
    <t>20250619125336</t>
  </si>
  <si>
    <t>20250619125422</t>
  </si>
  <si>
    <t>20250619125434</t>
  </si>
  <si>
    <t>20250619125447</t>
  </si>
  <si>
    <t>20250619125532</t>
  </si>
  <si>
    <t>20250619125544</t>
  </si>
  <si>
    <t>20250619125558</t>
  </si>
  <si>
    <t>20250619131747</t>
  </si>
  <si>
    <t>20250619131802</t>
  </si>
  <si>
    <t>20250619131816</t>
  </si>
  <si>
    <t>20250619131856</t>
  </si>
  <si>
    <t>20250619131908</t>
  </si>
  <si>
    <t>20250619131923</t>
  </si>
  <si>
    <t>20250619132001</t>
  </si>
  <si>
    <t>20250619132015</t>
  </si>
  <si>
    <t>20250619132030</t>
  </si>
  <si>
    <t>20250619132111</t>
  </si>
  <si>
    <t>20250619132125</t>
  </si>
  <si>
    <t>20250619132141</t>
  </si>
  <si>
    <t>20250619132221</t>
  </si>
  <si>
    <t>20250619132233</t>
  </si>
  <si>
    <t>20250619132245</t>
  </si>
  <si>
    <t>20250619132331</t>
  </si>
  <si>
    <t>20250619132343</t>
  </si>
  <si>
    <t>20250619132355</t>
  </si>
  <si>
    <t>20250619132436</t>
  </si>
  <si>
    <t>20250619132448</t>
  </si>
  <si>
    <t>20250619132500</t>
  </si>
  <si>
    <t>20250619132541</t>
  </si>
  <si>
    <t>20250619132552</t>
  </si>
  <si>
    <t>20250619132603</t>
  </si>
  <si>
    <t>20250619132646</t>
  </si>
  <si>
    <t>20250619132659</t>
  </si>
  <si>
    <t>20250619132712</t>
  </si>
  <si>
    <t>20250619132756</t>
  </si>
  <si>
    <t>20250619132810</t>
  </si>
  <si>
    <t>20250619132823</t>
  </si>
  <si>
    <t>20250619155452</t>
  </si>
  <si>
    <t>20250619155503</t>
  </si>
  <si>
    <t>20250619155516</t>
  </si>
  <si>
    <t>20250619155556</t>
  </si>
  <si>
    <t>20250619155607</t>
  </si>
  <si>
    <t>20250619155619</t>
  </si>
  <si>
    <t>20250619155701</t>
  </si>
  <si>
    <t>20250619155715</t>
  </si>
  <si>
    <t>20250619155727</t>
  </si>
  <si>
    <t>20250619155806</t>
  </si>
  <si>
    <t>20250619155818</t>
  </si>
  <si>
    <t>20250619155830</t>
  </si>
  <si>
    <t>20250619155906</t>
  </si>
  <si>
    <t>20250619155918</t>
  </si>
  <si>
    <t>20250619155930</t>
  </si>
  <si>
    <t>20250619160011</t>
  </si>
  <si>
    <t>20250619160023</t>
  </si>
  <si>
    <t>20250619160036</t>
  </si>
  <si>
    <t>20250619160117</t>
  </si>
  <si>
    <t>20250619160128</t>
  </si>
  <si>
    <t>20250619160139</t>
  </si>
  <si>
    <t>20250619160217</t>
  </si>
  <si>
    <t>20250619160229</t>
  </si>
  <si>
    <t>20250619160241</t>
  </si>
  <si>
    <t>20250619160327</t>
  </si>
  <si>
    <t>20250619160338</t>
  </si>
  <si>
    <t>20250619160351</t>
  </si>
  <si>
    <t>20250619160432</t>
  </si>
  <si>
    <t>20250619160444</t>
  </si>
  <si>
    <t>20250619160455</t>
  </si>
  <si>
    <t>20250624135040</t>
  </si>
  <si>
    <t>20250624135053</t>
  </si>
  <si>
    <t>20250624135105</t>
  </si>
  <si>
    <t>20250624135208</t>
  </si>
  <si>
    <t>20250624135329</t>
  </si>
  <si>
    <t>20250624135411</t>
  </si>
  <si>
    <t>20250624135504</t>
  </si>
  <si>
    <t>20250624135515</t>
  </si>
  <si>
    <t>20250624135526</t>
  </si>
  <si>
    <t>20250624135646</t>
  </si>
  <si>
    <t>20250624135658</t>
  </si>
  <si>
    <t>20250624135709</t>
  </si>
  <si>
    <t>20250624135750</t>
  </si>
  <si>
    <t>20250624135805</t>
  </si>
  <si>
    <t>20250624135817</t>
  </si>
  <si>
    <t>20250624135917</t>
  </si>
  <si>
    <t>20250624135930</t>
  </si>
  <si>
    <t>20250624135942</t>
  </si>
  <si>
    <t>20250624140234</t>
  </si>
  <si>
    <t>20250624140254</t>
  </si>
  <si>
    <t>20250624140306</t>
  </si>
  <si>
    <t>20250624140355</t>
  </si>
  <si>
    <t>20250624140407</t>
  </si>
  <si>
    <t>20250624140515</t>
  </si>
  <si>
    <t>20250624140527</t>
  </si>
  <si>
    <t>20250624140540</t>
  </si>
  <si>
    <t>20250624140639</t>
  </si>
  <si>
    <t>20250624140651</t>
  </si>
  <si>
    <t>20250624140702</t>
  </si>
  <si>
    <t>20250624160715</t>
  </si>
  <si>
    <t>20250624160727</t>
  </si>
  <si>
    <t>20250624160740</t>
  </si>
  <si>
    <t>20250624160823</t>
  </si>
  <si>
    <t>20250624160835</t>
  </si>
  <si>
    <t>20250624160847</t>
  </si>
  <si>
    <t>20250624161310</t>
  </si>
  <si>
    <t>20250624161322</t>
  </si>
  <si>
    <t>20250624161333</t>
  </si>
  <si>
    <t>20250624161351</t>
  </si>
  <si>
    <t>20250624161404</t>
  </si>
  <si>
    <t>20250624161508</t>
  </si>
  <si>
    <t>20250624161525</t>
  </si>
  <si>
    <t>20250624161537</t>
  </si>
  <si>
    <t>20250624161730</t>
  </si>
  <si>
    <t>20250624161930</t>
  </si>
  <si>
    <t>20250624161942</t>
  </si>
  <si>
    <t>20250624161954</t>
  </si>
  <si>
    <t>20250624162006</t>
  </si>
  <si>
    <t>20250624162018</t>
  </si>
  <si>
    <t>20250624162443</t>
  </si>
  <si>
    <t>20250624162520</t>
  </si>
  <si>
    <t>20250624162532</t>
  </si>
  <si>
    <t>20250624162543</t>
  </si>
  <si>
    <t>20250624162554</t>
  </si>
  <si>
    <t>20250624162606</t>
  </si>
  <si>
    <t>20250624162743</t>
  </si>
  <si>
    <t>20250624162756</t>
  </si>
  <si>
    <t>20250624162809</t>
  </si>
  <si>
    <t>20250624162857</t>
  </si>
  <si>
    <t>20250624162909</t>
  </si>
  <si>
    <t>20250624162920</t>
  </si>
  <si>
    <t>20250624163015</t>
  </si>
  <si>
    <t>20250624163026</t>
  </si>
  <si>
    <t>20250624163038</t>
  </si>
  <si>
    <t>20250624163131</t>
  </si>
  <si>
    <t>20250624163154</t>
  </si>
  <si>
    <t>20250624163206</t>
  </si>
  <si>
    <t>20250624104937</t>
  </si>
  <si>
    <t>20250624104948</t>
  </si>
  <si>
    <t>20250624105000</t>
  </si>
  <si>
    <t>20250624105050</t>
  </si>
  <si>
    <t>20250624105101</t>
  </si>
  <si>
    <t>20250624105112</t>
  </si>
  <si>
    <t>20250624105152</t>
  </si>
  <si>
    <t>20250624105204</t>
  </si>
  <si>
    <t>20250624105215</t>
  </si>
  <si>
    <t>20250624105253</t>
  </si>
  <si>
    <t>20250624105304</t>
  </si>
  <si>
    <t>20250624105316</t>
  </si>
  <si>
    <t>20250624105352</t>
  </si>
  <si>
    <t>20250624105404</t>
  </si>
  <si>
    <t>20250624105416</t>
  </si>
  <si>
    <t>20250624105512</t>
  </si>
  <si>
    <t>20250624105524</t>
  </si>
  <si>
    <t>20250624105537</t>
  </si>
  <si>
    <t>20250624105617</t>
  </si>
  <si>
    <t>20250624105628</t>
  </si>
  <si>
    <t>20250624105640</t>
  </si>
  <si>
    <t>20250624105722</t>
  </si>
  <si>
    <t>20250624105735</t>
  </si>
  <si>
    <t>20250624105748</t>
  </si>
  <si>
    <t>20250624105937</t>
  </si>
  <si>
    <t>20250624105952</t>
  </si>
  <si>
    <t>20250624110004</t>
  </si>
  <si>
    <t>20250624110321</t>
  </si>
  <si>
    <t>20250624110335</t>
  </si>
  <si>
    <t>20250624110346</t>
  </si>
  <si>
    <t>20250624110449</t>
  </si>
  <si>
    <t>20250624110501</t>
  </si>
  <si>
    <t>20250624110513</t>
  </si>
  <si>
    <t>20250624093042</t>
  </si>
  <si>
    <t>20250624093057</t>
  </si>
  <si>
    <t>20250624093109</t>
  </si>
  <si>
    <t>20250624093121</t>
  </si>
  <si>
    <t>20250624093133</t>
  </si>
  <si>
    <t>20250624093234</t>
  </si>
  <si>
    <t>20250624093246</t>
  </si>
  <si>
    <t>20250624093258</t>
  </si>
  <si>
    <t>20250624093310</t>
  </si>
  <si>
    <t>20250624093321</t>
  </si>
  <si>
    <t>20250624093746</t>
  </si>
  <si>
    <t>20250624093809</t>
  </si>
  <si>
    <t>20250624093822</t>
  </si>
  <si>
    <t>20250624093834</t>
  </si>
  <si>
    <t>20250624093847</t>
  </si>
  <si>
    <t>20250624093951</t>
  </si>
  <si>
    <t>20250624094003</t>
  </si>
  <si>
    <t>20250624094015</t>
  </si>
  <si>
    <t>20250624094027</t>
  </si>
  <si>
    <t>20250624094038</t>
  </si>
  <si>
    <t>20250624094403</t>
  </si>
  <si>
    <t>20250624094416</t>
  </si>
  <si>
    <t>20250624094440</t>
  </si>
  <si>
    <t>20250624094849</t>
  </si>
  <si>
    <t>20250624094905</t>
  </si>
  <si>
    <t>20250624094918</t>
  </si>
  <si>
    <t>20250624094930</t>
  </si>
  <si>
    <t>20250624094943</t>
  </si>
  <si>
    <t>20250624095441</t>
  </si>
  <si>
    <t>20250624095456</t>
  </si>
  <si>
    <t>20250624095508</t>
  </si>
  <si>
    <t>20250624095520</t>
  </si>
  <si>
    <t>20250624095534</t>
  </si>
  <si>
    <t>20250624095612</t>
  </si>
  <si>
    <t>20250624095624</t>
  </si>
  <si>
    <t>20250624095635</t>
  </si>
  <si>
    <t>20250624095648</t>
  </si>
  <si>
    <t>20250624095659</t>
  </si>
  <si>
    <t>20250624095926</t>
  </si>
  <si>
    <t>20250624100026</t>
  </si>
  <si>
    <t>20250624100050</t>
  </si>
  <si>
    <t>20250624100102</t>
  </si>
  <si>
    <t>20250624100113</t>
  </si>
  <si>
    <t>20250624100303</t>
  </si>
  <si>
    <t>20250624100315</t>
  </si>
  <si>
    <t>20250624100328</t>
  </si>
  <si>
    <t>20250624100340</t>
  </si>
  <si>
    <t>20250624100351</t>
  </si>
  <si>
    <t>20250624115424</t>
  </si>
  <si>
    <t>20250624115438</t>
  </si>
  <si>
    <t>20250624115450</t>
  </si>
  <si>
    <t>20250624115553</t>
  </si>
  <si>
    <t>20250624115606</t>
  </si>
  <si>
    <t>20250624115619</t>
  </si>
  <si>
    <t>20250624115705</t>
  </si>
  <si>
    <t>20250624115720</t>
  </si>
  <si>
    <t>20250624115731</t>
  </si>
  <si>
    <t>20250624115816</t>
  </si>
  <si>
    <t>20250624115828</t>
  </si>
  <si>
    <t>20250624115839</t>
  </si>
  <si>
    <t>20250624115917</t>
  </si>
  <si>
    <t>20250624115928</t>
  </si>
  <si>
    <t>20250624115939</t>
  </si>
  <si>
    <t>20250624120031</t>
  </si>
  <si>
    <t>20250624120043</t>
  </si>
  <si>
    <t>20250624120129</t>
  </si>
  <si>
    <t>20250624120210</t>
  </si>
  <si>
    <t>20250624120222</t>
  </si>
  <si>
    <t>20250624120234</t>
  </si>
  <si>
    <t>20250624120309</t>
  </si>
  <si>
    <t>20250624120321</t>
  </si>
  <si>
    <t>20250624120333</t>
  </si>
  <si>
    <t>20250624120735</t>
  </si>
  <si>
    <t>20250624120746</t>
  </si>
  <si>
    <t>20250624120757</t>
  </si>
  <si>
    <t>20250624120817</t>
  </si>
  <si>
    <t>20250624120829</t>
  </si>
  <si>
    <t>20250624121000</t>
  </si>
  <si>
    <t>20250624121013</t>
  </si>
  <si>
    <t>20250624121025</t>
  </si>
  <si>
    <t>20250624121037</t>
  </si>
  <si>
    <t>20250624121049</t>
  </si>
  <si>
    <t>20250624121132</t>
  </si>
  <si>
    <t>20250624121145</t>
  </si>
  <si>
    <t>20250624121157</t>
  </si>
  <si>
    <t>20250624121312</t>
  </si>
  <si>
    <t>20250624121325</t>
  </si>
  <si>
    <t>20250624144302</t>
  </si>
  <si>
    <t>20250624144340</t>
  </si>
  <si>
    <t>20250624144352</t>
  </si>
  <si>
    <t>20250624144405</t>
  </si>
  <si>
    <t>20250624144709</t>
  </si>
  <si>
    <t>20250624144722</t>
  </si>
  <si>
    <t>20250624144734</t>
  </si>
  <si>
    <t>20250624145200</t>
  </si>
  <si>
    <t>20250624145214</t>
  </si>
  <si>
    <t>20250624145226</t>
  </si>
  <si>
    <t>20250624145238</t>
  </si>
  <si>
    <t>20250624145249</t>
  </si>
  <si>
    <t>20250624145335</t>
  </si>
  <si>
    <t>20250624145347</t>
  </si>
  <si>
    <t>20250624145402</t>
  </si>
  <si>
    <t>20250624145705</t>
  </si>
  <si>
    <t>20250624145716</t>
  </si>
  <si>
    <t>20250624145727</t>
  </si>
  <si>
    <t>20250624145817</t>
  </si>
  <si>
    <t>20250624145829</t>
  </si>
  <si>
    <t>20250624145840</t>
  </si>
  <si>
    <t>20250624145914</t>
  </si>
  <si>
    <t>20250624145926</t>
  </si>
  <si>
    <t>20250624145937</t>
  </si>
  <si>
    <t>20250701125839</t>
  </si>
  <si>
    <t>20250701125851</t>
  </si>
  <si>
    <t>20250701125903</t>
  </si>
  <si>
    <t>20250701130238</t>
  </si>
  <si>
    <t>20250701130251</t>
  </si>
  <si>
    <t>20250701130306</t>
  </si>
  <si>
    <t>20250701130412</t>
  </si>
  <si>
    <t>20250701130429</t>
  </si>
  <si>
    <t>20250701130442</t>
  </si>
  <si>
    <t>20250701130546</t>
  </si>
  <si>
    <t>20250701130558</t>
  </si>
  <si>
    <t>20250701130610</t>
  </si>
  <si>
    <t>20250701130947</t>
  </si>
  <si>
    <t>20250701130959</t>
  </si>
  <si>
    <t>20250701131010</t>
  </si>
  <si>
    <t>20250701131100</t>
  </si>
  <si>
    <t>20250701131112</t>
  </si>
  <si>
    <t>20250701131124</t>
  </si>
  <si>
    <t>20250701131211</t>
  </si>
  <si>
    <t>20250701131224</t>
  </si>
  <si>
    <t>20250701131237</t>
  </si>
  <si>
    <t>20250701151737</t>
  </si>
  <si>
    <t>20250701151753</t>
  </si>
  <si>
    <t>20250701151804</t>
  </si>
  <si>
    <t>20250701151918</t>
  </si>
  <si>
    <t>20250701151933</t>
  </si>
  <si>
    <t>20250701151946</t>
  </si>
  <si>
    <t>20250701152306</t>
  </si>
  <si>
    <t>20250701152318</t>
  </si>
  <si>
    <t>20250701152332</t>
  </si>
  <si>
    <t>20250701152420</t>
  </si>
  <si>
    <t>20250701152433</t>
  </si>
  <si>
    <t>20250701152445</t>
  </si>
  <si>
    <t>20250701152544</t>
  </si>
  <si>
    <t>20250701152559</t>
  </si>
  <si>
    <t>20250701152612</t>
  </si>
  <si>
    <t>20250701152707</t>
  </si>
  <si>
    <t>20250701152720</t>
  </si>
  <si>
    <t>20250701152733</t>
  </si>
  <si>
    <t>20250701152820</t>
  </si>
  <si>
    <t>20250701152835</t>
  </si>
  <si>
    <t>20250701152848</t>
  </si>
  <si>
    <t>20250701161153</t>
  </si>
  <si>
    <t>20250701161206</t>
  </si>
  <si>
    <t>20250701161218</t>
  </si>
  <si>
    <t>20250701161318</t>
  </si>
  <si>
    <t>20250701161331</t>
  </si>
  <si>
    <t>20250701161343</t>
  </si>
  <si>
    <t>20250701161446</t>
  </si>
  <si>
    <t>20250701161458</t>
  </si>
  <si>
    <t>20250701161510</t>
  </si>
  <si>
    <t>20250701161558</t>
  </si>
  <si>
    <t>20250701161614</t>
  </si>
  <si>
    <t>20250701161626</t>
  </si>
  <si>
    <t>20250701161751</t>
  </si>
  <si>
    <t>20250701161804</t>
  </si>
  <si>
    <t>20250701161816</t>
  </si>
  <si>
    <t>20250701161905</t>
  </si>
  <si>
    <t>20250701161917</t>
  </si>
  <si>
    <t>20250701161930</t>
  </si>
  <si>
    <t>20250701162019</t>
  </si>
  <si>
    <t>20250701162032</t>
  </si>
  <si>
    <t>20250701162044</t>
  </si>
  <si>
    <t>20250702140150</t>
  </si>
  <si>
    <t>20250702140202</t>
  </si>
  <si>
    <t>20250702140214</t>
  </si>
  <si>
    <t>20250702140316</t>
  </si>
  <si>
    <t>20250702140328</t>
  </si>
  <si>
    <t>20250702140339</t>
  </si>
  <si>
    <t>20250702140446</t>
  </si>
  <si>
    <t>20250702140458</t>
  </si>
  <si>
    <t>20250702140510</t>
  </si>
  <si>
    <t>20250702140602</t>
  </si>
  <si>
    <t>20250702140614</t>
  </si>
  <si>
    <t>20250702140626</t>
  </si>
  <si>
    <t>20250702140725</t>
  </si>
  <si>
    <t>20250702140739</t>
  </si>
  <si>
    <t>20250702140751</t>
  </si>
  <si>
    <t>20250702140844</t>
  </si>
  <si>
    <t>20250702140857</t>
  </si>
  <si>
    <t>20250702140910</t>
  </si>
  <si>
    <t>20250702140959</t>
  </si>
  <si>
    <t>20250702141011</t>
  </si>
  <si>
    <t>20250702141023</t>
  </si>
  <si>
    <t>20250702170245</t>
  </si>
  <si>
    <t>20250702170257</t>
  </si>
  <si>
    <t>20250702170309</t>
  </si>
  <si>
    <t>20250702170955</t>
  </si>
  <si>
    <t>20250702171007</t>
  </si>
  <si>
    <t>20250702171020</t>
  </si>
  <si>
    <t>20250702171107</t>
  </si>
  <si>
    <t>20250702171119</t>
  </si>
  <si>
    <t>20250702171131</t>
  </si>
  <si>
    <t>20250702171714</t>
  </si>
  <si>
    <t>20250702171727</t>
  </si>
  <si>
    <t>20250702172049</t>
  </si>
  <si>
    <t>20250702172101</t>
  </si>
  <si>
    <t>20250702172113</t>
  </si>
  <si>
    <t>20250702172421</t>
  </si>
  <si>
    <t>20250702152215</t>
  </si>
  <si>
    <t>20250702152227</t>
  </si>
  <si>
    <t>20250702152239</t>
  </si>
  <si>
    <t>20250702152936</t>
  </si>
  <si>
    <t>20250702152949</t>
  </si>
  <si>
    <t>20250702153007</t>
  </si>
  <si>
    <t>20250702161228</t>
  </si>
  <si>
    <t>20250702161240</t>
  </si>
  <si>
    <t>20250702161252</t>
  </si>
  <si>
    <t>20250702161346</t>
  </si>
  <si>
    <t>20250702161358</t>
  </si>
  <si>
    <t>20250702161410</t>
  </si>
  <si>
    <t>20250702161505</t>
  </si>
  <si>
    <t>20250702161517</t>
  </si>
  <si>
    <t>20250702161529</t>
  </si>
  <si>
    <t>20250702161613</t>
  </si>
  <si>
    <t>20250702161625</t>
  </si>
  <si>
    <t>20250702161636</t>
  </si>
  <si>
    <t>20250702161819</t>
  </si>
  <si>
    <t>20250702161830</t>
  </si>
  <si>
    <t>20250702161841</t>
  </si>
  <si>
    <t>20250702161926</t>
  </si>
  <si>
    <t>20250702161937</t>
  </si>
  <si>
    <t>20250702161949</t>
  </si>
  <si>
    <t>20250702162032</t>
  </si>
  <si>
    <t>20250702162044</t>
  </si>
  <si>
    <t>20250702162056</t>
  </si>
  <si>
    <t>20250702120916</t>
  </si>
  <si>
    <t>20250702120928</t>
  </si>
  <si>
    <t>20250702120940</t>
  </si>
  <si>
    <t>20250702121036</t>
  </si>
  <si>
    <t>20250702121048</t>
  </si>
  <si>
    <t>20250702121100</t>
  </si>
  <si>
    <t>20250702121201</t>
  </si>
  <si>
    <t>20250702121213</t>
  </si>
  <si>
    <t>20250702121225</t>
  </si>
  <si>
    <t>20250702121312</t>
  </si>
  <si>
    <t>20250702121324</t>
  </si>
  <si>
    <t>20250702121335</t>
  </si>
  <si>
    <t>20250702121430</t>
  </si>
  <si>
    <t>20250702121442</t>
  </si>
  <si>
    <t>20250702121454</t>
  </si>
  <si>
    <t>20250702121539</t>
  </si>
  <si>
    <t>20250702121551</t>
  </si>
  <si>
    <t>20250702121603</t>
  </si>
  <si>
    <t>20250702121646</t>
  </si>
  <si>
    <t>20250702121659</t>
  </si>
  <si>
    <t>20250702121711</t>
  </si>
  <si>
    <t>20250715163016</t>
  </si>
  <si>
    <t>20250715163029</t>
  </si>
  <si>
    <t>20250715163040</t>
  </si>
  <si>
    <t>20250715163437</t>
  </si>
  <si>
    <t>20250715163449</t>
  </si>
  <si>
    <t>20250715163501</t>
  </si>
  <si>
    <t>20250715163702</t>
  </si>
  <si>
    <t>20250715163714</t>
  </si>
  <si>
    <t>20250715163726</t>
  </si>
  <si>
    <t>20250715163808</t>
  </si>
  <si>
    <t>20250715163821</t>
  </si>
  <si>
    <t>20250715163833</t>
  </si>
  <si>
    <t>20250703102811</t>
  </si>
  <si>
    <t>20250703102848</t>
  </si>
  <si>
    <t>20250703102900</t>
  </si>
  <si>
    <t>20250703102956</t>
  </si>
  <si>
    <t>20250703103007</t>
  </si>
  <si>
    <t>20250703103019</t>
  </si>
  <si>
    <t>20250703103120</t>
  </si>
  <si>
    <t>20250703103132</t>
  </si>
  <si>
    <t>20250703103145</t>
  </si>
  <si>
    <t>20250703103234</t>
  </si>
  <si>
    <t>20250703103246</t>
  </si>
  <si>
    <t>20250703103257</t>
  </si>
  <si>
    <t>20250703103344</t>
  </si>
  <si>
    <t>20250703103355</t>
  </si>
  <si>
    <t>20250703103407</t>
  </si>
  <si>
    <t>20250703103449</t>
  </si>
  <si>
    <t>20250703103500</t>
  </si>
  <si>
    <t>20250703103511</t>
  </si>
  <si>
    <t>20250703103554</t>
  </si>
  <si>
    <t>20250703103605</t>
  </si>
  <si>
    <t>20250703103616</t>
  </si>
  <si>
    <t>20250703121206</t>
  </si>
  <si>
    <t>20250703121219</t>
  </si>
  <si>
    <t>20250703121231</t>
  </si>
  <si>
    <t>20250703121433</t>
  </si>
  <si>
    <t>20250703121444</t>
  </si>
  <si>
    <t>20250703121456</t>
  </si>
  <si>
    <t>20250703121552</t>
  </si>
  <si>
    <t>20250703121604</t>
  </si>
  <si>
    <t>20250703121615</t>
  </si>
  <si>
    <t>20250703121657</t>
  </si>
  <si>
    <t>20250703121708</t>
  </si>
  <si>
    <t>20250703121720</t>
  </si>
  <si>
    <t>20250703121940</t>
  </si>
  <si>
    <t>20250703121952</t>
  </si>
  <si>
    <t>20250703122004</t>
  </si>
  <si>
    <t>20250703122057</t>
  </si>
  <si>
    <t>20250703122109</t>
  </si>
  <si>
    <t>20250703122121</t>
  </si>
  <si>
    <t>20250703122203</t>
  </si>
  <si>
    <t>20250703122214</t>
  </si>
  <si>
    <t>20250703122225</t>
  </si>
  <si>
    <t>20250703130001</t>
  </si>
  <si>
    <t>20250703130013</t>
  </si>
  <si>
    <t>20250703130025</t>
  </si>
  <si>
    <t>20250703130128</t>
  </si>
  <si>
    <t>20250703130140</t>
  </si>
  <si>
    <t>20250703130152</t>
  </si>
  <si>
    <t>20250703130336</t>
  </si>
  <si>
    <t>20250703130348</t>
  </si>
  <si>
    <t>20250703130400</t>
  </si>
  <si>
    <t>20250703130444</t>
  </si>
  <si>
    <t>20250703130458</t>
  </si>
  <si>
    <t>20250703130510</t>
  </si>
  <si>
    <t>20250703130939</t>
  </si>
  <si>
    <t>20250703130952</t>
  </si>
  <si>
    <t>20250703131004</t>
  </si>
  <si>
    <t>20250703131049</t>
  </si>
  <si>
    <t>20250703131100</t>
  </si>
  <si>
    <t>20250703131112</t>
  </si>
  <si>
    <t>20250703131301</t>
  </si>
  <si>
    <t>20250703131313</t>
  </si>
  <si>
    <t>20250703131324</t>
  </si>
  <si>
    <t>20250702104653</t>
  </si>
  <si>
    <t>20250702104706</t>
  </si>
  <si>
    <t>20250702104718</t>
  </si>
  <si>
    <t>20250702104816</t>
  </si>
  <si>
    <t>20250702104828</t>
  </si>
  <si>
    <t>20250702104841</t>
  </si>
  <si>
    <t>20250702104944</t>
  </si>
  <si>
    <t>20250702104958</t>
  </si>
  <si>
    <t>20250702105011</t>
  </si>
  <si>
    <t>20250702105108</t>
  </si>
  <si>
    <t>20250702105121</t>
  </si>
  <si>
    <t>20250702105135</t>
  </si>
  <si>
    <t>20250702105723</t>
  </si>
  <si>
    <t>20250702105735</t>
  </si>
  <si>
    <t>20250702105748</t>
  </si>
  <si>
    <t>20250702105838</t>
  </si>
  <si>
    <t>20250702105850</t>
  </si>
  <si>
    <t>20250702105901</t>
  </si>
  <si>
    <t>20250714152908</t>
  </si>
  <si>
    <t>20250714152921</t>
  </si>
  <si>
    <t>20250714152933</t>
  </si>
  <si>
    <t>20250714153556</t>
  </si>
  <si>
    <t>20250714153608</t>
  </si>
  <si>
    <t>20250714153620</t>
  </si>
  <si>
    <t>20250714153920</t>
  </si>
  <si>
    <t>20250714153931</t>
  </si>
  <si>
    <t>20250714153943</t>
  </si>
  <si>
    <t>20250714154029</t>
  </si>
  <si>
    <t>20250714154040</t>
  </si>
  <si>
    <t>20250714154052</t>
  </si>
  <si>
    <t>20250714154137</t>
  </si>
  <si>
    <t>20250714154150</t>
  </si>
  <si>
    <t>20250714154202</t>
  </si>
  <si>
    <t>20250714164314</t>
  </si>
  <si>
    <t>20250714164329</t>
  </si>
  <si>
    <t>20250714164341</t>
  </si>
  <si>
    <t>20250714164847</t>
  </si>
  <si>
    <t>20250714164858</t>
  </si>
  <si>
    <t>20250714164910</t>
  </si>
  <si>
    <t>20250714164956</t>
  </si>
  <si>
    <t>20250714165010</t>
  </si>
  <si>
    <t>20250714165024</t>
  </si>
  <si>
    <t>20250714165313</t>
  </si>
  <si>
    <t>20250714165325</t>
  </si>
  <si>
    <t>20250714165337</t>
  </si>
  <si>
    <t>20250714165421</t>
  </si>
  <si>
    <t>20250714165432</t>
  </si>
  <si>
    <t>20250714165444</t>
  </si>
  <si>
    <t>20250714165526</t>
  </si>
  <si>
    <t>20250714165537</t>
  </si>
  <si>
    <t>20250714165549</t>
  </si>
  <si>
    <t>20250714144205</t>
  </si>
  <si>
    <t>20250714144217</t>
  </si>
  <si>
    <t>20250714144231</t>
  </si>
  <si>
    <t>20250714144327</t>
  </si>
  <si>
    <t>20250714144339</t>
  </si>
  <si>
    <t>20250714144350</t>
  </si>
  <si>
    <t>20250714144554</t>
  </si>
  <si>
    <t>20250714144605</t>
  </si>
  <si>
    <t>20250714144617</t>
  </si>
  <si>
    <t>20250714144701</t>
  </si>
  <si>
    <t>20250714144712</t>
  </si>
  <si>
    <t>20250714144724</t>
  </si>
  <si>
    <t>20250714144816</t>
  </si>
  <si>
    <t>20250714144827</t>
  </si>
  <si>
    <t>20250714144840</t>
  </si>
  <si>
    <t>20250714144925</t>
  </si>
  <si>
    <t>20250714144936</t>
  </si>
  <si>
    <t>20250714144948</t>
  </si>
  <si>
    <t>20250714145030</t>
  </si>
  <si>
    <t>20250714145041</t>
  </si>
  <si>
    <t>20250714145053</t>
  </si>
  <si>
    <t>20250714132316</t>
  </si>
  <si>
    <t>20250714132328</t>
  </si>
  <si>
    <t>20250714132340</t>
  </si>
  <si>
    <t>20250714132541</t>
  </si>
  <si>
    <t>20250714132552</t>
  </si>
  <si>
    <t>20250714132607</t>
  </si>
  <si>
    <t>20250714133131</t>
  </si>
  <si>
    <t>20250714133143</t>
  </si>
  <si>
    <t>20250714133155</t>
  </si>
  <si>
    <t>20250714133515</t>
  </si>
  <si>
    <t>20250714133527</t>
  </si>
  <si>
    <t>20250714133539</t>
  </si>
  <si>
    <t>20250714133624</t>
  </si>
  <si>
    <t>20250714133635</t>
  </si>
  <si>
    <t>20250714133647</t>
  </si>
  <si>
    <t>20250714133739</t>
  </si>
  <si>
    <t>20250714133750</t>
  </si>
  <si>
    <t>20250714133801</t>
  </si>
  <si>
    <t>20250714122435</t>
  </si>
  <si>
    <t>20250714122447</t>
  </si>
  <si>
    <t>20250714122459</t>
  </si>
  <si>
    <t>20250714122908</t>
  </si>
  <si>
    <t>20250714122919</t>
  </si>
  <si>
    <t>20250714122930</t>
  </si>
  <si>
    <t>20250714123040</t>
  </si>
  <si>
    <t>20250714123053</t>
  </si>
  <si>
    <t>20250714123104</t>
  </si>
  <si>
    <t>20250714123154</t>
  </si>
  <si>
    <t>20250714123205</t>
  </si>
  <si>
    <t>20250714123217</t>
  </si>
  <si>
    <t>20250714123312</t>
  </si>
  <si>
    <t>20250714123323</t>
  </si>
  <si>
    <t>20250714123342</t>
  </si>
  <si>
    <t>20250714123426</t>
  </si>
  <si>
    <t>20250714123438</t>
  </si>
  <si>
    <t>20250714123450</t>
  </si>
  <si>
    <t>20250714123537</t>
  </si>
  <si>
    <t>20250714123549</t>
  </si>
  <si>
    <t>20250714123601</t>
  </si>
  <si>
    <t>20250701175309</t>
  </si>
  <si>
    <t>20250701175322</t>
  </si>
  <si>
    <t>20250701175334</t>
  </si>
  <si>
    <t>20250701175932</t>
  </si>
  <si>
    <t>20250701175944</t>
  </si>
  <si>
    <t>20250701175957</t>
  </si>
  <si>
    <t>20250701180724</t>
  </si>
  <si>
    <t>20250701180736</t>
  </si>
  <si>
    <t>20250701180748</t>
  </si>
  <si>
    <t>20250701180834</t>
  </si>
  <si>
    <t>20250701180848</t>
  </si>
  <si>
    <t>20250701180900</t>
  </si>
  <si>
    <t>20250701182524</t>
  </si>
  <si>
    <t>20250701182536</t>
  </si>
  <si>
    <t>20250701182547</t>
  </si>
  <si>
    <t>20250701182636</t>
  </si>
  <si>
    <t>20250701182649</t>
  </si>
  <si>
    <t>20250701182701</t>
  </si>
  <si>
    <t>20250701183118</t>
  </si>
  <si>
    <t>20250701183130</t>
  </si>
  <si>
    <t>20250715154627</t>
  </si>
  <si>
    <t>20250715154642</t>
  </si>
  <si>
    <t>20250715154653</t>
  </si>
  <si>
    <t>20250715154749</t>
  </si>
  <si>
    <t>20250715154801</t>
  </si>
  <si>
    <t>20250715154820</t>
  </si>
  <si>
    <t>20250715155204</t>
  </si>
  <si>
    <t>20250715155217</t>
  </si>
  <si>
    <t>20250715155229</t>
  </si>
  <si>
    <t>20250715155526</t>
  </si>
  <si>
    <t>20250715155538</t>
  </si>
  <si>
    <t>20250715155549</t>
  </si>
  <si>
    <t>20250715155632</t>
  </si>
  <si>
    <t>20250715155646</t>
  </si>
  <si>
    <t>20250715155658</t>
  </si>
  <si>
    <t>20250715170146</t>
  </si>
  <si>
    <t>20250715170158</t>
  </si>
  <si>
    <t>20250715170209</t>
  </si>
  <si>
    <t>20250715170303</t>
  </si>
  <si>
    <t>20250715170315</t>
  </si>
  <si>
    <t>20250715170327</t>
  </si>
  <si>
    <t>20250715170634</t>
  </si>
  <si>
    <t>20250715170645</t>
  </si>
  <si>
    <t>20250715170657</t>
  </si>
  <si>
    <t>20250715170927</t>
  </si>
  <si>
    <t>20250715170939</t>
  </si>
  <si>
    <t>20250715170950</t>
  </si>
  <si>
    <t>20250715171041</t>
  </si>
  <si>
    <t>20250715171053</t>
  </si>
  <si>
    <t>20250715171105</t>
  </si>
  <si>
    <t>20250715115133</t>
  </si>
  <si>
    <t>20250715115145</t>
  </si>
  <si>
    <t>20250715115159</t>
  </si>
  <si>
    <t>20250715115523</t>
  </si>
  <si>
    <t>20250715115536</t>
  </si>
  <si>
    <t>20250715115548</t>
  </si>
  <si>
    <t>20250715115636</t>
  </si>
  <si>
    <t>20250715115649</t>
  </si>
  <si>
    <t>20250715115702</t>
  </si>
  <si>
    <t>20250715115754</t>
  </si>
  <si>
    <t>20250715115806</t>
  </si>
  <si>
    <t>20250715115819</t>
  </si>
  <si>
    <t>20250715115904</t>
  </si>
  <si>
    <t>20250715115917</t>
  </si>
  <si>
    <t>20250715115930</t>
  </si>
  <si>
    <t>20250715120014</t>
  </si>
  <si>
    <t>20250715120027</t>
  </si>
  <si>
    <t>20250715120042</t>
  </si>
  <si>
    <t>20250715131722</t>
  </si>
  <si>
    <t>20250715131734</t>
  </si>
  <si>
    <t>20250715131747</t>
  </si>
  <si>
    <t>20250715131857</t>
  </si>
  <si>
    <t>20250715131910</t>
  </si>
  <si>
    <t>20250715131921</t>
  </si>
  <si>
    <t>20250715132241</t>
  </si>
  <si>
    <t>20250715132255</t>
  </si>
  <si>
    <t>20250715132308</t>
  </si>
  <si>
    <t>20250715132400</t>
  </si>
  <si>
    <t>20250715132413</t>
  </si>
  <si>
    <t>20250715132425</t>
  </si>
  <si>
    <t>20250715132510</t>
  </si>
  <si>
    <t>20250715132522</t>
  </si>
  <si>
    <t>20250715132534</t>
  </si>
  <si>
    <t>20250715132621</t>
  </si>
  <si>
    <t>20250715132637</t>
  </si>
  <si>
    <t>20250715132653</t>
  </si>
  <si>
    <t>20250715111215</t>
  </si>
  <si>
    <t>20250715111227</t>
  </si>
  <si>
    <t>20250715111239</t>
  </si>
  <si>
    <t>20250715111345</t>
  </si>
  <si>
    <t>20250715111357</t>
  </si>
  <si>
    <t>20250715111410</t>
  </si>
  <si>
    <t>20250715111706</t>
  </si>
  <si>
    <t>20250715111717</t>
  </si>
  <si>
    <t>20250715111730</t>
  </si>
  <si>
    <t>20250715112124</t>
  </si>
  <si>
    <t>20250715112143</t>
  </si>
  <si>
    <t>20250715112155</t>
  </si>
  <si>
    <t>20250715112241</t>
  </si>
  <si>
    <t>20250715112252</t>
  </si>
  <si>
    <t>20250715112304</t>
  </si>
  <si>
    <t>20250715112348</t>
  </si>
  <si>
    <t>20250715112400</t>
  </si>
  <si>
    <t>20250715112412</t>
  </si>
  <si>
    <t>20250715145657</t>
  </si>
  <si>
    <t>20250715145709</t>
  </si>
  <si>
    <t>20250715145721</t>
  </si>
  <si>
    <t>20250715145938</t>
  </si>
  <si>
    <t>20250715150126</t>
  </si>
  <si>
    <t>20250715150147</t>
  </si>
  <si>
    <t>20250715150555</t>
  </si>
  <si>
    <t>20250715150606</t>
  </si>
  <si>
    <t>20250715150618</t>
  </si>
  <si>
    <t>20250715151225</t>
  </si>
  <si>
    <t>20250715151236</t>
  </si>
  <si>
    <t>20250715151247</t>
  </si>
  <si>
    <t>20250715151332</t>
  </si>
  <si>
    <t>20250715151348</t>
  </si>
  <si>
    <t>20250715151400</t>
  </si>
  <si>
    <t>20250716120224</t>
  </si>
  <si>
    <t>20250716120236</t>
  </si>
  <si>
    <t>20250716120247</t>
  </si>
  <si>
    <t>20250716120720</t>
  </si>
  <si>
    <t>20250716120732</t>
  </si>
  <si>
    <t>20250716120744</t>
  </si>
  <si>
    <t>20250717120358</t>
  </si>
  <si>
    <t>20250717120409</t>
  </si>
  <si>
    <t>20250717120421</t>
  </si>
  <si>
    <t>20250717120621</t>
  </si>
  <si>
    <t>20250717120633</t>
  </si>
  <si>
    <t>20250717120647</t>
  </si>
  <si>
    <t>20250717120836</t>
  </si>
  <si>
    <t>20250717120848</t>
  </si>
  <si>
    <t>20250717120925</t>
  </si>
  <si>
    <t>20250717104452</t>
  </si>
  <si>
    <t>20250717104528</t>
  </si>
  <si>
    <t>20250717104541</t>
  </si>
  <si>
    <t>20250717104942</t>
  </si>
  <si>
    <t>20250717104955</t>
  </si>
  <si>
    <t>20250717105007</t>
  </si>
  <si>
    <t>20250717105100</t>
  </si>
  <si>
    <t>20250717105112</t>
  </si>
  <si>
    <t>20250717105125</t>
  </si>
  <si>
    <t>20250717105209</t>
  </si>
  <si>
    <t>20250717105221</t>
  </si>
  <si>
    <t>20250717105233</t>
  </si>
  <si>
    <t>20250725111351</t>
  </si>
  <si>
    <t>20250725111404</t>
  </si>
  <si>
    <t>20250725111416</t>
  </si>
  <si>
    <t>20250725111456</t>
  </si>
  <si>
    <t>20250725111510</t>
  </si>
  <si>
    <t>20250725111522</t>
  </si>
  <si>
    <t>20250725111601</t>
  </si>
  <si>
    <t>20250725111659</t>
  </si>
  <si>
    <t>20250725111711</t>
  </si>
  <si>
    <t>20250725112149</t>
  </si>
  <si>
    <t>20250725112205</t>
  </si>
  <si>
    <t>20250725112216</t>
  </si>
  <si>
    <t>20250725112300</t>
  </si>
  <si>
    <t>20250725112311</t>
  </si>
  <si>
    <t>20250725112324</t>
  </si>
  <si>
    <t>20250725112610</t>
  </si>
  <si>
    <t>20250725112621</t>
  </si>
  <si>
    <t>20250725112632</t>
  </si>
  <si>
    <t>20250725112645</t>
  </si>
  <si>
    <t>20250725112657</t>
  </si>
  <si>
    <t>20250725112742</t>
  </si>
  <si>
    <t>20250725112753</t>
  </si>
  <si>
    <t>20250725112804</t>
  </si>
  <si>
    <t>20250725112847</t>
  </si>
  <si>
    <t>20250725112901</t>
  </si>
  <si>
    <t>20250725112913</t>
  </si>
  <si>
    <t>20250725113006</t>
  </si>
  <si>
    <t>20250725113020</t>
  </si>
  <si>
    <t>20250725113032</t>
  </si>
  <si>
    <t>20250725113137</t>
  </si>
  <si>
    <t>20250725113148</t>
  </si>
  <si>
    <t>20250725113159</t>
  </si>
  <si>
    <t>20250725144639</t>
  </si>
  <si>
    <t>20250725144652</t>
  </si>
  <si>
    <t>20250725144704</t>
  </si>
  <si>
    <t>20250725145004</t>
  </si>
  <si>
    <t>20250725145017</t>
  </si>
  <si>
    <t>20250725145029</t>
  </si>
  <si>
    <t>20250725145106</t>
  </si>
  <si>
    <t>20250725145119</t>
  </si>
  <si>
    <t>20250725145131</t>
  </si>
  <si>
    <t>20250725145219</t>
  </si>
  <si>
    <t>20250725145231</t>
  </si>
  <si>
    <t>20250725145243</t>
  </si>
  <si>
    <t>20250725145319</t>
  </si>
  <si>
    <t>20250725145331</t>
  </si>
  <si>
    <t>20250725145342</t>
  </si>
  <si>
    <t>20250725145431</t>
  </si>
  <si>
    <t>20250725145443</t>
  </si>
  <si>
    <t>20250725145456</t>
  </si>
  <si>
    <t>20250725145540</t>
  </si>
  <si>
    <t>20250725145551</t>
  </si>
  <si>
    <t>20250725145603</t>
  </si>
  <si>
    <t>20250725145644</t>
  </si>
  <si>
    <t>20250725145656</t>
  </si>
  <si>
    <t>20250725145708</t>
  </si>
  <si>
    <t>20250725145804</t>
  </si>
  <si>
    <t>20250725145816</t>
  </si>
  <si>
    <t>20250725145828</t>
  </si>
  <si>
    <t>20250725145912</t>
  </si>
  <si>
    <t>20250725145924</t>
  </si>
  <si>
    <t>20250725145937</t>
  </si>
  <si>
    <t>20250725150029</t>
  </si>
  <si>
    <t>20250725150041</t>
  </si>
  <si>
    <t>20250725150053</t>
  </si>
  <si>
    <t>20250725084410</t>
  </si>
  <si>
    <t>20250725084422</t>
  </si>
  <si>
    <t>20250725084434</t>
  </si>
  <si>
    <t>20250725084527</t>
  </si>
  <si>
    <t>20250725084539</t>
  </si>
  <si>
    <t>20250725084551</t>
  </si>
  <si>
    <t>20250725084655</t>
  </si>
  <si>
    <t>20250725084708</t>
  </si>
  <si>
    <t>20250725084720</t>
  </si>
  <si>
    <t>20250725084811</t>
  </si>
  <si>
    <t>20250725084823</t>
  </si>
  <si>
    <t>20250725084835</t>
  </si>
  <si>
    <t>20250725084929</t>
  </si>
  <si>
    <t>20250725084941</t>
  </si>
  <si>
    <t>20250725085040</t>
  </si>
  <si>
    <t>20250725085051</t>
  </si>
  <si>
    <t>20250725085104</t>
  </si>
  <si>
    <t>20250725085144</t>
  </si>
  <si>
    <t>20250725085155</t>
  </si>
  <si>
    <t>20250725085207</t>
  </si>
  <si>
    <t>20250725085252</t>
  </si>
  <si>
    <t>20250725085306</t>
  </si>
  <si>
    <t>20250725085318</t>
  </si>
  <si>
    <t>20250725085655</t>
  </si>
  <si>
    <t>20250725085708</t>
  </si>
  <si>
    <t>20250725085720</t>
  </si>
  <si>
    <t>20250725085732</t>
  </si>
  <si>
    <t>20250725085744</t>
  </si>
  <si>
    <t>20250725085915</t>
  </si>
  <si>
    <t>20250725085927</t>
  </si>
  <si>
    <t>20250725085939</t>
  </si>
  <si>
    <t>20250725161929</t>
  </si>
  <si>
    <t>20250725161941</t>
  </si>
  <si>
    <t>20250725161953</t>
  </si>
  <si>
    <t>20250725162025</t>
  </si>
  <si>
    <t>20250725162037</t>
  </si>
  <si>
    <t>20250725162048</t>
  </si>
  <si>
    <t>20250725162101</t>
  </si>
  <si>
    <t>20250725162118</t>
  </si>
  <si>
    <t>20250725162205</t>
  </si>
  <si>
    <t>20250725162218</t>
  </si>
  <si>
    <t>20250725162230</t>
  </si>
  <si>
    <t>20250725162242</t>
  </si>
  <si>
    <t>20250725162254</t>
  </si>
  <si>
    <t>20250725162349</t>
  </si>
  <si>
    <t>20250725162412</t>
  </si>
  <si>
    <t>20250725162426</t>
  </si>
  <si>
    <t>20250725162438</t>
  </si>
  <si>
    <t>20250725162450</t>
  </si>
  <si>
    <t>20250725162534</t>
  </si>
  <si>
    <t>20250725162546</t>
  </si>
  <si>
    <t>20250725162558</t>
  </si>
  <si>
    <t>20250725162609</t>
  </si>
  <si>
    <t>20250725162620</t>
  </si>
  <si>
    <t>20250725162700</t>
  </si>
  <si>
    <t>20250725162711</t>
  </si>
  <si>
    <t>20250725162723</t>
  </si>
  <si>
    <t>20250725162736</t>
  </si>
  <si>
    <t>20250725162748</t>
  </si>
  <si>
    <t>20250725162839</t>
  </si>
  <si>
    <t>20250725162851</t>
  </si>
  <si>
    <t>20250725162903</t>
  </si>
  <si>
    <t>20250725162915</t>
  </si>
  <si>
    <t>20250725162927</t>
  </si>
  <si>
    <t>20250725163013</t>
  </si>
  <si>
    <t>20250725163026</t>
  </si>
  <si>
    <t>20250725163043</t>
  </si>
  <si>
    <t>20250725163055</t>
  </si>
  <si>
    <t>20250725163131</t>
  </si>
  <si>
    <t>20250725163144</t>
  </si>
  <si>
    <t>20250725163155</t>
  </si>
  <si>
    <t>20250725163207</t>
  </si>
  <si>
    <t>20250725163219</t>
  </si>
  <si>
    <t>20250725163314</t>
  </si>
  <si>
    <t>20250725163325</t>
  </si>
  <si>
    <t>20250725163340</t>
  </si>
  <si>
    <t>20250725163725</t>
  </si>
  <si>
    <t>20250725163737</t>
  </si>
  <si>
    <t>20250725163748</t>
  </si>
  <si>
    <t>20250725163835</t>
  </si>
  <si>
    <t>20250725163948</t>
  </si>
  <si>
    <t>20250725164000</t>
  </si>
  <si>
    <t>20250725164012</t>
  </si>
  <si>
    <t>20250725164029</t>
  </si>
  <si>
    <t>20250725164041</t>
  </si>
  <si>
    <t>20250725164144</t>
  </si>
  <si>
    <t>20250725164155</t>
  </si>
  <si>
    <t>20250725164207</t>
  </si>
  <si>
    <t>20250725164220</t>
  </si>
  <si>
    <t>20250725164241</t>
  </si>
  <si>
    <t>20250725124633</t>
  </si>
  <si>
    <t>20250725124645</t>
  </si>
  <si>
    <t>20250725124656</t>
  </si>
  <si>
    <t>20250725124730</t>
  </si>
  <si>
    <t>20250725124741</t>
  </si>
  <si>
    <t>20250725124752</t>
  </si>
  <si>
    <t>20250725124832</t>
  </si>
  <si>
    <t>20250725124846</t>
  </si>
  <si>
    <t>20250725124859</t>
  </si>
  <si>
    <t>20250725124939</t>
  </si>
  <si>
    <t>20250725124953</t>
  </si>
  <si>
    <t>20250725125005</t>
  </si>
  <si>
    <t>20250725125050</t>
  </si>
  <si>
    <t>20250725125101</t>
  </si>
  <si>
    <t>20250725125113</t>
  </si>
  <si>
    <t>20250725125151</t>
  </si>
  <si>
    <t>20250725125203</t>
  </si>
  <si>
    <t>20250725125215</t>
  </si>
  <si>
    <t>20250725125304</t>
  </si>
  <si>
    <t>20250725125316</t>
  </si>
  <si>
    <t>20250725125336</t>
  </si>
  <si>
    <t>20250725125417</t>
  </si>
  <si>
    <t>20250725125445</t>
  </si>
  <si>
    <t>20250725125458</t>
  </si>
  <si>
    <t>20250725125511</t>
  </si>
  <si>
    <t>20250725125559</t>
  </si>
  <si>
    <t>20250725125611</t>
  </si>
  <si>
    <t>20250725125704</t>
  </si>
  <si>
    <t>20250725125716</t>
  </si>
  <si>
    <t>20250725125728</t>
  </si>
  <si>
    <t>20250725125834</t>
  </si>
  <si>
    <t>20250725125846</t>
  </si>
  <si>
    <t>20250725125904</t>
  </si>
  <si>
    <t>20250613161745</t>
  </si>
  <si>
    <t>20250613161757</t>
  </si>
  <si>
    <t>20250613161809</t>
  </si>
  <si>
    <t>20250613162140</t>
  </si>
  <si>
    <t>20250613162151</t>
  </si>
  <si>
    <t>20250613162202</t>
  </si>
  <si>
    <t>20250613162602</t>
  </si>
  <si>
    <t>20250613162614</t>
  </si>
  <si>
    <t>20250613162625</t>
  </si>
  <si>
    <t>20250613162731</t>
  </si>
  <si>
    <t>20250613162742</t>
  </si>
  <si>
    <t>20250613162755</t>
  </si>
  <si>
    <t>20250613162858</t>
  </si>
  <si>
    <t>20250613162909</t>
  </si>
  <si>
    <t>20250613162921</t>
  </si>
  <si>
    <t>20250613163013</t>
  </si>
  <si>
    <t>20250613163025</t>
  </si>
  <si>
    <t>20250613163037</t>
  </si>
  <si>
    <t>20250613163125</t>
  </si>
  <si>
    <t>20250613163137</t>
  </si>
  <si>
    <t>20250613163148</t>
  </si>
  <si>
    <t>20250613163231</t>
  </si>
  <si>
    <t>20250613163242</t>
  </si>
  <si>
    <t>20250613163253</t>
  </si>
  <si>
    <t>20250613163541</t>
  </si>
  <si>
    <t>20250613163600</t>
  </si>
  <si>
    <t>20250613163612</t>
  </si>
  <si>
    <t>20250613163736</t>
  </si>
  <si>
    <t>20250613163748</t>
  </si>
  <si>
    <t>20250613163800</t>
  </si>
  <si>
    <t>20250613164059</t>
  </si>
  <si>
    <t>20250613164134</t>
  </si>
  <si>
    <t>20250613164143</t>
  </si>
  <si>
    <t>20250619170145</t>
  </si>
  <si>
    <t>20250619170203</t>
  </si>
  <si>
    <t>20250619170216</t>
  </si>
  <si>
    <t>20250619170305</t>
  </si>
  <si>
    <t>20250619170317</t>
  </si>
  <si>
    <t>20250619170328</t>
  </si>
  <si>
    <t>20250619170453</t>
  </si>
  <si>
    <t>20250619170504</t>
  </si>
  <si>
    <t>20250619170516</t>
  </si>
  <si>
    <t>20250619170552</t>
  </si>
  <si>
    <t>20250619170605</t>
  </si>
  <si>
    <t>20250619170616</t>
  </si>
  <si>
    <t>20250619171113</t>
  </si>
  <si>
    <t>20250619171127</t>
  </si>
  <si>
    <t>20250619171141</t>
  </si>
  <si>
    <t>20250619171223</t>
  </si>
  <si>
    <t>20250619171234</t>
  </si>
  <si>
    <t>20250619171245</t>
  </si>
  <si>
    <t>20250619155944</t>
  </si>
  <si>
    <t>20250619155956</t>
  </si>
  <si>
    <t>20250619160009</t>
  </si>
  <si>
    <t>20250619160057</t>
  </si>
  <si>
    <t>20250619160109</t>
  </si>
  <si>
    <t>20250619160120</t>
  </si>
  <si>
    <t>20250619160208</t>
  </si>
  <si>
    <t>20250619160221</t>
  </si>
  <si>
    <t>20250619160610</t>
  </si>
  <si>
    <t>20250619160622</t>
  </si>
  <si>
    <t>20250619160745</t>
  </si>
  <si>
    <t>20250619160808</t>
  </si>
  <si>
    <t>20250619160820</t>
  </si>
  <si>
    <t>20250619160928</t>
  </si>
  <si>
    <t>20250619160951</t>
  </si>
  <si>
    <t>20250619161002</t>
  </si>
  <si>
    <t>20250619161036</t>
  </si>
  <si>
    <t>20250619161048</t>
  </si>
  <si>
    <t>20250619161100</t>
  </si>
  <si>
    <t>20250530094216</t>
  </si>
  <si>
    <t>20250530094230</t>
  </si>
  <si>
    <t>20250530094241</t>
  </si>
  <si>
    <t>20250530094330</t>
  </si>
  <si>
    <t>20250530094341</t>
  </si>
  <si>
    <t>20250530094353</t>
  </si>
  <si>
    <t>20250530094556</t>
  </si>
  <si>
    <t>20250530094607</t>
  </si>
  <si>
    <t>20250530094618</t>
  </si>
  <si>
    <t>20250530094652</t>
  </si>
  <si>
    <t>20250530094725</t>
  </si>
  <si>
    <t>20250530094736</t>
  </si>
  <si>
    <t>20250530094943</t>
  </si>
  <si>
    <t>20250530094955</t>
  </si>
  <si>
    <t>20250530095007</t>
  </si>
  <si>
    <t>20250530095106</t>
  </si>
  <si>
    <t>20250530095117</t>
  </si>
  <si>
    <t>20250530095129</t>
  </si>
  <si>
    <t>20250530111546</t>
  </si>
  <si>
    <t>20250530111557</t>
  </si>
  <si>
    <t>20250530111608</t>
  </si>
  <si>
    <t>20250530111711</t>
  </si>
  <si>
    <t>20250530111722</t>
  </si>
  <si>
    <t>20250530111736</t>
  </si>
  <si>
    <t>20250530111832</t>
  </si>
  <si>
    <t>20250530111854</t>
  </si>
  <si>
    <t>20250530111911</t>
  </si>
  <si>
    <t>20250530111952</t>
  </si>
  <si>
    <t>20250530112003</t>
  </si>
  <si>
    <t>20250530112015</t>
  </si>
  <si>
    <t>20250530112102</t>
  </si>
  <si>
    <t>20250530112113</t>
  </si>
  <si>
    <t>20250530112126</t>
  </si>
  <si>
    <t>20250530112525</t>
  </si>
  <si>
    <t>20250530112549</t>
  </si>
  <si>
    <t>20250530112602</t>
  </si>
  <si>
    <t>20250530112636</t>
  </si>
  <si>
    <t>20250530112702</t>
  </si>
  <si>
    <t>20250530112713</t>
  </si>
  <si>
    <t>20250530112931</t>
  </si>
  <si>
    <t>20250530112943</t>
  </si>
  <si>
    <t>20250530112955</t>
  </si>
  <si>
    <t>20250619112441</t>
  </si>
  <si>
    <t>20250619112452</t>
  </si>
  <si>
    <t>20250619112503</t>
  </si>
  <si>
    <t>20250619112549</t>
  </si>
  <si>
    <t>20250619112601</t>
  </si>
  <si>
    <t>20250619112612</t>
  </si>
  <si>
    <t>20250619112702</t>
  </si>
  <si>
    <t>20250619112714</t>
  </si>
  <si>
    <t>20250619112725</t>
  </si>
  <si>
    <t>20250619112813</t>
  </si>
  <si>
    <t>20250619112824</t>
  </si>
  <si>
    <t>20250619112911</t>
  </si>
  <si>
    <t>20250619112924</t>
  </si>
  <si>
    <t>20250619112937</t>
  </si>
  <si>
    <t>20250619113030</t>
  </si>
  <si>
    <t>20250619113041</t>
  </si>
  <si>
    <t>20250619113114</t>
  </si>
  <si>
    <t>20250619113125</t>
  </si>
  <si>
    <t>20250619113141</t>
  </si>
  <si>
    <t>20250619121011</t>
  </si>
  <si>
    <t>20250619121027</t>
  </si>
  <si>
    <t>20250619121041</t>
  </si>
  <si>
    <t>20250619121719</t>
  </si>
  <si>
    <t>20250619121730</t>
  </si>
  <si>
    <t>20250619121742</t>
  </si>
  <si>
    <t>20250619121816</t>
  </si>
  <si>
    <t>20250619121828</t>
  </si>
  <si>
    <t>20250619121839</t>
  </si>
  <si>
    <t>20250619121933</t>
  </si>
  <si>
    <t>20250619121944</t>
  </si>
  <si>
    <t>20250619122006</t>
  </si>
  <si>
    <t>20250619122127</t>
  </si>
  <si>
    <t>20250619122149</t>
  </si>
  <si>
    <t>20250619122200</t>
  </si>
  <si>
    <t>20250619122212</t>
  </si>
  <si>
    <t>20250619122532</t>
  </si>
  <si>
    <t>20250619122544</t>
  </si>
  <si>
    <t>20250619122555</t>
  </si>
  <si>
    <t>20250619122648</t>
  </si>
  <si>
    <t>20250619122700</t>
  </si>
  <si>
    <t>20250619122711</t>
  </si>
  <si>
    <t>20250619141919</t>
  </si>
  <si>
    <t>20250619141932</t>
  </si>
  <si>
    <t>20250619141944</t>
  </si>
  <si>
    <t>20250619142032</t>
  </si>
  <si>
    <t>20250619142044</t>
  </si>
  <si>
    <t>20250619142055</t>
  </si>
  <si>
    <t>20250619142152</t>
  </si>
  <si>
    <t>20250619142204</t>
  </si>
  <si>
    <t>20250619142215</t>
  </si>
  <si>
    <t>20250619142249</t>
  </si>
  <si>
    <t>20250619142301</t>
  </si>
  <si>
    <t>20250619142312</t>
  </si>
  <si>
    <t>20250619142859</t>
  </si>
  <si>
    <t>20250619142911</t>
  </si>
  <si>
    <t>20250619142922</t>
  </si>
  <si>
    <t>20250619143138</t>
  </si>
  <si>
    <t>20250619143149</t>
  </si>
  <si>
    <t>20250619143201</t>
  </si>
  <si>
    <t>20250619132538</t>
  </si>
  <si>
    <t>20250619132604</t>
  </si>
  <si>
    <t>20250619132615</t>
  </si>
  <si>
    <t>20250619132702</t>
  </si>
  <si>
    <t>20250619132713</t>
  </si>
  <si>
    <t>20250619132724</t>
  </si>
  <si>
    <t>20250619132918</t>
  </si>
  <si>
    <t>20250619132930</t>
  </si>
  <si>
    <t>20250619132941</t>
  </si>
  <si>
    <t>20250619133017</t>
  </si>
  <si>
    <t>20250619133028</t>
  </si>
  <si>
    <t>20250619133039</t>
  </si>
  <si>
    <t>20250619133203</t>
  </si>
  <si>
    <t>20250619133214</t>
  </si>
  <si>
    <t>20250619133225</t>
  </si>
  <si>
    <t>20250619133359</t>
  </si>
  <si>
    <t>20250619133410</t>
  </si>
  <si>
    <t>20250619133422</t>
  </si>
  <si>
    <t>20250619133456</t>
  </si>
  <si>
    <t>20250619133508</t>
  </si>
  <si>
    <t>20250619133519</t>
  </si>
  <si>
    <t>20250612111140</t>
  </si>
  <si>
    <t>20250612111153</t>
  </si>
  <si>
    <t>20250612111204</t>
  </si>
  <si>
    <t>20250612111324</t>
  </si>
  <si>
    <t>20250612111335</t>
  </si>
  <si>
    <t>20250612111347</t>
  </si>
  <si>
    <t>20250612111436</t>
  </si>
  <si>
    <t>20250612111457</t>
  </si>
  <si>
    <t>20250612111511</t>
  </si>
  <si>
    <t>20250612111642</t>
  </si>
  <si>
    <t>20250612111654</t>
  </si>
  <si>
    <t>20250612111707</t>
  </si>
  <si>
    <t>20250612111801</t>
  </si>
  <si>
    <t>20250612111813</t>
  </si>
  <si>
    <t>20250612111824</t>
  </si>
  <si>
    <t>20250612111911</t>
  </si>
  <si>
    <t>20250612111937</t>
  </si>
  <si>
    <t>20250612111948</t>
  </si>
  <si>
    <t>20250612111959</t>
  </si>
  <si>
    <t>20250612112056</t>
  </si>
  <si>
    <t>20250612112108</t>
  </si>
  <si>
    <t>20250612112120</t>
  </si>
  <si>
    <t>20250612112234</t>
  </si>
  <si>
    <t>20250612112246</t>
  </si>
  <si>
    <t>20250612112258</t>
  </si>
  <si>
    <t>20250612134417</t>
  </si>
  <si>
    <t>20250612134429</t>
  </si>
  <si>
    <t>20250612134455</t>
  </si>
  <si>
    <t>20250612134627</t>
  </si>
  <si>
    <t>20250612134639</t>
  </si>
  <si>
    <t>20250612134651</t>
  </si>
  <si>
    <t>20250612134734</t>
  </si>
  <si>
    <t>20250612134746</t>
  </si>
  <si>
    <t>20250612134801</t>
  </si>
  <si>
    <t>20250612134955</t>
  </si>
  <si>
    <t>20250612135000</t>
  </si>
  <si>
    <t>20250612135211</t>
  </si>
  <si>
    <t>20250612135343</t>
  </si>
  <si>
    <t>20250612135348</t>
  </si>
  <si>
    <t>20250612135402</t>
  </si>
  <si>
    <t>20250612135602</t>
  </si>
  <si>
    <t>20250612135646</t>
  </si>
  <si>
    <t>20250612135658</t>
  </si>
  <si>
    <t>20250612135746</t>
  </si>
  <si>
    <t>20250612135758</t>
  </si>
  <si>
    <t>20250612135810</t>
  </si>
  <si>
    <t>20250612135900</t>
  </si>
  <si>
    <t>20250612135919</t>
  </si>
  <si>
    <t>20250612135930</t>
  </si>
  <si>
    <t>20250612164900</t>
  </si>
  <si>
    <t>20250612164911</t>
  </si>
  <si>
    <t>20250612164922</t>
  </si>
  <si>
    <t>20250612165023</t>
  </si>
  <si>
    <t>20250612165035</t>
  </si>
  <si>
    <t>20250612165048</t>
  </si>
  <si>
    <t>20250612165149</t>
  </si>
  <si>
    <t>20250612165704</t>
  </si>
  <si>
    <t>20250612165716</t>
  </si>
  <si>
    <t>20250612165812</t>
  </si>
  <si>
    <t>20250612165824</t>
  </si>
  <si>
    <t>20250612165836</t>
  </si>
  <si>
    <t>20250612165917</t>
  </si>
  <si>
    <t>20250612165929</t>
  </si>
  <si>
    <t>20250612165940</t>
  </si>
  <si>
    <t>20250612170030</t>
  </si>
  <si>
    <t>20250612170042</t>
  </si>
  <si>
    <t>20250612170053</t>
  </si>
  <si>
    <t>20250612170142</t>
  </si>
  <si>
    <t>20250612170154</t>
  </si>
  <si>
    <t>20250612170205</t>
  </si>
  <si>
    <t>20250612170253</t>
  </si>
  <si>
    <t>20250612170313</t>
  </si>
  <si>
    <t>20250612170325</t>
  </si>
  <si>
    <t>20250612170421</t>
  </si>
  <si>
    <t>20250612170433</t>
  </si>
  <si>
    <t>20250612170444</t>
  </si>
  <si>
    <t>20250612170519</t>
  </si>
  <si>
    <t>20250612170531</t>
  </si>
  <si>
    <t>20250612170542</t>
  </si>
  <si>
    <t>20250612170616</t>
  </si>
  <si>
    <t>20250612170628</t>
  </si>
  <si>
    <t>20250612170639</t>
  </si>
  <si>
    <t>20250612145137</t>
  </si>
  <si>
    <t>20250612145202</t>
  </si>
  <si>
    <t>20250612145217</t>
  </si>
  <si>
    <t>20250612145448</t>
  </si>
  <si>
    <t>20250612145500</t>
  </si>
  <si>
    <t>20250612145512</t>
  </si>
  <si>
    <t>20250612145553</t>
  </si>
  <si>
    <t>20250612145605</t>
  </si>
  <si>
    <t>20250612145618</t>
  </si>
  <si>
    <t>20250612145704</t>
  </si>
  <si>
    <t>20250612145717</t>
  </si>
  <si>
    <t>20250612145728</t>
  </si>
  <si>
    <t>20250612150314</t>
  </si>
  <si>
    <t>20250612150326</t>
  </si>
  <si>
    <t>20250612150337</t>
  </si>
  <si>
    <t>20250612150428</t>
  </si>
  <si>
    <t>20250612150440</t>
  </si>
  <si>
    <t>20250612150451</t>
  </si>
  <si>
    <t>20250612150647</t>
  </si>
  <si>
    <t>20250612150659</t>
  </si>
  <si>
    <t>20250612150712</t>
  </si>
  <si>
    <t>20250612150802</t>
  </si>
  <si>
    <t>20250612150814</t>
  </si>
  <si>
    <t>20250612150826</t>
  </si>
  <si>
    <t>20250612154614</t>
  </si>
  <si>
    <t>20250612154626</t>
  </si>
  <si>
    <t>20250612154637</t>
  </si>
  <si>
    <t>20250612154746</t>
  </si>
  <si>
    <t>20250612154808</t>
  </si>
  <si>
    <t>20250612154823</t>
  </si>
  <si>
    <t>20250715102220</t>
  </si>
  <si>
    <t>20250715102233</t>
  </si>
  <si>
    <t>20250715102245</t>
  </si>
  <si>
    <t>20250715102342</t>
  </si>
  <si>
    <t>20250715102353</t>
  </si>
  <si>
    <t>20250715102405</t>
  </si>
  <si>
    <t>20250715102501</t>
  </si>
  <si>
    <t>20250715102512</t>
  </si>
  <si>
    <t>20250715102523</t>
  </si>
  <si>
    <t>20250715102607</t>
  </si>
  <si>
    <t>20250715102619</t>
  </si>
  <si>
    <t>20250715102631</t>
  </si>
  <si>
    <t>20250715102722</t>
  </si>
  <si>
    <t>20250715102734</t>
  </si>
  <si>
    <t>20250715102746</t>
  </si>
  <si>
    <t>20250715102829</t>
  </si>
  <si>
    <t>20250715102841</t>
  </si>
  <si>
    <t>20250715102853</t>
  </si>
  <si>
    <t>20250715102935</t>
  </si>
  <si>
    <t>20250715102947</t>
  </si>
  <si>
    <t>20250715102959</t>
  </si>
  <si>
    <t>20250716135900</t>
  </si>
  <si>
    <t>20250716135913</t>
  </si>
  <si>
    <t>20250716135925</t>
  </si>
  <si>
    <t>20250716140021</t>
  </si>
  <si>
    <t>20250716140032</t>
  </si>
  <si>
    <t>20250716140043</t>
  </si>
  <si>
    <t>20250716140332</t>
  </si>
  <si>
    <t>20250716140343</t>
  </si>
  <si>
    <t>20250716140354</t>
  </si>
  <si>
    <t>20250716140512</t>
  </si>
  <si>
    <t>20250716140524</t>
  </si>
  <si>
    <t>20250716140535</t>
  </si>
  <si>
    <t>20250716140625</t>
  </si>
  <si>
    <t>20250716140636</t>
  </si>
  <si>
    <t>20250716140649</t>
  </si>
  <si>
    <t>20250716140729</t>
  </si>
  <si>
    <t>20250716140742</t>
  </si>
  <si>
    <t>20250716140755</t>
  </si>
  <si>
    <t>20250716140837</t>
  </si>
  <si>
    <t>20250716140849</t>
  </si>
  <si>
    <t>20250716140904</t>
  </si>
  <si>
    <t>20250716123127</t>
  </si>
  <si>
    <t>20250716123139</t>
  </si>
  <si>
    <t>20250716123151</t>
  </si>
  <si>
    <t>20250716123246</t>
  </si>
  <si>
    <t>20250716123257</t>
  </si>
  <si>
    <t>20250716123309</t>
  </si>
  <si>
    <t>20250716123522</t>
  </si>
  <si>
    <t>20250716123535</t>
  </si>
  <si>
    <t>20250716123547</t>
  </si>
  <si>
    <t>20250716123633</t>
  </si>
  <si>
    <t>20250716123646</t>
  </si>
  <si>
    <t>20250716123657</t>
  </si>
  <si>
    <t>20250716123757</t>
  </si>
  <si>
    <t>20250716123809</t>
  </si>
  <si>
    <t>20250716123820</t>
  </si>
  <si>
    <t>20250716123903</t>
  </si>
  <si>
    <t>20250716123915</t>
  </si>
  <si>
    <t>20250716123927</t>
  </si>
  <si>
    <t>20250716124008</t>
  </si>
  <si>
    <t>20250716124019</t>
  </si>
  <si>
    <t>20250716124030</t>
  </si>
  <si>
    <t>20250716131935</t>
  </si>
  <si>
    <t>20250716131946</t>
  </si>
  <si>
    <t>20250716131958</t>
  </si>
  <si>
    <t>20250716132053</t>
  </si>
  <si>
    <t>20250716132110</t>
  </si>
  <si>
    <t>20250716132122</t>
  </si>
  <si>
    <t>20250716132242</t>
  </si>
  <si>
    <t>20250716132254</t>
  </si>
  <si>
    <t>20250716132305</t>
  </si>
  <si>
    <t>20250716132354</t>
  </si>
  <si>
    <t>20250716132406</t>
  </si>
  <si>
    <t>20250716132417</t>
  </si>
  <si>
    <t>20250716132529</t>
  </si>
  <si>
    <t>20250716132540</t>
  </si>
  <si>
    <t>20250716132552</t>
  </si>
  <si>
    <t>20250716132634</t>
  </si>
  <si>
    <t>20250716132645</t>
  </si>
  <si>
    <t>20250716132657</t>
  </si>
  <si>
    <t>20250716132738</t>
  </si>
  <si>
    <t>20250716132750</t>
  </si>
  <si>
    <t>20250716132802</t>
  </si>
  <si>
    <t>20250716105300</t>
  </si>
  <si>
    <t>20250716105312</t>
  </si>
  <si>
    <t>20250716105324</t>
  </si>
  <si>
    <t>20250716105559</t>
  </si>
  <si>
    <t>20250716105610</t>
  </si>
  <si>
    <t>20250716105622</t>
  </si>
  <si>
    <t>20250716110132</t>
  </si>
  <si>
    <t>20250716110145</t>
  </si>
  <si>
    <t>20250716110157</t>
  </si>
  <si>
    <t>20250716110439</t>
  </si>
  <si>
    <t>20250716110450</t>
  </si>
  <si>
    <t>20250716110502</t>
  </si>
  <si>
    <t>20250716110550</t>
  </si>
  <si>
    <t>20250716110608</t>
  </si>
  <si>
    <t>20250716110621</t>
  </si>
  <si>
    <t>20250716110705</t>
  </si>
  <si>
    <t>20250716110717</t>
  </si>
  <si>
    <t>20250716110729</t>
  </si>
  <si>
    <t>1.922</t>
  </si>
  <si>
    <t>2.182</t>
  </si>
  <si>
    <t>2.048</t>
  </si>
  <si>
    <t>2.211</t>
  </si>
  <si>
    <t>1.941</t>
  </si>
  <si>
    <t>2.064</t>
  </si>
  <si>
    <t>2.773</t>
  </si>
  <si>
    <t>2.774</t>
  </si>
  <si>
    <t>2.775</t>
  </si>
  <si>
    <t>2.567</t>
  </si>
  <si>
    <t>2.570</t>
  </si>
  <si>
    <t>2.572</t>
  </si>
  <si>
    <t>2.786</t>
  </si>
  <si>
    <t>2.807</t>
  </si>
  <si>
    <t>2.811</t>
  </si>
  <si>
    <t>2.629</t>
  </si>
  <si>
    <t>2.631</t>
  </si>
  <si>
    <t>2.633</t>
  </si>
  <si>
    <t>2.641</t>
  </si>
  <si>
    <t>2.643</t>
  </si>
  <si>
    <t>2.644</t>
  </si>
  <si>
    <t>1.404</t>
  </si>
  <si>
    <t>1.403</t>
  </si>
  <si>
    <t>1.665</t>
  </si>
  <si>
    <t>1.663</t>
  </si>
  <si>
    <t>1.703</t>
  </si>
  <si>
    <t>1.744</t>
  </si>
  <si>
    <t>2.380</t>
  </si>
  <si>
    <t>2.383</t>
  </si>
  <si>
    <t>2.386</t>
  </si>
  <si>
    <t>2.396</t>
  </si>
  <si>
    <t>2.399</t>
  </si>
  <si>
    <t>2.402</t>
  </si>
  <si>
    <t>3.063</t>
  </si>
  <si>
    <t>3.062</t>
  </si>
  <si>
    <t>3.061</t>
  </si>
  <si>
    <t>1.384</t>
  </si>
  <si>
    <t>1.385</t>
  </si>
  <si>
    <t>1.386</t>
  </si>
  <si>
    <t>1.389</t>
  </si>
  <si>
    <t>1.391</t>
  </si>
  <si>
    <t>1.392</t>
  </si>
  <si>
    <t>2.446</t>
  </si>
  <si>
    <t>2.447</t>
  </si>
  <si>
    <t>2.449</t>
  </si>
  <si>
    <t>2.454</t>
  </si>
  <si>
    <t>2.456</t>
  </si>
  <si>
    <t>2.457</t>
  </si>
  <si>
    <t>1.339</t>
  </si>
  <si>
    <t>1.365</t>
  </si>
  <si>
    <t>1.436</t>
  </si>
  <si>
    <t>1.866</t>
  </si>
  <si>
    <t>1.865</t>
  </si>
  <si>
    <t>1.847</t>
  </si>
  <si>
    <t>1.863</t>
  </si>
  <si>
    <t>1.682</t>
  </si>
  <si>
    <t>1.681</t>
  </si>
  <si>
    <t>2.007</t>
  </si>
  <si>
    <t>1.779</t>
  </si>
  <si>
    <t>1.780</t>
  </si>
  <si>
    <t>1.956</t>
  </si>
  <si>
    <t>1.957</t>
  </si>
  <si>
    <t>1.267</t>
  </si>
  <si>
    <t>1.255</t>
  </si>
  <si>
    <t>1.248</t>
  </si>
  <si>
    <t>1.706</t>
  </si>
  <si>
    <t>1.714</t>
  </si>
  <si>
    <t>1.707</t>
  </si>
  <si>
    <t>1.334</t>
  </si>
  <si>
    <t>1.335</t>
  </si>
  <si>
    <t>1.557</t>
  </si>
  <si>
    <t>1.558</t>
  </si>
  <si>
    <t>1.560</t>
  </si>
  <si>
    <t>1.498</t>
  </si>
  <si>
    <t>1.499</t>
  </si>
  <si>
    <t>1.500</t>
  </si>
  <si>
    <t>2.020</t>
  </si>
  <si>
    <t>1.620</t>
  </si>
  <si>
    <t>1.878</t>
  </si>
  <si>
    <t>1.834</t>
  </si>
  <si>
    <t>2.041</t>
  </si>
  <si>
    <t>2.165</t>
  </si>
  <si>
    <t>1.951</t>
  </si>
  <si>
    <t>2.170</t>
  </si>
  <si>
    <t>1.537</t>
  </si>
  <si>
    <t>1.519</t>
  </si>
  <si>
    <t>1.543</t>
  </si>
  <si>
    <t>1.411</t>
  </si>
  <si>
    <t>1.569</t>
  </si>
  <si>
    <t>1.715</t>
  </si>
  <si>
    <t>1.889</t>
  </si>
  <si>
    <t>1.891</t>
  </si>
  <si>
    <t>1.640</t>
  </si>
  <si>
    <t>1.901</t>
  </si>
  <si>
    <t>1.904</t>
  </si>
  <si>
    <t>1.491</t>
  </si>
  <si>
    <t>1.523</t>
  </si>
  <si>
    <t>1.709</t>
  </si>
  <si>
    <t>1.673</t>
  </si>
  <si>
    <t>1.883</t>
  </si>
  <si>
    <t>1.986</t>
  </si>
  <si>
    <t>2.098</t>
  </si>
  <si>
    <t>1.930</t>
  </si>
  <si>
    <t>3.303</t>
  </si>
  <si>
    <t>3.043</t>
  </si>
  <si>
    <t>3.042</t>
  </si>
  <si>
    <t>3.039</t>
  </si>
  <si>
    <t>3.037</t>
  </si>
  <si>
    <t>3.035</t>
  </si>
  <si>
    <t>9.236</t>
  </si>
  <si>
    <t>9.209</t>
  </si>
  <si>
    <t>9.182</t>
  </si>
  <si>
    <t>1.370</t>
  </si>
  <si>
    <t>1.366</t>
  </si>
  <si>
    <t>1.630</t>
  </si>
  <si>
    <t>1.624</t>
  </si>
  <si>
    <t>2.562</t>
  </si>
  <si>
    <t>2.558</t>
  </si>
  <si>
    <t>2.842</t>
  </si>
  <si>
    <t>2.746</t>
  </si>
  <si>
    <t>2.550</t>
  </si>
  <si>
    <t>2.549</t>
  </si>
  <si>
    <t>1.623</t>
  </si>
  <si>
    <t>1.564</t>
  </si>
  <si>
    <t>1.540</t>
  </si>
  <si>
    <t>2.314</t>
  </si>
  <si>
    <t>2.270</t>
  </si>
  <si>
    <t>2.299</t>
  </si>
  <si>
    <t>1.310</t>
  </si>
  <si>
    <t>1.309</t>
  </si>
  <si>
    <t>1.660</t>
  </si>
  <si>
    <t>1.659</t>
  </si>
  <si>
    <t>1.658</t>
  </si>
  <si>
    <t>0.982</t>
  </si>
  <si>
    <t>0.981</t>
  </si>
  <si>
    <t>0.996</t>
  </si>
  <si>
    <t>1.303</t>
  </si>
  <si>
    <t>1.298</t>
  </si>
  <si>
    <t>1.296</t>
  </si>
  <si>
    <t>1.028</t>
  </si>
  <si>
    <t>1.571</t>
  </si>
  <si>
    <t>1.405</t>
  </si>
  <si>
    <t>1.390</t>
  </si>
  <si>
    <t>2.246</t>
  </si>
  <si>
    <t>2.243</t>
  </si>
  <si>
    <t>2.241</t>
  </si>
  <si>
    <t>2.232</t>
  </si>
  <si>
    <t>2.283</t>
  </si>
  <si>
    <t>2.334</t>
  </si>
  <si>
    <t>3.924</t>
  </si>
  <si>
    <t>3.917</t>
  </si>
  <si>
    <t>3.910</t>
  </si>
  <si>
    <t>1.424</t>
  </si>
  <si>
    <t>1.289</t>
  </si>
  <si>
    <t>1.283</t>
  </si>
  <si>
    <t>1.195</t>
  </si>
  <si>
    <t>1.260</t>
  </si>
  <si>
    <t>2.174</t>
  </si>
  <si>
    <t>2.171</t>
  </si>
  <si>
    <t>2.169</t>
  </si>
  <si>
    <t>2.158</t>
  </si>
  <si>
    <t>2.155</t>
  </si>
  <si>
    <t>2.152</t>
  </si>
  <si>
    <t>1.328</t>
  </si>
  <si>
    <t>1.329</t>
  </si>
  <si>
    <t>1.614</t>
  </si>
  <si>
    <t>1.642</t>
  </si>
  <si>
    <t>1.900</t>
  </si>
  <si>
    <t>1.898</t>
  </si>
  <si>
    <t>1.896</t>
  </si>
  <si>
    <t>1.753</t>
  </si>
  <si>
    <t>1.570</t>
  </si>
  <si>
    <t>2.024</t>
  </si>
  <si>
    <t>2.026</t>
  </si>
  <si>
    <t>2.027</t>
  </si>
  <si>
    <t>1.021</t>
  </si>
  <si>
    <t>1.016</t>
  </si>
  <si>
    <t>1.066</t>
  </si>
  <si>
    <t>1.057</t>
  </si>
  <si>
    <t>1.106</t>
  </si>
  <si>
    <t>1.584</t>
  </si>
  <si>
    <t>1.581</t>
  </si>
  <si>
    <t>1.579</t>
  </si>
  <si>
    <t>1.578</t>
  </si>
  <si>
    <t>1.577</t>
  </si>
  <si>
    <t>1.174</t>
  </si>
  <si>
    <t>1.181</t>
  </si>
  <si>
    <t>1.186</t>
  </si>
  <si>
    <t>1.535</t>
  </si>
  <si>
    <t>1.487</t>
  </si>
  <si>
    <t>1.493</t>
  </si>
  <si>
    <t>2.711</t>
  </si>
  <si>
    <t>2.713</t>
  </si>
  <si>
    <t>2.716</t>
  </si>
  <si>
    <t>2.871</t>
  </si>
  <si>
    <t>2.735</t>
  </si>
  <si>
    <t>2.814</t>
  </si>
  <si>
    <t>1.678</t>
  </si>
  <si>
    <t>1.567</t>
  </si>
  <si>
    <t>3.316</t>
  </si>
  <si>
    <t>3.312</t>
  </si>
  <si>
    <t>3.308</t>
  </si>
  <si>
    <t>3.288</t>
  </si>
  <si>
    <t>3.283</t>
  </si>
  <si>
    <t>3.279</t>
  </si>
  <si>
    <t>1.528</t>
  </si>
  <si>
    <t>4.493</t>
  </si>
  <si>
    <t>4.481</t>
  </si>
  <si>
    <t>4.470</t>
  </si>
  <si>
    <t>1.313</t>
  </si>
  <si>
    <t>1.538</t>
  </si>
  <si>
    <t>1.007</t>
  </si>
  <si>
    <t>1.005</t>
  </si>
  <si>
    <t>1.004</t>
  </si>
  <si>
    <t>1.306</t>
  </si>
  <si>
    <t>1.305</t>
  </si>
  <si>
    <t>1.300</t>
  </si>
  <si>
    <t>1.061</t>
  </si>
  <si>
    <t>1.068</t>
  </si>
  <si>
    <t>1.060</t>
  </si>
  <si>
    <t>1.247</t>
  </si>
  <si>
    <t>1.246</t>
  </si>
  <si>
    <t>1.223</t>
  </si>
  <si>
    <t>1.222</t>
  </si>
  <si>
    <t>1.227</t>
  </si>
  <si>
    <t>1.238</t>
  </si>
  <si>
    <t>1.241</t>
  </si>
  <si>
    <t>1.843</t>
  </si>
  <si>
    <t>1.849</t>
  </si>
  <si>
    <t>2.339</t>
  </si>
  <si>
    <t>1.926</t>
  </si>
  <si>
    <t>2.406</t>
  </si>
  <si>
    <t>2.661</t>
  </si>
  <si>
    <t>2.668</t>
  </si>
  <si>
    <t>2.677</t>
  </si>
  <si>
    <t>1.563</t>
  </si>
  <si>
    <t>1.616</t>
  </si>
  <si>
    <t>1.595</t>
  </si>
  <si>
    <t>1.591</t>
  </si>
  <si>
    <t>2.573</t>
  </si>
  <si>
    <t>2.577</t>
  </si>
  <si>
    <t>2.581</t>
  </si>
  <si>
    <t>1.988</t>
  </si>
  <si>
    <t>1.989</t>
  </si>
  <si>
    <t>1.527</t>
  </si>
  <si>
    <t>1.554</t>
  </si>
  <si>
    <t>1.782</t>
  </si>
  <si>
    <t>1.735</t>
  </si>
  <si>
    <t>1.781</t>
  </si>
  <si>
    <t>2.167</t>
  </si>
  <si>
    <t>1.839</t>
  </si>
  <si>
    <t>1.684</t>
  </si>
  <si>
    <t>2.405</t>
  </si>
  <si>
    <t>1.239</t>
  </si>
  <si>
    <t>0.968</t>
  </si>
  <si>
    <t>1.494</t>
  </si>
  <si>
    <t>1.495</t>
  </si>
  <si>
    <t>1.952</t>
  </si>
  <si>
    <t>1.157</t>
  </si>
  <si>
    <t>1.466</t>
  </si>
  <si>
    <t>1.461</t>
  </si>
  <si>
    <t>1.102</t>
  </si>
  <si>
    <t>2.039</t>
  </si>
  <si>
    <t>2.036</t>
  </si>
  <si>
    <t>2.805</t>
  </si>
  <si>
    <t>1.197</t>
  </si>
  <si>
    <t>1.235</t>
  </si>
  <si>
    <t>1.751</t>
  </si>
  <si>
    <t>1.218</t>
  </si>
  <si>
    <t>1.572</t>
  </si>
  <si>
    <t>1.120</t>
  </si>
  <si>
    <t>1.155</t>
  </si>
  <si>
    <t>1.162</t>
  </si>
  <si>
    <t>1.484</t>
  </si>
  <si>
    <t>1.471</t>
  </si>
  <si>
    <t>2.043</t>
  </si>
  <si>
    <t>1.056</t>
  </si>
  <si>
    <t>1.445</t>
  </si>
  <si>
    <t>1.182</t>
  </si>
  <si>
    <t>1.457</t>
  </si>
  <si>
    <t>3.234</t>
  </si>
  <si>
    <t>2.927</t>
  </si>
  <si>
    <t>1.695</t>
  </si>
  <si>
    <t>1.769</t>
  </si>
  <si>
    <t>2.071</t>
  </si>
  <si>
    <t>2.092</t>
  </si>
  <si>
    <t>2.442</t>
  </si>
  <si>
    <t>1.458</t>
  </si>
  <si>
    <t>2.181</t>
  </si>
  <si>
    <t>2.197</t>
  </si>
  <si>
    <t>1.687</t>
  </si>
  <si>
    <t>1.819</t>
  </si>
  <si>
    <t>1.888</t>
  </si>
  <si>
    <t>1.885</t>
  </si>
  <si>
    <t>2.699</t>
  </si>
  <si>
    <t>1.161</t>
  </si>
  <si>
    <t>1.279</t>
  </si>
  <si>
    <t>1.867</t>
  </si>
  <si>
    <t>1.281</t>
  </si>
  <si>
    <t>1.757</t>
  </si>
  <si>
    <t>1.759</t>
  </si>
  <si>
    <t>2.837</t>
  </si>
  <si>
    <t>1.198</t>
  </si>
  <si>
    <t>1.371</t>
  </si>
  <si>
    <t>1.515</t>
  </si>
  <si>
    <t>1.217</t>
  </si>
  <si>
    <t>1.713</t>
  </si>
  <si>
    <t>1.742</t>
  </si>
  <si>
    <t>1.745</t>
  </si>
  <si>
    <t>2.151</t>
  </si>
  <si>
    <t>1.291</t>
  </si>
  <si>
    <t>1.506</t>
  </si>
  <si>
    <t>1.661</t>
  </si>
  <si>
    <t>1.667</t>
  </si>
  <si>
    <t>1.388</t>
  </si>
  <si>
    <t>1.721</t>
  </si>
  <si>
    <t>2.267</t>
  </si>
  <si>
    <t>2.207</t>
  </si>
  <si>
    <t>2.680</t>
  </si>
  <si>
    <t>1.398</t>
  </si>
  <si>
    <t>1.526</t>
  </si>
  <si>
    <t>1.422</t>
  </si>
  <si>
    <t>1.165</t>
  </si>
  <si>
    <t>1.432</t>
  </si>
  <si>
    <t>0.987</t>
  </si>
  <si>
    <t>1.320</t>
  </si>
  <si>
    <t>1.183</t>
  </si>
  <si>
    <t>1.747</t>
  </si>
  <si>
    <t>2.289</t>
  </si>
  <si>
    <t>1.251</t>
  </si>
  <si>
    <t>1.326</t>
  </si>
  <si>
    <t>1.361</t>
  </si>
  <si>
    <t>1.723</t>
  </si>
  <si>
    <t>2.593</t>
  </si>
  <si>
    <t>1.676</t>
  </si>
  <si>
    <t>1.662</t>
  </si>
  <si>
    <t>1.344</t>
  </si>
  <si>
    <t>1.702</t>
  </si>
  <si>
    <t>2.125</t>
  </si>
  <si>
    <t>1.207</t>
  </si>
  <si>
    <t>1.697</t>
  </si>
  <si>
    <t>1.592</t>
  </si>
  <si>
    <t>1.925</t>
  </si>
  <si>
    <t>2.580</t>
  </si>
  <si>
    <t>1.052</t>
  </si>
  <si>
    <t>1.315</t>
  </si>
  <si>
    <t>1.203</t>
  </si>
  <si>
    <t>1.396</t>
  </si>
  <si>
    <t>2.603</t>
  </si>
  <si>
    <t>2.597</t>
  </si>
  <si>
    <t>1.112</t>
  </si>
  <si>
    <t>1.244</t>
  </si>
  <si>
    <t>1.914</t>
  </si>
  <si>
    <t>1.221</t>
  </si>
  <si>
    <t>1.870</t>
  </si>
  <si>
    <t>1.919</t>
  </si>
  <si>
    <t>2.586</t>
  </si>
  <si>
    <t>1.228</t>
  </si>
  <si>
    <t>1.429</t>
  </si>
  <si>
    <t>1.802</t>
  </si>
  <si>
    <t>1.915</t>
  </si>
  <si>
    <t>1.332</t>
  </si>
  <si>
    <t>1.967</t>
  </si>
  <si>
    <t>1.029</t>
  </si>
  <si>
    <t>1.079</t>
  </si>
  <si>
    <t>1.449</t>
  </si>
  <si>
    <t>1.448</t>
  </si>
  <si>
    <t>1.069</t>
  </si>
  <si>
    <t>1.063</t>
  </si>
  <si>
    <t>1.399</t>
  </si>
  <si>
    <t>1.777</t>
  </si>
  <si>
    <t>1.817</t>
  </si>
  <si>
    <t>2.373</t>
  </si>
  <si>
    <t>1.468</t>
  </si>
  <si>
    <t>1.467</t>
  </si>
  <si>
    <t>2.082</t>
  </si>
  <si>
    <t>2.072</t>
  </si>
  <si>
    <t>1.766</t>
  </si>
  <si>
    <t>1.895</t>
  </si>
  <si>
    <t>1.874</t>
  </si>
  <si>
    <t>1.876</t>
  </si>
  <si>
    <t>1.879</t>
  </si>
  <si>
    <t>2.709</t>
  </si>
  <si>
    <t>2.707</t>
  </si>
  <si>
    <t>1.277</t>
  </si>
  <si>
    <t>1.285</t>
  </si>
  <si>
    <t>1.274</t>
  </si>
  <si>
    <t>1.452</t>
  </si>
  <si>
    <t>1.451</t>
  </si>
  <si>
    <t>1.877</t>
  </si>
  <si>
    <t>1.875</t>
  </si>
  <si>
    <t>1.226</t>
  </si>
  <si>
    <t>1.213</t>
  </si>
  <si>
    <t>1.446</t>
  </si>
  <si>
    <t>1.420</t>
  </si>
  <si>
    <t>1.379</t>
  </si>
  <si>
    <t>1.409</t>
  </si>
  <si>
    <t>1.410</t>
  </si>
  <si>
    <t>2.997</t>
  </si>
  <si>
    <t>2.664</t>
  </si>
  <si>
    <t>2.918</t>
  </si>
  <si>
    <t>2.657</t>
  </si>
  <si>
    <t>2.077</t>
  </si>
  <si>
    <t>2.180</t>
  </si>
  <si>
    <t>2.094</t>
  </si>
  <si>
    <t>2.004</t>
  </si>
  <si>
    <t>2.008</t>
  </si>
  <si>
    <t>1.947</t>
  </si>
  <si>
    <t>1.864</t>
  </si>
  <si>
    <t>1.594</t>
  </si>
  <si>
    <t>2.928</t>
  </si>
  <si>
    <t>1.775</t>
  </si>
  <si>
    <t>1.845</t>
  </si>
  <si>
    <t>1.862</t>
  </si>
  <si>
    <t>1.488</t>
  </si>
  <si>
    <t>1.738</t>
  </si>
  <si>
    <t>1.492</t>
  </si>
  <si>
    <t>1.374</t>
  </si>
  <si>
    <t>2.487</t>
  </si>
  <si>
    <t>2.250</t>
  </si>
  <si>
    <t>2.412</t>
  </si>
  <si>
    <t>1.508</t>
  </si>
  <si>
    <t>1.507</t>
  </si>
  <si>
    <t>1.505</t>
  </si>
  <si>
    <t>1.929</t>
  </si>
  <si>
    <t>1.931</t>
  </si>
  <si>
    <t>1.170</t>
  </si>
  <si>
    <t>1.176</t>
  </si>
  <si>
    <t>1.168</t>
  </si>
  <si>
    <t>1.110</t>
  </si>
  <si>
    <t>1.119</t>
  </si>
  <si>
    <t>1.490</t>
  </si>
  <si>
    <t>1.518</t>
  </si>
  <si>
    <t>1.167</t>
  </si>
  <si>
    <t>1.160</t>
  </si>
  <si>
    <t>2.520</t>
  </si>
  <si>
    <t>2.519</t>
  </si>
  <si>
    <t>2.516</t>
  </si>
  <si>
    <t>2.515</t>
  </si>
  <si>
    <t>2.514</t>
  </si>
  <si>
    <t>2.880</t>
  </si>
  <si>
    <t>3.392</t>
  </si>
  <si>
    <t>6.036</t>
  </si>
  <si>
    <t>6.042</t>
  </si>
  <si>
    <t>1.639</t>
  </si>
  <si>
    <t>1.346</t>
  </si>
  <si>
    <t>2.357</t>
  </si>
  <si>
    <t>2.356</t>
  </si>
  <si>
    <t>2.354</t>
  </si>
  <si>
    <t>2.935</t>
  </si>
  <si>
    <t>2.932</t>
  </si>
  <si>
    <t>2.929</t>
  </si>
  <si>
    <t>1.364</t>
  </si>
  <si>
    <t>1.434</t>
  </si>
  <si>
    <t>1.934</t>
  </si>
  <si>
    <t>1.982</t>
  </si>
  <si>
    <t>1.981</t>
  </si>
  <si>
    <t>2.355</t>
  </si>
  <si>
    <t>1.994</t>
  </si>
  <si>
    <t>1.435</t>
  </si>
  <si>
    <t>1.064</t>
  </si>
  <si>
    <t>1.360</t>
  </si>
  <si>
    <t>1.517</t>
  </si>
  <si>
    <t>1.150</t>
  </si>
  <si>
    <t>1.202</t>
  </si>
  <si>
    <t>1.975</t>
  </si>
  <si>
    <t>1.974</t>
  </si>
  <si>
    <t>1.547</t>
  </si>
  <si>
    <t>1.573</t>
  </si>
  <si>
    <t>1.680</t>
  </si>
  <si>
    <t>1.090</t>
  </si>
  <si>
    <t>1.091</t>
  </si>
  <si>
    <t>1.763</t>
  </si>
  <si>
    <t>1.606</t>
  </si>
  <si>
    <t>1.127</t>
  </si>
  <si>
    <t>1.140</t>
  </si>
  <si>
    <t>1.551</t>
  </si>
  <si>
    <t>1.512</t>
  </si>
  <si>
    <t>2.035</t>
  </si>
  <si>
    <t>2.031</t>
  </si>
  <si>
    <t>2.030</t>
  </si>
  <si>
    <t>2.029</t>
  </si>
  <si>
    <t>1.358</t>
  </si>
  <si>
    <t>1.359</t>
  </si>
  <si>
    <t>1.811</t>
  </si>
  <si>
    <t>1.809</t>
  </si>
  <si>
    <t>1.807</t>
  </si>
  <si>
    <t>1.376</t>
  </si>
  <si>
    <t>1.327</t>
  </si>
  <si>
    <t>2.101</t>
  </si>
  <si>
    <t>2.081</t>
  </si>
  <si>
    <t>2.086</t>
  </si>
  <si>
    <t>2.002</t>
  </si>
  <si>
    <t>2.001</t>
  </si>
  <si>
    <t>2.000</t>
  </si>
  <si>
    <t>2.239</t>
  </si>
  <si>
    <t>2.226</t>
  </si>
  <si>
    <t>2.227</t>
  </si>
  <si>
    <t>1.428</t>
  </si>
  <si>
    <t>2.401</t>
  </si>
  <si>
    <t>2.404</t>
  </si>
  <si>
    <t>2.347</t>
  </si>
  <si>
    <t>1.698</t>
  </si>
  <si>
    <t>1.456</t>
  </si>
  <si>
    <t>1.447</t>
  </si>
  <si>
    <t>1.438</t>
  </si>
  <si>
    <t>1.688</t>
  </si>
  <si>
    <t>1.689</t>
  </si>
  <si>
    <t>1.690</t>
  </si>
  <si>
    <t>1.231</t>
  </si>
  <si>
    <t>1.232</t>
  </si>
  <si>
    <t>1.939</t>
  </si>
  <si>
    <t>1.942</t>
  </si>
  <si>
    <t>1.943</t>
  </si>
  <si>
    <t>1.950</t>
  </si>
  <si>
    <t>2.461</t>
  </si>
  <si>
    <t>2.458</t>
  </si>
  <si>
    <t>1.575</t>
  </si>
  <si>
    <t>1.574</t>
  </si>
  <si>
    <t>2.679</t>
  </si>
  <si>
    <t>2.674</t>
  </si>
  <si>
    <t>2.665</t>
  </si>
  <si>
    <t>2.359</t>
  </si>
  <si>
    <t>2.353</t>
  </si>
  <si>
    <t>1.513</t>
  </si>
  <si>
    <t>1.582</t>
  </si>
  <si>
    <t>1.439</t>
  </si>
  <si>
    <t>1.440</t>
  </si>
  <si>
    <t>1.444</t>
  </si>
  <si>
    <t>0.983</t>
  </si>
  <si>
    <t>0.979</t>
  </si>
  <si>
    <t>0.978</t>
  </si>
  <si>
    <t>1.042</t>
  </si>
  <si>
    <t>1.043</t>
  </si>
  <si>
    <t>1.462</t>
  </si>
  <si>
    <t>1.006</t>
  </si>
  <si>
    <t>1.402</t>
  </si>
  <si>
    <t>1.431</t>
  </si>
  <si>
    <t>1.349</t>
  </si>
  <si>
    <t>1.345</t>
  </si>
  <si>
    <t>2.319</t>
  </si>
  <si>
    <t>2.325</t>
  </si>
  <si>
    <t>2.342</t>
  </si>
  <si>
    <t>2.345</t>
  </si>
  <si>
    <t>2.350</t>
  </si>
  <si>
    <t>1.085</t>
  </si>
  <si>
    <t>2.192</t>
  </si>
  <si>
    <t>2.531</t>
  </si>
  <si>
    <t>1.065</t>
  </si>
  <si>
    <t>1.088</t>
  </si>
  <si>
    <t>1.082</t>
  </si>
  <si>
    <t>1.031</t>
  </si>
  <si>
    <t>1.696</t>
  </si>
  <si>
    <t>1.694</t>
  </si>
  <si>
    <t>1.693</t>
  </si>
  <si>
    <t>1.603</t>
  </si>
  <si>
    <t>1.602</t>
  </si>
  <si>
    <t>1.600</t>
  </si>
  <si>
    <t>1.212</t>
  </si>
  <si>
    <t>1.708</t>
  </si>
  <si>
    <t>1.311</t>
  </si>
  <si>
    <t>1.921</t>
  </si>
  <si>
    <t>1.268</t>
  </si>
  <si>
    <t>2.975</t>
  </si>
  <si>
    <t>2.981</t>
  </si>
  <si>
    <t>2.987</t>
  </si>
  <si>
    <t>2.510</t>
  </si>
  <si>
    <t>2.511</t>
  </si>
  <si>
    <t>2.512</t>
  </si>
  <si>
    <t>2.525</t>
  </si>
  <si>
    <t>2.526</t>
  </si>
  <si>
    <t>2.527</t>
  </si>
  <si>
    <t>1.103</t>
  </si>
  <si>
    <t>1.104</t>
  </si>
  <si>
    <t>1.984</t>
  </si>
  <si>
    <t>1.983</t>
  </si>
  <si>
    <t>2.366</t>
  </si>
  <si>
    <t>2.365</t>
  </si>
  <si>
    <t>1.124</t>
  </si>
  <si>
    <t>1.123</t>
  </si>
  <si>
    <t>2.022</t>
  </si>
  <si>
    <t>2.053</t>
  </si>
  <si>
    <t>2.057</t>
  </si>
  <si>
    <t>2.060</t>
  </si>
  <si>
    <t>1.211</t>
  </si>
  <si>
    <t>2.190</t>
  </si>
  <si>
    <t>2.194</t>
  </si>
  <si>
    <t>2.196</t>
  </si>
  <si>
    <t>2.208</t>
  </si>
  <si>
    <t>2.209</t>
  </si>
  <si>
    <t>1.325</t>
  </si>
  <si>
    <t>0.937</t>
  </si>
  <si>
    <t>1.118</t>
  </si>
  <si>
    <t>1.133</t>
  </si>
  <si>
    <t>1.131</t>
  </si>
  <si>
    <t>1.130</t>
  </si>
  <si>
    <t>1.474</t>
  </si>
  <si>
    <t>1.473</t>
  </si>
  <si>
    <t>1.469</t>
  </si>
  <si>
    <t>0.916</t>
  </si>
  <si>
    <t>0.917</t>
  </si>
  <si>
    <t>0.947</t>
  </si>
  <si>
    <t>1.323</t>
  </si>
  <si>
    <t>1.322</t>
  </si>
  <si>
    <t>1.269</t>
  </si>
  <si>
    <t>1.249</t>
  </si>
  <si>
    <t>1.482</t>
  </si>
  <si>
    <t>1.481</t>
  </si>
  <si>
    <t>1.546</t>
  </si>
  <si>
    <t>1.083</t>
  </si>
  <si>
    <t>1.636</t>
  </si>
  <si>
    <t>1.635</t>
  </si>
  <si>
    <t>1.634</t>
  </si>
  <si>
    <t>1.629</t>
  </si>
  <si>
    <t>1.628</t>
  </si>
  <si>
    <t>1.626</t>
  </si>
  <si>
    <t>1.073</t>
  </si>
  <si>
    <t>1.727</t>
  </si>
  <si>
    <t>1.730</t>
  </si>
  <si>
    <t>1.705</t>
  </si>
  <si>
    <t>2.148</t>
  </si>
  <si>
    <t>2.147</t>
  </si>
  <si>
    <t>2.143</t>
  </si>
  <si>
    <t>1.252</t>
  </si>
  <si>
    <t>1.290</t>
  </si>
  <si>
    <t>2.005</t>
  </si>
  <si>
    <t>1.164</t>
  </si>
  <si>
    <t>1.787</t>
  </si>
  <si>
    <t>1.788</t>
  </si>
  <si>
    <t>1.199</t>
  </si>
  <si>
    <t>1.430</t>
  </si>
  <si>
    <t>1.587</t>
  </si>
  <si>
    <t>1.585</t>
  </si>
  <si>
    <t>1.126</t>
  </si>
  <si>
    <t>1.668</t>
  </si>
  <si>
    <t>1.001</t>
  </si>
  <si>
    <t>0.995</t>
  </si>
  <si>
    <t>1.076</t>
  </si>
  <si>
    <t>1.084</t>
  </si>
  <si>
    <t>1.541</t>
  </si>
  <si>
    <t>1.542</t>
  </si>
  <si>
    <t>1.135</t>
  </si>
  <si>
    <t>1.137</t>
  </si>
  <si>
    <t>1.655</t>
  </si>
  <si>
    <t>1.909</t>
  </si>
  <si>
    <t>1.910</t>
  </si>
  <si>
    <t>1.588</t>
  </si>
  <si>
    <t>1.806</t>
  </si>
  <si>
    <t>1.805</t>
  </si>
  <si>
    <t>1.200</t>
  </si>
  <si>
    <t>1.576</t>
  </si>
  <si>
    <t>1.292</t>
  </si>
  <si>
    <t>2.038</t>
  </si>
  <si>
    <t>2.033</t>
  </si>
  <si>
    <t>2.016</t>
  </si>
  <si>
    <t>2.013</t>
  </si>
  <si>
    <t>2.010</t>
  </si>
  <si>
    <t>1.831</t>
  </si>
  <si>
    <t>1.051</t>
  </si>
  <si>
    <t>1.036</t>
  </si>
  <si>
    <t>1.916</t>
  </si>
  <si>
    <t>1.393</t>
  </si>
  <si>
    <t>1.586</t>
  </si>
  <si>
    <t>1.593</t>
  </si>
  <si>
    <t>1.596</t>
  </si>
  <si>
    <t>1.968</t>
  </si>
  <si>
    <t>1.097</t>
  </si>
  <si>
    <t>1.250</t>
  </si>
  <si>
    <t>1.258</t>
  </si>
  <si>
    <t>1.219</t>
  </si>
  <si>
    <t>1.627</t>
  </si>
  <si>
    <t>1.520</t>
  </si>
  <si>
    <t>1.521</t>
  </si>
  <si>
    <t>1.522</t>
  </si>
  <si>
    <t>1.141</t>
  </si>
  <si>
    <t>1.158</t>
  </si>
  <si>
    <t>1.859</t>
  </si>
  <si>
    <t>1.810</t>
  </si>
  <si>
    <t>2.420</t>
  </si>
  <si>
    <t>2.422</t>
  </si>
  <si>
    <t>2.425</t>
  </si>
  <si>
    <t>2.434</t>
  </si>
  <si>
    <t>2.437</t>
  </si>
  <si>
    <t>2.438</t>
  </si>
  <si>
    <t>2.759</t>
  </si>
  <si>
    <t>2.760</t>
  </si>
  <si>
    <t>2.762</t>
  </si>
  <si>
    <t>1.793</t>
  </si>
  <si>
    <t>1.760</t>
  </si>
  <si>
    <t>2.504</t>
  </si>
  <si>
    <t>2.553</t>
  </si>
  <si>
    <t>2.536</t>
  </si>
  <si>
    <t>2.599</t>
  </si>
  <si>
    <t>2.490</t>
  </si>
  <si>
    <t>1.700</t>
  </si>
  <si>
    <t>1.675</t>
  </si>
  <si>
    <t>2.264</t>
  </si>
  <si>
    <t>2.238</t>
  </si>
  <si>
    <t>2.277</t>
  </si>
  <si>
    <t>1.657</t>
  </si>
  <si>
    <t>1.656</t>
  </si>
  <si>
    <t>1.653</t>
  </si>
  <si>
    <t>1.652</t>
  </si>
  <si>
    <t>1.945</t>
  </si>
  <si>
    <t>1.944</t>
  </si>
  <si>
    <t>1.454</t>
  </si>
  <si>
    <t>1.455</t>
  </si>
  <si>
    <t>1.460</t>
  </si>
  <si>
    <t>1.146</t>
  </si>
  <si>
    <t>1.147</t>
  </si>
  <si>
    <t>2.061</t>
  </si>
  <si>
    <t>1.822</t>
  </si>
  <si>
    <t>1.677</t>
  </si>
  <si>
    <t>1.783</t>
  </si>
  <si>
    <t>1.784</t>
  </si>
  <si>
    <t>1.704</t>
  </si>
  <si>
    <t>1.453</t>
  </si>
  <si>
    <t>1.758</t>
  </si>
  <si>
    <t>1.938</t>
  </si>
  <si>
    <t>2.012</t>
  </si>
  <si>
    <t>1.605</t>
  </si>
  <si>
    <t>1.618</t>
  </si>
  <si>
    <t>1.818</t>
  </si>
  <si>
    <t>2.040</t>
  </si>
  <si>
    <t>0.984</t>
  </si>
  <si>
    <t>1.011</t>
  </si>
  <si>
    <t>1.089</t>
  </si>
  <si>
    <t>1.070</t>
  </si>
  <si>
    <t>1.343</t>
  </si>
  <si>
    <t>1.378</t>
  </si>
  <si>
    <t>2.149</t>
  </si>
  <si>
    <t>2.003</t>
  </si>
  <si>
    <t>2.006</t>
  </si>
  <si>
    <t>2.018</t>
  </si>
  <si>
    <t>2.021</t>
  </si>
  <si>
    <t>2.796</t>
  </si>
  <si>
    <t>2.798</t>
  </si>
  <si>
    <t>2.800</t>
  </si>
  <si>
    <t>1.394</t>
  </si>
  <si>
    <t>1.395</t>
  </si>
  <si>
    <t>1.407</t>
  </si>
  <si>
    <t>2.088</t>
  </si>
  <si>
    <t>2.090</t>
  </si>
  <si>
    <t>2.099</t>
  </si>
  <si>
    <t>2.103</t>
  </si>
  <si>
    <t>1.589</t>
  </si>
  <si>
    <t>2.870</t>
  </si>
  <si>
    <t>2.875</t>
  </si>
  <si>
    <t>2.879</t>
  </si>
  <si>
    <t>2.896</t>
  </si>
  <si>
    <t>2.899</t>
  </si>
  <si>
    <t>2.902</t>
  </si>
  <si>
    <t>1.342</t>
  </si>
  <si>
    <t>2.153</t>
  </si>
  <si>
    <t>2.113</t>
  </si>
  <si>
    <t>1.959</t>
  </si>
  <si>
    <t>1.955</t>
  </si>
  <si>
    <t>1.927</t>
  </si>
  <si>
    <t>2.612</t>
  </si>
  <si>
    <t>2.616</t>
  </si>
  <si>
    <t>2.621</t>
  </si>
  <si>
    <t>2.909</t>
  </si>
  <si>
    <t>2.910</t>
  </si>
  <si>
    <t>2.295</t>
  </si>
  <si>
    <t>2.292</t>
  </si>
  <si>
    <t>2.284</t>
  </si>
  <si>
    <t>2.271</t>
  </si>
  <si>
    <t>1.459</t>
  </si>
  <si>
    <t>1.423</t>
  </si>
  <si>
    <t>2.517</t>
  </si>
  <si>
    <t>1.773</t>
  </si>
  <si>
    <t>1.728</t>
  </si>
  <si>
    <t>1.736</t>
  </si>
  <si>
    <t>2.225</t>
  </si>
  <si>
    <t>2.229</t>
  </si>
  <si>
    <t>1.836</t>
  </si>
  <si>
    <t>1.835</t>
  </si>
  <si>
    <t>1.832</t>
  </si>
  <si>
    <t>2.202</t>
  </si>
  <si>
    <t>1.347</t>
  </si>
  <si>
    <t>1.377</t>
  </si>
  <si>
    <t>1.711</t>
  </si>
  <si>
    <t>1.699</t>
  </si>
  <si>
    <t>2.528</t>
  </si>
  <si>
    <t>2.529</t>
  </si>
  <si>
    <t>2.530</t>
  </si>
  <si>
    <t>2.233</t>
  </si>
  <si>
    <t>2.235</t>
  </si>
  <si>
    <t>2.237</t>
  </si>
  <si>
    <t>1.846</t>
  </si>
  <si>
    <t>1.844</t>
  </si>
  <si>
    <t>1.842</t>
  </si>
  <si>
    <t>1.893</t>
  </si>
  <si>
    <t>1.890</t>
  </si>
  <si>
    <t>1.077</t>
  </si>
  <si>
    <t>1.075</t>
  </si>
  <si>
    <t>1.074</t>
  </si>
  <si>
    <t>1.109</t>
  </si>
  <si>
    <t>1.794</t>
  </si>
  <si>
    <t>1.229</t>
  </si>
  <si>
    <t>1.544</t>
  </si>
  <si>
    <t>1.608</t>
  </si>
  <si>
    <t>1.539</t>
  </si>
  <si>
    <t>1.821</t>
  </si>
  <si>
    <t>0.972</t>
  </si>
  <si>
    <t>0.977</t>
  </si>
  <si>
    <t>0.971</t>
  </si>
  <si>
    <t>1.529</t>
  </si>
  <si>
    <t>1.094</t>
  </si>
  <si>
    <t>2.178</t>
  </si>
  <si>
    <t>2.156</t>
  </si>
  <si>
    <t>2.137</t>
  </si>
  <si>
    <t>2.132</t>
  </si>
  <si>
    <t>2.128</t>
  </si>
  <si>
    <t>2.051</t>
  </si>
  <si>
    <t>2.047</t>
  </si>
  <si>
    <t>1.171</t>
  </si>
  <si>
    <t>1.686</t>
  </si>
  <si>
    <t>2.990</t>
  </si>
  <si>
    <t>2.982</t>
  </si>
  <si>
    <t>2.949</t>
  </si>
  <si>
    <t>2.942</t>
  </si>
  <si>
    <t>2.936</t>
  </si>
  <si>
    <t>1.750</t>
  </si>
  <si>
    <t>2.768</t>
  </si>
  <si>
    <t>2.741</t>
  </si>
  <si>
    <t>2.736</t>
  </si>
  <si>
    <t>2.731</t>
  </si>
  <si>
    <t>1.534</t>
  </si>
  <si>
    <t>2.850</t>
  </si>
  <si>
    <t>2.847</t>
  </si>
  <si>
    <t>2.845</t>
  </si>
  <si>
    <t>1.443</t>
  </si>
  <si>
    <t>1.935</t>
  </si>
  <si>
    <t>1.172</t>
  </si>
  <si>
    <t>1.136</t>
  </si>
  <si>
    <t>1.166</t>
  </si>
  <si>
    <t>1.380</t>
  </si>
  <si>
    <t>1.382</t>
  </si>
  <si>
    <t>1.383</t>
  </si>
  <si>
    <t>1.179</t>
  </si>
  <si>
    <t>2.480</t>
  </si>
  <si>
    <t>1.613</t>
  </si>
  <si>
    <t>2.297</t>
  </si>
  <si>
    <t>2.294</t>
  </si>
  <si>
    <t>2.286</t>
  </si>
  <si>
    <t>2.281</t>
  </si>
  <si>
    <t>1.833</t>
  </si>
  <si>
    <t>2.673</t>
  </si>
  <si>
    <t>2.776</t>
  </si>
  <si>
    <t>2.770</t>
  </si>
  <si>
    <t>2.900</t>
  </si>
  <si>
    <t>2.491</t>
  </si>
  <si>
    <t>2.486</t>
  </si>
  <si>
    <t>1.654</t>
  </si>
  <si>
    <t>1.645</t>
  </si>
  <si>
    <t>2.130</t>
  </si>
  <si>
    <t>2.134</t>
  </si>
  <si>
    <t>1.297</t>
  </si>
  <si>
    <t>1.701</t>
  </si>
  <si>
    <t>1.644</t>
  </si>
  <si>
    <t>1.033</t>
  </si>
  <si>
    <t>1.035</t>
  </si>
  <si>
    <t>1.095</t>
  </si>
  <si>
    <t>1.321</t>
  </si>
  <si>
    <t>1.058</t>
  </si>
  <si>
    <t>1.053</t>
  </si>
  <si>
    <t>1.548</t>
  </si>
  <si>
    <t>1.621</t>
  </si>
  <si>
    <t>1.611</t>
  </si>
  <si>
    <t>1.192</t>
  </si>
  <si>
    <t>1.193</t>
  </si>
  <si>
    <t>1.565</t>
  </si>
  <si>
    <t>1.561</t>
  </si>
  <si>
    <t>1.855</t>
  </si>
  <si>
    <t>2.671</t>
  </si>
  <si>
    <t>1.163</t>
  </si>
  <si>
    <t>1.040</t>
  </si>
  <si>
    <t>169349122176049100000000000000</t>
  </si>
  <si>
    <t>1.190</t>
  </si>
  <si>
    <t>1.189</t>
  </si>
  <si>
    <t>1.583</t>
  </si>
  <si>
    <t>1.880</t>
  </si>
  <si>
    <t>1.881</t>
  </si>
  <si>
    <t>2.252</t>
  </si>
  <si>
    <t>2.248</t>
  </si>
  <si>
    <t>1.304</t>
  </si>
  <si>
    <t>1.472</t>
  </si>
  <si>
    <t>1.907</t>
  </si>
  <si>
    <t>1.550</t>
  </si>
  <si>
    <t>1.549</t>
  </si>
  <si>
    <t>2.162</t>
  </si>
  <si>
    <t>1.632</t>
  </si>
  <si>
    <t>1.633</t>
  </si>
  <si>
    <t>1.637</t>
  </si>
  <si>
    <t>1.638</t>
  </si>
  <si>
    <t>1.254</t>
  </si>
  <si>
    <t>1.348</t>
  </si>
  <si>
    <t>1.772</t>
  </si>
  <si>
    <t>1.774</t>
  </si>
  <si>
    <t>2.254</t>
  </si>
  <si>
    <t>1.240</t>
  </si>
  <si>
    <t>1.797</t>
  </si>
  <si>
    <t>1.869</t>
  </si>
  <si>
    <t>1.800</t>
  </si>
  <si>
    <t>1.812</t>
  </si>
  <si>
    <t>1.894</t>
  </si>
  <si>
    <t>1.765</t>
  </si>
  <si>
    <t>1.764</t>
  </si>
  <si>
    <t>2.230</t>
  </si>
  <si>
    <t>2.337</t>
  </si>
  <si>
    <t>1.470</t>
  </si>
  <si>
    <t>1.465</t>
  </si>
  <si>
    <t>2.049</t>
  </si>
  <si>
    <t>1.516</t>
  </si>
  <si>
    <t>1.243</t>
  </si>
  <si>
    <t>2.045</t>
  </si>
  <si>
    <t>2.044</t>
  </si>
  <si>
    <t>2.574</t>
  </si>
  <si>
    <t>2.566</t>
  </si>
  <si>
    <t>1.048</t>
  </si>
  <si>
    <t>1.062</t>
  </si>
  <si>
    <t>2.050</t>
  </si>
  <si>
    <t>2.300</t>
  </si>
  <si>
    <t>1.351</t>
  </si>
  <si>
    <t>1.362</t>
  </si>
  <si>
    <t>1.476</t>
  </si>
  <si>
    <t>1.352</t>
  </si>
  <si>
    <t>1.873</t>
  </si>
  <si>
    <t>1.185</t>
  </si>
  <si>
    <t>1.837</t>
  </si>
  <si>
    <t>1.828</t>
  </si>
  <si>
    <t>1.827</t>
  </si>
  <si>
    <t>1.966</t>
  </si>
  <si>
    <t>1.257</t>
  </si>
  <si>
    <t>1.692</t>
  </si>
  <si>
    <t>1.718</t>
  </si>
  <si>
    <t>3.131</t>
  </si>
  <si>
    <t>3.245</t>
  </si>
  <si>
    <t>2.249</t>
  </si>
  <si>
    <t>2.623</t>
  </si>
  <si>
    <t>2.322</t>
  </si>
  <si>
    <t>1.401</t>
  </si>
  <si>
    <t>1.716</t>
  </si>
  <si>
    <t>1.726</t>
  </si>
  <si>
    <t>1.754</t>
  </si>
  <si>
    <t>1.752</t>
  </si>
  <si>
    <t>1.740</t>
  </si>
  <si>
    <t>1.441</t>
  </si>
  <si>
    <t>1.743</t>
  </si>
  <si>
    <t>1.748</t>
  </si>
  <si>
    <t>1.789</t>
  </si>
  <si>
    <t>1.356</t>
  </si>
  <si>
    <t>1.412</t>
  </si>
  <si>
    <t>1.899</t>
  </si>
  <si>
    <t>1.852</t>
  </si>
  <si>
    <t>1.853</t>
  </si>
  <si>
    <t>2.052</t>
  </si>
  <si>
    <t>1.762</t>
  </si>
  <si>
    <t>4.009</t>
  </si>
  <si>
    <t>3.767</t>
  </si>
  <si>
    <t>3.777</t>
  </si>
  <si>
    <t>3.774</t>
  </si>
  <si>
    <t>2.584</t>
  </si>
  <si>
    <t>4.310</t>
  </si>
  <si>
    <t>4.064</t>
  </si>
  <si>
    <t>3.051</t>
  </si>
  <si>
    <t>3.918</t>
  </si>
  <si>
    <t>3.919</t>
  </si>
  <si>
    <t>2.551</t>
  </si>
  <si>
    <t>2.440</t>
  </si>
  <si>
    <t>2.557</t>
  </si>
  <si>
    <t>2.503</t>
  </si>
  <si>
    <t>1.555</t>
  </si>
  <si>
    <t>2.600</t>
  </si>
  <si>
    <t>2.535</t>
  </si>
  <si>
    <t>2.424</t>
  </si>
  <si>
    <t>2.236</t>
  </si>
  <si>
    <t>2.164</t>
  </si>
  <si>
    <t>1.308</t>
  </si>
  <si>
    <t>1.307</t>
  </si>
  <si>
    <t>1.619</t>
  </si>
  <si>
    <t>4.058</t>
  </si>
  <si>
    <t>4.056</t>
  </si>
  <si>
    <t>4.054</t>
  </si>
  <si>
    <t>4.049</t>
  </si>
  <si>
    <t>4.047</t>
  </si>
  <si>
    <t>4.046</t>
  </si>
  <si>
    <t>3.772</t>
  </si>
  <si>
    <t>4.040</t>
  </si>
  <si>
    <t>4.039</t>
  </si>
  <si>
    <t>1.799</t>
  </si>
  <si>
    <t>4.033</t>
  </si>
  <si>
    <t>4.035</t>
  </si>
  <si>
    <t>4.036</t>
  </si>
  <si>
    <t>960083017021292400000000000000</t>
  </si>
  <si>
    <t>2.370</t>
  </si>
  <si>
    <t>2.173</t>
  </si>
  <si>
    <t>2.221</t>
  </si>
  <si>
    <t>1.737</t>
  </si>
  <si>
    <t>1.767</t>
  </si>
  <si>
    <t>2.344</t>
  </si>
  <si>
    <t>2.343</t>
  </si>
  <si>
    <t>1.114</t>
  </si>
  <si>
    <t>1.294</t>
  </si>
  <si>
    <t>1.604</t>
  </si>
  <si>
    <t>1.253</t>
  </si>
  <si>
    <t>1.236</t>
  </si>
  <si>
    <t>1.450</t>
  </si>
  <si>
    <t>2.403</t>
  </si>
  <si>
    <t>2.552</t>
  </si>
  <si>
    <t>1.647</t>
  </si>
  <si>
    <t>3.478</t>
  </si>
  <si>
    <t>3.475</t>
  </si>
  <si>
    <t>3.473</t>
  </si>
  <si>
    <t>1.556</t>
  </si>
  <si>
    <t>2.108</t>
  </si>
  <si>
    <t>2.326</t>
  </si>
  <si>
    <t>2.384</t>
  </si>
  <si>
    <t>3.090</t>
  </si>
  <si>
    <t>3.094</t>
  </si>
  <si>
    <t>1.768</t>
  </si>
  <si>
    <t>1.504</t>
  </si>
  <si>
    <t>2.084</t>
  </si>
  <si>
    <t>2.087</t>
  </si>
  <si>
    <t>0.980</t>
  </si>
  <si>
    <t>0.974</t>
  </si>
  <si>
    <t>1.041</t>
  </si>
  <si>
    <t>1.552</t>
  </si>
  <si>
    <t>1.741</t>
  </si>
  <si>
    <t>2.166</t>
  </si>
  <si>
    <t>2.163</t>
  </si>
  <si>
    <t>2.160</t>
  </si>
  <si>
    <t>2.136</t>
  </si>
  <si>
    <t>2.115</t>
  </si>
  <si>
    <t>2.112</t>
  </si>
  <si>
    <t>2.681</t>
  </si>
  <si>
    <t>2.682</t>
  </si>
  <si>
    <t>1.087</t>
  </si>
  <si>
    <t>1.354</t>
  </si>
  <si>
    <t>1.375</t>
  </si>
  <si>
    <t>1.367</t>
  </si>
  <si>
    <t>1.761</t>
  </si>
  <si>
    <t>2.195</t>
  </si>
  <si>
    <t>1.220</t>
  </si>
  <si>
    <t>1.685</t>
  </si>
  <si>
    <t>1.331</t>
  </si>
  <si>
    <t>1.838</t>
  </si>
  <si>
    <t>1.946</t>
  </si>
  <si>
    <t>1.933</t>
  </si>
  <si>
    <t>2.083</t>
  </si>
  <si>
    <t>2.617</t>
  </si>
  <si>
    <t>2.618</t>
  </si>
  <si>
    <t>2.056</t>
  </si>
  <si>
    <t>1.336</t>
  </si>
  <si>
    <t>1.798</t>
  </si>
  <si>
    <t>1.791</t>
  </si>
  <si>
    <t>1.854</t>
  </si>
  <si>
    <t>1.350</t>
  </si>
  <si>
    <t>2.187</t>
  </si>
  <si>
    <t>1.993</t>
  </si>
  <si>
    <t>1.722</t>
  </si>
  <si>
    <t>1.851</t>
  </si>
  <si>
    <t>1.617</t>
  </si>
  <si>
    <t>1.671</t>
  </si>
  <si>
    <t>1.719</t>
  </si>
  <si>
    <t>1.622</t>
  </si>
  <si>
    <t>2.119</t>
  </si>
  <si>
    <t>2.116</t>
  </si>
  <si>
    <t>2.106</t>
  </si>
  <si>
    <t>2.104</t>
  </si>
  <si>
    <t>2.993</t>
  </si>
  <si>
    <t>2.854</t>
  </si>
  <si>
    <t>3.116</t>
  </si>
  <si>
    <t>2.019</t>
  </si>
  <si>
    <t>2.070</t>
  </si>
  <si>
    <t>2.200</t>
  </si>
  <si>
    <t>1.650</t>
  </si>
  <si>
    <t>2.555</t>
  </si>
  <si>
    <t>2.544</t>
  </si>
  <si>
    <t>3.362</t>
  </si>
  <si>
    <t>3.399</t>
  </si>
  <si>
    <t>1.674</t>
  </si>
  <si>
    <t>1.850</t>
  </si>
  <si>
    <t>1.937</t>
  </si>
  <si>
    <t>1.672</t>
  </si>
  <si>
    <t>2.705</t>
  </si>
  <si>
    <t>1.113</t>
  </si>
  <si>
    <t>1.108</t>
  </si>
  <si>
    <t>1.823</t>
  </si>
  <si>
    <t>1.607</t>
  </si>
  <si>
    <t>1.049</t>
  </si>
  <si>
    <t>1.790</t>
  </si>
  <si>
    <t>1.224</t>
  </si>
  <si>
    <t>1.649</t>
  </si>
  <si>
    <t>1.599</t>
  </si>
  <si>
    <t>2.394</t>
  </si>
  <si>
    <t>2.391</t>
  </si>
  <si>
    <t>2.388</t>
  </si>
  <si>
    <t>2.308</t>
  </si>
  <si>
    <t>2.351</t>
  </si>
  <si>
    <t>1.923</t>
  </si>
  <si>
    <t>1.756</t>
  </si>
  <si>
    <t>1.180</t>
  </si>
  <si>
    <t>2.541</t>
  </si>
  <si>
    <t>1.433</t>
  </si>
  <si>
    <t>1.046</t>
  </si>
  <si>
    <t>1.047</t>
  </si>
  <si>
    <t>1.276</t>
  </si>
  <si>
    <t>1.256</t>
  </si>
  <si>
    <t>1.778</t>
  </si>
  <si>
    <t>2.921</t>
  </si>
  <si>
    <t>3.001</t>
  </si>
  <si>
    <t>2.930</t>
  </si>
  <si>
    <t>2.898</t>
  </si>
  <si>
    <t>2.632</t>
  </si>
  <si>
    <t>2.901</t>
  </si>
  <si>
    <t>2.948</t>
  </si>
  <si>
    <t>1.971</t>
  </si>
  <si>
    <t>2.852</t>
  </si>
  <si>
    <t>2.752</t>
  </si>
  <si>
    <t>2.720</t>
  </si>
  <si>
    <t>2.687</t>
  </si>
  <si>
    <t>4.707</t>
  </si>
  <si>
    <t>6.231</t>
  </si>
  <si>
    <t>21.152</t>
  </si>
  <si>
    <t>1.815</t>
  </si>
  <si>
    <t>3.266</t>
  </si>
  <si>
    <t>2.892</t>
  </si>
  <si>
    <t>2.764</t>
  </si>
  <si>
    <t>2.763</t>
  </si>
  <si>
    <t>2.951</t>
  </si>
  <si>
    <t>2.234</t>
  </si>
  <si>
    <t>2.126</t>
  </si>
  <si>
    <t>1.568</t>
  </si>
  <si>
    <t>2.663</t>
  </si>
  <si>
    <t>4.069</t>
  </si>
  <si>
    <t>2.317</t>
  </si>
  <si>
    <t>2.144</t>
  </si>
  <si>
    <t>1.995</t>
  </si>
  <si>
    <t>2.483</t>
  </si>
  <si>
    <t>2.919</t>
  </si>
  <si>
    <t>2.915</t>
  </si>
  <si>
    <t>2.864</t>
  </si>
  <si>
    <t>2.489</t>
  </si>
  <si>
    <t>2.114</t>
  </si>
  <si>
    <t>2.576</t>
  </si>
  <si>
    <t>1.105</t>
  </si>
  <si>
    <t>2.385</t>
  </si>
  <si>
    <t>2.635</t>
  </si>
  <si>
    <t>2.188</t>
  </si>
  <si>
    <t>1.330</t>
  </si>
  <si>
    <t>1.559</t>
  </si>
  <si>
    <t>1.871</t>
  </si>
  <si>
    <t>1.856</t>
  </si>
  <si>
    <t>3.079</t>
  </si>
  <si>
    <t>2.804</t>
  </si>
  <si>
    <t>2.802</t>
  </si>
  <si>
    <t>4.432</t>
  </si>
  <si>
    <t>2.750</t>
  </si>
  <si>
    <t>2.121</t>
  </si>
  <si>
    <t>2.054</t>
  </si>
  <si>
    <t>2.080</t>
  </si>
  <si>
    <t>2.653</t>
  </si>
  <si>
    <t>2.823</t>
  </si>
  <si>
    <t>2.933</t>
  </si>
  <si>
    <t>2.931</t>
  </si>
  <si>
    <t>1.669</t>
  </si>
  <si>
    <t>2.032</t>
  </si>
  <si>
    <t>2.028</t>
  </si>
  <si>
    <t>1.987</t>
  </si>
  <si>
    <t>1.363</t>
  </si>
  <si>
    <t>1.903</t>
  </si>
  <si>
    <t>1.902</t>
  </si>
  <si>
    <t>1.936</t>
  </si>
  <si>
    <t>1.932</t>
  </si>
  <si>
    <t>1.887</t>
  </si>
  <si>
    <t>1.886</t>
  </si>
  <si>
    <t>1.464</t>
  </si>
  <si>
    <t>1.116</t>
  </si>
  <si>
    <t>1.848</t>
  </si>
  <si>
    <t>1.906</t>
  </si>
  <si>
    <t>1.918</t>
  </si>
  <si>
    <t>1.920</t>
  </si>
  <si>
    <t>1.013</t>
  </si>
  <si>
    <t>1.341</t>
  </si>
  <si>
    <t>1.908</t>
  </si>
  <si>
    <t>1.973</t>
  </si>
  <si>
    <t>1.312</t>
  </si>
  <si>
    <t>1.710</t>
  </si>
  <si>
    <t>1.026</t>
  </si>
  <si>
    <t>1.023</t>
  </si>
  <si>
    <t>3.118</t>
  </si>
  <si>
    <t>3.125</t>
  </si>
  <si>
    <t>3.132</t>
  </si>
  <si>
    <t>1.369</t>
  </si>
  <si>
    <t>1.368</t>
  </si>
  <si>
    <t>3.461</t>
  </si>
  <si>
    <t>3.875</t>
  </si>
  <si>
    <t>1.266</t>
  </si>
  <si>
    <t>1.801</t>
  </si>
  <si>
    <t>1.128</t>
  </si>
  <si>
    <t>1.038</t>
  </si>
  <si>
    <t>1.739</t>
  </si>
  <si>
    <t>2.120</t>
  </si>
  <si>
    <t>1.263</t>
  </si>
  <si>
    <t>1.480</t>
  </si>
  <si>
    <t>1.478</t>
  </si>
  <si>
    <t>2.069</t>
  </si>
  <si>
    <t>1.093</t>
  </si>
  <si>
    <t>1.092</t>
  </si>
  <si>
    <t>2.251</t>
  </si>
  <si>
    <t>1.098</t>
  </si>
  <si>
    <t>2.140</t>
  </si>
  <si>
    <t>2.133</t>
  </si>
  <si>
    <t>1.151</t>
  </si>
  <si>
    <t>1.387</t>
  </si>
  <si>
    <t>1.020</t>
  </si>
  <si>
    <t>1.319</t>
  </si>
  <si>
    <t>1.111</t>
  </si>
  <si>
    <t>3.605</t>
  </si>
  <si>
    <t>3.611</t>
  </si>
  <si>
    <t>3.616</t>
  </si>
  <si>
    <t>3.659</t>
  </si>
  <si>
    <t>3.662</t>
  </si>
  <si>
    <t>3.666</t>
  </si>
  <si>
    <t>1.483</t>
  </si>
  <si>
    <t>1.917</t>
  </si>
  <si>
    <t>1.913</t>
  </si>
  <si>
    <t>1.965</t>
  </si>
  <si>
    <t>1.963</t>
  </si>
  <si>
    <t>1.960</t>
  </si>
  <si>
    <t>2.585</t>
  </si>
  <si>
    <t>2.588</t>
  </si>
  <si>
    <t>2.587</t>
  </si>
  <si>
    <t>1.501</t>
  </si>
  <si>
    <t>1.149</t>
  </si>
  <si>
    <t>1.142</t>
  </si>
  <si>
    <t>1.286</t>
  </si>
  <si>
    <t>1.808</t>
  </si>
  <si>
    <t>1.553</t>
  </si>
  <si>
    <t>1.770</t>
  </si>
  <si>
    <t>1.771</t>
  </si>
  <si>
    <t>1.964</t>
  </si>
  <si>
    <t>1.985</t>
  </si>
  <si>
    <t>1.977</t>
  </si>
  <si>
    <t>1.045</t>
  </si>
  <si>
    <t>1.324</t>
  </si>
  <si>
    <t>1.562</t>
  </si>
  <si>
    <t>0.989</t>
  </si>
  <si>
    <t>1.125</t>
  </si>
  <si>
    <t>0.985</t>
  </si>
  <si>
    <t>0.986</t>
  </si>
  <si>
    <t>1.025</t>
  </si>
  <si>
    <t>1.924</t>
  </si>
  <si>
    <t>0.976</t>
  </si>
  <si>
    <t>0.997</t>
  </si>
  <si>
    <t>1.000</t>
  </si>
  <si>
    <t>2.015</t>
  </si>
  <si>
    <t>2.017</t>
  </si>
  <si>
    <t>2.025</t>
  </si>
  <si>
    <t>0.930</t>
  </si>
  <si>
    <t>1.857</t>
  </si>
  <si>
    <t>1.858</t>
  </si>
  <si>
    <t>1.101</t>
  </si>
  <si>
    <t>0.938</t>
  </si>
  <si>
    <t>0.965</t>
  </si>
  <si>
    <t>1.265</t>
  </si>
  <si>
    <t>0.898</t>
  </si>
  <si>
    <t>0.899</t>
  </si>
  <si>
    <t>1.278</t>
  </si>
  <si>
    <t>1.233</t>
  </si>
  <si>
    <t>1.892</t>
  </si>
  <si>
    <t>1.184</t>
  </si>
  <si>
    <t>0.999</t>
  </si>
  <si>
    <t>0.998</t>
  </si>
  <si>
    <t>2.079</t>
  </si>
  <si>
    <t>2.076</t>
  </si>
  <si>
    <t>1.905</t>
  </si>
  <si>
    <t>2.606</t>
  </si>
  <si>
    <t>2.398</t>
  </si>
  <si>
    <t>2.362</t>
  </si>
  <si>
    <t>1.156</t>
  </si>
  <si>
    <t>2.046</t>
  </si>
  <si>
    <t>2.067</t>
  </si>
  <si>
    <t>2.037</t>
  </si>
  <si>
    <t>2.418</t>
  </si>
  <si>
    <t>2.375</t>
  </si>
  <si>
    <t>2.374</t>
  </si>
  <si>
    <t>2.168</t>
  </si>
  <si>
    <t>2.150</t>
  </si>
  <si>
    <t>1.353</t>
  </si>
  <si>
    <t>2.063</t>
  </si>
  <si>
    <t>2.177</t>
  </si>
  <si>
    <t>2.093</t>
  </si>
  <si>
    <t>2.290</t>
  </si>
  <si>
    <t>1.425</t>
  </si>
  <si>
    <t>1.421</t>
  </si>
  <si>
    <t>1.245</t>
  </si>
  <si>
    <t>1.333</t>
  </si>
  <si>
    <t>1.829</t>
  </si>
  <si>
    <t>2.620</t>
  </si>
  <si>
    <t>2.614</t>
  </si>
  <si>
    <t>2.607</t>
  </si>
  <si>
    <t>2.605</t>
  </si>
  <si>
    <t>2.602</t>
  </si>
  <si>
    <t>1.897</t>
  </si>
  <si>
    <t>2.085</t>
  </si>
  <si>
    <t>1.191</t>
  </si>
  <si>
    <t>1.962</t>
  </si>
  <si>
    <t>2.059</t>
  </si>
  <si>
    <t>1.958</t>
  </si>
  <si>
    <t>2.055</t>
  </si>
  <si>
    <t>2.721</t>
  </si>
  <si>
    <t>2.952</t>
  </si>
  <si>
    <t>2.924</t>
  </si>
  <si>
    <t>1.414</t>
  </si>
  <si>
    <t>1.720</t>
  </si>
  <si>
    <t>4.458</t>
  </si>
  <si>
    <t>4.189</t>
  </si>
  <si>
    <t>4.177</t>
  </si>
  <si>
    <t>4.051</t>
  </si>
  <si>
    <t>3.667</t>
  </si>
  <si>
    <t>3.668</t>
  </si>
  <si>
    <t>3.670</t>
  </si>
  <si>
    <t>1.683</t>
  </si>
  <si>
    <t>2.023</t>
  </si>
  <si>
    <t>2.186</t>
  </si>
  <si>
    <t>3.319</t>
  </si>
  <si>
    <t>1.338</t>
  </si>
  <si>
    <t>0.993</t>
  </si>
  <si>
    <t>0.991</t>
  </si>
  <si>
    <t>1.071</t>
  </si>
  <si>
    <t>2.389</t>
  </si>
  <si>
    <t>2.371</t>
  </si>
  <si>
    <t>2.368</t>
  </si>
  <si>
    <t>1.175</t>
  </si>
  <si>
    <t>1.813</t>
  </si>
  <si>
    <t>1.648</t>
  </si>
  <si>
    <t>1.691</t>
  </si>
  <si>
    <t>1.734</t>
  </si>
  <si>
    <t>1.731</t>
  </si>
  <si>
    <t>0.849</t>
  </si>
  <si>
    <t>0.888</t>
  </si>
  <si>
    <t>0.895</t>
  </si>
  <si>
    <t>1.990</t>
  </si>
  <si>
    <t>1.237</t>
  </si>
  <si>
    <t>1.530</t>
  </si>
  <si>
    <t>1.531</t>
  </si>
  <si>
    <t>1.463</t>
  </si>
  <si>
    <t>1.284</t>
  </si>
  <si>
    <t>1.287</t>
  </si>
  <si>
    <t>1.413</t>
  </si>
  <si>
    <t>1.177</t>
  </si>
  <si>
    <t>2.304</t>
  </si>
  <si>
    <t>2.301</t>
  </si>
  <si>
    <t>2.175</t>
  </si>
  <si>
    <t>1.792</t>
  </si>
  <si>
    <t>1.795</t>
  </si>
  <si>
    <t>1.050</t>
  </si>
  <si>
    <t>1.373</t>
  </si>
  <si>
    <t>1.078</t>
  </si>
  <si>
    <t>2.407</t>
  </si>
  <si>
    <t>1.129</t>
  </si>
  <si>
    <t>1.615</t>
  </si>
  <si>
    <t>1.357</t>
  </si>
  <si>
    <t>1.209</t>
  </si>
  <si>
    <t>1.208</t>
  </si>
  <si>
    <t>2.738</t>
  </si>
  <si>
    <t>2.590</t>
  </si>
  <si>
    <t>2.625</t>
  </si>
  <si>
    <t>1.733</t>
  </si>
  <si>
    <t>2.127</t>
  </si>
  <si>
    <t>2.124</t>
  </si>
  <si>
    <t>2.122</t>
  </si>
  <si>
    <t>2.453</t>
  </si>
  <si>
    <t>2.452</t>
  </si>
  <si>
    <t>2.451</t>
  </si>
  <si>
    <t>2.660</t>
  </si>
  <si>
    <t>2.655</t>
  </si>
  <si>
    <t>2.263</t>
  </si>
  <si>
    <t>2.262</t>
  </si>
  <si>
    <t>1.911</t>
  </si>
  <si>
    <t>1.868</t>
  </si>
  <si>
    <t>1.397</t>
  </si>
  <si>
    <t>2.224</t>
  </si>
  <si>
    <t>1.479</t>
  </si>
  <si>
    <t>2.216</t>
  </si>
  <si>
    <t>2.498</t>
  </si>
  <si>
    <t>2.495</t>
  </si>
  <si>
    <t>2.493</t>
  </si>
  <si>
    <t>2.481</t>
  </si>
  <si>
    <t>2.479</t>
  </si>
  <si>
    <t>1.337</t>
  </si>
  <si>
    <t>2.367</t>
  </si>
  <si>
    <t>2.382</t>
  </si>
  <si>
    <t>2.378</t>
  </si>
  <si>
    <t>2.058</t>
  </si>
  <si>
    <t>1.381</t>
  </si>
  <si>
    <t>1.099</t>
  </si>
  <si>
    <t>2.589</t>
  </si>
  <si>
    <t>1.601</t>
  </si>
  <si>
    <t>1.732</t>
  </si>
  <si>
    <t>Epoch</t>
  </si>
  <si>
    <t>Satellites</t>
  </si>
  <si>
    <t>12.000</t>
  </si>
  <si>
    <t>11.000</t>
  </si>
  <si>
    <t>7.000</t>
  </si>
  <si>
    <t>22.000</t>
  </si>
  <si>
    <t>21.000</t>
  </si>
  <si>
    <t>13.000</t>
  </si>
  <si>
    <t>24.000</t>
  </si>
  <si>
    <t>8.000</t>
  </si>
  <si>
    <t>25.000</t>
  </si>
  <si>
    <t>14.000</t>
  </si>
  <si>
    <t>15.000</t>
  </si>
  <si>
    <t>23.000</t>
  </si>
  <si>
    <t>4.000</t>
  </si>
  <si>
    <t>18.000</t>
  </si>
  <si>
    <t>19.000</t>
  </si>
  <si>
    <t>9.000</t>
  </si>
  <si>
    <t>17.000</t>
  </si>
  <si>
    <t>10.000</t>
  </si>
  <si>
    <t>16.000</t>
  </si>
  <si>
    <t>33.000</t>
  </si>
  <si>
    <t>34.000</t>
  </si>
  <si>
    <t>32.000</t>
  </si>
  <si>
    <t>30.000</t>
  </si>
  <si>
    <t>20.000</t>
  </si>
  <si>
    <t>6.000</t>
  </si>
  <si>
    <t>28.000</t>
  </si>
  <si>
    <t>29.000</t>
  </si>
  <si>
    <t>26.000</t>
  </si>
  <si>
    <t>31.000</t>
  </si>
  <si>
    <t>27.000</t>
  </si>
  <si>
    <t>5.000</t>
  </si>
  <si>
    <t>35.000</t>
  </si>
  <si>
    <t>36.000</t>
  </si>
  <si>
    <t>38.000</t>
  </si>
  <si>
    <t>37.000</t>
  </si>
  <si>
    <t>40.000</t>
  </si>
  <si>
    <t>39.000</t>
  </si>
  <si>
    <t>Elevation</t>
  </si>
  <si>
    <t>62.3853</t>
  </si>
  <si>
    <t>62.3866</t>
  </si>
  <si>
    <t>62.3851</t>
  </si>
  <si>
    <t>62.3908</t>
  </si>
  <si>
    <t>62.3804</t>
  </si>
  <si>
    <t>62.3896</t>
  </si>
  <si>
    <t>62.3447</t>
  </si>
  <si>
    <t>62.3444</t>
  </si>
  <si>
    <t>62.3532</t>
  </si>
  <si>
    <t>62.3604</t>
  </si>
  <si>
    <t>62.3491</t>
  </si>
  <si>
    <t>62.3456</t>
  </si>
  <si>
    <t>62.3721</t>
  </si>
  <si>
    <t>62.3606</t>
  </si>
  <si>
    <t>62.3790</t>
  </si>
  <si>
    <t>62.4782</t>
  </si>
  <si>
    <t>62.4488</t>
  </si>
  <si>
    <t>62.4400</t>
  </si>
  <si>
    <t>62.5071</t>
  </si>
  <si>
    <t>62.4965</t>
  </si>
  <si>
    <t>62.4753</t>
  </si>
  <si>
    <t>62.4719</t>
  </si>
  <si>
    <t>62.4710</t>
  </si>
  <si>
    <t>62.4732</t>
  </si>
  <si>
    <t>62.2924</t>
  </si>
  <si>
    <t>62.2859</t>
  </si>
  <si>
    <t>62.2865</t>
  </si>
  <si>
    <t>62.2925</t>
  </si>
  <si>
    <t>62.3014</t>
  </si>
  <si>
    <t>62.3293</t>
  </si>
  <si>
    <t>41.3452</t>
  </si>
  <si>
    <t>41.3458</t>
  </si>
  <si>
    <t>41.3544</t>
  </si>
  <si>
    <t>41.3510</t>
  </si>
  <si>
    <t>41.3530</t>
  </si>
  <si>
    <t>41.3593</t>
  </si>
  <si>
    <t>41.3764</t>
  </si>
  <si>
    <t>41.3808</t>
  </si>
  <si>
    <t>41.3785</t>
  </si>
  <si>
    <t>41.4458</t>
  </si>
  <si>
    <t>41.4442</t>
  </si>
  <si>
    <t>41.4488</t>
  </si>
  <si>
    <t>41.4229</t>
  </si>
  <si>
    <t>41.4193</t>
  </si>
  <si>
    <t>41.4110</t>
  </si>
  <si>
    <t>41.4175</t>
  </si>
  <si>
    <t>41.4199</t>
  </si>
  <si>
    <t>41.4197</t>
  </si>
  <si>
    <t>41.3845</t>
  </si>
  <si>
    <t>41.3934</t>
  </si>
  <si>
    <t>41.3933</t>
  </si>
  <si>
    <t>41.3824</t>
  </si>
  <si>
    <t>41.3755</t>
  </si>
  <si>
    <t>41.3692</t>
  </si>
  <si>
    <t>41.4907</t>
  </si>
  <si>
    <t>41.4897</t>
  </si>
  <si>
    <t>41.4892</t>
  </si>
  <si>
    <t>41.4861</t>
  </si>
  <si>
    <t>41.4971</t>
  </si>
  <si>
    <t>41.4992</t>
  </si>
  <si>
    <t>66.9255</t>
  </si>
  <si>
    <t>66.9319</t>
  </si>
  <si>
    <t>66.9416</t>
  </si>
  <si>
    <t>66.9535</t>
  </si>
  <si>
    <t>66.9267</t>
  </si>
  <si>
    <t>66.9171</t>
  </si>
  <si>
    <t>66.9160</t>
  </si>
  <si>
    <t>66.9469</t>
  </si>
  <si>
    <t>66.9324</t>
  </si>
  <si>
    <t>66.9276</t>
  </si>
  <si>
    <t>66.9750</t>
  </si>
  <si>
    <t>66.9550</t>
  </si>
  <si>
    <t>66.9554</t>
  </si>
  <si>
    <t>66.9463</t>
  </si>
  <si>
    <t>66.9381</t>
  </si>
  <si>
    <t>66.8436</t>
  </si>
  <si>
    <t>66.8650</t>
  </si>
  <si>
    <t>66.8803</t>
  </si>
  <si>
    <t>66.9342</t>
  </si>
  <si>
    <t>66.9337</t>
  </si>
  <si>
    <t>66.9207</t>
  </si>
  <si>
    <t>66.9345</t>
  </si>
  <si>
    <t>66.9285</t>
  </si>
  <si>
    <t>66.8291</t>
  </si>
  <si>
    <t>66.8313</t>
  </si>
  <si>
    <t>66.8408</t>
  </si>
  <si>
    <t>66.8501</t>
  </si>
  <si>
    <t>66.8525</t>
  </si>
  <si>
    <t>66.8549</t>
  </si>
  <si>
    <t>236.0457</t>
  </si>
  <si>
    <t>236.0398</t>
  </si>
  <si>
    <t>236.0534</t>
  </si>
  <si>
    <t>236.0324</t>
  </si>
  <si>
    <t>236.0279</t>
  </si>
  <si>
    <t>236.0296</t>
  </si>
  <si>
    <t>236.0239</t>
  </si>
  <si>
    <t>236.0260</t>
  </si>
  <si>
    <t>236.0316</t>
  </si>
  <si>
    <t>236.0732</t>
  </si>
  <si>
    <t>236.0799</t>
  </si>
  <si>
    <t>236.0792</t>
  </si>
  <si>
    <t>236.0844</t>
  </si>
  <si>
    <t>236.0772</t>
  </si>
  <si>
    <t>236.0800</t>
  </si>
  <si>
    <t>236.0264</t>
  </si>
  <si>
    <t>236.0230</t>
  </si>
  <si>
    <t>236.0167</t>
  </si>
  <si>
    <t>236.0190</t>
  </si>
  <si>
    <t>236.0195</t>
  </si>
  <si>
    <t>236.0227</t>
  </si>
  <si>
    <t>236.0267</t>
  </si>
  <si>
    <t>236.0248</t>
  </si>
  <si>
    <t>235.8196</t>
  </si>
  <si>
    <t>235.8195</t>
  </si>
  <si>
    <t>235.8243</t>
  </si>
  <si>
    <t>235.8201</t>
  </si>
  <si>
    <t>235.8202</t>
  </si>
  <si>
    <t>235.8245</t>
  </si>
  <si>
    <t>457.5629</t>
  </si>
  <si>
    <t>457.6036</t>
  </si>
  <si>
    <t>457.6088</t>
  </si>
  <si>
    <t>457.6765</t>
  </si>
  <si>
    <t>457.6754</t>
  </si>
  <si>
    <t>457.6547</t>
  </si>
  <si>
    <t>455.3684</t>
  </si>
  <si>
    <t>456.2416</t>
  </si>
  <si>
    <t>457.0393</t>
  </si>
  <si>
    <t>457.6192</t>
  </si>
  <si>
    <t>457.6141</t>
  </si>
  <si>
    <t>457.6229</t>
  </si>
  <si>
    <t>457.6182</t>
  </si>
  <si>
    <t>457.6201</t>
  </si>
  <si>
    <t>457.6194</t>
  </si>
  <si>
    <t>457.6706</t>
  </si>
  <si>
    <t>457.6882</t>
  </si>
  <si>
    <t>457.6878</t>
  </si>
  <si>
    <t>457.6219</t>
  </si>
  <si>
    <t>457.6341</t>
  </si>
  <si>
    <t>457.6730</t>
  </si>
  <si>
    <t>457.7091</t>
  </si>
  <si>
    <t>457.7050</t>
  </si>
  <si>
    <t>457.7071</t>
  </si>
  <si>
    <t>457.5477</t>
  </si>
  <si>
    <t>457.5489</t>
  </si>
  <si>
    <t>457.5497</t>
  </si>
  <si>
    <t>186.9777</t>
  </si>
  <si>
    <t>186.9763</t>
  </si>
  <si>
    <t>186.9762</t>
  </si>
  <si>
    <t>186.9840</t>
  </si>
  <si>
    <t>186.9841</t>
  </si>
  <si>
    <t>186.9826</t>
  </si>
  <si>
    <t>186.9625</t>
  </si>
  <si>
    <t>186.9609</t>
  </si>
  <si>
    <t>186.9596</t>
  </si>
  <si>
    <t>186.9632</t>
  </si>
  <si>
    <t>186.9613</t>
  </si>
  <si>
    <t>186.9608</t>
  </si>
  <si>
    <t>186.9503</t>
  </si>
  <si>
    <t>186.9498</t>
  </si>
  <si>
    <t>186.9496</t>
  </si>
  <si>
    <t>186.9652</t>
  </si>
  <si>
    <t>186.9557</t>
  </si>
  <si>
    <t>186.9569</t>
  </si>
  <si>
    <t>186.9708</t>
  </si>
  <si>
    <t>186.9735</t>
  </si>
  <si>
    <t>186.9719</t>
  </si>
  <si>
    <t>186.9622</t>
  </si>
  <si>
    <t>186.9627</t>
  </si>
  <si>
    <t>186.9658</t>
  </si>
  <si>
    <t>186.9316</t>
  </si>
  <si>
    <t>186.9261</t>
  </si>
  <si>
    <t>186.9247</t>
  </si>
  <si>
    <t>186.9287</t>
  </si>
  <si>
    <t>186.9299</t>
  </si>
  <si>
    <t>119.9619</t>
  </si>
  <si>
    <t>119.9712</t>
  </si>
  <si>
    <t>119.9753</t>
  </si>
  <si>
    <t>119.9720</t>
  </si>
  <si>
    <t>119.9717</t>
  </si>
  <si>
    <t>119.9747</t>
  </si>
  <si>
    <t>119.9857</t>
  </si>
  <si>
    <t>119.9818</t>
  </si>
  <si>
    <t>119.9789</t>
  </si>
  <si>
    <t>119.9591</t>
  </si>
  <si>
    <t>119.9641</t>
  </si>
  <si>
    <t>119.9671</t>
  </si>
  <si>
    <t>119.9613</t>
  </si>
  <si>
    <t>119.9623</t>
  </si>
  <si>
    <t>119.9960</t>
  </si>
  <si>
    <t>120.0083</t>
  </si>
  <si>
    <t>120.0106</t>
  </si>
  <si>
    <t>120.0122</t>
  </si>
  <si>
    <t>120.0109</t>
  </si>
  <si>
    <t>120.0126</t>
  </si>
  <si>
    <t>119.9897</t>
  </si>
  <si>
    <t>119.9882</t>
  </si>
  <si>
    <t>119.9869</t>
  </si>
  <si>
    <t>119.8209</t>
  </si>
  <si>
    <t>119.8172</t>
  </si>
  <si>
    <t>119.8190</t>
  </si>
  <si>
    <t>119.8046</t>
  </si>
  <si>
    <t>119.7979</t>
  </si>
  <si>
    <t>119.7906</t>
  </si>
  <si>
    <t>119.7917</t>
  </si>
  <si>
    <t>43.2042</t>
  </si>
  <si>
    <t>43.2074</t>
  </si>
  <si>
    <t>43.2115</t>
  </si>
  <si>
    <t>43.2013</t>
  </si>
  <si>
    <t>43.1882</t>
  </si>
  <si>
    <t>43.1877</t>
  </si>
  <si>
    <t>43.1902</t>
  </si>
  <si>
    <t>43.1922</t>
  </si>
  <si>
    <t>43.1778</t>
  </si>
  <si>
    <t>43.1953</t>
  </si>
  <si>
    <t>43.1949</t>
  </si>
  <si>
    <t>43.1939</t>
  </si>
  <si>
    <t>43.1980</t>
  </si>
  <si>
    <t>43.1971</t>
  </si>
  <si>
    <t>43.1941</t>
  </si>
  <si>
    <t>43.1992</t>
  </si>
  <si>
    <t>43.2051</t>
  </si>
  <si>
    <t>43.2095</t>
  </si>
  <si>
    <t>43.1963</t>
  </si>
  <si>
    <t>43.1935</t>
  </si>
  <si>
    <t>43.1996</t>
  </si>
  <si>
    <t>43.2018</t>
  </si>
  <si>
    <t>43.1950</t>
  </si>
  <si>
    <t>43.2894</t>
  </si>
  <si>
    <t>43.2881</t>
  </si>
  <si>
    <t>43.2836</t>
  </si>
  <si>
    <t>43.2875</t>
  </si>
  <si>
    <t>43.2909</t>
  </si>
  <si>
    <t>43.2917</t>
  </si>
  <si>
    <t>138.6454</t>
  </si>
  <si>
    <t>138.6516</t>
  </si>
  <si>
    <t>138.6532</t>
  </si>
  <si>
    <t>138.6558</t>
  </si>
  <si>
    <t>138.6671</t>
  </si>
  <si>
    <t>138.6662</t>
  </si>
  <si>
    <t>138.6839</t>
  </si>
  <si>
    <t>138.6904</t>
  </si>
  <si>
    <t>138.6907</t>
  </si>
  <si>
    <t>138.6957</t>
  </si>
  <si>
    <t>138.6983</t>
  </si>
  <si>
    <t>138.7029</t>
  </si>
  <si>
    <t>138.7122</t>
  </si>
  <si>
    <t>138.7145</t>
  </si>
  <si>
    <t>138.7128</t>
  </si>
  <si>
    <t>138.7121</t>
  </si>
  <si>
    <t>138.7218</t>
  </si>
  <si>
    <t>138.6952</t>
  </si>
  <si>
    <t>138.6890</t>
  </si>
  <si>
    <t>138.7004</t>
  </si>
  <si>
    <t>138.7412</t>
  </si>
  <si>
    <t>138.7387</t>
  </si>
  <si>
    <t>138.7358</t>
  </si>
  <si>
    <t>96.7084</t>
  </si>
  <si>
    <t>96.7082</t>
  </si>
  <si>
    <t>96.7197</t>
  </si>
  <si>
    <t>96.7171</t>
  </si>
  <si>
    <t>96.7180</t>
  </si>
  <si>
    <t>96.7222</t>
  </si>
  <si>
    <t>96.7213</t>
  </si>
  <si>
    <t>96.7266</t>
  </si>
  <si>
    <t>96.7273</t>
  </si>
  <si>
    <t>96.7278</t>
  </si>
  <si>
    <t>96.7309</t>
  </si>
  <si>
    <t>96.7193</t>
  </si>
  <si>
    <t>96.7257</t>
  </si>
  <si>
    <t>96.7206</t>
  </si>
  <si>
    <t>96.7083</t>
  </si>
  <si>
    <t>96.7165</t>
  </si>
  <si>
    <t>96.7147</t>
  </si>
  <si>
    <t>96.7163</t>
  </si>
  <si>
    <t>96.7149</t>
  </si>
  <si>
    <t>96.7129</t>
  </si>
  <si>
    <t>96.7114</t>
  </si>
  <si>
    <t>96.7096</t>
  </si>
  <si>
    <t>96.7062</t>
  </si>
  <si>
    <t>96.6993</t>
  </si>
  <si>
    <t>96.7040</t>
  </si>
  <si>
    <t>96.7131</t>
  </si>
  <si>
    <t>96.7060</t>
  </si>
  <si>
    <t>96.6954</t>
  </si>
  <si>
    <t>96.6886</t>
  </si>
  <si>
    <t>107.0422</t>
  </si>
  <si>
    <t>107.0392</t>
  </si>
  <si>
    <t>107.0423</t>
  </si>
  <si>
    <t>107.0232</t>
  </si>
  <si>
    <t>107.0316</t>
  </si>
  <si>
    <t>107.0294</t>
  </si>
  <si>
    <t>107.0173</t>
  </si>
  <si>
    <t>107.0121</t>
  </si>
  <si>
    <t>107.0132</t>
  </si>
  <si>
    <t>107.0252</t>
  </si>
  <si>
    <t>107.0301</t>
  </si>
  <si>
    <t>107.0342</t>
  </si>
  <si>
    <t>107.0122</t>
  </si>
  <si>
    <t>107.0077</t>
  </si>
  <si>
    <t>107.0120</t>
  </si>
  <si>
    <t>107.0313</t>
  </si>
  <si>
    <t>107.0323</t>
  </si>
  <si>
    <t>107.0399</t>
  </si>
  <si>
    <t>107.0656</t>
  </si>
  <si>
    <t>107.0644</t>
  </si>
  <si>
    <t>107.0598</t>
  </si>
  <si>
    <t>107.0473</t>
  </si>
  <si>
    <t>107.0529</t>
  </si>
  <si>
    <t>107.0464</t>
  </si>
  <si>
    <t>107.0715</t>
  </si>
  <si>
    <t>107.0709</t>
  </si>
  <si>
    <t>107.0707</t>
  </si>
  <si>
    <t>107.0646</t>
  </si>
  <si>
    <t>107.0682</t>
  </si>
  <si>
    <t>107.0638</t>
  </si>
  <si>
    <t>46.5878</t>
  </si>
  <si>
    <t>46.6053</t>
  </si>
  <si>
    <t>46.5890</t>
  </si>
  <si>
    <t>46.3840</t>
  </si>
  <si>
    <t>46.6210</t>
  </si>
  <si>
    <t>46.5814</t>
  </si>
  <si>
    <t>46.5143</t>
  </si>
  <si>
    <t>46.6238</t>
  </si>
  <si>
    <t>46.5166</t>
  </si>
  <si>
    <t>37.1598</t>
  </si>
  <si>
    <t>37.1469</t>
  </si>
  <si>
    <t>37.1492</t>
  </si>
  <si>
    <t>37.1783</t>
  </si>
  <si>
    <t>37.1804</t>
  </si>
  <si>
    <t>37.0724</t>
  </si>
  <si>
    <t>37.2049</t>
  </si>
  <si>
    <t>37.1940</t>
  </si>
  <si>
    <t>37.3299</t>
  </si>
  <si>
    <t>42.4433</t>
  </si>
  <si>
    <t>42.4395</t>
  </si>
  <si>
    <t>42.4380</t>
  </si>
  <si>
    <t>42.4722</t>
  </si>
  <si>
    <t>42.4253</t>
  </si>
  <si>
    <t>42.2518</t>
  </si>
  <si>
    <t>42.2406</t>
  </si>
  <si>
    <t>42.4261</t>
  </si>
  <si>
    <t>38.2181</t>
  </si>
  <si>
    <t>38.2199</t>
  </si>
  <si>
    <t>38.2103</t>
  </si>
  <si>
    <t>38.2144</t>
  </si>
  <si>
    <t>38.2431</t>
  </si>
  <si>
    <t>38.1492</t>
  </si>
  <si>
    <t>38.1556</t>
  </si>
  <si>
    <t>38.1700</t>
  </si>
  <si>
    <t>38.3376</t>
  </si>
  <si>
    <t>40.0504</t>
  </si>
  <si>
    <t>40.0470</t>
  </si>
  <si>
    <t>40.0503</t>
  </si>
  <si>
    <t>40.0667</t>
  </si>
  <si>
    <t>40.0694</t>
  </si>
  <si>
    <t>40.0242</t>
  </si>
  <si>
    <t>40.0235</t>
  </si>
  <si>
    <t>40.0267</t>
  </si>
  <si>
    <t>40.2410</t>
  </si>
  <si>
    <t>117.3752</t>
  </si>
  <si>
    <t>117.3440</t>
  </si>
  <si>
    <t>117.4005</t>
  </si>
  <si>
    <t>117.4000</t>
  </si>
  <si>
    <t>117.3990</t>
  </si>
  <si>
    <t>117.5049</t>
  </si>
  <si>
    <t>85.4171</t>
  </si>
  <si>
    <t>85.4305</t>
  </si>
  <si>
    <t>85.4210</t>
  </si>
  <si>
    <t>85.4048</t>
  </si>
  <si>
    <t>85.4136</t>
  </si>
  <si>
    <t>85.2877</t>
  </si>
  <si>
    <t>85.2945</t>
  </si>
  <si>
    <t>85.2733</t>
  </si>
  <si>
    <t>85.5791</t>
  </si>
  <si>
    <t>38.7061</t>
  </si>
  <si>
    <t>38.7089</t>
  </si>
  <si>
    <t>38.7327</t>
  </si>
  <si>
    <t>38.7253</t>
  </si>
  <si>
    <t>38.7121</t>
  </si>
  <si>
    <t>38.6332</t>
  </si>
  <si>
    <t>38.6054</t>
  </si>
  <si>
    <t>38.6006</t>
  </si>
  <si>
    <t>38.8776</t>
  </si>
  <si>
    <t>65.6786</t>
  </si>
  <si>
    <t>65.6673</t>
  </si>
  <si>
    <t>65.6922</t>
  </si>
  <si>
    <t>65.6469</t>
  </si>
  <si>
    <t>65.6531</t>
  </si>
  <si>
    <t>65.6630</t>
  </si>
  <si>
    <t>65.6879</t>
  </si>
  <si>
    <t>65.6749</t>
  </si>
  <si>
    <t>65.7635</t>
  </si>
  <si>
    <t>69.2457</t>
  </si>
  <si>
    <t>69.2746</t>
  </si>
  <si>
    <t>69.2681</t>
  </si>
  <si>
    <t>69.2667</t>
  </si>
  <si>
    <t>69.2603</t>
  </si>
  <si>
    <t>69.2717</t>
  </si>
  <si>
    <t>69.2862</t>
  </si>
  <si>
    <t>69.2655</t>
  </si>
  <si>
    <t>69.3564</t>
  </si>
  <si>
    <t>89.8161</t>
  </si>
  <si>
    <t>89.8290</t>
  </si>
  <si>
    <t>89.7948</t>
  </si>
  <si>
    <t>89.7793</t>
  </si>
  <si>
    <t>89.7834</t>
  </si>
  <si>
    <t>89.7736</t>
  </si>
  <si>
    <t>89.8000</t>
  </si>
  <si>
    <t>89.8083</t>
  </si>
  <si>
    <t>89.9075</t>
  </si>
  <si>
    <t>183.9517</t>
  </si>
  <si>
    <t>183.9402</t>
  </si>
  <si>
    <t>183.9235</t>
  </si>
  <si>
    <t>183.9440</t>
  </si>
  <si>
    <t>183.9295</t>
  </si>
  <si>
    <t>183.9579</t>
  </si>
  <si>
    <t>183.9150</t>
  </si>
  <si>
    <t>183.8971</t>
  </si>
  <si>
    <t>191.4691</t>
  </si>
  <si>
    <t>191.4732</t>
  </si>
  <si>
    <t>191.4832</t>
  </si>
  <si>
    <t>191.4865</t>
  </si>
  <si>
    <t>191.4876</t>
  </si>
  <si>
    <t>191.4032</t>
  </si>
  <si>
    <t>191.4878</t>
  </si>
  <si>
    <t>191.4810</t>
  </si>
  <si>
    <t>191.6707</t>
  </si>
  <si>
    <t>131.8999</t>
  </si>
  <si>
    <t>131.9090</t>
  </si>
  <si>
    <t>131.9092</t>
  </si>
  <si>
    <t>131.8857</t>
  </si>
  <si>
    <t>131.8969</t>
  </si>
  <si>
    <t>131.8586</t>
  </si>
  <si>
    <t>131.8497</t>
  </si>
  <si>
    <t>131.8496</t>
  </si>
  <si>
    <t>132.0137</t>
  </si>
  <si>
    <t>95.9304</t>
  </si>
  <si>
    <t>95.9099</t>
  </si>
  <si>
    <t>95.9333</t>
  </si>
  <si>
    <t>95.8929</t>
  </si>
  <si>
    <t>95.9078</t>
  </si>
  <si>
    <t>96.0699</t>
  </si>
  <si>
    <t>95.8772</t>
  </si>
  <si>
    <t>95.8799</t>
  </si>
  <si>
    <t>96.0465</t>
  </si>
  <si>
    <t>153.1283</t>
  </si>
  <si>
    <t>153.0943</t>
  </si>
  <si>
    <t>153.0988</t>
  </si>
  <si>
    <t>153.1231</t>
  </si>
  <si>
    <t>153.1051</t>
  </si>
  <si>
    <t>153.1118</t>
  </si>
  <si>
    <t>153.1181</t>
  </si>
  <si>
    <t>153.1237</t>
  </si>
  <si>
    <t>153.2789</t>
  </si>
  <si>
    <t>277.6625</t>
  </si>
  <si>
    <t>277.6583</t>
  </si>
  <si>
    <t>277.7209</t>
  </si>
  <si>
    <t>277.7280</t>
  </si>
  <si>
    <t>277.7411</t>
  </si>
  <si>
    <t>277.6741</t>
  </si>
  <si>
    <t>277.7167</t>
  </si>
  <si>
    <t>277.6732</t>
  </si>
  <si>
    <t>277.8514</t>
  </si>
  <si>
    <t>171.1611</t>
  </si>
  <si>
    <t>171.1671</t>
  </si>
  <si>
    <t>171.1985</t>
  </si>
  <si>
    <t>171.1726</t>
  </si>
  <si>
    <t>171.1533</t>
  </si>
  <si>
    <t>171.0375</t>
  </si>
  <si>
    <t>171.0463</t>
  </si>
  <si>
    <t>171.0355</t>
  </si>
  <si>
    <t>171.2415</t>
  </si>
  <si>
    <t>149.2720</t>
  </si>
  <si>
    <t>149.2615</t>
  </si>
  <si>
    <t>149.2691</t>
  </si>
  <si>
    <t>149.2618</t>
  </si>
  <si>
    <t>149.2560</t>
  </si>
  <si>
    <t>149.1294</t>
  </si>
  <si>
    <t>149.0889</t>
  </si>
  <si>
    <t>149.1091</t>
  </si>
  <si>
    <t>149.1084</t>
  </si>
  <si>
    <t>149.2931</t>
  </si>
  <si>
    <t>385.8773</t>
  </si>
  <si>
    <t>385.8770</t>
  </si>
  <si>
    <t>385.8779</t>
  </si>
  <si>
    <t>385.8989</t>
  </si>
  <si>
    <t>385.9105</t>
  </si>
  <si>
    <t>385.8935</t>
  </si>
  <si>
    <t>385.8816</t>
  </si>
  <si>
    <t>385.8138</t>
  </si>
  <si>
    <t>386.0690</t>
  </si>
  <si>
    <t>386.1193</t>
  </si>
  <si>
    <t>68.2025</t>
  </si>
  <si>
    <t>68.1912</t>
  </si>
  <si>
    <t>68.2169</t>
  </si>
  <si>
    <t>68.2947</t>
  </si>
  <si>
    <t>68.3198</t>
  </si>
  <si>
    <t>68.2920</t>
  </si>
  <si>
    <t>68.3133</t>
  </si>
  <si>
    <t>68.3050</t>
  </si>
  <si>
    <t>68.3080</t>
  </si>
  <si>
    <t>68.2094</t>
  </si>
  <si>
    <t>68.1946</t>
  </si>
  <si>
    <t>68.2089</t>
  </si>
  <si>
    <t>68.2581</t>
  </si>
  <si>
    <t>68.2627</t>
  </si>
  <si>
    <t>68.2309</t>
  </si>
  <si>
    <t>68.2076</t>
  </si>
  <si>
    <t>68.1619</t>
  </si>
  <si>
    <t>68.2106</t>
  </si>
  <si>
    <t>68.2302</t>
  </si>
  <si>
    <t>68.2058</t>
  </si>
  <si>
    <t>68.1856</t>
  </si>
  <si>
    <t>68.1591</t>
  </si>
  <si>
    <t>68.3776</t>
  </si>
  <si>
    <t>68.3511</t>
  </si>
  <si>
    <t>68.3519</t>
  </si>
  <si>
    <t>30.7904</t>
  </si>
  <si>
    <t>30.7901</t>
  </si>
  <si>
    <t>30.7918</t>
  </si>
  <si>
    <t>30.7907</t>
  </si>
  <si>
    <t>30.7976</t>
  </si>
  <si>
    <t>30.7861</t>
  </si>
  <si>
    <t>30.8008</t>
  </si>
  <si>
    <t>30.8074</t>
  </si>
  <si>
    <t>30.7745</t>
  </si>
  <si>
    <t>30.7766</t>
  </si>
  <si>
    <t>30.7708</t>
  </si>
  <si>
    <t>30.7928</t>
  </si>
  <si>
    <t>30.8006</t>
  </si>
  <si>
    <t>30.8050</t>
  </si>
  <si>
    <t>30.7991</t>
  </si>
  <si>
    <t>30.7923</t>
  </si>
  <si>
    <t>30.7841</t>
  </si>
  <si>
    <t>30.8055</t>
  </si>
  <si>
    <t>30.8063</t>
  </si>
  <si>
    <t>30.8434</t>
  </si>
  <si>
    <t>30.8426</t>
  </si>
  <si>
    <t>30.8461</t>
  </si>
  <si>
    <t>30.6462</t>
  </si>
  <si>
    <t>30.6285</t>
  </si>
  <si>
    <t>30.6350</t>
  </si>
  <si>
    <t>30.6362</t>
  </si>
  <si>
    <t>30.6315</t>
  </si>
  <si>
    <t>30.6250</t>
  </si>
  <si>
    <t>30.6050</t>
  </si>
  <si>
    <t>30.6010</t>
  </si>
  <si>
    <t>30.6241</t>
  </si>
  <si>
    <t>30.6213</t>
  </si>
  <si>
    <t>30.5857</t>
  </si>
  <si>
    <t>30.5896</t>
  </si>
  <si>
    <t>30.6226</t>
  </si>
  <si>
    <t>30.6280</t>
  </si>
  <si>
    <t>30.6384</t>
  </si>
  <si>
    <t>30.6312</t>
  </si>
  <si>
    <t>30.6410</t>
  </si>
  <si>
    <t>30.6316</t>
  </si>
  <si>
    <t>30.5579</t>
  </si>
  <si>
    <t>30.5522</t>
  </si>
  <si>
    <t>30.5597</t>
  </si>
  <si>
    <t>30.4842</t>
  </si>
  <si>
    <t>30.4935</t>
  </si>
  <si>
    <t>30.6233</t>
  </si>
  <si>
    <t>30.6222</t>
  </si>
  <si>
    <t>30.6187</t>
  </si>
  <si>
    <t>30.6205</t>
  </si>
  <si>
    <t>30.6207</t>
  </si>
  <si>
    <t>30.6335</t>
  </si>
  <si>
    <t>232.8741</t>
  </si>
  <si>
    <t>232.8664</t>
  </si>
  <si>
    <t>232.8626</t>
  </si>
  <si>
    <t>232.8584</t>
  </si>
  <si>
    <t>232.8604</t>
  </si>
  <si>
    <t>232.8534</t>
  </si>
  <si>
    <t>232.8601</t>
  </si>
  <si>
    <t>232.8605</t>
  </si>
  <si>
    <t>232.8495</t>
  </si>
  <si>
    <t>232.8935</t>
  </si>
  <si>
    <t>232.8967</t>
  </si>
  <si>
    <t>232.8961</t>
  </si>
  <si>
    <t>232.8343</t>
  </si>
  <si>
    <t>232.8270</t>
  </si>
  <si>
    <t>232.8266</t>
  </si>
  <si>
    <t>232.8092</t>
  </si>
  <si>
    <t>232.8121</t>
  </si>
  <si>
    <t>232.8043</t>
  </si>
  <si>
    <t>232.0336</t>
  </si>
  <si>
    <t>232.0275</t>
  </si>
  <si>
    <t>232.0209</t>
  </si>
  <si>
    <t>167.9120</t>
  </si>
  <si>
    <t>167.9093</t>
  </si>
  <si>
    <t>167.9099</t>
  </si>
  <si>
    <t>167.9165</t>
  </si>
  <si>
    <t>167.8833</t>
  </si>
  <si>
    <t>167.8826</t>
  </si>
  <si>
    <t>167.9192</t>
  </si>
  <si>
    <t>167.9256</t>
  </si>
  <si>
    <t>167.9181</t>
  </si>
  <si>
    <t>167.9447</t>
  </si>
  <si>
    <t>167.9579</t>
  </si>
  <si>
    <t>167.9639</t>
  </si>
  <si>
    <t>167.8234</t>
  </si>
  <si>
    <t>167.8255</t>
  </si>
  <si>
    <t>167.8134</t>
  </si>
  <si>
    <t>167.8436</t>
  </si>
  <si>
    <t>167.8443</t>
  </si>
  <si>
    <t>167.9538</t>
  </si>
  <si>
    <t>167.9599</t>
  </si>
  <si>
    <t>167.9679</t>
  </si>
  <si>
    <t>167.9794</t>
  </si>
  <si>
    <t>167.9797</t>
  </si>
  <si>
    <t>167.9674</t>
  </si>
  <si>
    <t>286.3276</t>
  </si>
  <si>
    <t>286.3093</t>
  </si>
  <si>
    <t>286.3049</t>
  </si>
  <si>
    <t>286.2669</t>
  </si>
  <si>
    <t>286.2568</t>
  </si>
  <si>
    <t>286.2642</t>
  </si>
  <si>
    <t>286.2081</t>
  </si>
  <si>
    <t>286.2241</t>
  </si>
  <si>
    <t>286.2186</t>
  </si>
  <si>
    <t>286.2267</t>
  </si>
  <si>
    <t>286.2421</t>
  </si>
  <si>
    <t>286.2645</t>
  </si>
  <si>
    <t>285.6939</t>
  </si>
  <si>
    <t>285.6676</t>
  </si>
  <si>
    <t>285.6646</t>
  </si>
  <si>
    <t>283.7133</t>
  </si>
  <si>
    <t>283.7093</t>
  </si>
  <si>
    <t>283.7065</t>
  </si>
  <si>
    <t>285.9520</t>
  </si>
  <si>
    <t>285.1286</t>
  </si>
  <si>
    <t>285.1064</t>
  </si>
  <si>
    <t>419.4745</t>
  </si>
  <si>
    <t>419.4741</t>
  </si>
  <si>
    <t>419.4869</t>
  </si>
  <si>
    <t>419.4858</t>
  </si>
  <si>
    <t>419.4773</t>
  </si>
  <si>
    <t>419.4718</t>
  </si>
  <si>
    <t>419.4340</t>
  </si>
  <si>
    <t>419.4375</t>
  </si>
  <si>
    <t>419.4488</t>
  </si>
  <si>
    <t>419.4538</t>
  </si>
  <si>
    <t>419.4567</t>
  </si>
  <si>
    <t>419.3394</t>
  </si>
  <si>
    <t>419.3430</t>
  </si>
  <si>
    <t>419.3462</t>
  </si>
  <si>
    <t>419.3141</t>
  </si>
  <si>
    <t>419.3161</t>
  </si>
  <si>
    <t>419.3267</t>
  </si>
  <si>
    <t>419.3310</t>
  </si>
  <si>
    <t>419.3325</t>
  </si>
  <si>
    <t>419.3290</t>
  </si>
  <si>
    <t>674.5205</t>
  </si>
  <si>
    <t>674.5057</t>
  </si>
  <si>
    <t>674.5117</t>
  </si>
  <si>
    <t>674.4924</t>
  </si>
  <si>
    <t>674.5013</t>
  </si>
  <si>
    <t>674.5038</t>
  </si>
  <si>
    <t>674.3729</t>
  </si>
  <si>
    <t>674.3725</t>
  </si>
  <si>
    <t>674.3952</t>
  </si>
  <si>
    <t>674.3833</t>
  </si>
  <si>
    <t>674.3831</t>
  </si>
  <si>
    <t>674.3849</t>
  </si>
  <si>
    <t>674.2421</t>
  </si>
  <si>
    <t>674.3379</t>
  </si>
  <si>
    <t>674.4628</t>
  </si>
  <si>
    <t>674.4611</t>
  </si>
  <si>
    <t>674.4501</t>
  </si>
  <si>
    <t>674.4420</t>
  </si>
  <si>
    <t>674.4483</t>
  </si>
  <si>
    <t>674.4399</t>
  </si>
  <si>
    <t>674.4342</t>
  </si>
  <si>
    <t>674.4144</t>
  </si>
  <si>
    <t>674.4268</t>
  </si>
  <si>
    <t>674.4195</t>
  </si>
  <si>
    <t>674.4601</t>
  </si>
  <si>
    <t>674.4588</t>
  </si>
  <si>
    <t>733.8307</t>
  </si>
  <si>
    <t>733.8285</t>
  </si>
  <si>
    <t>733.8277</t>
  </si>
  <si>
    <t>733.8294</t>
  </si>
  <si>
    <t>733.8348</t>
  </si>
  <si>
    <t>733.8369</t>
  </si>
  <si>
    <t>733.8156</t>
  </si>
  <si>
    <t>733.8123</t>
  </si>
  <si>
    <t>733.8147</t>
  </si>
  <si>
    <t>733.8540</t>
  </si>
  <si>
    <t>733.8529</t>
  </si>
  <si>
    <t>733.8531</t>
  </si>
  <si>
    <t>733.8266</t>
  </si>
  <si>
    <t>733.8254</t>
  </si>
  <si>
    <t>733.8292</t>
  </si>
  <si>
    <t>733.8509</t>
  </si>
  <si>
    <t>733.8506</t>
  </si>
  <si>
    <t>734.2448</t>
  </si>
  <si>
    <t>734.2350</t>
  </si>
  <si>
    <t>734.2400</t>
  </si>
  <si>
    <t>734.1814</t>
  </si>
  <si>
    <t>734.1767</t>
  </si>
  <si>
    <t>734.1697</t>
  </si>
  <si>
    <t>978.5767</t>
  </si>
  <si>
    <t>978.5750</t>
  </si>
  <si>
    <t>978.5709</t>
  </si>
  <si>
    <t>978.5705</t>
  </si>
  <si>
    <t>978.5741</t>
  </si>
  <si>
    <t>978.5398</t>
  </si>
  <si>
    <t>978.5340</t>
  </si>
  <si>
    <t>978.5055</t>
  </si>
  <si>
    <t>978.5070</t>
  </si>
  <si>
    <t>978.5060</t>
  </si>
  <si>
    <t>978.5376</t>
  </si>
  <si>
    <t>978.5396</t>
  </si>
  <si>
    <t>978.5439</t>
  </si>
  <si>
    <t>978.6147</t>
  </si>
  <si>
    <t>978.6222</t>
  </si>
  <si>
    <t>978.6253</t>
  </si>
  <si>
    <t>978.5770</t>
  </si>
  <si>
    <t>978.5859</t>
  </si>
  <si>
    <t>978.5842</t>
  </si>
  <si>
    <t>978.5873</t>
  </si>
  <si>
    <t>978.5836</t>
  </si>
  <si>
    <t>978.5805</t>
  </si>
  <si>
    <t>87.1417</t>
  </si>
  <si>
    <t>87.1415</t>
  </si>
  <si>
    <t>87.1444</t>
  </si>
  <si>
    <t>87.1204</t>
  </si>
  <si>
    <t>87.1212</t>
  </si>
  <si>
    <t>87.1300</t>
  </si>
  <si>
    <t>87.1235</t>
  </si>
  <si>
    <t>87.1236</t>
  </si>
  <si>
    <t>87.1272</t>
  </si>
  <si>
    <t>154.6257</t>
  </si>
  <si>
    <t>154.6292</t>
  </si>
  <si>
    <t>154.6311</t>
  </si>
  <si>
    <t>154.6205</t>
  </si>
  <si>
    <t>154.6248</t>
  </si>
  <si>
    <t>154.6235</t>
  </si>
  <si>
    <t>154.6461</t>
  </si>
  <si>
    <t>154.6378</t>
  </si>
  <si>
    <t>154.6463</t>
  </si>
  <si>
    <t>154.6181</t>
  </si>
  <si>
    <t>154.6218</t>
  </si>
  <si>
    <t>154.6214</t>
  </si>
  <si>
    <t>154.6193</t>
  </si>
  <si>
    <t>154.6016</t>
  </si>
  <si>
    <t>154.6074</t>
  </si>
  <si>
    <t>154.6352</t>
  </si>
  <si>
    <t>154.6217</t>
  </si>
  <si>
    <t>154.6230</t>
  </si>
  <si>
    <t>154.6180</t>
  </si>
  <si>
    <t>154.6367</t>
  </si>
  <si>
    <t>154.6374</t>
  </si>
  <si>
    <t>204.2405</t>
  </si>
  <si>
    <t>204.2445</t>
  </si>
  <si>
    <t>204.2457</t>
  </si>
  <si>
    <t>204.2646</t>
  </si>
  <si>
    <t>204.2676</t>
  </si>
  <si>
    <t>204.2727</t>
  </si>
  <si>
    <t>204.2465</t>
  </si>
  <si>
    <t>204.2500</t>
  </si>
  <si>
    <t>204.2492</t>
  </si>
  <si>
    <t>204.2485</t>
  </si>
  <si>
    <t>204.2540</t>
  </si>
  <si>
    <t>204.2552</t>
  </si>
  <si>
    <t>204.2375</t>
  </si>
  <si>
    <t>204.2380</t>
  </si>
  <si>
    <t>204.2421</t>
  </si>
  <si>
    <t>204.2749</t>
  </si>
  <si>
    <t>204.2670</t>
  </si>
  <si>
    <t>204.2708</t>
  </si>
  <si>
    <t>204.2632</t>
  </si>
  <si>
    <t>204.2537</t>
  </si>
  <si>
    <t>204.2554</t>
  </si>
  <si>
    <t>297.9869</t>
  </si>
  <si>
    <t>297.9769</t>
  </si>
  <si>
    <t>297.9692</t>
  </si>
  <si>
    <t>297.9465</t>
  </si>
  <si>
    <t>297.9469</t>
  </si>
  <si>
    <t>297.9791</t>
  </si>
  <si>
    <t>297.9826</t>
  </si>
  <si>
    <t>297.9762</t>
  </si>
  <si>
    <t>297.9815</t>
  </si>
  <si>
    <t>297.9727</t>
  </si>
  <si>
    <t>297.9679</t>
  </si>
  <si>
    <t>297.8134</t>
  </si>
  <si>
    <t>297.8234</t>
  </si>
  <si>
    <t>297.8437</t>
  </si>
  <si>
    <t>297.8253</t>
  </si>
  <si>
    <t>297.8283</t>
  </si>
  <si>
    <t>297.8357</t>
  </si>
  <si>
    <t>297.8440</t>
  </si>
  <si>
    <t>297.8425</t>
  </si>
  <si>
    <t>297.8305</t>
  </si>
  <si>
    <t>481.3495</t>
  </si>
  <si>
    <t>481.3449</t>
  </si>
  <si>
    <t>481.3408</t>
  </si>
  <si>
    <t>481.3357</t>
  </si>
  <si>
    <t>481.3381</t>
  </si>
  <si>
    <t>481.3368</t>
  </si>
  <si>
    <t>481.2666</t>
  </si>
  <si>
    <t>481.2645</t>
  </si>
  <si>
    <t>481.2647</t>
  </si>
  <si>
    <t>481.2891</t>
  </si>
  <si>
    <t>481.2905</t>
  </si>
  <si>
    <t>481.2950</t>
  </si>
  <si>
    <t>481.2963</t>
  </si>
  <si>
    <t>481.2933</t>
  </si>
  <si>
    <t>481.2929</t>
  </si>
  <si>
    <t>481.2798</t>
  </si>
  <si>
    <t>481.2856</t>
  </si>
  <si>
    <t>481.2865</t>
  </si>
  <si>
    <t>386.9594</t>
  </si>
  <si>
    <t>386.9539</t>
  </si>
  <si>
    <t>386.9503</t>
  </si>
  <si>
    <t>386.9612</t>
  </si>
  <si>
    <t>386.9562</t>
  </si>
  <si>
    <t>386.9506</t>
  </si>
  <si>
    <t>386.9174</t>
  </si>
  <si>
    <t>386.9152</t>
  </si>
  <si>
    <t>386.9206</t>
  </si>
  <si>
    <t>386.9167</t>
  </si>
  <si>
    <t>386.9183</t>
  </si>
  <si>
    <t>386.9131</t>
  </si>
  <si>
    <t>386.8803</t>
  </si>
  <si>
    <t>386.8774</t>
  </si>
  <si>
    <t>386.8819</t>
  </si>
  <si>
    <t>386.8788</t>
  </si>
  <si>
    <t>386.8870</t>
  </si>
  <si>
    <t>386.8701</t>
  </si>
  <si>
    <t>386.8682</t>
  </si>
  <si>
    <t>386.8702</t>
  </si>
  <si>
    <t>386.9005</t>
  </si>
  <si>
    <t>386.9058</t>
  </si>
  <si>
    <t>386.9069</t>
  </si>
  <si>
    <t>386.8744</t>
  </si>
  <si>
    <t>386.8681</t>
  </si>
  <si>
    <t>386.8691</t>
  </si>
  <si>
    <t>507.9308</t>
  </si>
  <si>
    <t>507.9229</t>
  </si>
  <si>
    <t>507.9208</t>
  </si>
  <si>
    <t>507.9500</t>
  </si>
  <si>
    <t>507.9615</t>
  </si>
  <si>
    <t>507.9656</t>
  </si>
  <si>
    <t>507.8917</t>
  </si>
  <si>
    <t>507.8826</t>
  </si>
  <si>
    <t>507.8823</t>
  </si>
  <si>
    <t>507.8355</t>
  </si>
  <si>
    <t>507.8406</t>
  </si>
  <si>
    <t>507.8438</t>
  </si>
  <si>
    <t>507.8825</t>
  </si>
  <si>
    <t>507.8800</t>
  </si>
  <si>
    <t>507.8830</t>
  </si>
  <si>
    <t>507.8939</t>
  </si>
  <si>
    <t>507.8945</t>
  </si>
  <si>
    <t>507.8911</t>
  </si>
  <si>
    <t>507.8852</t>
  </si>
  <si>
    <t>507.8853</t>
  </si>
  <si>
    <t>507.8811</t>
  </si>
  <si>
    <t>507.8989</t>
  </si>
  <si>
    <t>507.9007</t>
  </si>
  <si>
    <t>252.6746</t>
  </si>
  <si>
    <t>252.6874</t>
  </si>
  <si>
    <t>252.6789</t>
  </si>
  <si>
    <t>252.6083</t>
  </si>
  <si>
    <t>252.6054</t>
  </si>
  <si>
    <t>252.6118</t>
  </si>
  <si>
    <t>252.6094</t>
  </si>
  <si>
    <t>252.6011</t>
  </si>
  <si>
    <t>252.6031</t>
  </si>
  <si>
    <t>252.6765</t>
  </si>
  <si>
    <t>252.6695</t>
  </si>
  <si>
    <t>252.6741</t>
  </si>
  <si>
    <t>252.6522</t>
  </si>
  <si>
    <t>252.6487</t>
  </si>
  <si>
    <t>252.6418</t>
  </si>
  <si>
    <t>252.6379</t>
  </si>
  <si>
    <t>252.6315</t>
  </si>
  <si>
    <t>252.6369</t>
  </si>
  <si>
    <t>252.6973</t>
  </si>
  <si>
    <t>252.7028</t>
  </si>
  <si>
    <t>252.7038</t>
  </si>
  <si>
    <t>252.6356</t>
  </si>
  <si>
    <t>252.6348</t>
  </si>
  <si>
    <t>252.6338</t>
  </si>
  <si>
    <t>37.0023</t>
  </si>
  <si>
    <t>37.0021</t>
  </si>
  <si>
    <t>37.0052</t>
  </si>
  <si>
    <t>36.9998</t>
  </si>
  <si>
    <t>37.0016</t>
  </si>
  <si>
    <t>37.0045</t>
  </si>
  <si>
    <t>37.0099</t>
  </si>
  <si>
    <t>37.0070</t>
  </si>
  <si>
    <t>37.0200</t>
  </si>
  <si>
    <t>37.0189</t>
  </si>
  <si>
    <t>37.0184</t>
  </si>
  <si>
    <t>37.0248</t>
  </si>
  <si>
    <t>37.0263</t>
  </si>
  <si>
    <t>37.0256</t>
  </si>
  <si>
    <t>37.0268</t>
  </si>
  <si>
    <t>37.0275</t>
  </si>
  <si>
    <t>37.0274</t>
  </si>
  <si>
    <t>37.0174</t>
  </si>
  <si>
    <t>37.0178</t>
  </si>
  <si>
    <t>37.0173</t>
  </si>
  <si>
    <t>37.0222</t>
  </si>
  <si>
    <t>37.0223</t>
  </si>
  <si>
    <t>37.0261</t>
  </si>
  <si>
    <t>37.1008</t>
  </si>
  <si>
    <t>37.1073</t>
  </si>
  <si>
    <t>37.1056</t>
  </si>
  <si>
    <t>317.6274</t>
  </si>
  <si>
    <t>317.6219</t>
  </si>
  <si>
    <t>317.6248</t>
  </si>
  <si>
    <t>317.6230</t>
  </si>
  <si>
    <t>317.6311</t>
  </si>
  <si>
    <t>317.6344</t>
  </si>
  <si>
    <t>317.6396</t>
  </si>
  <si>
    <t>317.6537</t>
  </si>
  <si>
    <t>317.6522</t>
  </si>
  <si>
    <t>317.6371</t>
  </si>
  <si>
    <t>317.6273</t>
  </si>
  <si>
    <t>317.6218</t>
  </si>
  <si>
    <t>317.6057</t>
  </si>
  <si>
    <t>317.6031</t>
  </si>
  <si>
    <t>317.6011</t>
  </si>
  <si>
    <t>317.6427</t>
  </si>
  <si>
    <t>317.6440</t>
  </si>
  <si>
    <t>317.6355</t>
  </si>
  <si>
    <t>317.6183</t>
  </si>
  <si>
    <t>317.6150</t>
  </si>
  <si>
    <t>317.6162</t>
  </si>
  <si>
    <t>317.8747</t>
  </si>
  <si>
    <t>317.8681</t>
  </si>
  <si>
    <t>317.8656</t>
  </si>
  <si>
    <t>475.3689</t>
  </si>
  <si>
    <t>475.3706</t>
  </si>
  <si>
    <t>475.3823</t>
  </si>
  <si>
    <t>475.3838</t>
  </si>
  <si>
    <t>475.3864</t>
  </si>
  <si>
    <t>475.3804</t>
  </si>
  <si>
    <t>475.4025</t>
  </si>
  <si>
    <t>475.4045</t>
  </si>
  <si>
    <t>475.3926</t>
  </si>
  <si>
    <t>475.3749</t>
  </si>
  <si>
    <t>475.3661</t>
  </si>
  <si>
    <t>475.3600</t>
  </si>
  <si>
    <t>475.3791</t>
  </si>
  <si>
    <t>475.3786</t>
  </si>
  <si>
    <t>475.3757</t>
  </si>
  <si>
    <t>475.2092</t>
  </si>
  <si>
    <t>475.2028</t>
  </si>
  <si>
    <t>475.2043</t>
  </si>
  <si>
    <t>475.2610</t>
  </si>
  <si>
    <t>475.2653</t>
  </si>
  <si>
    <t>475.2723</t>
  </si>
  <si>
    <t>475.2885</t>
  </si>
  <si>
    <t>475.2884</t>
  </si>
  <si>
    <t>475.2779</t>
  </si>
  <si>
    <t>501.1387</t>
  </si>
  <si>
    <t>501.1446</t>
  </si>
  <si>
    <t>501.1276</t>
  </si>
  <si>
    <t>501.1064</t>
  </si>
  <si>
    <t>501.0994</t>
  </si>
  <si>
    <t>501.1011</t>
  </si>
  <si>
    <t>501.1869</t>
  </si>
  <si>
    <t>501.1846</t>
  </si>
  <si>
    <t>501.1704</t>
  </si>
  <si>
    <t>501.1098</t>
  </si>
  <si>
    <t>501.1159</t>
  </si>
  <si>
    <t>501.1182</t>
  </si>
  <si>
    <t>501.1584</t>
  </si>
  <si>
    <t>501.1567</t>
  </si>
  <si>
    <t>501.1596</t>
  </si>
  <si>
    <t>501.0709</t>
  </si>
  <si>
    <t>501.0579</t>
  </si>
  <si>
    <t>501.0419</t>
  </si>
  <si>
    <t>501.0681</t>
  </si>
  <si>
    <t>501.0731</t>
  </si>
  <si>
    <t>501.0763</t>
  </si>
  <si>
    <t>501.0847</t>
  </si>
  <si>
    <t>501.0788</t>
  </si>
  <si>
    <t>501.0822</t>
  </si>
  <si>
    <t>501.1999</t>
  </si>
  <si>
    <t>501.1964</t>
  </si>
  <si>
    <t>501.1890</t>
  </si>
  <si>
    <t>570.9204</t>
  </si>
  <si>
    <t>570.9382</t>
  </si>
  <si>
    <t>570.9354</t>
  </si>
  <si>
    <t>570.9291</t>
  </si>
  <si>
    <t>570.9249</t>
  </si>
  <si>
    <t>570.9159</t>
  </si>
  <si>
    <t>570.9284</t>
  </si>
  <si>
    <t>570.9269</t>
  </si>
  <si>
    <t>570.9161</t>
  </si>
  <si>
    <t>570.9319</t>
  </si>
  <si>
    <t>570.9394</t>
  </si>
  <si>
    <t>570.9405</t>
  </si>
  <si>
    <t>570.9683</t>
  </si>
  <si>
    <t>570.9476</t>
  </si>
  <si>
    <t>570.9323</t>
  </si>
  <si>
    <t>570.7546</t>
  </si>
  <si>
    <t>570.7521</t>
  </si>
  <si>
    <t>570.7442</t>
  </si>
  <si>
    <t>570.7984</t>
  </si>
  <si>
    <t>570.8002</t>
  </si>
  <si>
    <t>570.8075</t>
  </si>
  <si>
    <t>570.8042</t>
  </si>
  <si>
    <t>570.8064</t>
  </si>
  <si>
    <t>570.8150</t>
  </si>
  <si>
    <t>571.1067</t>
  </si>
  <si>
    <t>571.1092</t>
  </si>
  <si>
    <t>571.0983</t>
  </si>
  <si>
    <t>182.2080</t>
  </si>
  <si>
    <t>182.2073</t>
  </si>
  <si>
    <t>182.2107</t>
  </si>
  <si>
    <t>182.2115</t>
  </si>
  <si>
    <t>182.2154</t>
  </si>
  <si>
    <t>182.2202</t>
  </si>
  <si>
    <t>182.2334</t>
  </si>
  <si>
    <t>182.2288</t>
  </si>
  <si>
    <t>182.2188</t>
  </si>
  <si>
    <t>182.1698</t>
  </si>
  <si>
    <t>182.1758</t>
  </si>
  <si>
    <t>182.1745</t>
  </si>
  <si>
    <t>182.2083</t>
  </si>
  <si>
    <t>182.2082</t>
  </si>
  <si>
    <t>182.2051</t>
  </si>
  <si>
    <t>182.1161</t>
  </si>
  <si>
    <t>182.1031</t>
  </si>
  <si>
    <t>182.0994</t>
  </si>
  <si>
    <t>182.0653</t>
  </si>
  <si>
    <t>182.0661</t>
  </si>
  <si>
    <t>182.0778</t>
  </si>
  <si>
    <t>182.0862</t>
  </si>
  <si>
    <t>182.0824</t>
  </si>
  <si>
    <t>182.0826</t>
  </si>
  <si>
    <t>182.3668</t>
  </si>
  <si>
    <t>182.3583</t>
  </si>
  <si>
    <t>182.3457</t>
  </si>
  <si>
    <t>299.8279</t>
  </si>
  <si>
    <t>299.8213</t>
  </si>
  <si>
    <t>299.8163</t>
  </si>
  <si>
    <t>299.8634</t>
  </si>
  <si>
    <t>299.8586</t>
  </si>
  <si>
    <t>299.8471</t>
  </si>
  <si>
    <t>299.8511</t>
  </si>
  <si>
    <t>299.8516</t>
  </si>
  <si>
    <t>299.8431</t>
  </si>
  <si>
    <t>299.7831</t>
  </si>
  <si>
    <t>299.7825</t>
  </si>
  <si>
    <t>299.7935</t>
  </si>
  <si>
    <t>299.8287</t>
  </si>
  <si>
    <t>299.8212</t>
  </si>
  <si>
    <t>299.8255</t>
  </si>
  <si>
    <t>299.8234</t>
  </si>
  <si>
    <t>299.6867</t>
  </si>
  <si>
    <t>299.6926</t>
  </si>
  <si>
    <t>299.7037</t>
  </si>
  <si>
    <t>299.6886</t>
  </si>
  <si>
    <t>299.6965</t>
  </si>
  <si>
    <t>299.7012</t>
  </si>
  <si>
    <t>107.0641</t>
  </si>
  <si>
    <t>107.0578</t>
  </si>
  <si>
    <t>107.0512</t>
  </si>
  <si>
    <t>107.0691</t>
  </si>
  <si>
    <t>107.0758</t>
  </si>
  <si>
    <t>107.0833</t>
  </si>
  <si>
    <t>107.0786</t>
  </si>
  <si>
    <t>107.0729</t>
  </si>
  <si>
    <t>107.0717</t>
  </si>
  <si>
    <t>107.0543</t>
  </si>
  <si>
    <t>107.0611</t>
  </si>
  <si>
    <t>107.0730</t>
  </si>
  <si>
    <t>107.0567</t>
  </si>
  <si>
    <t>107.0655</t>
  </si>
  <si>
    <t>107.0661</t>
  </si>
  <si>
    <t>107.1157</t>
  </si>
  <si>
    <t>107.1237</t>
  </si>
  <si>
    <t>107.1288</t>
  </si>
  <si>
    <t>107.1654</t>
  </si>
  <si>
    <t>107.1758</t>
  </si>
  <si>
    <t>107.1707</t>
  </si>
  <si>
    <t>107.0628</t>
  </si>
  <si>
    <t>107.2119</t>
  </si>
  <si>
    <t>107.2078</t>
  </si>
  <si>
    <t>107.2031</t>
  </si>
  <si>
    <t>119.5558</t>
  </si>
  <si>
    <t>119.5645</t>
  </si>
  <si>
    <t>119.5644</t>
  </si>
  <si>
    <t>119.5639</t>
  </si>
  <si>
    <t>119.5683</t>
  </si>
  <si>
    <t>119.5832</t>
  </si>
  <si>
    <t>119.5846</t>
  </si>
  <si>
    <t>119.5769</t>
  </si>
  <si>
    <t>119.5550</t>
  </si>
  <si>
    <t>119.5638</t>
  </si>
  <si>
    <t>119.5628</t>
  </si>
  <si>
    <t>119.5656</t>
  </si>
  <si>
    <t>119.5752</t>
  </si>
  <si>
    <t>119.5711</t>
  </si>
  <si>
    <t>119.5691</t>
  </si>
  <si>
    <t>119.5509</t>
  </si>
  <si>
    <t>119.5478</t>
  </si>
  <si>
    <t>119.5588</t>
  </si>
  <si>
    <t>119.5468</t>
  </si>
  <si>
    <t>119.5396</t>
  </si>
  <si>
    <t>119.5359</t>
  </si>
  <si>
    <t>119.5340</t>
  </si>
  <si>
    <t>119.5488</t>
  </si>
  <si>
    <t>119.6296</t>
  </si>
  <si>
    <t>119.6318</t>
  </si>
  <si>
    <t>119.6294</t>
  </si>
  <si>
    <t>132.3161</t>
  </si>
  <si>
    <t>132.3192</t>
  </si>
  <si>
    <t>132.3173</t>
  </si>
  <si>
    <t>132.2888</t>
  </si>
  <si>
    <t>132.3084</t>
  </si>
  <si>
    <t>132.3031</t>
  </si>
  <si>
    <t>132.2707</t>
  </si>
  <si>
    <t>132.2976</t>
  </si>
  <si>
    <t>132.3108</t>
  </si>
  <si>
    <t>132.3062</t>
  </si>
  <si>
    <t>132.3129</t>
  </si>
  <si>
    <t>132.3133</t>
  </si>
  <si>
    <t>132.2605</t>
  </si>
  <si>
    <t>132.2807</t>
  </si>
  <si>
    <t>132.2986</t>
  </si>
  <si>
    <t>132.2237</t>
  </si>
  <si>
    <t>132.2239</t>
  </si>
  <si>
    <t>132.2360</t>
  </si>
  <si>
    <t>132.2593</t>
  </si>
  <si>
    <t>132.2507</t>
  </si>
  <si>
    <t>132.2674</t>
  </si>
  <si>
    <t>132.5528</t>
  </si>
  <si>
    <t>132.5468</t>
  </si>
  <si>
    <t>132.5408</t>
  </si>
  <si>
    <t>132.2786</t>
  </si>
  <si>
    <t>132.2664</t>
  </si>
  <si>
    <t>132.2623</t>
  </si>
  <si>
    <t>162.7085</t>
  </si>
  <si>
    <t>162.7027</t>
  </si>
  <si>
    <t>162.6964</t>
  </si>
  <si>
    <t>162.7140</t>
  </si>
  <si>
    <t>162.7234</t>
  </si>
  <si>
    <t>162.7182</t>
  </si>
  <si>
    <t>162.7393</t>
  </si>
  <si>
    <t>162.7590</t>
  </si>
  <si>
    <t>162.7607</t>
  </si>
  <si>
    <t>162.7985</t>
  </si>
  <si>
    <t>162.7942</t>
  </si>
  <si>
    <t>162.7894</t>
  </si>
  <si>
    <t>162.7936</t>
  </si>
  <si>
    <t>162.7858</t>
  </si>
  <si>
    <t>162.7856</t>
  </si>
  <si>
    <t>162.6289</t>
  </si>
  <si>
    <t>162.6333</t>
  </si>
  <si>
    <t>162.6639</t>
  </si>
  <si>
    <t>162.6757</t>
  </si>
  <si>
    <t>162.6559</t>
  </si>
  <si>
    <t>162.6371</t>
  </si>
  <si>
    <t>163.0365</t>
  </si>
  <si>
    <t>163.0315</t>
  </si>
  <si>
    <t>163.0241</t>
  </si>
  <si>
    <t>206.0130</t>
  </si>
  <si>
    <t>206.0142</t>
  </si>
  <si>
    <t>206.0235</t>
  </si>
  <si>
    <t>206.0249</t>
  </si>
  <si>
    <t>206.0183</t>
  </si>
  <si>
    <t>206.0228</t>
  </si>
  <si>
    <t>206.0297</t>
  </si>
  <si>
    <t>206.0272</t>
  </si>
  <si>
    <t>206.0278</t>
  </si>
  <si>
    <t>206.0195</t>
  </si>
  <si>
    <t>206.0200</t>
  </si>
  <si>
    <t>206.0295</t>
  </si>
  <si>
    <t>206.0451</t>
  </si>
  <si>
    <t>206.0490</t>
  </si>
  <si>
    <t>206.0480</t>
  </si>
  <si>
    <t>206.0135</t>
  </si>
  <si>
    <t>206.0110</t>
  </si>
  <si>
    <t>206.0128</t>
  </si>
  <si>
    <t>206.0082</t>
  </si>
  <si>
    <t>206.0132</t>
  </si>
  <si>
    <t>206.0259</t>
  </si>
  <si>
    <t>206.0201</t>
  </si>
  <si>
    <t>206.0254</t>
  </si>
  <si>
    <t>206.1005</t>
  </si>
  <si>
    <t>206.1072</t>
  </si>
  <si>
    <t>206.0951</t>
  </si>
  <si>
    <t>187.9552</t>
  </si>
  <si>
    <t>187.9578</t>
  </si>
  <si>
    <t>187.9590</t>
  </si>
  <si>
    <t>187.9491</t>
  </si>
  <si>
    <t>187.9457</t>
  </si>
  <si>
    <t>187.9443</t>
  </si>
  <si>
    <t>187.9339</t>
  </si>
  <si>
    <t>187.9314</t>
  </si>
  <si>
    <t>187.9259</t>
  </si>
  <si>
    <t>187.9416</t>
  </si>
  <si>
    <t>187.9454</t>
  </si>
  <si>
    <t>187.9425</t>
  </si>
  <si>
    <t>187.9420</t>
  </si>
  <si>
    <t>187.9446</t>
  </si>
  <si>
    <t>187.9209</t>
  </si>
  <si>
    <t>187.9216</t>
  </si>
  <si>
    <t>187.9218</t>
  </si>
  <si>
    <t>187.9176</t>
  </si>
  <si>
    <t>187.9164</t>
  </si>
  <si>
    <t>187.9180</t>
  </si>
  <si>
    <t>187.9341</t>
  </si>
  <si>
    <t>187.9318</t>
  </si>
  <si>
    <t>187.9321</t>
  </si>
  <si>
    <t>258.7604</t>
  </si>
  <si>
    <t>258.7602</t>
  </si>
  <si>
    <t>258.7542</t>
  </si>
  <si>
    <t>258.7659</t>
  </si>
  <si>
    <t>258.7730</t>
  </si>
  <si>
    <t>258.7741</t>
  </si>
  <si>
    <t>258.7781</t>
  </si>
  <si>
    <t>258.7721</t>
  </si>
  <si>
    <t>258.7696</t>
  </si>
  <si>
    <t>258.7387</t>
  </si>
  <si>
    <t>258.7370</t>
  </si>
  <si>
    <t>258.7411</t>
  </si>
  <si>
    <t>258.7574</t>
  </si>
  <si>
    <t>258.7578</t>
  </si>
  <si>
    <t>258.7554</t>
  </si>
  <si>
    <t>258.7185</t>
  </si>
  <si>
    <t>258.7131</t>
  </si>
  <si>
    <t>258.7157</t>
  </si>
  <si>
    <t>258.7093</t>
  </si>
  <si>
    <t>258.7095</t>
  </si>
  <si>
    <t>258.7026</t>
  </si>
  <si>
    <t>258.7180</t>
  </si>
  <si>
    <t>258.7240</t>
  </si>
  <si>
    <t>258.7216</t>
  </si>
  <si>
    <t>112.1125</t>
  </si>
  <si>
    <t>112.1120</t>
  </si>
  <si>
    <t>112.1101</t>
  </si>
  <si>
    <t>112.1190</t>
  </si>
  <si>
    <t>112.1107</t>
  </si>
  <si>
    <t>112.1091</t>
  </si>
  <si>
    <t>112.1090</t>
  </si>
  <si>
    <t>112.1069</t>
  </si>
  <si>
    <t>112.1075</t>
  </si>
  <si>
    <t>112.0891</t>
  </si>
  <si>
    <t>112.0941</t>
  </si>
  <si>
    <t>112.0950</t>
  </si>
  <si>
    <t>112.0990</t>
  </si>
  <si>
    <t>112.0979</t>
  </si>
  <si>
    <t>112.0967</t>
  </si>
  <si>
    <t>112.0913</t>
  </si>
  <si>
    <t>112.0957</t>
  </si>
  <si>
    <t>112.1055</t>
  </si>
  <si>
    <t>112.1142</t>
  </si>
  <si>
    <t>112.1056</t>
  </si>
  <si>
    <t>112.1130</t>
  </si>
  <si>
    <t>112.1152</t>
  </si>
  <si>
    <t>112.1153</t>
  </si>
  <si>
    <t>112.1124</t>
  </si>
  <si>
    <t>112.1962</t>
  </si>
  <si>
    <t>112.1993</t>
  </si>
  <si>
    <t>112.1971</t>
  </si>
  <si>
    <t>68.4407</t>
  </si>
  <si>
    <t>68.4384</t>
  </si>
  <si>
    <t>68.4450</t>
  </si>
  <si>
    <t>68.4189</t>
  </si>
  <si>
    <t>68.4102</t>
  </si>
  <si>
    <t>68.4152</t>
  </si>
  <si>
    <t>68.4137</t>
  </si>
  <si>
    <t>68.4123</t>
  </si>
  <si>
    <t>68.4156</t>
  </si>
  <si>
    <t>68.4098</t>
  </si>
  <si>
    <t>68.4079</t>
  </si>
  <si>
    <t>68.3942</t>
  </si>
  <si>
    <t>68.4007</t>
  </si>
  <si>
    <t>68.4141</t>
  </si>
  <si>
    <t>68.4022</t>
  </si>
  <si>
    <t>68.4088</t>
  </si>
  <si>
    <t>68.4355</t>
  </si>
  <si>
    <t>68.4346</t>
  </si>
  <si>
    <t>68.4328</t>
  </si>
  <si>
    <t>68.5529</t>
  </si>
  <si>
    <t>68.5416</t>
  </si>
  <si>
    <t>68.5426</t>
  </si>
  <si>
    <t>165.1295</t>
  </si>
  <si>
    <t>165.1352</t>
  </si>
  <si>
    <t>165.1331</t>
  </si>
  <si>
    <t>165.1087</t>
  </si>
  <si>
    <t>165.0916</t>
  </si>
  <si>
    <t>165.0975</t>
  </si>
  <si>
    <t>165.1015</t>
  </si>
  <si>
    <t>165.1036</t>
  </si>
  <si>
    <t>165.1067</t>
  </si>
  <si>
    <t>165.1007</t>
  </si>
  <si>
    <t>165.1119</t>
  </si>
  <si>
    <t>165.1256</t>
  </si>
  <si>
    <t>165.1271</t>
  </si>
  <si>
    <t>165.1289</t>
  </si>
  <si>
    <t>165.1646</t>
  </si>
  <si>
    <t>165.1461</t>
  </si>
  <si>
    <t>165.1486</t>
  </si>
  <si>
    <t>165.1309</t>
  </si>
  <si>
    <t>165.1194</t>
  </si>
  <si>
    <t>165.1146</t>
  </si>
  <si>
    <t>165.1117</t>
  </si>
  <si>
    <t>165.1050</t>
  </si>
  <si>
    <t>165.1091</t>
  </si>
  <si>
    <t>165.1190</t>
  </si>
  <si>
    <t>165.1653</t>
  </si>
  <si>
    <t>165.1680</t>
  </si>
  <si>
    <t>123.3410</t>
  </si>
  <si>
    <t>123.3322</t>
  </si>
  <si>
    <t>123.3308</t>
  </si>
  <si>
    <t>123.3291</t>
  </si>
  <si>
    <t>123.3323</t>
  </si>
  <si>
    <t>123.3432</t>
  </si>
  <si>
    <t>123.1885</t>
  </si>
  <si>
    <t>123.1997</t>
  </si>
  <si>
    <t>123.1810</t>
  </si>
  <si>
    <t>123.3232</t>
  </si>
  <si>
    <t>123.3352</t>
  </si>
  <si>
    <t>123.3261</t>
  </si>
  <si>
    <t>123.3341</t>
  </si>
  <si>
    <t>123.3393</t>
  </si>
  <si>
    <t>123.4119</t>
  </si>
  <si>
    <t>123.4120</t>
  </si>
  <si>
    <t>123.4197</t>
  </si>
  <si>
    <t>123.3335</t>
  </si>
  <si>
    <t>123.3203</t>
  </si>
  <si>
    <t>123.3399</t>
  </si>
  <si>
    <t>123.3420</t>
  </si>
  <si>
    <t>123.3559</t>
  </si>
  <si>
    <t>123.3663</t>
  </si>
  <si>
    <t>42.6239</t>
  </si>
  <si>
    <t>42.6262</t>
  </si>
  <si>
    <t>42.6259</t>
  </si>
  <si>
    <t>42.6117</t>
  </si>
  <si>
    <t>42.6020</t>
  </si>
  <si>
    <t>42.6038</t>
  </si>
  <si>
    <t>42.6390</t>
  </si>
  <si>
    <t>42.6403</t>
  </si>
  <si>
    <t>42.6422</t>
  </si>
  <si>
    <t>42.6713</t>
  </si>
  <si>
    <t>42.6745</t>
  </si>
  <si>
    <t>42.6752</t>
  </si>
  <si>
    <t>42.5676</t>
  </si>
  <si>
    <t>42.5740</t>
  </si>
  <si>
    <t>42.5805</t>
  </si>
  <si>
    <t>42.6991</t>
  </si>
  <si>
    <t>42.6920</t>
  </si>
  <si>
    <t>42.6910</t>
  </si>
  <si>
    <t>42.6938</t>
  </si>
  <si>
    <t>42.6952</t>
  </si>
  <si>
    <t>42.6957</t>
  </si>
  <si>
    <t>29.3468</t>
  </si>
  <si>
    <t>29.3457</t>
  </si>
  <si>
    <t>29.3429</t>
  </si>
  <si>
    <t>29.3398</t>
  </si>
  <si>
    <t>29.3369</t>
  </si>
  <si>
    <t>29.3409</t>
  </si>
  <si>
    <t>29.3395</t>
  </si>
  <si>
    <t>29.3406</t>
  </si>
  <si>
    <t>29.3417</t>
  </si>
  <si>
    <t>29.3545</t>
  </si>
  <si>
    <t>29.3544</t>
  </si>
  <si>
    <t>29.3536</t>
  </si>
  <si>
    <t>29.3691</t>
  </si>
  <si>
    <t>29.3664</t>
  </si>
  <si>
    <t>29.3627</t>
  </si>
  <si>
    <t>29.3412</t>
  </si>
  <si>
    <t>29.3453</t>
  </si>
  <si>
    <t>29.3433</t>
  </si>
  <si>
    <t>29.3425</t>
  </si>
  <si>
    <t>29.3385</t>
  </si>
  <si>
    <t>29.3387</t>
  </si>
  <si>
    <t>29.3493</t>
  </si>
  <si>
    <t>29.3535</t>
  </si>
  <si>
    <t>29.3511</t>
  </si>
  <si>
    <t>29.3688</t>
  </si>
  <si>
    <t>29.3774</t>
  </si>
  <si>
    <t>29.3794</t>
  </si>
  <si>
    <t>38.9664</t>
  </si>
  <si>
    <t>38.9744</t>
  </si>
  <si>
    <t>38.9809</t>
  </si>
  <si>
    <t>38.9949</t>
  </si>
  <si>
    <t>38.9849</t>
  </si>
  <si>
    <t>38.9923</t>
  </si>
  <si>
    <t>38.9749</t>
  </si>
  <si>
    <t>38.9715</t>
  </si>
  <si>
    <t>38.9860</t>
  </si>
  <si>
    <t>38.9959</t>
  </si>
  <si>
    <t>38.9844</t>
  </si>
  <si>
    <t>38.9792</t>
  </si>
  <si>
    <t>38.9797</t>
  </si>
  <si>
    <t>38.9854</t>
  </si>
  <si>
    <t>38.9877</t>
  </si>
  <si>
    <t>38.9201</t>
  </si>
  <si>
    <t>38.9290</t>
  </si>
  <si>
    <t>38.9353</t>
  </si>
  <si>
    <t>38.9203</t>
  </si>
  <si>
    <t>38.9108</t>
  </si>
  <si>
    <t>38.9156</t>
  </si>
  <si>
    <t>38.8908</t>
  </si>
  <si>
    <t>38.8906</t>
  </si>
  <si>
    <t>38.8949</t>
  </si>
  <si>
    <t>41.4460</t>
  </si>
  <si>
    <t>41.4416</t>
  </si>
  <si>
    <t>41.4471</t>
  </si>
  <si>
    <t>41.4491</t>
  </si>
  <si>
    <t>41.4511</t>
  </si>
  <si>
    <t>41.4505</t>
  </si>
  <si>
    <t>41.4639</t>
  </si>
  <si>
    <t>41.4611</t>
  </si>
  <si>
    <t>41.4542</t>
  </si>
  <si>
    <t>41.4351</t>
  </si>
  <si>
    <t>41.4356</t>
  </si>
  <si>
    <t>41.4380</t>
  </si>
  <si>
    <t>41.4261</t>
  </si>
  <si>
    <t>41.4256</t>
  </si>
  <si>
    <t>41.4278</t>
  </si>
  <si>
    <t>41.4157</t>
  </si>
  <si>
    <t>41.4226</t>
  </si>
  <si>
    <t>41.4303</t>
  </si>
  <si>
    <t>41.4392</t>
  </si>
  <si>
    <t>41.4331</t>
  </si>
  <si>
    <t>41.4367</t>
  </si>
  <si>
    <t>41.5296</t>
  </si>
  <si>
    <t>41.5271</t>
  </si>
  <si>
    <t>41.5320</t>
  </si>
  <si>
    <t>41.2799</t>
  </si>
  <si>
    <t>41.2841</t>
  </si>
  <si>
    <t>41.2907</t>
  </si>
  <si>
    <t>89.2003</t>
  </si>
  <si>
    <t>89.1966</t>
  </si>
  <si>
    <t>89.2035</t>
  </si>
  <si>
    <t>89.1968</t>
  </si>
  <si>
    <t>89.2014</t>
  </si>
  <si>
    <t>89.2140</t>
  </si>
  <si>
    <t>89.1811</t>
  </si>
  <si>
    <t>89.1816</t>
  </si>
  <si>
    <t>89.1779</t>
  </si>
  <si>
    <t>89.2137</t>
  </si>
  <si>
    <t>89.2197</t>
  </si>
  <si>
    <t>89.2244</t>
  </si>
  <si>
    <t>89.2138</t>
  </si>
  <si>
    <t>89.2094</t>
  </si>
  <si>
    <t>89.2106</t>
  </si>
  <si>
    <t>89.1147</t>
  </si>
  <si>
    <t>89.1104</t>
  </si>
  <si>
    <t>89.1110</t>
  </si>
  <si>
    <t>89.1157</t>
  </si>
  <si>
    <t>89.1088</t>
  </si>
  <si>
    <t>89.1069</t>
  </si>
  <si>
    <t>89.1012</t>
  </si>
  <si>
    <t>89.0949</t>
  </si>
  <si>
    <t>89.0961</t>
  </si>
  <si>
    <t>89.2931</t>
  </si>
  <si>
    <t>89.2910</t>
  </si>
  <si>
    <t>89.2799</t>
  </si>
  <si>
    <t>163.3562</t>
  </si>
  <si>
    <t>123.6192</t>
  </si>
  <si>
    <t>123.6156</t>
  </si>
  <si>
    <t>123.6059</t>
  </si>
  <si>
    <t>123.6095</t>
  </si>
  <si>
    <t>123.6443</t>
  </si>
  <si>
    <t>123.6570</t>
  </si>
  <si>
    <t>123.6143</t>
  </si>
  <si>
    <t>123.6235</t>
  </si>
  <si>
    <t>123.6222</t>
  </si>
  <si>
    <t>123.6217</t>
  </si>
  <si>
    <t>123.6050</t>
  </si>
  <si>
    <t>123.6162</t>
  </si>
  <si>
    <t>123.6099</t>
  </si>
  <si>
    <t>123.6129</t>
  </si>
  <si>
    <t>123.6166</t>
  </si>
  <si>
    <t>123.6015</t>
  </si>
  <si>
    <t>123.6021</t>
  </si>
  <si>
    <t>123.6054</t>
  </si>
  <si>
    <t>117.8696</t>
  </si>
  <si>
    <t>117.8699</t>
  </si>
  <si>
    <t>117.8780</t>
  </si>
  <si>
    <t>117.8834</t>
  </si>
  <si>
    <t>117.8800</t>
  </si>
  <si>
    <t>117.8789</t>
  </si>
  <si>
    <t>117.8843</t>
  </si>
  <si>
    <t>117.8828</t>
  </si>
  <si>
    <t>117.8777</t>
  </si>
  <si>
    <t>117.8750</t>
  </si>
  <si>
    <t>117.8759</t>
  </si>
  <si>
    <t>117.8767</t>
  </si>
  <si>
    <t>117.8784</t>
  </si>
  <si>
    <t>117.8770</t>
  </si>
  <si>
    <t>117.8776</t>
  </si>
  <si>
    <t>117.7939</t>
  </si>
  <si>
    <t>117.7931</t>
  </si>
  <si>
    <t>117.7927</t>
  </si>
  <si>
    <t>117.7937</t>
  </si>
  <si>
    <t>117.7853</t>
  </si>
  <si>
    <t>117.7812</t>
  </si>
  <si>
    <t>117.7856</t>
  </si>
  <si>
    <t>117.7869</t>
  </si>
  <si>
    <t>117.9747</t>
  </si>
  <si>
    <t>117.9775</t>
  </si>
  <si>
    <t>117.9757</t>
  </si>
  <si>
    <t>70.3583</t>
  </si>
  <si>
    <t>70.3687</t>
  </si>
  <si>
    <t>70.3785</t>
  </si>
  <si>
    <t>70.3555</t>
  </si>
  <si>
    <t>70.3614</t>
  </si>
  <si>
    <t>70.3551</t>
  </si>
  <si>
    <t>70.3606</t>
  </si>
  <si>
    <t>70.3742</t>
  </si>
  <si>
    <t>70.3644</t>
  </si>
  <si>
    <t>70.3271</t>
  </si>
  <si>
    <t>70.3243</t>
  </si>
  <si>
    <t>70.3299</t>
  </si>
  <si>
    <t>70.2830</t>
  </si>
  <si>
    <t>70.2759</t>
  </si>
  <si>
    <t>70.2388</t>
  </si>
  <si>
    <t>70.2655</t>
  </si>
  <si>
    <t>70.2563</t>
  </si>
  <si>
    <t>70.2549</t>
  </si>
  <si>
    <t>70.1953</t>
  </si>
  <si>
    <t>70.1931</t>
  </si>
  <si>
    <t>70.1924</t>
  </si>
  <si>
    <t>70.2507</t>
  </si>
  <si>
    <t>70.3355</t>
  </si>
  <si>
    <t>70.3275</t>
  </si>
  <si>
    <t>70.3289</t>
  </si>
  <si>
    <t>105.8158</t>
  </si>
  <si>
    <t>105.8239</t>
  </si>
  <si>
    <t>105.8222</t>
  </si>
  <si>
    <t>105.7963</t>
  </si>
  <si>
    <t>105.8014</t>
  </si>
  <si>
    <t>105.8025</t>
  </si>
  <si>
    <t>105.7799</t>
  </si>
  <si>
    <t>105.7908</t>
  </si>
  <si>
    <t>105.8039</t>
  </si>
  <si>
    <t>105.9177</t>
  </si>
  <si>
    <t>105.9240</t>
  </si>
  <si>
    <t>105.9252</t>
  </si>
  <si>
    <t>106.0097</t>
  </si>
  <si>
    <t>106.0149</t>
  </si>
  <si>
    <t>106.0192</t>
  </si>
  <si>
    <t>105.7285</t>
  </si>
  <si>
    <t>105.7372</t>
  </si>
  <si>
    <t>105.7404</t>
  </si>
  <si>
    <t>106.0397</t>
  </si>
  <si>
    <t>106.0332</t>
  </si>
  <si>
    <t>106.0295</t>
  </si>
  <si>
    <t>38.9121</t>
  </si>
  <si>
    <t>38.8996</t>
  </si>
  <si>
    <t>38.9075</t>
  </si>
  <si>
    <t>38.9206</t>
  </si>
  <si>
    <t>38.9199</t>
  </si>
  <si>
    <t>38.9052</t>
  </si>
  <si>
    <t>38.9117</t>
  </si>
  <si>
    <t>38.9125</t>
  </si>
  <si>
    <t>38.9245</t>
  </si>
  <si>
    <t>38.9062</t>
  </si>
  <si>
    <t>38.9105</t>
  </si>
  <si>
    <t>38.8963</t>
  </si>
  <si>
    <t>38.9482</t>
  </si>
  <si>
    <t>38.9443</t>
  </si>
  <si>
    <t>38.9428</t>
  </si>
  <si>
    <t>39.0838</t>
  </si>
  <si>
    <t>39.1016</t>
  </si>
  <si>
    <t>39.1019</t>
  </si>
  <si>
    <t>39.1366</t>
  </si>
  <si>
    <t>39.1252</t>
  </si>
  <si>
    <t>39.1263</t>
  </si>
  <si>
    <t>39.1101</t>
  </si>
  <si>
    <t>39.1138</t>
  </si>
  <si>
    <t>39.1110</t>
  </si>
  <si>
    <t>39.1568</t>
  </si>
  <si>
    <t>39.1556</t>
  </si>
  <si>
    <t>39.1442</t>
  </si>
  <si>
    <t>111.9943</t>
  </si>
  <si>
    <t>112.0043</t>
  </si>
  <si>
    <t>112.0126</t>
  </si>
  <si>
    <t>111.9978</t>
  </si>
  <si>
    <t>111.9995</t>
  </si>
  <si>
    <t>111.9919</t>
  </si>
  <si>
    <t>112.0028</t>
  </si>
  <si>
    <t>112.0298</t>
  </si>
  <si>
    <t>112.0243</t>
  </si>
  <si>
    <t>111.9859</t>
  </si>
  <si>
    <t>111.9820</t>
  </si>
  <si>
    <t>111.9846</t>
  </si>
  <si>
    <t>111.9595</t>
  </si>
  <si>
    <t>111.9624</t>
  </si>
  <si>
    <t>111.9618</t>
  </si>
  <si>
    <t>111.9726</t>
  </si>
  <si>
    <t>111.9671</t>
  </si>
  <si>
    <t>111.9723</t>
  </si>
  <si>
    <t>111.9760</t>
  </si>
  <si>
    <t>111.9630</t>
  </si>
  <si>
    <t>111.9666</t>
  </si>
  <si>
    <t>111.9599</t>
  </si>
  <si>
    <t>111.9623</t>
  </si>
  <si>
    <t>111.9589</t>
  </si>
  <si>
    <t>111.9685</t>
  </si>
  <si>
    <t>111.9827</t>
  </si>
  <si>
    <t>111.8200</t>
  </si>
  <si>
    <t>111.7940</t>
  </si>
  <si>
    <t>111.7761</t>
  </si>
  <si>
    <t>138.0454</t>
  </si>
  <si>
    <t>138.0391</t>
  </si>
  <si>
    <t>138.0294</t>
  </si>
  <si>
    <t>138.0320</t>
  </si>
  <si>
    <t>138.0331</t>
  </si>
  <si>
    <t>138.0318</t>
  </si>
  <si>
    <t>138.0248</t>
  </si>
  <si>
    <t>138.0179</t>
  </si>
  <si>
    <t>138.0195</t>
  </si>
  <si>
    <t>138.0224</t>
  </si>
  <si>
    <t>138.0241</t>
  </si>
  <si>
    <t>138.0304</t>
  </si>
  <si>
    <t>138.0342</t>
  </si>
  <si>
    <t>138.0370</t>
  </si>
  <si>
    <t>138.0379</t>
  </si>
  <si>
    <t>138.0060</t>
  </si>
  <si>
    <t>137.9945</t>
  </si>
  <si>
    <t>137.9817</t>
  </si>
  <si>
    <t>137.9774</t>
  </si>
  <si>
    <t>137.9730</t>
  </si>
  <si>
    <t>137.9757</t>
  </si>
  <si>
    <t>137.9997</t>
  </si>
  <si>
    <t>137.9912</t>
  </si>
  <si>
    <t>137.9841</t>
  </si>
  <si>
    <t>138.0736</t>
  </si>
  <si>
    <t>138.0654</t>
  </si>
  <si>
    <t>138.0601</t>
  </si>
  <si>
    <t>138.0786</t>
  </si>
  <si>
    <t>138.0700</t>
  </si>
  <si>
    <t>138.0779</t>
  </si>
  <si>
    <t>245.7691</t>
  </si>
  <si>
    <t>245.7819</t>
  </si>
  <si>
    <t>245.7920</t>
  </si>
  <si>
    <t>245.8065</t>
  </si>
  <si>
    <t>245.7925</t>
  </si>
  <si>
    <t>245.7883</t>
  </si>
  <si>
    <t>245.7451</t>
  </si>
  <si>
    <t>245.8456</t>
  </si>
  <si>
    <t>245.9031</t>
  </si>
  <si>
    <t>245.8177</t>
  </si>
  <si>
    <t>245.8227</t>
  </si>
  <si>
    <t>245.8230</t>
  </si>
  <si>
    <t>243.8334</t>
  </si>
  <si>
    <t>244.3771</t>
  </si>
  <si>
    <t>244.2909</t>
  </si>
  <si>
    <t>245.7379</t>
  </si>
  <si>
    <t>245.7537</t>
  </si>
  <si>
    <t>245.7475</t>
  </si>
  <si>
    <t>245.6065</t>
  </si>
  <si>
    <t>245.6781</t>
  </si>
  <si>
    <t>245.6934</t>
  </si>
  <si>
    <t>245.7898</t>
  </si>
  <si>
    <t>245.7970</t>
  </si>
  <si>
    <t>245.7924</t>
  </si>
  <si>
    <t>245.8824</t>
  </si>
  <si>
    <t>245.9339</t>
  </si>
  <si>
    <t>246.0370</t>
  </si>
  <si>
    <t>246.1916</t>
  </si>
  <si>
    <t>246.1769</t>
  </si>
  <si>
    <t>246.1146</t>
  </si>
  <si>
    <t>255.3327</t>
  </si>
  <si>
    <t>255.3294</t>
  </si>
  <si>
    <t>255.3391</t>
  </si>
  <si>
    <t>255.3290</t>
  </si>
  <si>
    <t>255.3239</t>
  </si>
  <si>
    <t>255.3195</t>
  </si>
  <si>
    <t>255.3121</t>
  </si>
  <si>
    <t>255.3170</t>
  </si>
  <si>
    <t>255.3161</t>
  </si>
  <si>
    <t>255.2387</t>
  </si>
  <si>
    <t>255.2435</t>
  </si>
  <si>
    <t>255.2421</t>
  </si>
  <si>
    <t>255.3412</t>
  </si>
  <si>
    <t>255.3296</t>
  </si>
  <si>
    <t>255.3204</t>
  </si>
  <si>
    <t>255.2887</t>
  </si>
  <si>
    <t>255.2676</t>
  </si>
  <si>
    <t>255.2644</t>
  </si>
  <si>
    <t>255.2727</t>
  </si>
  <si>
    <t>255.2751</t>
  </si>
  <si>
    <t>255.2822</t>
  </si>
  <si>
    <t>255.2917</t>
  </si>
  <si>
    <t>255.2846</t>
  </si>
  <si>
    <t>255.2693</t>
  </si>
  <si>
    <t>255.2800</t>
  </si>
  <si>
    <t>255.2851</t>
  </si>
  <si>
    <t>255.4376</t>
  </si>
  <si>
    <t>255.4508</t>
  </si>
  <si>
    <t>255.4607</t>
  </si>
  <si>
    <t>255.4559</t>
  </si>
  <si>
    <t>255.4568</t>
  </si>
  <si>
    <t>255.4396</t>
  </si>
  <si>
    <t>363.3120</t>
  </si>
  <si>
    <t>364.6216</t>
  </si>
  <si>
    <t>364.4260</t>
  </si>
  <si>
    <t>364.5127</t>
  </si>
  <si>
    <t>365.2681</t>
  </si>
  <si>
    <t>364.2817</t>
  </si>
  <si>
    <t>363.4228</t>
  </si>
  <si>
    <t>365.0906</t>
  </si>
  <si>
    <t>366.8977</t>
  </si>
  <si>
    <t>367.4202</t>
  </si>
  <si>
    <t>364.3884</t>
  </si>
  <si>
    <t>364.5018</t>
  </si>
  <si>
    <t>364.7580</t>
  </si>
  <si>
    <t>364.3419</t>
  </si>
  <si>
    <t>364.4075</t>
  </si>
  <si>
    <t>364.4272</t>
  </si>
  <si>
    <t>364.4204</t>
  </si>
  <si>
    <t>364.4362</t>
  </si>
  <si>
    <t>364.4095</t>
  </si>
  <si>
    <t>364.4105</t>
  </si>
  <si>
    <t>364.5897</t>
  </si>
  <si>
    <t>364.8785</t>
  </si>
  <si>
    <t>364.7261</t>
  </si>
  <si>
    <t>364.3868</t>
  </si>
  <si>
    <t>364.3820</t>
  </si>
  <si>
    <t>364.3817</t>
  </si>
  <si>
    <t>364.4648</t>
  </si>
  <si>
    <t>364.4624</t>
  </si>
  <si>
    <t>364.4434</t>
  </si>
  <si>
    <t>364.4052</t>
  </si>
  <si>
    <t>364.3998</t>
  </si>
  <si>
    <t>364.4047</t>
  </si>
  <si>
    <t>364.4071</t>
  </si>
  <si>
    <t>364.3875</t>
  </si>
  <si>
    <t>364.3987</t>
  </si>
  <si>
    <t>545.7476</t>
  </si>
  <si>
    <t>545.9094</t>
  </si>
  <si>
    <t>545.9687</t>
  </si>
  <si>
    <t>546.9888</t>
  </si>
  <si>
    <t>545.8891</t>
  </si>
  <si>
    <t>545.7772</t>
  </si>
  <si>
    <t>545.4689</t>
  </si>
  <si>
    <t>545.0022</t>
  </si>
  <si>
    <t>544.7517</t>
  </si>
  <si>
    <t>544.5169</t>
  </si>
  <si>
    <t>544.5224</t>
  </si>
  <si>
    <t>544.5181</t>
  </si>
  <si>
    <t>544.6424</t>
  </si>
  <si>
    <t>544.6265</t>
  </si>
  <si>
    <t>544.6163</t>
  </si>
  <si>
    <t>545.7547</t>
  </si>
  <si>
    <t>545.6624</t>
  </si>
  <si>
    <t>545.6409</t>
  </si>
  <si>
    <t>545.3208</t>
  </si>
  <si>
    <t>543.8988</t>
  </si>
  <si>
    <t>543.1228</t>
  </si>
  <si>
    <t>544.4406</t>
  </si>
  <si>
    <t>544.4639</t>
  </si>
  <si>
    <t>544.4705</t>
  </si>
  <si>
    <t>544.6339</t>
  </si>
  <si>
    <t>544.6040</t>
  </si>
  <si>
    <t>544.6085</t>
  </si>
  <si>
    <t>544.5464</t>
  </si>
  <si>
    <t>544.5546</t>
  </si>
  <si>
    <t>544.5767</t>
  </si>
  <si>
    <t>202.6542</t>
  </si>
  <si>
    <t>202.6682</t>
  </si>
  <si>
    <t>202.6859</t>
  </si>
  <si>
    <t>202.7953</t>
  </si>
  <si>
    <t>202.7813</t>
  </si>
  <si>
    <t>202.7784</t>
  </si>
  <si>
    <t>202.7208</t>
  </si>
  <si>
    <t>202.7002</t>
  </si>
  <si>
    <t>202.7058</t>
  </si>
  <si>
    <t>202.8546</t>
  </si>
  <si>
    <t>202.8610</t>
  </si>
  <si>
    <t>202.8630</t>
  </si>
  <si>
    <t>202.8730</t>
  </si>
  <si>
    <t>202.8725</t>
  </si>
  <si>
    <t>202.8807</t>
  </si>
  <si>
    <t>202.8699</t>
  </si>
  <si>
    <t>202.8667</t>
  </si>
  <si>
    <t>202.8691</t>
  </si>
  <si>
    <t>202.8704</t>
  </si>
  <si>
    <t>202.8651</t>
  </si>
  <si>
    <t>202.8553</t>
  </si>
  <si>
    <t>202.8600</t>
  </si>
  <si>
    <t>202.8597</t>
  </si>
  <si>
    <t>202.8590</t>
  </si>
  <si>
    <t>202.8542</t>
  </si>
  <si>
    <t>202.8544</t>
  </si>
  <si>
    <t>202.8516</t>
  </si>
  <si>
    <t>202.8653</t>
  </si>
  <si>
    <t>202.8692</t>
  </si>
  <si>
    <t>202.8674</t>
  </si>
  <si>
    <t>406.6218</t>
  </si>
  <si>
    <t>406.6193</t>
  </si>
  <si>
    <t>406.6028</t>
  </si>
  <si>
    <t>406.5708</t>
  </si>
  <si>
    <t>406.5841</t>
  </si>
  <si>
    <t>406.5836</t>
  </si>
  <si>
    <t>406.5321</t>
  </si>
  <si>
    <t>406.5300</t>
  </si>
  <si>
    <t>406.5318</t>
  </si>
  <si>
    <t>406.5459</t>
  </si>
  <si>
    <t>406.5343</t>
  </si>
  <si>
    <t>406.5262</t>
  </si>
  <si>
    <t>406.5792</t>
  </si>
  <si>
    <t>406.5936</t>
  </si>
  <si>
    <t>407.3394</t>
  </si>
  <si>
    <t>407.0659</t>
  </si>
  <si>
    <t>406.6066</t>
  </si>
  <si>
    <t>406.6137</t>
  </si>
  <si>
    <t>406.6162</t>
  </si>
  <si>
    <t>406.6173</t>
  </si>
  <si>
    <t>406.5704</t>
  </si>
  <si>
    <t>406.5772</t>
  </si>
  <si>
    <t>406.5811</t>
  </si>
  <si>
    <t>406.6090</t>
  </si>
  <si>
    <t>406.6023</t>
  </si>
  <si>
    <t>406.6056</t>
  </si>
  <si>
    <t>406.5929</t>
  </si>
  <si>
    <t>406.5906</t>
  </si>
  <si>
    <t>406.5887</t>
  </si>
  <si>
    <t>111.4792</t>
  </si>
  <si>
    <t>111.4803</t>
  </si>
  <si>
    <t>111.4800</t>
  </si>
  <si>
    <t>111.4903</t>
  </si>
  <si>
    <t>111.4966</t>
  </si>
  <si>
    <t>111.4964</t>
  </si>
  <si>
    <t>111.4923</t>
  </si>
  <si>
    <t>111.4949</t>
  </si>
  <si>
    <t>111.4881</t>
  </si>
  <si>
    <t>111.5005</t>
  </si>
  <si>
    <t>111.4934</t>
  </si>
  <si>
    <t>111.4868</t>
  </si>
  <si>
    <t>111.4860</t>
  </si>
  <si>
    <t>111.4875</t>
  </si>
  <si>
    <t>111.4819</t>
  </si>
  <si>
    <t>111.4761</t>
  </si>
  <si>
    <t>111.4774</t>
  </si>
  <si>
    <t>111.4735</t>
  </si>
  <si>
    <t>111.4781</t>
  </si>
  <si>
    <t>111.4760</t>
  </si>
  <si>
    <t>111.4843</t>
  </si>
  <si>
    <t>111.4871</t>
  </si>
  <si>
    <t>111.4835</t>
  </si>
  <si>
    <t>111.6062</t>
  </si>
  <si>
    <t>111.6014</t>
  </si>
  <si>
    <t>111.5983</t>
  </si>
  <si>
    <t>111.5853</t>
  </si>
  <si>
    <t>111.5838</t>
  </si>
  <si>
    <t>111.5781</t>
  </si>
  <si>
    <t>111.5782</t>
  </si>
  <si>
    <t>111.5738</t>
  </si>
  <si>
    <t>111.5744</t>
  </si>
  <si>
    <t>39.4976</t>
  </si>
  <si>
    <t>39.4977</t>
  </si>
  <si>
    <t>39.5074</t>
  </si>
  <si>
    <t>39.5135</t>
  </si>
  <si>
    <t>39.5175</t>
  </si>
  <si>
    <t>39.5244</t>
  </si>
  <si>
    <t>39.5156</t>
  </si>
  <si>
    <t>39.5080</t>
  </si>
  <si>
    <t>39.5058</t>
  </si>
  <si>
    <t>39.5666</t>
  </si>
  <si>
    <t>39.5712</t>
  </si>
  <si>
    <t>39.5705</t>
  </si>
  <si>
    <t>39.5671</t>
  </si>
  <si>
    <t>39.5687</t>
  </si>
  <si>
    <t>39.5767</t>
  </si>
  <si>
    <t>39.5566</t>
  </si>
  <si>
    <t>39.6032</t>
  </si>
  <si>
    <t>39.6030</t>
  </si>
  <si>
    <t>39.5953</t>
  </si>
  <si>
    <t>39.5954</t>
  </si>
  <si>
    <t>39.5903</t>
  </si>
  <si>
    <t>39.5864</t>
  </si>
  <si>
    <t>39.5913</t>
  </si>
  <si>
    <t>39.5858</t>
  </si>
  <si>
    <t>39.5846</t>
  </si>
  <si>
    <t>39.5743</t>
  </si>
  <si>
    <t>39.5762</t>
  </si>
  <si>
    <t>39.5801</t>
  </si>
  <si>
    <t>39.5781</t>
  </si>
  <si>
    <t>39.5747</t>
  </si>
  <si>
    <t>49.1950</t>
  </si>
  <si>
    <t>49.2002</t>
  </si>
  <si>
    <t>49.1931</t>
  </si>
  <si>
    <t>49.1769</t>
  </si>
  <si>
    <t>49.1685</t>
  </si>
  <si>
    <t>49.1679</t>
  </si>
  <si>
    <t>49.1776</t>
  </si>
  <si>
    <t>49.1858</t>
  </si>
  <si>
    <t>49.1775</t>
  </si>
  <si>
    <t>49.2045</t>
  </si>
  <si>
    <t>49.1963</t>
  </si>
  <si>
    <t>49.1945</t>
  </si>
  <si>
    <t>49.2226</t>
  </si>
  <si>
    <t>49.2157</t>
  </si>
  <si>
    <t>49.2190</t>
  </si>
  <si>
    <t>49.1856</t>
  </si>
  <si>
    <t>49.1800</t>
  </si>
  <si>
    <t>49.1895</t>
  </si>
  <si>
    <t>49.1862</t>
  </si>
  <si>
    <t>49.1830</t>
  </si>
  <si>
    <t>49.1826</t>
  </si>
  <si>
    <t>49.1985</t>
  </si>
  <si>
    <t>49.2003</t>
  </si>
  <si>
    <t>49.2005</t>
  </si>
  <si>
    <t>49.2283</t>
  </si>
  <si>
    <t>49.1578</t>
  </si>
  <si>
    <t>49.1001</t>
  </si>
  <si>
    <t>49.2386</t>
  </si>
  <si>
    <t>49.2651</t>
  </si>
  <si>
    <t>49.2721</t>
  </si>
  <si>
    <t>50.8649</t>
  </si>
  <si>
    <t>50.8670</t>
  </si>
  <si>
    <t>50.8656</t>
  </si>
  <si>
    <t>50.8595</t>
  </si>
  <si>
    <t>50.8615</t>
  </si>
  <si>
    <t>50.8602</t>
  </si>
  <si>
    <t>50.8636</t>
  </si>
  <si>
    <t>50.8603</t>
  </si>
  <si>
    <t>50.8388</t>
  </si>
  <si>
    <t>50.8389</t>
  </si>
  <si>
    <t>50.8437</t>
  </si>
  <si>
    <t>50.8268</t>
  </si>
  <si>
    <t>50.8224</t>
  </si>
  <si>
    <t>50.8193</t>
  </si>
  <si>
    <t>50.8213</t>
  </si>
  <si>
    <t>50.8292</t>
  </si>
  <si>
    <t>50.8184</t>
  </si>
  <si>
    <t>50.8306</t>
  </si>
  <si>
    <t>50.8277</t>
  </si>
  <si>
    <t>50.8350</t>
  </si>
  <si>
    <t>50.8162</t>
  </si>
  <si>
    <t>50.8174</t>
  </si>
  <si>
    <t>50.8186</t>
  </si>
  <si>
    <t>50.8160</t>
  </si>
  <si>
    <t>50.8153</t>
  </si>
  <si>
    <t>50.8056</t>
  </si>
  <si>
    <t>50.8181</t>
  </si>
  <si>
    <t>50.8169</t>
  </si>
  <si>
    <t>64.0882</t>
  </si>
  <si>
    <t>64.0831</t>
  </si>
  <si>
    <t>64.0855</t>
  </si>
  <si>
    <t>64.0517</t>
  </si>
  <si>
    <t>64.0460</t>
  </si>
  <si>
    <t>64.0463</t>
  </si>
  <si>
    <t>64.0523</t>
  </si>
  <si>
    <t>64.0572</t>
  </si>
  <si>
    <t>64.0640</t>
  </si>
  <si>
    <t>64.1047</t>
  </si>
  <si>
    <t>64.1053</t>
  </si>
  <si>
    <t>64.1009</t>
  </si>
  <si>
    <t>64.0752</t>
  </si>
  <si>
    <t>64.0904</t>
  </si>
  <si>
    <t>64.0773</t>
  </si>
  <si>
    <t>64.1405</t>
  </si>
  <si>
    <t>64.1294</t>
  </si>
  <si>
    <t>64.1287</t>
  </si>
  <si>
    <t>64.1411</t>
  </si>
  <si>
    <t>64.1482</t>
  </si>
  <si>
    <t>64.1421</t>
  </si>
  <si>
    <t>64.1197</t>
  </si>
  <si>
    <t>64.1190</t>
  </si>
  <si>
    <t>64.1263</t>
  </si>
  <si>
    <t>64.1644</t>
  </si>
  <si>
    <t>64.1200</t>
  </si>
  <si>
    <t>64.0991</t>
  </si>
  <si>
    <t>64.1091</t>
  </si>
  <si>
    <t>64.1153</t>
  </si>
  <si>
    <t>64.1221</t>
  </si>
  <si>
    <t>115.0475</t>
  </si>
  <si>
    <t>115.0635</t>
  </si>
  <si>
    <t>115.0716</t>
  </si>
  <si>
    <t>115.0614</t>
  </si>
  <si>
    <t>115.0683</t>
  </si>
  <si>
    <t>115.0946</t>
  </si>
  <si>
    <t>115.0932</t>
  </si>
  <si>
    <t>115.0836</t>
  </si>
  <si>
    <t>115.1034</t>
  </si>
  <si>
    <t>115.0495</t>
  </si>
  <si>
    <t>115.0462</t>
  </si>
  <si>
    <t>115.0430</t>
  </si>
  <si>
    <t>115.0889</t>
  </si>
  <si>
    <t>115.1023</t>
  </si>
  <si>
    <t>115.0956</t>
  </si>
  <si>
    <t>114.9902</t>
  </si>
  <si>
    <t>114.9984</t>
  </si>
  <si>
    <t>115.0275</t>
  </si>
  <si>
    <t>115.0194</t>
  </si>
  <si>
    <t>115.0206</t>
  </si>
  <si>
    <t>115.0117</t>
  </si>
  <si>
    <t>115.0067</t>
  </si>
  <si>
    <t>115.0222</t>
  </si>
  <si>
    <t>115.0250</t>
  </si>
  <si>
    <t>115.3704</t>
  </si>
  <si>
    <t>115.3663</t>
  </si>
  <si>
    <t>115.3030</t>
  </si>
  <si>
    <t>115.1813</t>
  </si>
  <si>
    <t>115.1775</t>
  </si>
  <si>
    <t>115.1865</t>
  </si>
  <si>
    <t>90.3972</t>
  </si>
  <si>
    <t>90.3969</t>
  </si>
  <si>
    <t>90.4023</t>
  </si>
  <si>
    <t>90.4068</t>
  </si>
  <si>
    <t>90.4035</t>
  </si>
  <si>
    <t>90.4022</t>
  </si>
  <si>
    <t>90.4003</t>
  </si>
  <si>
    <t>90.4025</t>
  </si>
  <si>
    <t>90.4043</t>
  </si>
  <si>
    <t>90.4012</t>
  </si>
  <si>
    <t>90.3997</t>
  </si>
  <si>
    <t>90.4037</t>
  </si>
  <si>
    <t>90.4048</t>
  </si>
  <si>
    <t>90.4031</t>
  </si>
  <si>
    <t>90.3530</t>
  </si>
  <si>
    <t>90.3529</t>
  </si>
  <si>
    <t>90.3453</t>
  </si>
  <si>
    <t>90.3437</t>
  </si>
  <si>
    <t>90.3493</t>
  </si>
  <si>
    <t>90.3458</t>
  </si>
  <si>
    <t>90.3466</t>
  </si>
  <si>
    <t>90.3461</t>
  </si>
  <si>
    <t>90.3460</t>
  </si>
  <si>
    <t>90.4019</t>
  </si>
  <si>
    <t>90.4087</t>
  </si>
  <si>
    <t>90.4082</t>
  </si>
  <si>
    <t>90.4089</t>
  </si>
  <si>
    <t>39.6616</t>
  </si>
  <si>
    <t>39.6598</t>
  </si>
  <si>
    <t>39.6584</t>
  </si>
  <si>
    <t>39.7148</t>
  </si>
  <si>
    <t>39.7304</t>
  </si>
  <si>
    <t>39.7598</t>
  </si>
  <si>
    <t>39.6787</t>
  </si>
  <si>
    <t>39.6736</t>
  </si>
  <si>
    <t>39.6666</t>
  </si>
  <si>
    <t>39.6885</t>
  </si>
  <si>
    <t>39.6783</t>
  </si>
  <si>
    <t>39.6684</t>
  </si>
  <si>
    <t>39.6758</t>
  </si>
  <si>
    <t>39.6754</t>
  </si>
  <si>
    <t>39.6690</t>
  </si>
  <si>
    <t>39.5945</t>
  </si>
  <si>
    <t>39.5967</t>
  </si>
  <si>
    <t>39.5962</t>
  </si>
  <si>
    <t>39.5636</t>
  </si>
  <si>
    <t>39.5740</t>
  </si>
  <si>
    <t>39.5721</t>
  </si>
  <si>
    <t>39.5732</t>
  </si>
  <si>
    <t>39.7166</t>
  </si>
  <si>
    <t>39.7085</t>
  </si>
  <si>
    <t>39.7066</t>
  </si>
  <si>
    <t>39.6814</t>
  </si>
  <si>
    <t>39.6910</t>
  </si>
  <si>
    <t>39.6901</t>
  </si>
  <si>
    <t>42.5304</t>
  </si>
  <si>
    <t>42.5274</t>
  </si>
  <si>
    <t>42.5360</t>
  </si>
  <si>
    <t>42.5469</t>
  </si>
  <si>
    <t>42.5473</t>
  </si>
  <si>
    <t>42.5459</t>
  </si>
  <si>
    <t>42.5614</t>
  </si>
  <si>
    <t>42.5594</t>
  </si>
  <si>
    <t>42.5465</t>
  </si>
  <si>
    <t>42.5582</t>
  </si>
  <si>
    <t>42.5647</t>
  </si>
  <si>
    <t>42.5031</t>
  </si>
  <si>
    <t>42.5121</t>
  </si>
  <si>
    <t>42.5133</t>
  </si>
  <si>
    <t>42.4959</t>
  </si>
  <si>
    <t>42.5190</t>
  </si>
  <si>
    <t>42.5142</t>
  </si>
  <si>
    <t>42.5090</t>
  </si>
  <si>
    <t>42.5132</t>
  </si>
  <si>
    <t>42.5285</t>
  </si>
  <si>
    <t>42.4313</t>
  </si>
  <si>
    <t>42.4707</t>
  </si>
  <si>
    <t>42.4200</t>
  </si>
  <si>
    <t>42.4369</t>
  </si>
  <si>
    <t>42.4645</t>
  </si>
  <si>
    <t>42.3490</t>
  </si>
  <si>
    <t>42.5704</t>
  </si>
  <si>
    <t>42.5478</t>
  </si>
  <si>
    <t>42.5439</t>
  </si>
  <si>
    <t>42.5103</t>
  </si>
  <si>
    <t>42.5087</t>
  </si>
  <si>
    <t>42.5208</t>
  </si>
  <si>
    <t>42.5202</t>
  </si>
  <si>
    <t>42.5116</t>
  </si>
  <si>
    <t>42.5141</t>
  </si>
  <si>
    <t>42.5576</t>
  </si>
  <si>
    <t>42.5589</t>
  </si>
  <si>
    <t>103.6062</t>
  </si>
  <si>
    <t>103.6058</t>
  </si>
  <si>
    <t>103.6012</t>
  </si>
  <si>
    <t>103.6128</t>
  </si>
  <si>
    <t>103.6143</t>
  </si>
  <si>
    <t>103.6118</t>
  </si>
  <si>
    <t>103.6256</t>
  </si>
  <si>
    <t>103.6154</t>
  </si>
  <si>
    <t>103.6175</t>
  </si>
  <si>
    <t>103.6177</t>
  </si>
  <si>
    <t>103.6101</t>
  </si>
  <si>
    <t>103.6197</t>
  </si>
  <si>
    <t>103.6075</t>
  </si>
  <si>
    <t>103.6141</t>
  </si>
  <si>
    <t>103.6204</t>
  </si>
  <si>
    <t>103.6235</t>
  </si>
  <si>
    <t>103.6149</t>
  </si>
  <si>
    <t>103.6307</t>
  </si>
  <si>
    <t>103.6202</t>
  </si>
  <si>
    <t>103.6125</t>
  </si>
  <si>
    <t>103.6186</t>
  </si>
  <si>
    <t>103.5931</t>
  </si>
  <si>
    <t>103.5867</t>
  </si>
  <si>
    <t>103.5815</t>
  </si>
  <si>
    <t>103.5558</t>
  </si>
  <si>
    <t>103.5543</t>
  </si>
  <si>
    <t>103.5484</t>
  </si>
  <si>
    <t>103.5567</t>
  </si>
  <si>
    <t>103.5240</t>
  </si>
  <si>
    <t>103.5044</t>
  </si>
  <si>
    <t>103.6251</t>
  </si>
  <si>
    <t>103.6254</t>
  </si>
  <si>
    <t>103.6198</t>
  </si>
  <si>
    <t>132.4313</t>
  </si>
  <si>
    <t>132.4282</t>
  </si>
  <si>
    <t>132.4273</t>
  </si>
  <si>
    <t>132.4453</t>
  </si>
  <si>
    <t>132.4641</t>
  </si>
  <si>
    <t>132.4987</t>
  </si>
  <si>
    <t>132.4604</t>
  </si>
  <si>
    <t>132.4431</t>
  </si>
  <si>
    <t>132.4420</t>
  </si>
  <si>
    <t>132.4410</t>
  </si>
  <si>
    <t>132.3135</t>
  </si>
  <si>
    <t>132.3094</t>
  </si>
  <si>
    <t>132.2296</t>
  </si>
  <si>
    <t>132.3041</t>
  </si>
  <si>
    <t>132.2009</t>
  </si>
  <si>
    <t>132.4220</t>
  </si>
  <si>
    <t>132.4368</t>
  </si>
  <si>
    <t>132.4336</t>
  </si>
  <si>
    <t>132.4179</t>
  </si>
  <si>
    <t>132.3914</t>
  </si>
  <si>
    <t>133.0265</t>
  </si>
  <si>
    <t>132.9083</t>
  </si>
  <si>
    <t>132.9284</t>
  </si>
  <si>
    <t>132.3763</t>
  </si>
  <si>
    <t>132.3469</t>
  </si>
  <si>
    <t>132.3381</t>
  </si>
  <si>
    <t>132.3532</t>
  </si>
  <si>
    <t>132.3754</t>
  </si>
  <si>
    <t>132.3364</t>
  </si>
  <si>
    <t>132.3405</t>
  </si>
  <si>
    <t>132.3342</t>
  </si>
  <si>
    <t>132.3349</t>
  </si>
  <si>
    <t>132.3569</t>
  </si>
  <si>
    <t>132.3526</t>
  </si>
  <si>
    <t>132.3545</t>
  </si>
  <si>
    <t>132.3459</t>
  </si>
  <si>
    <t>132.5944</t>
  </si>
  <si>
    <t>132.5941</t>
  </si>
  <si>
    <t>132.5695</t>
  </si>
  <si>
    <t>132.5727</t>
  </si>
  <si>
    <t>132.5728</t>
  </si>
  <si>
    <t>132.7943</t>
  </si>
  <si>
    <t>132.6674</t>
  </si>
  <si>
    <t>132.6730</t>
  </si>
  <si>
    <t>132.6784</t>
  </si>
  <si>
    <t>132.7790</t>
  </si>
  <si>
    <t>112.7444</t>
  </si>
  <si>
    <t>112.7593</t>
  </si>
  <si>
    <t>112.7692</t>
  </si>
  <si>
    <t>112.7693</t>
  </si>
  <si>
    <t>112.7595</t>
  </si>
  <si>
    <t>112.7456</t>
  </si>
  <si>
    <t>112.7220</t>
  </si>
  <si>
    <t>112.7187</t>
  </si>
  <si>
    <t>112.7254</t>
  </si>
  <si>
    <t>112.6932</t>
  </si>
  <si>
    <t>112.6958</t>
  </si>
  <si>
    <t>112.6879</t>
  </si>
  <si>
    <t>112.7050</t>
  </si>
  <si>
    <t>112.7057</t>
  </si>
  <si>
    <t>112.7095</t>
  </si>
  <si>
    <t>112.6452</t>
  </si>
  <si>
    <t>112.6201</t>
  </si>
  <si>
    <t>112.6755</t>
  </si>
  <si>
    <t>112.7331</t>
  </si>
  <si>
    <t>112.7598</t>
  </si>
  <si>
    <t>112.7407</t>
  </si>
  <si>
    <t>112.7352</t>
  </si>
  <si>
    <t>112.7244</t>
  </si>
  <si>
    <t>112.7138</t>
  </si>
  <si>
    <t>112.9835</t>
  </si>
  <si>
    <t>112.9839</t>
  </si>
  <si>
    <t>112.9915</t>
  </si>
  <si>
    <t>112.9932</t>
  </si>
  <si>
    <t>112.9799</t>
  </si>
  <si>
    <t>112.9712</t>
  </si>
  <si>
    <t>112.9761</t>
  </si>
  <si>
    <t>112.9732</t>
  </si>
  <si>
    <t>112.9545</t>
  </si>
  <si>
    <t>112.8509</t>
  </si>
  <si>
    <t>112.8671</t>
  </si>
  <si>
    <t>112.8795</t>
  </si>
  <si>
    <t>112.8629</t>
  </si>
  <si>
    <t>112.8610</t>
  </si>
  <si>
    <t>31.2836</t>
  </si>
  <si>
    <t>31.2598</t>
  </si>
  <si>
    <t>31.2795</t>
  </si>
  <si>
    <t>31.2769</t>
  </si>
  <si>
    <t>31.2824</t>
  </si>
  <si>
    <t>31.2473</t>
  </si>
  <si>
    <t>31.2428</t>
  </si>
  <si>
    <t>31.1239</t>
  </si>
  <si>
    <t>31.1415</t>
  </si>
  <si>
    <t>31.1020</t>
  </si>
  <si>
    <t>31.0986</t>
  </si>
  <si>
    <t>31.1236</t>
  </si>
  <si>
    <t>31.2419</t>
  </si>
  <si>
    <t>31.2427</t>
  </si>
  <si>
    <t>31.2746</t>
  </si>
  <si>
    <t>31.2580</t>
  </si>
  <si>
    <t>31.2137</t>
  </si>
  <si>
    <t>31.2122</t>
  </si>
  <si>
    <t>31.2068</t>
  </si>
  <si>
    <t>31.2218</t>
  </si>
  <si>
    <t>31.2627</t>
  </si>
  <si>
    <t>31.2639</t>
  </si>
  <si>
    <t>31.2734</t>
  </si>
  <si>
    <t>76.9773</t>
  </si>
  <si>
    <t>77.0034</t>
  </si>
  <si>
    <t>77.0228</t>
  </si>
  <si>
    <t>77.0760</t>
  </si>
  <si>
    <t>77.0548</t>
  </si>
  <si>
    <t>77.0082</t>
  </si>
  <si>
    <t>77.0039</t>
  </si>
  <si>
    <t>77.0059</t>
  </si>
  <si>
    <t>77.0060</t>
  </si>
  <si>
    <t>77.0370</t>
  </si>
  <si>
    <t>77.0379</t>
  </si>
  <si>
    <t>77.0399</t>
  </si>
  <si>
    <t>77.0951</t>
  </si>
  <si>
    <t>77.0893</t>
  </si>
  <si>
    <t>77.0972</t>
  </si>
  <si>
    <t>77.0817</t>
  </si>
  <si>
    <t>77.0843</t>
  </si>
  <si>
    <t>77.0894</t>
  </si>
  <si>
    <t>77.0879</t>
  </si>
  <si>
    <t>77.0885</t>
  </si>
  <si>
    <t>77.1017</t>
  </si>
  <si>
    <t>106.8462</t>
  </si>
  <si>
    <t>106.8467</t>
  </si>
  <si>
    <t>106.8511</t>
  </si>
  <si>
    <t>106.8731</t>
  </si>
  <si>
    <t>106.8761</t>
  </si>
  <si>
    <t>106.8801</t>
  </si>
  <si>
    <t>106.8515</t>
  </si>
  <si>
    <t>106.8575</t>
  </si>
  <si>
    <t>106.8927</t>
  </si>
  <si>
    <t>106.8745</t>
  </si>
  <si>
    <t>106.8790</t>
  </si>
  <si>
    <t>106.8061</t>
  </si>
  <si>
    <t>106.8082</t>
  </si>
  <si>
    <t>106.8044</t>
  </si>
  <si>
    <t>106.7852</t>
  </si>
  <si>
    <t>106.7972</t>
  </si>
  <si>
    <t>106.7915</t>
  </si>
  <si>
    <t>106.7933</t>
  </si>
  <si>
    <t>106.7916</t>
  </si>
  <si>
    <t>106.7886</t>
  </si>
  <si>
    <t>78.2896</t>
  </si>
  <si>
    <t>78.2957</t>
  </si>
  <si>
    <t>78.2993</t>
  </si>
  <si>
    <t>78.2950</t>
  </si>
  <si>
    <t>78.2942</t>
  </si>
  <si>
    <t>78.2949</t>
  </si>
  <si>
    <t>78.2481</t>
  </si>
  <si>
    <t>78.2436</t>
  </si>
  <si>
    <t>78.2535</t>
  </si>
  <si>
    <t>78.2931</t>
  </si>
  <si>
    <t>78.2929</t>
  </si>
  <si>
    <t>78.1950</t>
  </si>
  <si>
    <t>78.1998</t>
  </si>
  <si>
    <t>78.2000</t>
  </si>
  <si>
    <t>78.2472</t>
  </si>
  <si>
    <t>78.2475</t>
  </si>
  <si>
    <t>78.2435</t>
  </si>
  <si>
    <t>78.2397</t>
  </si>
  <si>
    <t>78.2391</t>
  </si>
  <si>
    <t>78.2376</t>
  </si>
  <si>
    <t>52.8098</t>
  </si>
  <si>
    <t>52.8071</t>
  </si>
  <si>
    <t>52.7972</t>
  </si>
  <si>
    <t>52.7771</t>
  </si>
  <si>
    <t>52.7759</t>
  </si>
  <si>
    <t>52.7727</t>
  </si>
  <si>
    <t>52.7820</t>
  </si>
  <si>
    <t>52.7862</t>
  </si>
  <si>
    <t>52.7913</t>
  </si>
  <si>
    <t>52.7821</t>
  </si>
  <si>
    <t>52.7829</t>
  </si>
  <si>
    <t>52.7841</t>
  </si>
  <si>
    <t>52.8223</t>
  </si>
  <si>
    <t>52.8322</t>
  </si>
  <si>
    <t>52.8406</t>
  </si>
  <si>
    <t>52.8139</t>
  </si>
  <si>
    <t>52.8079</t>
  </si>
  <si>
    <t>52.7811</t>
  </si>
  <si>
    <t>52.8070</t>
  </si>
  <si>
    <t>52.7988</t>
  </si>
  <si>
    <t>52.7886</t>
  </si>
  <si>
    <t>146.2927</t>
  </si>
  <si>
    <t>146.2908</t>
  </si>
  <si>
    <t>146.2936</t>
  </si>
  <si>
    <t>146.2925</t>
  </si>
  <si>
    <t>146.2977</t>
  </si>
  <si>
    <t>146.2980</t>
  </si>
  <si>
    <t>146.3563</t>
  </si>
  <si>
    <t>146.3525</t>
  </si>
  <si>
    <t>146.2780</t>
  </si>
  <si>
    <t>146.2861</t>
  </si>
  <si>
    <t>146.2127</t>
  </si>
  <si>
    <t>146.2170</t>
  </si>
  <si>
    <t>146.2156</t>
  </si>
  <si>
    <t>146.2539</t>
  </si>
  <si>
    <t>31.3617</t>
  </si>
  <si>
    <t>31.3827</t>
  </si>
  <si>
    <t>31.3738</t>
  </si>
  <si>
    <t>31.2294</t>
  </si>
  <si>
    <t>31.2254</t>
  </si>
  <si>
    <t>31.2141</t>
  </si>
  <si>
    <t>141.1599</t>
  </si>
  <si>
    <t>141.1591</t>
  </si>
  <si>
    <t>141.1590</t>
  </si>
  <si>
    <t>141.2199</t>
  </si>
  <si>
    <t>141.2276</t>
  </si>
  <si>
    <t>141.2273</t>
  </si>
  <si>
    <t>141.1704</t>
  </si>
  <si>
    <t>141.1795</t>
  </si>
  <si>
    <t>141.1863</t>
  </si>
  <si>
    <t>141.2113</t>
  </si>
  <si>
    <t>141.2117</t>
  </si>
  <si>
    <t>141.2110</t>
  </si>
  <si>
    <t>141.0624</t>
  </si>
  <si>
    <t>141.0625</t>
  </si>
  <si>
    <t>141.0663</t>
  </si>
  <si>
    <t>141.1130</t>
  </si>
  <si>
    <t>141.1155</t>
  </si>
  <si>
    <t>141.1154</t>
  </si>
  <si>
    <t>141.1472</t>
  </si>
  <si>
    <t>141.1482</t>
  </si>
  <si>
    <t>141.1468</t>
  </si>
  <si>
    <t>37.7219</t>
  </si>
  <si>
    <t>37.7092</t>
  </si>
  <si>
    <t>37.7055</t>
  </si>
  <si>
    <t>37.6972</t>
  </si>
  <si>
    <t>37.6919</t>
  </si>
  <si>
    <t>37.6904</t>
  </si>
  <si>
    <t>37.7303</t>
  </si>
  <si>
    <t>37.7345</t>
  </si>
  <si>
    <t>37.7427</t>
  </si>
  <si>
    <t>37.7343</t>
  </si>
  <si>
    <t>37.7297</t>
  </si>
  <si>
    <t>37.7259</t>
  </si>
  <si>
    <t>37.6545</t>
  </si>
  <si>
    <t>37.6513</t>
  </si>
  <si>
    <t>37.6383</t>
  </si>
  <si>
    <t>37.6722</t>
  </si>
  <si>
    <t>37.6650</t>
  </si>
  <si>
    <t>37.6663</t>
  </si>
  <si>
    <t>37.6467</t>
  </si>
  <si>
    <t>37.6367</t>
  </si>
  <si>
    <t>37.6327</t>
  </si>
  <si>
    <t>51.5237</t>
  </si>
  <si>
    <t>51.5051</t>
  </si>
  <si>
    <t>51.4889</t>
  </si>
  <si>
    <t>51.5000</t>
  </si>
  <si>
    <t>51.5006</t>
  </si>
  <si>
    <t>51.5049</t>
  </si>
  <si>
    <t>51.4879</t>
  </si>
  <si>
    <t>51.5024</t>
  </si>
  <si>
    <t>51.4817</t>
  </si>
  <si>
    <t>51.4969</t>
  </si>
  <si>
    <t>51.4921</t>
  </si>
  <si>
    <t>51.4905</t>
  </si>
  <si>
    <t>29.7818</t>
  </si>
  <si>
    <t>29.7817</t>
  </si>
  <si>
    <t>29.7788</t>
  </si>
  <si>
    <t>29.7693</t>
  </si>
  <si>
    <t>29.7755</t>
  </si>
  <si>
    <t>29.7713</t>
  </si>
  <si>
    <t>29.7743</t>
  </si>
  <si>
    <t>29.7639</t>
  </si>
  <si>
    <t>29.7573</t>
  </si>
  <si>
    <t>29.7562</t>
  </si>
  <si>
    <t>29.7628</t>
  </si>
  <si>
    <t>29.7458</t>
  </si>
  <si>
    <t>29.7540</t>
  </si>
  <si>
    <t>29.7542</t>
  </si>
  <si>
    <t>29.7473</t>
  </si>
  <si>
    <t>29.7588</t>
  </si>
  <si>
    <t>29.7581</t>
  </si>
  <si>
    <t>29.7583</t>
  </si>
  <si>
    <t>29.7521</t>
  </si>
  <si>
    <t>29.7546</t>
  </si>
  <si>
    <t>29.7522</t>
  </si>
  <si>
    <t>48.5845</t>
  </si>
  <si>
    <t>48.5667</t>
  </si>
  <si>
    <t>48.5752</t>
  </si>
  <si>
    <t>48.6359</t>
  </si>
  <si>
    <t>48.6312</t>
  </si>
  <si>
    <t>48.6018</t>
  </si>
  <si>
    <t>48.6267</t>
  </si>
  <si>
    <t>48.6230</t>
  </si>
  <si>
    <t>48.6222</t>
  </si>
  <si>
    <t>48.5905</t>
  </si>
  <si>
    <t>48.5938</t>
  </si>
  <si>
    <t>48.5909</t>
  </si>
  <si>
    <t>48.5605</t>
  </si>
  <si>
    <t>48.5598</t>
  </si>
  <si>
    <t>48.5524</t>
  </si>
  <si>
    <t>48.5497</t>
  </si>
  <si>
    <t>48.5322</t>
  </si>
  <si>
    <t>48.5470</t>
  </si>
  <si>
    <t>48.5280</t>
  </si>
  <si>
    <t>48.5228</t>
  </si>
  <si>
    <t>48.5276</t>
  </si>
  <si>
    <t>31.0638</t>
  </si>
  <si>
    <t>31.0682</t>
  </si>
  <si>
    <t>31.0611</t>
  </si>
  <si>
    <t>31.0568</t>
  </si>
  <si>
    <t>31.0658</t>
  </si>
  <si>
    <t>31.0687</t>
  </si>
  <si>
    <t>31.0126</t>
  </si>
  <si>
    <t>31.0233</t>
  </si>
  <si>
    <t>31.0258</t>
  </si>
  <si>
    <t>31.0300</t>
  </si>
  <si>
    <t>31.0346</t>
  </si>
  <si>
    <t>31.0388</t>
  </si>
  <si>
    <t>31.0778</t>
  </si>
  <si>
    <t>31.0872</t>
  </si>
  <si>
    <t>31.0849</t>
  </si>
  <si>
    <t>31.0448</t>
  </si>
  <si>
    <t>31.0492</t>
  </si>
  <si>
    <t>31.0512</t>
  </si>
  <si>
    <t>31.0811</t>
  </si>
  <si>
    <t>31.0851</t>
  </si>
  <si>
    <t>31.0807</t>
  </si>
  <si>
    <t>32.4790</t>
  </si>
  <si>
    <t>32.4768</t>
  </si>
  <si>
    <t>32.4755</t>
  </si>
  <si>
    <t>32.4611</t>
  </si>
  <si>
    <t>32.4570</t>
  </si>
  <si>
    <t>32.4622</t>
  </si>
  <si>
    <t>32.4444</t>
  </si>
  <si>
    <t>32.4412</t>
  </si>
  <si>
    <t>32.4426</t>
  </si>
  <si>
    <t>32.4489</t>
  </si>
  <si>
    <t>32.4380</t>
  </si>
  <si>
    <t>32.4355</t>
  </si>
  <si>
    <t>32.4338</t>
  </si>
  <si>
    <t>32.4356</t>
  </si>
  <si>
    <t>32.4294</t>
  </si>
  <si>
    <t>32.4249</t>
  </si>
  <si>
    <t>28.3408</t>
  </si>
  <si>
    <t>28.3395</t>
  </si>
  <si>
    <t>28.3388</t>
  </si>
  <si>
    <t>28.3243</t>
  </si>
  <si>
    <t>28.3276</t>
  </si>
  <si>
    <t>28.3222</t>
  </si>
  <si>
    <t>28.3988</t>
  </si>
  <si>
    <t>28.4181</t>
  </si>
  <si>
    <t>28.4243</t>
  </si>
  <si>
    <t>28.3848</t>
  </si>
  <si>
    <t>28.3739</t>
  </si>
  <si>
    <t>28.3790</t>
  </si>
  <si>
    <t>28.3770</t>
  </si>
  <si>
    <t>28.3833</t>
  </si>
  <si>
    <t>28.3893</t>
  </si>
  <si>
    <t>27.1172</t>
  </si>
  <si>
    <t>27.1215</t>
  </si>
  <si>
    <t>27.1272</t>
  </si>
  <si>
    <t>27.1679</t>
  </si>
  <si>
    <t>27.1647</t>
  </si>
  <si>
    <t>27.1666</t>
  </si>
  <si>
    <t>27.1967</t>
  </si>
  <si>
    <t>27.2004</t>
  </si>
  <si>
    <t>27.1878</t>
  </si>
  <si>
    <t>27.1244</t>
  </si>
  <si>
    <t>27.1158</t>
  </si>
  <si>
    <t>27.1174</t>
  </si>
  <si>
    <t>27.1162</t>
  </si>
  <si>
    <t>27.1166</t>
  </si>
  <si>
    <t>27.1091</t>
  </si>
  <si>
    <t>27.1661</t>
  </si>
  <si>
    <t>27.1616</t>
  </si>
  <si>
    <t>27.1577</t>
  </si>
  <si>
    <t>57.0076</t>
  </si>
  <si>
    <t>57.0205</t>
  </si>
  <si>
    <t>57.0223</t>
  </si>
  <si>
    <t>57.0174</t>
  </si>
  <si>
    <t>57.0097</t>
  </si>
  <si>
    <t>57.0170</t>
  </si>
  <si>
    <t>56.9768</t>
  </si>
  <si>
    <t>56.9815</t>
  </si>
  <si>
    <t>56.9906</t>
  </si>
  <si>
    <t>56.9725</t>
  </si>
  <si>
    <t>56.9806</t>
  </si>
  <si>
    <t>56.9795</t>
  </si>
  <si>
    <t>56.9869</t>
  </si>
  <si>
    <t>56.9843</t>
  </si>
  <si>
    <t>56.9779</t>
  </si>
  <si>
    <t>56.9903</t>
  </si>
  <si>
    <t>56.9925</t>
  </si>
  <si>
    <t>56.9956</t>
  </si>
  <si>
    <t>56.9924</t>
  </si>
  <si>
    <t>56.9836</t>
  </si>
  <si>
    <t>30.6771</t>
  </si>
  <si>
    <t>30.6775</t>
  </si>
  <si>
    <t>30.6834</t>
  </si>
  <si>
    <t>30.7013</t>
  </si>
  <si>
    <t>30.6917</t>
  </si>
  <si>
    <t>30.6870</t>
  </si>
  <si>
    <t>30.7136</t>
  </si>
  <si>
    <t>30.7102</t>
  </si>
  <si>
    <t>30.7111</t>
  </si>
  <si>
    <t>30.6948</t>
  </si>
  <si>
    <t>30.7019</t>
  </si>
  <si>
    <t>30.7149</t>
  </si>
  <si>
    <t>30.6759</t>
  </si>
  <si>
    <t>30.6702</t>
  </si>
  <si>
    <t>30.6734</t>
  </si>
  <si>
    <t>30.6527</t>
  </si>
  <si>
    <t>30.6554</t>
  </si>
  <si>
    <t>30.6446</t>
  </si>
  <si>
    <t>50.0024</t>
  </si>
  <si>
    <t>50.0074</t>
  </si>
  <si>
    <t>50.0049</t>
  </si>
  <si>
    <t>50.0162</t>
  </si>
  <si>
    <t>50.0151</t>
  </si>
  <si>
    <t>50.0275</t>
  </si>
  <si>
    <t>50.0020</t>
  </si>
  <si>
    <t>50.0114</t>
  </si>
  <si>
    <t>50.0164</t>
  </si>
  <si>
    <t>50.0472</t>
  </si>
  <si>
    <t>50.0356</t>
  </si>
  <si>
    <t>50.0375</t>
  </si>
  <si>
    <t>49.9892</t>
  </si>
  <si>
    <t>49.9835</t>
  </si>
  <si>
    <t>49.9788</t>
  </si>
  <si>
    <t>49.9890</t>
  </si>
  <si>
    <t>49.9908</t>
  </si>
  <si>
    <t>49.9847</t>
  </si>
  <si>
    <t>49.9172</t>
  </si>
  <si>
    <t>49.9176</t>
  </si>
  <si>
    <t>72.6053</t>
  </si>
  <si>
    <t>72.6026</t>
  </si>
  <si>
    <t>72.5921</t>
  </si>
  <si>
    <t>72.6363</t>
  </si>
  <si>
    <t>72.6379</t>
  </si>
  <si>
    <t>72.6383</t>
  </si>
  <si>
    <t>72.5760</t>
  </si>
  <si>
    <t>72.5752</t>
  </si>
  <si>
    <t>72.5744</t>
  </si>
  <si>
    <t>72.6082</t>
  </si>
  <si>
    <t>72.5987</t>
  </si>
  <si>
    <t>72.5940</t>
  </si>
  <si>
    <t>72.6618</t>
  </si>
  <si>
    <t>72.6619</t>
  </si>
  <si>
    <t>72.6576</t>
  </si>
  <si>
    <t>72.6479</t>
  </si>
  <si>
    <t>72.6514</t>
  </si>
  <si>
    <t>72.6546</t>
  </si>
  <si>
    <t>72.7037</t>
  </si>
  <si>
    <t>80.5623</t>
  </si>
  <si>
    <t>80.5677</t>
  </si>
  <si>
    <t>80.5738</t>
  </si>
  <si>
    <t>80.5716</t>
  </si>
  <si>
    <t>80.5754</t>
  </si>
  <si>
    <t>80.5548</t>
  </si>
  <si>
    <t>80.5325</t>
  </si>
  <si>
    <t>80.5271</t>
  </si>
  <si>
    <t>80.5378</t>
  </si>
  <si>
    <t>80.5892</t>
  </si>
  <si>
    <t>80.5688</t>
  </si>
  <si>
    <t>80.5632</t>
  </si>
  <si>
    <t>80.5556</t>
  </si>
  <si>
    <t>80.5476</t>
  </si>
  <si>
    <t>80.5475</t>
  </si>
  <si>
    <t>38.9406</t>
  </si>
  <si>
    <t>38.9420</t>
  </si>
  <si>
    <t>38.9432</t>
  </si>
  <si>
    <t>38.9586</t>
  </si>
  <si>
    <t>38.9622</t>
  </si>
  <si>
    <t>38.9528</t>
  </si>
  <si>
    <t>38.9270</t>
  </si>
  <si>
    <t>38.9335</t>
  </si>
  <si>
    <t>38.9383</t>
  </si>
  <si>
    <t>38.9503</t>
  </si>
  <si>
    <t>38.9534</t>
  </si>
  <si>
    <t>38.9522</t>
  </si>
  <si>
    <t>38.9380</t>
  </si>
  <si>
    <t>38.9449</t>
  </si>
  <si>
    <t>38.9541</t>
  </si>
  <si>
    <t>42.9566</t>
  </si>
  <si>
    <t>42.9655</t>
  </si>
  <si>
    <t>42.9682</t>
  </si>
  <si>
    <t>43.0140</t>
  </si>
  <si>
    <t>43.0132</t>
  </si>
  <si>
    <t>43.0056</t>
  </si>
  <si>
    <t>43.0091</t>
  </si>
  <si>
    <t>42.9545</t>
  </si>
  <si>
    <t>42.9541</t>
  </si>
  <si>
    <t>42.9531</t>
  </si>
  <si>
    <t>43.0006</t>
  </si>
  <si>
    <t>43.0070</t>
  </si>
  <si>
    <t>43.0147</t>
  </si>
  <si>
    <t>43.0048</t>
  </si>
  <si>
    <t>43.0049</t>
  </si>
  <si>
    <t>43.0037</t>
  </si>
  <si>
    <t>28.7519</t>
  </si>
  <si>
    <t>28.7551</t>
  </si>
  <si>
    <t>28.7433</t>
  </si>
  <si>
    <t>28.7698</t>
  </si>
  <si>
    <t>28.7552</t>
  </si>
  <si>
    <t>28.7496</t>
  </si>
  <si>
    <t>28.7447</t>
  </si>
  <si>
    <t>28.7413</t>
  </si>
  <si>
    <t>28.7386</t>
  </si>
  <si>
    <t>28.7337</t>
  </si>
  <si>
    <t>28.7229</t>
  </si>
  <si>
    <t>28.7282</t>
  </si>
  <si>
    <t>28.7252</t>
  </si>
  <si>
    <t>28.7301</t>
  </si>
  <si>
    <t>28.7306</t>
  </si>
  <si>
    <t>28.7206</t>
  </si>
  <si>
    <t>28.7108</t>
  </si>
  <si>
    <t>28.7140</t>
  </si>
  <si>
    <t>30.1360</t>
  </si>
  <si>
    <t>30.1387</t>
  </si>
  <si>
    <t>30.1403</t>
  </si>
  <si>
    <t>30.1970</t>
  </si>
  <si>
    <t>30.2019</t>
  </si>
  <si>
    <t>30.1979</t>
  </si>
  <si>
    <t>30.1250</t>
  </si>
  <si>
    <t>30.1230</t>
  </si>
  <si>
    <t>30.1263</t>
  </si>
  <si>
    <t>30.1080</t>
  </si>
  <si>
    <t>30.1096</t>
  </si>
  <si>
    <t>30.1509</t>
  </si>
  <si>
    <t>30.1488</t>
  </si>
  <si>
    <t>30.1492</t>
  </si>
  <si>
    <t>30.1177</t>
  </si>
  <si>
    <t>30.1212</t>
  </si>
  <si>
    <t>30.1204</t>
  </si>
  <si>
    <t>39.1298</t>
  </si>
  <si>
    <t>39.1267</t>
  </si>
  <si>
    <t>39.1149</t>
  </si>
  <si>
    <t>39.2178</t>
  </si>
  <si>
    <t>39.2169</t>
  </si>
  <si>
    <t>39.2156</t>
  </si>
  <si>
    <t>39.1328</t>
  </si>
  <si>
    <t>39.1357</t>
  </si>
  <si>
    <t>39.1391</t>
  </si>
  <si>
    <t>39.1763</t>
  </si>
  <si>
    <t>39.1576</t>
  </si>
  <si>
    <t>39.1590</t>
  </si>
  <si>
    <t>39.1570</t>
  </si>
  <si>
    <t>39.1539</t>
  </si>
  <si>
    <t>39.1530</t>
  </si>
  <si>
    <t>98.8028</t>
  </si>
  <si>
    <t>98.7992</t>
  </si>
  <si>
    <t>98.7998</t>
  </si>
  <si>
    <t>98.7830</t>
  </si>
  <si>
    <t>98.7805</t>
  </si>
  <si>
    <t>98.7846</t>
  </si>
  <si>
    <t>186.7943</t>
  </si>
  <si>
    <t>186.7896</t>
  </si>
  <si>
    <t>186.7852</t>
  </si>
  <si>
    <t>186.8161</t>
  </si>
  <si>
    <t>186.8126</t>
  </si>
  <si>
    <t>186.7993</t>
  </si>
  <si>
    <t>186.7504</t>
  </si>
  <si>
    <t>186.7446</t>
  </si>
  <si>
    <t>186.7884</t>
  </si>
  <si>
    <t>216.6234</t>
  </si>
  <si>
    <t>216.6066</t>
  </si>
  <si>
    <t>216.5875</t>
  </si>
  <si>
    <t>216.6303</t>
  </si>
  <si>
    <t>216.6190</t>
  </si>
  <si>
    <t>216.6188</t>
  </si>
  <si>
    <t>216.6848</t>
  </si>
  <si>
    <t>216.6867</t>
  </si>
  <si>
    <t>216.6931</t>
  </si>
  <si>
    <t>216.6657</t>
  </si>
  <si>
    <t>216.6682</t>
  </si>
  <si>
    <t>216.6605</t>
  </si>
  <si>
    <t>96.9937</t>
  </si>
  <si>
    <t>96.9827</t>
  </si>
  <si>
    <t>96.9788</t>
  </si>
  <si>
    <t>96.9987</t>
  </si>
  <si>
    <t>96.9964</t>
  </si>
  <si>
    <t>96.9927</t>
  </si>
  <si>
    <t>96.9832</t>
  </si>
  <si>
    <t>97.0067</t>
  </si>
  <si>
    <t>97.0039</t>
  </si>
  <si>
    <t>97.0013</t>
  </si>
  <si>
    <t>96.9984</t>
  </si>
  <si>
    <t>97.0019</t>
  </si>
  <si>
    <t>96.9957</t>
  </si>
  <si>
    <t>96.9907</t>
  </si>
  <si>
    <t>96.9978</t>
  </si>
  <si>
    <t>96.9140</t>
  </si>
  <si>
    <t>96.9283</t>
  </si>
  <si>
    <t>96.9266</t>
  </si>
  <si>
    <t>96.9387</t>
  </si>
  <si>
    <t>96.9538</t>
  </si>
  <si>
    <t>96.9986</t>
  </si>
  <si>
    <t>96.9824</t>
  </si>
  <si>
    <t>96.9762</t>
  </si>
  <si>
    <t>96.9597</t>
  </si>
  <si>
    <t>96.9541</t>
  </si>
  <si>
    <t>96.9517</t>
  </si>
  <si>
    <t>97.1127</t>
  </si>
  <si>
    <t>97.0972</t>
  </si>
  <si>
    <t>97.0937</t>
  </si>
  <si>
    <t>97.1206</t>
  </si>
  <si>
    <t>97.1214</t>
  </si>
  <si>
    <t>97.1302</t>
  </si>
  <si>
    <t>106.7296</t>
  </si>
  <si>
    <t>106.7199</t>
  </si>
  <si>
    <t>106.7261</t>
  </si>
  <si>
    <t>106.7453</t>
  </si>
  <si>
    <t>106.7382</t>
  </si>
  <si>
    <t>106.7404</t>
  </si>
  <si>
    <t>106.7375</t>
  </si>
  <si>
    <t>106.7330</t>
  </si>
  <si>
    <t>106.7268</t>
  </si>
  <si>
    <t>106.7513</t>
  </si>
  <si>
    <t>106.7628</t>
  </si>
  <si>
    <t>106.7568</t>
  </si>
  <si>
    <t>106.7743</t>
  </si>
  <si>
    <t>106.7652</t>
  </si>
  <si>
    <t>106.7670</t>
  </si>
  <si>
    <t>106.5024</t>
  </si>
  <si>
    <t>106.4996</t>
  </si>
  <si>
    <t>106.6888</t>
  </si>
  <si>
    <t>106.6884</t>
  </si>
  <si>
    <t>106.6913</t>
  </si>
  <si>
    <t>106.7160</t>
  </si>
  <si>
    <t>106.7074</t>
  </si>
  <si>
    <t>106.7076</t>
  </si>
  <si>
    <t>106.7571</t>
  </si>
  <si>
    <t>106.7636</t>
  </si>
  <si>
    <t>106.7590</t>
  </si>
  <si>
    <t>106.7487</t>
  </si>
  <si>
    <t>106.7429</t>
  </si>
  <si>
    <t>106.7492</t>
  </si>
  <si>
    <t>106.7891</t>
  </si>
  <si>
    <t>106.7751</t>
  </si>
  <si>
    <t>106.7632</t>
  </si>
  <si>
    <t>86.7919</t>
  </si>
  <si>
    <t>86.7986</t>
  </si>
  <si>
    <t>86.7970</t>
  </si>
  <si>
    <t>86.7895</t>
  </si>
  <si>
    <t>86.7908</t>
  </si>
  <si>
    <t>86.7871</t>
  </si>
  <si>
    <t>86.7858</t>
  </si>
  <si>
    <t>86.7891</t>
  </si>
  <si>
    <t>86.7892</t>
  </si>
  <si>
    <t>86.7794</t>
  </si>
  <si>
    <t>86.7737</t>
  </si>
  <si>
    <t>86.7619</t>
  </si>
  <si>
    <t>86.7825</t>
  </si>
  <si>
    <t>86.7840</t>
  </si>
  <si>
    <t>86.7899</t>
  </si>
  <si>
    <t>86.7998</t>
  </si>
  <si>
    <t>86.7989</t>
  </si>
  <si>
    <t>86.7893</t>
  </si>
  <si>
    <t>86.7948</t>
  </si>
  <si>
    <t>86.7913</t>
  </si>
  <si>
    <t>86.7877</t>
  </si>
  <si>
    <t>86.7829</t>
  </si>
  <si>
    <t>86.6452</t>
  </si>
  <si>
    <t>86.6518</t>
  </si>
  <si>
    <t>86.6474</t>
  </si>
  <si>
    <t>86.6454</t>
  </si>
  <si>
    <t>86.6362</t>
  </si>
  <si>
    <t>86.7657</t>
  </si>
  <si>
    <t>86.7584</t>
  </si>
  <si>
    <t>86.7606</t>
  </si>
  <si>
    <t>143.7260</t>
  </si>
  <si>
    <t>143.7249</t>
  </si>
  <si>
    <t>143.7328</t>
  </si>
  <si>
    <t>143.7484</t>
  </si>
  <si>
    <t>143.7112</t>
  </si>
  <si>
    <t>143.6926</t>
  </si>
  <si>
    <t>143.6962</t>
  </si>
  <si>
    <t>143.7144</t>
  </si>
  <si>
    <t>143.0658</t>
  </si>
  <si>
    <t>143.1554</t>
  </si>
  <si>
    <t>143.2162</t>
  </si>
  <si>
    <t>143.4574</t>
  </si>
  <si>
    <t>143.4562</t>
  </si>
  <si>
    <t>144.2564</t>
  </si>
  <si>
    <t>143.8869</t>
  </si>
  <si>
    <t>143.9530</t>
  </si>
  <si>
    <t>143.8195</t>
  </si>
  <si>
    <t>143.6059</t>
  </si>
  <si>
    <t>143.5235</t>
  </si>
  <si>
    <t>143.5183</t>
  </si>
  <si>
    <t>143.5172</t>
  </si>
  <si>
    <t>143.5212</t>
  </si>
  <si>
    <t>143.5263</t>
  </si>
  <si>
    <t>143.5280</t>
  </si>
  <si>
    <t>143.5125</t>
  </si>
  <si>
    <t>143.5113</t>
  </si>
  <si>
    <t>143.5246</t>
  </si>
  <si>
    <t>143.5353</t>
  </si>
  <si>
    <t>143.5467</t>
  </si>
  <si>
    <t>143.5718</t>
  </si>
  <si>
    <t>143.5822</t>
  </si>
  <si>
    <t>143.5453</t>
  </si>
  <si>
    <t>143.5405</t>
  </si>
  <si>
    <t>143.1138</t>
  </si>
  <si>
    <t>143.4376</t>
  </si>
  <si>
    <t>143.1595</t>
  </si>
  <si>
    <t>143.0785</t>
  </si>
  <si>
    <t>143.4970</t>
  </si>
  <si>
    <t>143.4792</t>
  </si>
  <si>
    <t>143.4802</t>
  </si>
  <si>
    <t>143.4955</t>
  </si>
  <si>
    <t>143.4807</t>
  </si>
  <si>
    <t>143.7856</t>
  </si>
  <si>
    <t>143.8529</t>
  </si>
  <si>
    <t>143.7533</t>
  </si>
  <si>
    <t>143.6665</t>
  </si>
  <si>
    <t>143.6720</t>
  </si>
  <si>
    <t>143.6761</t>
  </si>
  <si>
    <t>143.6918</t>
  </si>
  <si>
    <t>143.8580</t>
  </si>
  <si>
    <t>143.9104</t>
  </si>
  <si>
    <t>143.9547</t>
  </si>
  <si>
    <t>143.7516</t>
  </si>
  <si>
    <t>144.0097</t>
  </si>
  <si>
    <t>143.7957</t>
  </si>
  <si>
    <t>143.7405</t>
  </si>
  <si>
    <t>143.6448</t>
  </si>
  <si>
    <t>143.6441</t>
  </si>
  <si>
    <t>143.7231</t>
  </si>
  <si>
    <t>126.4691</t>
  </si>
  <si>
    <t>126.4719</t>
  </si>
  <si>
    <t>126.4726</t>
  </si>
  <si>
    <t>126.4728</t>
  </si>
  <si>
    <t>126.4582</t>
  </si>
  <si>
    <t>126.4551</t>
  </si>
  <si>
    <t>126.4667</t>
  </si>
  <si>
    <t>126.4739</t>
  </si>
  <si>
    <t>126.4608</t>
  </si>
  <si>
    <t>126.4618</t>
  </si>
  <si>
    <t>126.4746</t>
  </si>
  <si>
    <t>126.4697</t>
  </si>
  <si>
    <t>126.4733</t>
  </si>
  <si>
    <t>126.4281</t>
  </si>
  <si>
    <t>126.4293</t>
  </si>
  <si>
    <t>126.4340</t>
  </si>
  <si>
    <t>126.4032</t>
  </si>
  <si>
    <t>126.4031</t>
  </si>
  <si>
    <t>126.4118</t>
  </si>
  <si>
    <t>126.3650</t>
  </si>
  <si>
    <t>126.3705</t>
  </si>
  <si>
    <t>126.3751</t>
  </si>
  <si>
    <t>126.3843</t>
  </si>
  <si>
    <t>126.3651</t>
  </si>
  <si>
    <t>126.3653</t>
  </si>
  <si>
    <t>126.4886</t>
  </si>
  <si>
    <t>126.4801</t>
  </si>
  <si>
    <t>126.4833</t>
  </si>
  <si>
    <t>126.5023</t>
  </si>
  <si>
    <t>126.5015</t>
  </si>
  <si>
    <t>126.4954</t>
  </si>
  <si>
    <t>92.2564</t>
  </si>
  <si>
    <t>92.2696</t>
  </si>
  <si>
    <t>92.2703</t>
  </si>
  <si>
    <t>92.4015</t>
  </si>
  <si>
    <t>92.4223</t>
  </si>
  <si>
    <t>92.4169</t>
  </si>
  <si>
    <t>90.2127</t>
  </si>
  <si>
    <t>90.1839</t>
  </si>
  <si>
    <t>90.1717</t>
  </si>
  <si>
    <t>92.2698</t>
  </si>
  <si>
    <t>92.2567</t>
  </si>
  <si>
    <t>92.2557</t>
  </si>
  <si>
    <t>92.2549</t>
  </si>
  <si>
    <t>92.2532</t>
  </si>
  <si>
    <t>92.2521</t>
  </si>
  <si>
    <t>92.1926</t>
  </si>
  <si>
    <t>92.1720</t>
  </si>
  <si>
    <t>92.1806</t>
  </si>
  <si>
    <t>92.1739</t>
  </si>
  <si>
    <t>92.1777</t>
  </si>
  <si>
    <t>92.1686</t>
  </si>
  <si>
    <t>92.2067</t>
  </si>
  <si>
    <t>92.2020</t>
  </si>
  <si>
    <t>92.2092</t>
  </si>
  <si>
    <t>92.8049</t>
  </si>
  <si>
    <t>92.7025</t>
  </si>
  <si>
    <t>92.4166</t>
  </si>
  <si>
    <t>92.4408</t>
  </si>
  <si>
    <t>92.5050</t>
  </si>
  <si>
    <t>92.7361</t>
  </si>
  <si>
    <t>92.4300</t>
  </si>
  <si>
    <t>93.0818</t>
  </si>
  <si>
    <t>92.5611</t>
  </si>
  <si>
    <t>127.8496</t>
  </si>
  <si>
    <t>127.8512</t>
  </si>
  <si>
    <t>127.8571</t>
  </si>
  <si>
    <t>127.8370</t>
  </si>
  <si>
    <t>127.8341</t>
  </si>
  <si>
    <t>127.8317</t>
  </si>
  <si>
    <t>127.8613</t>
  </si>
  <si>
    <t>127.8652</t>
  </si>
  <si>
    <t>127.8671</t>
  </si>
  <si>
    <t>127.8328</t>
  </si>
  <si>
    <t>127.8359</t>
  </si>
  <si>
    <t>127.8332</t>
  </si>
  <si>
    <t>127.8381</t>
  </si>
  <si>
    <t>127.8319</t>
  </si>
  <si>
    <t>127.8347</t>
  </si>
  <si>
    <t>127.8187</t>
  </si>
  <si>
    <t>127.8233</t>
  </si>
  <si>
    <t>127.8237</t>
  </si>
  <si>
    <t>178.1353</t>
  </si>
  <si>
    <t>178.1280</t>
  </si>
  <si>
    <t>178.1307</t>
  </si>
  <si>
    <t>178.1596</t>
  </si>
  <si>
    <t>178.1594</t>
  </si>
  <si>
    <t>178.1598</t>
  </si>
  <si>
    <t>178.1685</t>
  </si>
  <si>
    <t>178.1585</t>
  </si>
  <si>
    <t>178.1534</t>
  </si>
  <si>
    <t>178.1309</t>
  </si>
  <si>
    <t>178.1298</t>
  </si>
  <si>
    <t>178.1711</t>
  </si>
  <si>
    <t>178.1538</t>
  </si>
  <si>
    <t>178.1539</t>
  </si>
  <si>
    <t>178.1098</t>
  </si>
  <si>
    <t>178.0987</t>
  </si>
  <si>
    <t>178.0959</t>
  </si>
  <si>
    <t>178.1350</t>
  </si>
  <si>
    <t>178.1247</t>
  </si>
  <si>
    <t>178.1196</t>
  </si>
  <si>
    <t>52.8244</t>
  </si>
  <si>
    <t>52.8193</t>
  </si>
  <si>
    <t>52.8190</t>
  </si>
  <si>
    <t>52.7754</t>
  </si>
  <si>
    <t>52.8474</t>
  </si>
  <si>
    <t>52.8584</t>
  </si>
  <si>
    <t>52.8409</t>
  </si>
  <si>
    <t>52.8420</t>
  </si>
  <si>
    <t>52.8380</t>
  </si>
  <si>
    <t>52.8732</t>
  </si>
  <si>
    <t>52.8668</t>
  </si>
  <si>
    <t>52.8575</t>
  </si>
  <si>
    <t>52.8412</t>
  </si>
  <si>
    <t>52.8446</t>
  </si>
  <si>
    <t>52.8471</t>
  </si>
  <si>
    <t>52.8768</t>
  </si>
  <si>
    <t>52.8764</t>
  </si>
  <si>
    <t>52.8759</t>
  </si>
  <si>
    <t>709.1395</t>
  </si>
  <si>
    <t>709.1350</t>
  </si>
  <si>
    <t>709.1271</t>
  </si>
  <si>
    <t>709.1622</t>
  </si>
  <si>
    <t>709.1616</t>
  </si>
  <si>
    <t>709.1741</t>
  </si>
  <si>
    <t>709.1680</t>
  </si>
  <si>
    <t>709.1638</t>
  </si>
  <si>
    <t>709.1650</t>
  </si>
  <si>
    <t>709.1275</t>
  </si>
  <si>
    <t>709.1213</t>
  </si>
  <si>
    <t>709.1298</t>
  </si>
  <si>
    <t>709.1367</t>
  </si>
  <si>
    <t>709.1265</t>
  </si>
  <si>
    <t>709.1281</t>
  </si>
  <si>
    <t>709.0999</t>
  </si>
  <si>
    <t>709.1282</t>
  </si>
  <si>
    <t>709.1273</t>
  </si>
  <si>
    <t>709.1312</t>
  </si>
  <si>
    <t>709.1292</t>
  </si>
  <si>
    <t>709.1330</t>
  </si>
  <si>
    <t>709.1839</t>
  </si>
  <si>
    <t>709.1822</t>
  </si>
  <si>
    <t>709.1658</t>
  </si>
  <si>
    <t>234.7857</t>
  </si>
  <si>
    <t>234.7807</t>
  </si>
  <si>
    <t>234.7838</t>
  </si>
  <si>
    <t>234.7514</t>
  </si>
  <si>
    <t>234.7475</t>
  </si>
  <si>
    <t>234.7507</t>
  </si>
  <si>
    <t>234.8045</t>
  </si>
  <si>
    <t>234.8092</t>
  </si>
  <si>
    <t>234.8144</t>
  </si>
  <si>
    <t>234.8125</t>
  </si>
  <si>
    <t>234.8192</t>
  </si>
  <si>
    <t>234.8189</t>
  </si>
  <si>
    <t>234.7836</t>
  </si>
  <si>
    <t>234.7908</t>
  </si>
  <si>
    <t>234.7936</t>
  </si>
  <si>
    <t>234.7914</t>
  </si>
  <si>
    <t>234.7930</t>
  </si>
  <si>
    <t>234.8009</t>
  </si>
  <si>
    <t>234.8069</t>
  </si>
  <si>
    <t>234.8089</t>
  </si>
  <si>
    <t>234.8085</t>
  </si>
  <si>
    <t>354.4373</t>
  </si>
  <si>
    <t>354.4454</t>
  </si>
  <si>
    <t>354.4492</t>
  </si>
  <si>
    <t>354.4186</t>
  </si>
  <si>
    <t>354.4163</t>
  </si>
  <si>
    <t>354.4179</t>
  </si>
  <si>
    <t>354.4128</t>
  </si>
  <si>
    <t>354.4108</t>
  </si>
  <si>
    <t>354.4127</t>
  </si>
  <si>
    <t>354.5831</t>
  </si>
  <si>
    <t>354.5749</t>
  </si>
  <si>
    <t>354.5731</t>
  </si>
  <si>
    <t>354.3715</t>
  </si>
  <si>
    <t>354.3750</t>
  </si>
  <si>
    <t>354.3744</t>
  </si>
  <si>
    <t>354.3810</t>
  </si>
  <si>
    <t>354.3994</t>
  </si>
  <si>
    <t>354.4001</t>
  </si>
  <si>
    <t>354.4031</t>
  </si>
  <si>
    <t>354.4651</t>
  </si>
  <si>
    <t>354.4594</t>
  </si>
  <si>
    <t>354.4586</t>
  </si>
  <si>
    <t>163.3971</t>
  </si>
  <si>
    <t>163.3980</t>
  </si>
  <si>
    <t>163.3967</t>
  </si>
  <si>
    <t>163.3451</t>
  </si>
  <si>
    <t>163.3446</t>
  </si>
  <si>
    <t>163.3414</t>
  </si>
  <si>
    <t>163.3312</t>
  </si>
  <si>
    <t>163.3304</t>
  </si>
  <si>
    <t>163.3307</t>
  </si>
  <si>
    <t>163.3466</t>
  </si>
  <si>
    <t>163.3452</t>
  </si>
  <si>
    <t>163.3503</t>
  </si>
  <si>
    <t>163.3101</t>
  </si>
  <si>
    <t>163.3019</t>
  </si>
  <si>
    <t>163.2932</t>
  </si>
  <si>
    <t>163.3133</t>
  </si>
  <si>
    <t>163.3147</t>
  </si>
  <si>
    <t>163.3158</t>
  </si>
  <si>
    <t>172.1397</t>
  </si>
  <si>
    <t>172.1389</t>
  </si>
  <si>
    <t>172.1344</t>
  </si>
  <si>
    <t>172.1254</t>
  </si>
  <si>
    <t>172.1371</t>
  </si>
  <si>
    <t>172.1748</t>
  </si>
  <si>
    <t>172.1769</t>
  </si>
  <si>
    <t>172.1752</t>
  </si>
  <si>
    <t>172.1765</t>
  </si>
  <si>
    <t>172.1736</t>
  </si>
  <si>
    <t>172.1725</t>
  </si>
  <si>
    <t>172.0629</t>
  </si>
  <si>
    <t>172.0706</t>
  </si>
  <si>
    <t>172.0743</t>
  </si>
  <si>
    <t>172.0727</t>
  </si>
  <si>
    <t>172.0679</t>
  </si>
  <si>
    <t>172.0615</t>
  </si>
  <si>
    <t>172.1199</t>
  </si>
  <si>
    <t>172.1261</t>
  </si>
  <si>
    <t>172.1269</t>
  </si>
  <si>
    <t>116.3702</t>
  </si>
  <si>
    <t>116.3627</t>
  </si>
  <si>
    <t>116.3658</t>
  </si>
  <si>
    <t>116.4412</t>
  </si>
  <si>
    <t>116.4307</t>
  </si>
  <si>
    <t>116.4108</t>
  </si>
  <si>
    <t>116.4293</t>
  </si>
  <si>
    <t>116.4209</t>
  </si>
  <si>
    <t>116.4298</t>
  </si>
  <si>
    <t>116.4585</t>
  </si>
  <si>
    <t>116.4618</t>
  </si>
  <si>
    <t>116.4572</t>
  </si>
  <si>
    <t>116.4562</t>
  </si>
  <si>
    <t>116.4542</t>
  </si>
  <si>
    <t>116.4540</t>
  </si>
  <si>
    <t>116.4474</t>
  </si>
  <si>
    <t>116.4340</t>
  </si>
  <si>
    <t>116.4184</t>
  </si>
  <si>
    <t>116.4249</t>
  </si>
  <si>
    <t>116.4695</t>
  </si>
  <si>
    <t>116.4696</t>
  </si>
  <si>
    <t>116.4800</t>
  </si>
  <si>
    <t>116.4567</t>
  </si>
  <si>
    <t>116.4550</t>
  </si>
  <si>
    <t>193.9758</t>
  </si>
  <si>
    <t>193.9681</t>
  </si>
  <si>
    <t>193.9646</t>
  </si>
  <si>
    <t>193.9776</t>
  </si>
  <si>
    <t>193.9927</t>
  </si>
  <si>
    <t>193.9953</t>
  </si>
  <si>
    <t>193.9797</t>
  </si>
  <si>
    <t>193.9800</t>
  </si>
  <si>
    <t>193.9728</t>
  </si>
  <si>
    <t>193.9772</t>
  </si>
  <si>
    <t>193.9688</t>
  </si>
  <si>
    <t>193.9506</t>
  </si>
  <si>
    <t>193.9713</t>
  </si>
  <si>
    <t>193.9765</t>
  </si>
  <si>
    <t>194.0650</t>
  </si>
  <si>
    <t>194.0479</t>
  </si>
  <si>
    <t>194.0329</t>
  </si>
  <si>
    <t>193.9653</t>
  </si>
  <si>
    <t>193.9459</t>
  </si>
  <si>
    <t>193.9548</t>
  </si>
  <si>
    <t>193.9575</t>
  </si>
  <si>
    <t>193.9535</t>
  </si>
  <si>
    <t>101.3308</t>
  </si>
  <si>
    <t>101.3270</t>
  </si>
  <si>
    <t>101.3331</t>
  </si>
  <si>
    <t>101.3609</t>
  </si>
  <si>
    <t>101.3622</t>
  </si>
  <si>
    <t>101.3342</t>
  </si>
  <si>
    <t>101.3381</t>
  </si>
  <si>
    <t>101.3420</t>
  </si>
  <si>
    <t>101.2277</t>
  </si>
  <si>
    <t>101.2270</t>
  </si>
  <si>
    <t>101.2248</t>
  </si>
  <si>
    <t>101.2271</t>
  </si>
  <si>
    <t>101.2264</t>
  </si>
  <si>
    <t>101.2258</t>
  </si>
  <si>
    <t>101.2190</t>
  </si>
  <si>
    <t>101.2159</t>
  </si>
  <si>
    <t>101.2148</t>
  </si>
  <si>
    <t>101.1928</t>
  </si>
  <si>
    <t>101.1958</t>
  </si>
  <si>
    <t>101.1982</t>
  </si>
  <si>
    <t>101.2192</t>
  </si>
  <si>
    <t>101.2191</t>
  </si>
  <si>
    <t>101.2188</t>
  </si>
  <si>
    <t>101.2214</t>
  </si>
  <si>
    <t>101.2217</t>
  </si>
  <si>
    <t>101.2189</t>
  </si>
  <si>
    <t>101.2166</t>
  </si>
  <si>
    <t>101.2170</t>
  </si>
  <si>
    <t>101.2203</t>
  </si>
  <si>
    <t>101.2204</t>
  </si>
  <si>
    <t>91.2509</t>
  </si>
  <si>
    <t>91.2476</t>
  </si>
  <si>
    <t>91.2458</t>
  </si>
  <si>
    <t>91.2302</t>
  </si>
  <si>
    <t>91.2410</t>
  </si>
  <si>
    <t>91.2533</t>
  </si>
  <si>
    <t>91.2558</t>
  </si>
  <si>
    <t>91.2525</t>
  </si>
  <si>
    <t>91.2440</t>
  </si>
  <si>
    <t>91.2150</t>
  </si>
  <si>
    <t>91.2147</t>
  </si>
  <si>
    <t>91.2180</t>
  </si>
  <si>
    <t>91.2171</t>
  </si>
  <si>
    <t>91.2109</t>
  </si>
  <si>
    <t>91.3358</t>
  </si>
  <si>
    <t>91.3483</t>
  </si>
  <si>
    <t>91.3691</t>
  </si>
  <si>
    <t>91.2424</t>
  </si>
  <si>
    <t>91.2403</t>
  </si>
  <si>
    <t>91.2332</t>
  </si>
  <si>
    <t>91.2143</t>
  </si>
  <si>
    <t>91.2164</t>
  </si>
  <si>
    <t>91.2156</t>
  </si>
  <si>
    <t>91.3415</t>
  </si>
  <si>
    <t>91.3453</t>
  </si>
  <si>
    <t>91.3471</t>
  </si>
  <si>
    <t>91.3532</t>
  </si>
  <si>
    <t>91.3543</t>
  </si>
  <si>
    <t>91.3549</t>
  </si>
  <si>
    <t>28.2612</t>
  </si>
  <si>
    <t>28.2626</t>
  </si>
  <si>
    <t>28.2640</t>
  </si>
  <si>
    <t>28.2777</t>
  </si>
  <si>
    <t>28.2771</t>
  </si>
  <si>
    <t>28.2765</t>
  </si>
  <si>
    <t>28.2599</t>
  </si>
  <si>
    <t>28.2589</t>
  </si>
  <si>
    <t>28.2793</t>
  </si>
  <si>
    <t>28.2783</t>
  </si>
  <si>
    <t>28.2800</t>
  </si>
  <si>
    <t>28.2533</t>
  </si>
  <si>
    <t>28.2544</t>
  </si>
  <si>
    <t>28.2585</t>
  </si>
  <si>
    <t>28.2717</t>
  </si>
  <si>
    <t>28.2679</t>
  </si>
  <si>
    <t>28.2663</t>
  </si>
  <si>
    <t>28.2760</t>
  </si>
  <si>
    <t>28.2710</t>
  </si>
  <si>
    <t>28.2641</t>
  </si>
  <si>
    <t>139.3962</t>
  </si>
  <si>
    <t>139.3910</t>
  </si>
  <si>
    <t>139.3849</t>
  </si>
  <si>
    <t>139.3911</t>
  </si>
  <si>
    <t>139.4048</t>
  </si>
  <si>
    <t>139.4013</t>
  </si>
  <si>
    <t>139.3778</t>
  </si>
  <si>
    <t>139.3816</t>
  </si>
  <si>
    <t>139.3798</t>
  </si>
  <si>
    <t>139.3511</t>
  </si>
  <si>
    <t>139.3476</t>
  </si>
  <si>
    <t>139.3509</t>
  </si>
  <si>
    <t>139.3770</t>
  </si>
  <si>
    <t>139.3781</t>
  </si>
  <si>
    <t>139.3748</t>
  </si>
  <si>
    <t>139.3693</t>
  </si>
  <si>
    <t>139.3705</t>
  </si>
  <si>
    <t>139.3687</t>
  </si>
  <si>
    <t>139.3682</t>
  </si>
  <si>
    <t>139.3686</t>
  </si>
  <si>
    <t>139.3662</t>
  </si>
  <si>
    <t>170.5306</t>
  </si>
  <si>
    <t>170.5407</t>
  </si>
  <si>
    <t>170.5383</t>
  </si>
  <si>
    <t>170.5451</t>
  </si>
  <si>
    <t>170.5366</t>
  </si>
  <si>
    <t>170.5380</t>
  </si>
  <si>
    <t>170.4470</t>
  </si>
  <si>
    <t>170.4474</t>
  </si>
  <si>
    <t>170.4511</t>
  </si>
  <si>
    <t>170.5156</t>
  </si>
  <si>
    <t>170.5153</t>
  </si>
  <si>
    <t>170.5143</t>
  </si>
  <si>
    <t>170.4953</t>
  </si>
  <si>
    <t>170.4875</t>
  </si>
  <si>
    <t>170.4926</t>
  </si>
  <si>
    <t>170.4806</t>
  </si>
  <si>
    <t>170.4771</t>
  </si>
  <si>
    <t>170.4784</t>
  </si>
  <si>
    <t>170.4680</t>
  </si>
  <si>
    <t>170.4721</t>
  </si>
  <si>
    <t>170.4708</t>
  </si>
  <si>
    <t>170.3521</t>
  </si>
  <si>
    <t>170.3510</t>
  </si>
  <si>
    <t>170.3557</t>
  </si>
  <si>
    <t>170.3121</t>
  </si>
  <si>
    <t>170.3332</t>
  </si>
  <si>
    <t>170.3240</t>
  </si>
  <si>
    <t>170.3168</t>
  </si>
  <si>
    <t>170.3164</t>
  </si>
  <si>
    <t>170.3652</t>
  </si>
  <si>
    <t>170.3645</t>
  </si>
  <si>
    <t>170.3647</t>
  </si>
  <si>
    <t>170.3695</t>
  </si>
  <si>
    <t>170.3641</t>
  </si>
  <si>
    <t>170.3590</t>
  </si>
  <si>
    <t>170.3918</t>
  </si>
  <si>
    <t>170.3916</t>
  </si>
  <si>
    <t>170.3895</t>
  </si>
  <si>
    <t>170.3962</t>
  </si>
  <si>
    <t>170.3911</t>
  </si>
  <si>
    <t>170.3969</t>
  </si>
  <si>
    <t>151.6677</t>
  </si>
  <si>
    <t>151.6715</t>
  </si>
  <si>
    <t>151.6683</t>
  </si>
  <si>
    <t>151.6221</t>
  </si>
  <si>
    <t>151.6172</t>
  </si>
  <si>
    <t>151.6179</t>
  </si>
  <si>
    <t>151.6312</t>
  </si>
  <si>
    <t>151.6326</t>
  </si>
  <si>
    <t>151.6261</t>
  </si>
  <si>
    <t>151.6169</t>
  </si>
  <si>
    <t>151.6167</t>
  </si>
  <si>
    <t>151.6097</t>
  </si>
  <si>
    <t>151.6389</t>
  </si>
  <si>
    <t>151.6291</t>
  </si>
  <si>
    <t>151.6324</t>
  </si>
  <si>
    <t>151.6356</t>
  </si>
  <si>
    <t>151.6347</t>
  </si>
  <si>
    <t>151.6342</t>
  </si>
  <si>
    <t>0</t>
  </si>
  <si>
    <t>RTS1.ngii.go.kr_dhkim1228_VRS-RTCM31</t>
  </si>
  <si>
    <t>RTS1.ngii.go.kr_dhkim1228_VRS-CMRx</t>
  </si>
  <si>
    <t>RTS1.ngii.go.kr_dhkim1228_VRS-RTCM23</t>
  </si>
  <si>
    <t>RTS1.ngii.go.kr_dhkim1228_RTK-RTCM32</t>
  </si>
  <si>
    <t>RTS1.ngii.go.kr_dhkim1228_VRS-RTCM34</t>
  </si>
  <si>
    <t>RTS2.ngii.go.kr_dhkim1228_FKP-RTCM31</t>
  </si>
  <si>
    <t>RTS2.ngii.go.kr_dhkim1228_VRS-RTCM31</t>
  </si>
  <si>
    <t>RTS2.ngii.go.kr_dhkim1228_VRS-RTCM32</t>
  </si>
  <si>
    <t>gvrs.gnsson.com_ngii_admin_GVRS</t>
  </si>
  <si>
    <t>gvrs.gnsson.com_ngii_admin_Pohang-Nam-Dongchon</t>
  </si>
  <si>
    <t>gvrs.gnsson.com_ngii_admin_Gyeongju-Angang</t>
  </si>
  <si>
    <t>gvrs.gnsson.com_ngii_admin_Gyeongju-Yul</t>
  </si>
  <si>
    <t>gvrs.gnsson.com_ngii_admin_Gyeongju-Sannae</t>
  </si>
  <si>
    <t>gvrs.gnsson.com_ngii_admin_Ulsan-Ulju-Eonyang</t>
  </si>
  <si>
    <t>gvrs.gnsson.com_ngii_admin_Gyeongju-Munmudaewang</t>
  </si>
  <si>
    <t>gvrs.gnsson.com_ngii_admin_Ulsan-Buk-Sinhyeon</t>
  </si>
  <si>
    <t>RTS1.ngii.go.kr_ngii001_VRS-RTCM31</t>
  </si>
  <si>
    <t>RTS1.ngii.go.kr_ngii001_VRS-CMRx</t>
  </si>
  <si>
    <t>RTS1.ngii.go.kr_ngii001_RTK-RTCM32</t>
  </si>
  <si>
    <t>RTS1.ngii.go.kr_ngii001_VRS-RTCM34</t>
  </si>
  <si>
    <t>RTS2.ngii.go.kr_ngii001_FKP-RTCM31</t>
  </si>
  <si>
    <t>RTS2.ngii.go.kr_ngii001_VRS-RTCM31</t>
  </si>
  <si>
    <t>RTS2.ngii.go.kr_ngii001_VRS-RTCM32</t>
  </si>
  <si>
    <t>RTS1.ngii.go.kr_ngii001_VRS-RTCM23</t>
  </si>
  <si>
    <t>gvrs.gnsson.com_ngii_admin_Yeoju-Daesin</t>
  </si>
  <si>
    <t>gvrs.gnsson.com_ngii_admin_Yeoju-Ganam</t>
  </si>
  <si>
    <t>gvrs.gnsson.com_ngii_admin_Pyeongtaek-Poseung</t>
  </si>
  <si>
    <t>gvrs.gnsson.com_ngii_admin_Jangsu-Beonam</t>
  </si>
  <si>
    <t>gvrs.gnsson.com_ngii_admin_Siheung-Hajung</t>
  </si>
  <si>
    <t>rts2.ngii.go.kr_ngii001_VRS-RTCM32</t>
  </si>
  <si>
    <t>rts2.ngii.go.kr_ngii001_VRS-RTCM31</t>
  </si>
  <si>
    <t>gvrs.gnsson.com_ngii_admin_Hongcheon-Duchon</t>
  </si>
  <si>
    <t>rts2.ngii.go.kr_ngii001_FKP-RTCM31</t>
  </si>
  <si>
    <t>RTS2.ngii.go.kr_ppsol_FKP-RTCM31</t>
  </si>
  <si>
    <t>RTS2.ngii.go.kr_ppsol_VRS-RTCM31</t>
  </si>
  <si>
    <t>RTS2.ngii.go.kr_ppsol_VRS-RTCM32</t>
  </si>
  <si>
    <t>gvrs.gnsson.com_ngii_admin_Hongcheon-Nae</t>
  </si>
  <si>
    <t>rts2.ngii.go.kr_ppsol_FKP-RTCM31</t>
  </si>
  <si>
    <t>gvrs.gnsson.com_ngii_admin_Pyeongchang-Jinbu-Singi</t>
  </si>
  <si>
    <t>gvrs.gnsson.com_ngii_admin_Pyeongchang-Jinbu-Dongs</t>
  </si>
  <si>
    <t>gvrs.gnsson.com_ngii_admin_Jeongseon-Hwaam</t>
  </si>
  <si>
    <t>gvrs.gnsson.com_ngii_admin_Jeongseon-Jeongseon</t>
  </si>
  <si>
    <t>gvrs.gnsson.com_ngii_admin_Pyeongchang-Yongpyeong</t>
  </si>
  <si>
    <t>gvrs.gnsson.com_ngii_admin_Euiseong-Danbuk</t>
  </si>
  <si>
    <t>gvrs.gnsson.com_ngii_admin_Euiseong-Anpyeong</t>
  </si>
  <si>
    <t>gvrs.gnsson.com_ngii_admin_Yeongyang-Ibam</t>
  </si>
  <si>
    <t>gvrs.gnsson.com_ngii_admin_Yeongyang-Yeongyang</t>
  </si>
  <si>
    <t>gvrs.gnsson.com_ngii_admin_Cheongsong-Juwangsan</t>
  </si>
  <si>
    <t>gvrs.gnsson.com_ngii_admin_Cheongsong-Pacheon</t>
  </si>
  <si>
    <t>gvrs.gnsson.com_ngii_admin_Cheongsong-Hyeonseo</t>
  </si>
  <si>
    <t>gvrs.gnsson.com_ngii_admin_Pohang-Buk-Gibuk</t>
  </si>
  <si>
    <t>gvrs.gnsson.com_ngii_admin_Yangsan-Samho</t>
  </si>
  <si>
    <t>gvrs.gnsson.com_ngii_admin_Yangsan-Eogok</t>
  </si>
  <si>
    <t>gvrs.gnsson.com_ngii_admin_Miryang-Samnangjin</t>
  </si>
  <si>
    <t>gvrs.gnsson.com_ngii_admin_Cheongdo-Maejeon</t>
  </si>
  <si>
    <t>gvrs.gnsson.com_ngii_admin_Cheongdo-Punggak</t>
  </si>
  <si>
    <t>gvrs.gnsson.com_ngii_admin_Changyeong-Gilgok</t>
  </si>
  <si>
    <t>gvrs.gnsson.com_ngii_admin_Gimcheon-Gammun</t>
  </si>
  <si>
    <t>gvrs.gnsson.com_ngii_admin_Anseong-Gongdo</t>
  </si>
  <si>
    <t>gvrs.gnsson.com_ngii_admin_Icheon-Hobeop</t>
  </si>
  <si>
    <t>gvrs.gnsson.com_ngii_admin_Yongin-Cheoin</t>
  </si>
  <si>
    <t>gvrs.gnsson.com_ngii_admin_Anseong-Juksan</t>
  </si>
  <si>
    <t>RTS1.ngii.go.kr_barunna2_VRS-RTCM31</t>
  </si>
  <si>
    <t>RTS1.ngii.go.kr_barunna2_VRS-CMRx</t>
  </si>
  <si>
    <t>RTS1.ngii.go.kr_barunna2_RTK-RTCM32</t>
  </si>
  <si>
    <t>RTS1.ngii.go.kr_barunna2_VRS-RTCM34</t>
  </si>
  <si>
    <t>RTS2.ngii.go.kr_barunna2_FKP-RTCM31</t>
  </si>
  <si>
    <t>RTS2.ngii.go.kr_barunna2_VRS-RTCM31</t>
  </si>
  <si>
    <t>RTS2.ngii.go.kr_barunna2_VRS-RTCM32</t>
  </si>
  <si>
    <t>gvrs.gnsson.com_ngii_admin_Cheongju-Judeok</t>
  </si>
  <si>
    <t>gvrs.gnsson.com_ngii_admin_Jeungpyeong-Jeungpyeong</t>
  </si>
  <si>
    <t>gvrs.gnsson.com_ngii_admin_Goesan-Goesan</t>
  </si>
  <si>
    <t>gvrs.gnsson.com_ngii_admin_Gwangju-Gonjiam</t>
  </si>
  <si>
    <t>gvrs.gnsson.com_ngii_admin_Cheonan-Dongnam</t>
  </si>
  <si>
    <t>gvrs.gnsson.com_ngii_admin_Uljin-Uljin</t>
  </si>
  <si>
    <t>gvrs.gnsson.com_ngii_admin_Weonju-Jijeong</t>
  </si>
  <si>
    <t>gvrs.gnsson.com_ngii_admin_Gangneung-Wangsan</t>
  </si>
  <si>
    <t>gvrs.gnsson.com_ngii_admin_Chuncheon-Dongsan</t>
  </si>
  <si>
    <t>gvrs.gnsson.com_ngii_admin_Chuncheon-Namsan</t>
  </si>
  <si>
    <t>점명</t>
    <phoneticPr fontId="3" type="noConversion"/>
  </si>
  <si>
    <t>U0950</t>
  </si>
  <si>
    <t>U1020</t>
  </si>
  <si>
    <t>U1092</t>
  </si>
  <si>
    <t>U1100</t>
  </si>
  <si>
    <t>U1026</t>
  </si>
  <si>
    <t>U1040</t>
  </si>
  <si>
    <t>U1041</t>
  </si>
  <si>
    <t>U0193</t>
  </si>
  <si>
    <t>U0195</t>
  </si>
  <si>
    <r>
      <t>U</t>
    </r>
    <r>
      <rPr>
        <sz val="11"/>
        <rFont val="Calibri"/>
        <family val="2"/>
      </rPr>
      <t>고창21</t>
    </r>
  </si>
  <si>
    <r>
      <t>U</t>
    </r>
    <r>
      <rPr>
        <sz val="11"/>
        <rFont val="Calibri"/>
        <family val="2"/>
      </rPr>
      <t>와도14</t>
    </r>
  </si>
  <si>
    <r>
      <t>U</t>
    </r>
    <r>
      <rPr>
        <sz val="11"/>
        <rFont val="Calibri"/>
        <family val="2"/>
      </rPr>
      <t>완도09</t>
    </r>
  </si>
  <si>
    <r>
      <t>U</t>
    </r>
    <r>
      <rPr>
        <sz val="11"/>
        <rFont val="Calibri"/>
        <family val="2"/>
      </rPr>
      <t>홍천15</t>
    </r>
  </si>
  <si>
    <r>
      <t>U</t>
    </r>
    <r>
      <rPr>
        <sz val="11"/>
        <rFont val="Calibri"/>
        <family val="2"/>
      </rPr>
      <t>충주18</t>
    </r>
  </si>
  <si>
    <r>
      <t>U</t>
    </r>
    <r>
      <rPr>
        <sz val="11"/>
        <rFont val="Calibri"/>
        <family val="2"/>
      </rPr>
      <t>산청36</t>
    </r>
  </si>
  <si>
    <t>U논산15</t>
    <phoneticPr fontId="4" type="noConversion"/>
  </si>
  <si>
    <t>U진안96</t>
  </si>
  <si>
    <t>U무주66</t>
    <phoneticPr fontId="4" type="noConversion"/>
  </si>
  <si>
    <t>U무풍63</t>
    <phoneticPr fontId="4" type="noConversion"/>
  </si>
  <si>
    <t>U0711</t>
    <phoneticPr fontId="4" type="noConversion"/>
  </si>
  <si>
    <t>U0631</t>
    <phoneticPr fontId="4" type="noConversion"/>
  </si>
  <si>
    <t>U금산77</t>
    <phoneticPr fontId="4" type="noConversion"/>
  </si>
  <si>
    <t>U대전11</t>
    <phoneticPr fontId="4" type="noConversion"/>
  </si>
  <si>
    <t>U보은22</t>
  </si>
  <si>
    <t>U보은25</t>
    <phoneticPr fontId="4" type="noConversion"/>
  </si>
  <si>
    <t>U영동06</t>
    <phoneticPr fontId="4" type="noConversion"/>
  </si>
  <si>
    <t>U0562</t>
    <phoneticPr fontId="3" type="noConversion"/>
  </si>
  <si>
    <t>U미원34</t>
    <phoneticPr fontId="4" type="noConversion"/>
  </si>
  <si>
    <t>U미원28</t>
    <phoneticPr fontId="4" type="noConversion"/>
  </si>
  <si>
    <t>U청주13</t>
    <phoneticPr fontId="4" type="noConversion"/>
  </si>
  <si>
    <t>U청주18</t>
    <phoneticPr fontId="4" type="noConversion"/>
  </si>
  <si>
    <t>U공주13</t>
  </si>
  <si>
    <t>U대전09</t>
    <phoneticPr fontId="4" type="noConversion"/>
  </si>
  <si>
    <t>U한산88</t>
    <phoneticPr fontId="4" type="noConversion"/>
  </si>
  <si>
    <t>U한산84</t>
    <phoneticPr fontId="4" type="noConversion"/>
  </si>
  <si>
    <t>U0546</t>
    <phoneticPr fontId="4" type="noConversion"/>
  </si>
  <si>
    <t>U0545</t>
    <phoneticPr fontId="3" type="noConversion"/>
  </si>
  <si>
    <t>U청양05</t>
  </si>
  <si>
    <r>
      <t>U</t>
    </r>
    <r>
      <rPr>
        <sz val="11"/>
        <rFont val="맑은 고딕"/>
        <family val="2"/>
        <charset val="129"/>
      </rPr>
      <t>전의</t>
    </r>
    <r>
      <rPr>
        <sz val="11"/>
        <rFont val="Calibri"/>
        <family val="2"/>
      </rPr>
      <t>28</t>
    </r>
    <phoneticPr fontId="3" type="noConversion"/>
  </si>
  <si>
    <t>U예산32</t>
    <phoneticPr fontId="4" type="noConversion"/>
  </si>
  <si>
    <r>
      <t>U</t>
    </r>
    <r>
      <rPr>
        <sz val="11"/>
        <rFont val="맑은 고딕"/>
        <family val="3"/>
        <charset val="129"/>
      </rPr>
      <t>청양</t>
    </r>
    <r>
      <rPr>
        <sz val="11"/>
        <rFont val="Calibri"/>
        <family val="3"/>
      </rPr>
      <t>32</t>
    </r>
    <phoneticPr fontId="3" type="noConversion"/>
  </si>
  <si>
    <t>U0457</t>
    <phoneticPr fontId="4" type="noConversion"/>
  </si>
  <si>
    <t>U홍성20</t>
    <phoneticPr fontId="4" type="noConversion"/>
  </si>
  <si>
    <t>U0443</t>
    <phoneticPr fontId="4" type="noConversion"/>
  </si>
  <si>
    <r>
      <t>U</t>
    </r>
    <r>
      <rPr>
        <sz val="11"/>
        <rFont val="맑은 고딕"/>
        <family val="2"/>
        <charset val="129"/>
      </rPr>
      <t>안계16</t>
    </r>
    <phoneticPr fontId="3" type="noConversion"/>
  </si>
  <si>
    <r>
      <t>U</t>
    </r>
    <r>
      <rPr>
        <sz val="11"/>
        <rFont val="맑은 고딕"/>
        <family val="2"/>
        <charset val="129"/>
      </rPr>
      <t>의성11</t>
    </r>
    <phoneticPr fontId="3" type="noConversion"/>
  </si>
  <si>
    <t>U0513</t>
    <phoneticPr fontId="3" type="noConversion"/>
  </si>
  <si>
    <r>
      <t>U</t>
    </r>
    <r>
      <rPr>
        <sz val="11"/>
        <rFont val="맑은 고딕"/>
        <family val="2"/>
        <charset val="129"/>
      </rPr>
      <t>영양87</t>
    </r>
    <phoneticPr fontId="3" type="noConversion"/>
  </si>
  <si>
    <r>
      <t>U</t>
    </r>
    <r>
      <rPr>
        <sz val="11"/>
        <rFont val="맑은 고딕"/>
        <family val="2"/>
        <charset val="129"/>
      </rPr>
      <t>청송07</t>
    </r>
    <phoneticPr fontId="3" type="noConversion"/>
  </si>
  <si>
    <r>
      <t>U</t>
    </r>
    <r>
      <rPr>
        <sz val="11"/>
        <rFont val="맑은 고딕"/>
        <family val="2"/>
        <charset val="129"/>
      </rPr>
      <t>청송73</t>
    </r>
    <phoneticPr fontId="3" type="noConversion"/>
  </si>
  <si>
    <r>
      <t>U</t>
    </r>
    <r>
      <rPr>
        <sz val="11"/>
        <rFont val="맑은 고딕"/>
        <family val="2"/>
        <charset val="129"/>
      </rPr>
      <t>기계54</t>
    </r>
    <phoneticPr fontId="3" type="noConversion"/>
  </si>
  <si>
    <t>U0662</t>
    <phoneticPr fontId="3" type="noConversion"/>
  </si>
  <si>
    <r>
      <t>U</t>
    </r>
    <r>
      <rPr>
        <sz val="11"/>
        <rFont val="맑은 고딕"/>
        <family val="2"/>
        <charset val="129"/>
      </rPr>
      <t>포항66</t>
    </r>
    <phoneticPr fontId="3" type="noConversion"/>
  </si>
  <si>
    <r>
      <t>U</t>
    </r>
    <r>
      <rPr>
        <sz val="11"/>
        <rFont val="맑은 고딕"/>
        <family val="2"/>
        <charset val="129"/>
      </rPr>
      <t>경주20</t>
    </r>
    <phoneticPr fontId="3" type="noConversion"/>
  </si>
  <si>
    <r>
      <t>U</t>
    </r>
    <r>
      <rPr>
        <sz val="11"/>
        <rFont val="맑은 고딕"/>
        <family val="2"/>
        <charset val="129"/>
      </rPr>
      <t>경주59</t>
    </r>
    <phoneticPr fontId="3" type="noConversion"/>
  </si>
  <si>
    <t>U0742</t>
    <phoneticPr fontId="3" type="noConversion"/>
  </si>
  <si>
    <r>
      <t>U</t>
    </r>
    <r>
      <rPr>
        <sz val="11"/>
        <rFont val="맑은 고딕"/>
        <family val="2"/>
        <charset val="129"/>
      </rPr>
      <t>언양10</t>
    </r>
    <phoneticPr fontId="3" type="noConversion"/>
  </si>
  <si>
    <r>
      <t>U</t>
    </r>
    <r>
      <rPr>
        <sz val="11"/>
        <rFont val="맑은 고딕"/>
        <family val="2"/>
        <charset val="129"/>
      </rPr>
      <t>언양12</t>
    </r>
    <phoneticPr fontId="3" type="noConversion"/>
  </si>
  <si>
    <t>U0836</t>
    <phoneticPr fontId="3" type="noConversion"/>
  </si>
  <si>
    <r>
      <t>U</t>
    </r>
    <r>
      <rPr>
        <sz val="11"/>
        <rFont val="맑은 고딕"/>
        <family val="2"/>
        <charset val="129"/>
      </rPr>
      <t>울산32</t>
    </r>
    <phoneticPr fontId="3" type="noConversion"/>
  </si>
  <si>
    <t>U0918</t>
    <phoneticPr fontId="3" type="noConversion"/>
  </si>
  <si>
    <r>
      <t>U</t>
    </r>
    <r>
      <rPr>
        <sz val="11"/>
        <rFont val="맑은 고딕"/>
        <family val="2"/>
        <charset val="129"/>
      </rPr>
      <t>밀양13</t>
    </r>
    <phoneticPr fontId="3" type="noConversion"/>
  </si>
  <si>
    <t>U0915</t>
    <phoneticPr fontId="3" type="noConversion"/>
  </si>
  <si>
    <r>
      <t>U</t>
    </r>
    <r>
      <rPr>
        <sz val="11"/>
        <rFont val="맑은 고딕"/>
        <family val="2"/>
        <charset val="129"/>
      </rPr>
      <t>청도20</t>
    </r>
    <phoneticPr fontId="3" type="noConversion"/>
  </si>
  <si>
    <r>
      <t>U</t>
    </r>
    <r>
      <rPr>
        <sz val="11"/>
        <rFont val="맑은 고딕"/>
        <family val="2"/>
        <charset val="129"/>
      </rPr>
      <t>청도</t>
    </r>
    <r>
      <rPr>
        <sz val="11"/>
        <rFont val="Calibri"/>
        <family val="2"/>
      </rPr>
      <t>16</t>
    </r>
    <phoneticPr fontId="3" type="noConversion"/>
  </si>
  <si>
    <r>
      <t>U</t>
    </r>
    <r>
      <rPr>
        <sz val="11"/>
        <rFont val="맑은 고딕"/>
        <family val="2"/>
        <charset val="129"/>
      </rPr>
      <t>창원05</t>
    </r>
    <phoneticPr fontId="3" type="noConversion"/>
  </si>
  <si>
    <r>
      <t>U</t>
    </r>
    <r>
      <rPr>
        <sz val="11"/>
        <rFont val="맑은 고딕"/>
        <family val="2"/>
        <charset val="129"/>
      </rPr>
      <t>김천38</t>
    </r>
    <phoneticPr fontId="3" type="noConversion"/>
  </si>
  <si>
    <t>U0535</t>
    <phoneticPr fontId="4" type="noConversion"/>
  </si>
  <si>
    <t>U서천35</t>
    <phoneticPr fontId="4" type="noConversion"/>
  </si>
  <si>
    <t>U0769</t>
    <phoneticPr fontId="3" type="noConversion"/>
  </si>
  <si>
    <t>U부안07</t>
  </si>
  <si>
    <t>U담양18</t>
    <phoneticPr fontId="4" type="noConversion"/>
  </si>
  <si>
    <t>U정읍26</t>
    <phoneticPr fontId="4" type="noConversion"/>
  </si>
  <si>
    <t>U정읍34</t>
  </si>
  <si>
    <t>U0695</t>
    <phoneticPr fontId="3" type="noConversion"/>
  </si>
  <si>
    <t>U0690</t>
    <phoneticPr fontId="3" type="noConversion"/>
  </si>
  <si>
    <t>U0697</t>
    <phoneticPr fontId="3" type="noConversion"/>
  </si>
  <si>
    <t>U임실03</t>
    <phoneticPr fontId="4" type="noConversion"/>
  </si>
  <si>
    <t>U임실24</t>
    <phoneticPr fontId="4" type="noConversion"/>
  </si>
  <si>
    <t>U남원26</t>
  </si>
  <si>
    <t>U0867</t>
    <phoneticPr fontId="3" type="noConversion"/>
  </si>
  <si>
    <t>U순창13</t>
  </si>
  <si>
    <t>U0878</t>
    <phoneticPr fontId="3" type="noConversion"/>
  </si>
  <si>
    <t>U0799</t>
    <phoneticPr fontId="3" type="noConversion"/>
  </si>
  <si>
    <t>U0790</t>
    <phoneticPr fontId="3" type="noConversion"/>
  </si>
  <si>
    <t>U0105</t>
    <phoneticPr fontId="4" type="noConversion"/>
  </si>
  <si>
    <t>U봉평04</t>
    <phoneticPr fontId="4" type="noConversion"/>
  </si>
  <si>
    <t>U도암15</t>
    <phoneticPr fontId="4" type="noConversion"/>
  </si>
  <si>
    <r>
      <t>U</t>
    </r>
    <r>
      <rPr>
        <sz val="11"/>
        <rFont val="맑은 고딕"/>
        <family val="3"/>
        <charset val="129"/>
      </rPr>
      <t>연곡13</t>
    </r>
    <phoneticPr fontId="3" type="noConversion"/>
  </si>
  <si>
    <r>
      <t>U</t>
    </r>
    <r>
      <rPr>
        <sz val="11"/>
        <rFont val="맑은 고딕"/>
        <family val="3"/>
        <charset val="129"/>
      </rPr>
      <t>연곡07</t>
    </r>
    <phoneticPr fontId="3" type="noConversion"/>
  </si>
  <si>
    <t>U임계19</t>
    <phoneticPr fontId="4" type="noConversion"/>
  </si>
  <si>
    <t>U정선04</t>
    <phoneticPr fontId="4" type="noConversion"/>
  </si>
  <si>
    <t>U봉평18</t>
    <phoneticPr fontId="4" type="noConversion"/>
  </si>
  <si>
    <t>U0253</t>
    <phoneticPr fontId="3" type="noConversion"/>
  </si>
  <si>
    <t>U0144</t>
    <phoneticPr fontId="4" type="noConversion"/>
  </si>
  <si>
    <t>U김포15</t>
    <phoneticPr fontId="4" type="noConversion"/>
  </si>
  <si>
    <t>U0214</t>
    <phoneticPr fontId="3" type="noConversion"/>
  </si>
  <si>
    <t>U0169</t>
    <phoneticPr fontId="3" type="noConversion"/>
  </si>
  <si>
    <t>U0098</t>
    <phoneticPr fontId="3" type="noConversion"/>
  </si>
  <si>
    <r>
      <t>U</t>
    </r>
    <r>
      <rPr>
        <sz val="11"/>
        <rFont val="맑은 고딕"/>
        <family val="2"/>
        <charset val="129"/>
      </rPr>
      <t>전의05</t>
    </r>
    <phoneticPr fontId="3" type="noConversion"/>
  </si>
  <si>
    <r>
      <t>U</t>
    </r>
    <r>
      <rPr>
        <sz val="11"/>
        <rFont val="맑은 고딕"/>
        <family val="2"/>
        <charset val="129"/>
      </rPr>
      <t>용인29</t>
    </r>
    <phoneticPr fontId="3" type="noConversion"/>
  </si>
  <si>
    <r>
      <t>U</t>
    </r>
    <r>
      <rPr>
        <sz val="11"/>
        <rFont val="맑은 고딕"/>
        <family val="2"/>
        <charset val="129"/>
      </rPr>
      <t>진천37</t>
    </r>
    <phoneticPr fontId="3" type="noConversion"/>
  </si>
  <si>
    <r>
      <t>U</t>
    </r>
    <r>
      <rPr>
        <sz val="11"/>
        <rFont val="맑은 고딕"/>
        <family val="2"/>
        <charset val="129"/>
      </rPr>
      <t>평택02</t>
    </r>
    <phoneticPr fontId="3" type="noConversion"/>
  </si>
  <si>
    <r>
      <t>U</t>
    </r>
    <r>
      <rPr>
        <sz val="11"/>
        <rFont val="맑은 고딕"/>
        <family val="2"/>
        <charset val="129"/>
      </rPr>
      <t>남양95</t>
    </r>
    <phoneticPr fontId="3" type="noConversion"/>
  </si>
  <si>
    <t>U0373</t>
    <phoneticPr fontId="3" type="noConversion"/>
  </si>
  <si>
    <r>
      <t>U</t>
    </r>
    <r>
      <rPr>
        <sz val="11"/>
        <rFont val="맑은 고딕"/>
        <family val="2"/>
        <charset val="129"/>
      </rPr>
      <t>여주77</t>
    </r>
    <phoneticPr fontId="3" type="noConversion"/>
  </si>
  <si>
    <r>
      <t>U</t>
    </r>
    <r>
      <rPr>
        <sz val="11"/>
        <rFont val="맑은 고딕"/>
        <family val="2"/>
        <charset val="129"/>
      </rPr>
      <t>안성43</t>
    </r>
    <phoneticPr fontId="3" type="noConversion"/>
  </si>
  <si>
    <r>
      <t>U</t>
    </r>
    <r>
      <rPr>
        <sz val="11"/>
        <rFont val="맑은 고딕"/>
        <family val="2"/>
        <charset val="129"/>
      </rPr>
      <t>음성18</t>
    </r>
    <phoneticPr fontId="3" type="noConversion"/>
  </si>
  <si>
    <t>U0248</t>
    <phoneticPr fontId="3" type="noConversion"/>
  </si>
  <si>
    <r>
      <t>U</t>
    </r>
    <r>
      <rPr>
        <sz val="11"/>
        <rFont val="맑은 고딕"/>
        <family val="2"/>
        <charset val="129"/>
      </rPr>
      <t>춘천09</t>
    </r>
    <phoneticPr fontId="3" type="noConversion"/>
  </si>
  <si>
    <r>
      <t>U</t>
    </r>
    <r>
      <rPr>
        <sz val="11"/>
        <rFont val="맑은 고딕"/>
        <family val="2"/>
        <charset val="129"/>
      </rPr>
      <t>엄정28</t>
    </r>
    <phoneticPr fontId="3" type="noConversion"/>
  </si>
  <si>
    <r>
      <t>U</t>
    </r>
    <r>
      <rPr>
        <sz val="11"/>
        <rFont val="맑은 고딕"/>
        <family val="2"/>
        <charset val="129"/>
      </rPr>
      <t>이천70</t>
    </r>
    <phoneticPr fontId="3" type="noConversion"/>
  </si>
  <si>
    <r>
      <t>U</t>
    </r>
    <r>
      <rPr>
        <sz val="11"/>
        <rFont val="맑은 고딕"/>
        <family val="2"/>
        <charset val="129"/>
      </rPr>
      <t>장호원34</t>
    </r>
    <phoneticPr fontId="3" type="noConversion"/>
  </si>
  <si>
    <r>
      <t>U</t>
    </r>
    <r>
      <rPr>
        <sz val="11"/>
        <rFont val="맑은 고딕"/>
        <family val="2"/>
        <charset val="129"/>
      </rPr>
      <t>춘천</t>
    </r>
    <r>
      <rPr>
        <sz val="11"/>
        <rFont val="Calibri"/>
        <family val="2"/>
      </rPr>
      <t>14</t>
    </r>
    <phoneticPr fontId="3" type="noConversion"/>
  </si>
  <si>
    <t>U0042</t>
    <phoneticPr fontId="3" type="noConversion"/>
  </si>
  <si>
    <r>
      <t>U</t>
    </r>
    <r>
      <rPr>
        <sz val="11"/>
        <rFont val="맑은 고딕"/>
        <family val="2"/>
        <charset val="129"/>
      </rPr>
      <t>속초10</t>
    </r>
    <phoneticPr fontId="3" type="noConversion"/>
  </si>
  <si>
    <r>
      <t>U</t>
    </r>
    <r>
      <rPr>
        <sz val="11"/>
        <rFont val="맑은 고딕"/>
        <family val="2"/>
        <charset val="129"/>
      </rPr>
      <t>용두31</t>
    </r>
    <phoneticPr fontId="3" type="noConversion"/>
  </si>
  <si>
    <r>
      <t>U</t>
    </r>
    <r>
      <rPr>
        <sz val="11"/>
        <rFont val="맑은 고딕"/>
        <family val="2"/>
        <charset val="129"/>
      </rPr>
      <t>춘천0</t>
    </r>
    <r>
      <rPr>
        <sz val="11"/>
        <rFont val="Calibri"/>
        <family val="2"/>
      </rPr>
      <t>3</t>
    </r>
    <phoneticPr fontId="3" type="noConversion"/>
  </si>
  <si>
    <t>U0244</t>
    <phoneticPr fontId="3" type="noConversion"/>
  </si>
  <si>
    <t>U0043</t>
    <phoneticPr fontId="3" type="noConversion"/>
  </si>
  <si>
    <t>U0317</t>
    <phoneticPr fontId="3" type="noConversion"/>
  </si>
  <si>
    <r>
      <t>U</t>
    </r>
    <r>
      <rPr>
        <sz val="11"/>
        <rFont val="맑은 고딕"/>
        <family val="2"/>
        <charset val="129"/>
      </rPr>
      <t>덕산</t>
    </r>
    <r>
      <rPr>
        <sz val="11"/>
        <rFont val="Calibri"/>
        <family val="2"/>
      </rPr>
      <t>24</t>
    </r>
    <phoneticPr fontId="3" type="noConversion"/>
  </si>
  <si>
    <t>U0861</t>
    <phoneticPr fontId="3" type="noConversion"/>
  </si>
  <si>
    <t>U0962</t>
    <phoneticPr fontId="3" type="noConversion"/>
  </si>
  <si>
    <t>U0960</t>
    <phoneticPr fontId="3" type="noConversion"/>
  </si>
  <si>
    <r>
      <t>U</t>
    </r>
    <r>
      <rPr>
        <sz val="11"/>
        <rFont val="맑은 고딕"/>
        <family val="2"/>
        <charset val="129"/>
      </rPr>
      <t>고흥63</t>
    </r>
    <phoneticPr fontId="3" type="noConversion"/>
  </si>
  <si>
    <r>
      <t>U</t>
    </r>
    <r>
      <rPr>
        <sz val="11"/>
        <rFont val="돋움"/>
        <family val="3"/>
        <charset val="129"/>
      </rPr>
      <t>순천</t>
    </r>
    <r>
      <rPr>
        <sz val="11"/>
        <rFont val="Calibri"/>
        <family val="2"/>
      </rPr>
      <t>05</t>
    </r>
  </si>
  <si>
    <r>
      <t>U</t>
    </r>
    <r>
      <rPr>
        <sz val="11"/>
        <rFont val="맑은 고딕"/>
        <family val="3"/>
        <charset val="129"/>
      </rPr>
      <t>회천</t>
    </r>
    <r>
      <rPr>
        <sz val="11"/>
        <rFont val="Calibri"/>
        <family val="2"/>
      </rPr>
      <t>48</t>
    </r>
    <phoneticPr fontId="3" type="noConversion"/>
  </si>
  <si>
    <r>
      <t>U</t>
    </r>
    <r>
      <rPr>
        <sz val="11"/>
        <rFont val="돋움"/>
        <family val="3"/>
        <charset val="129"/>
      </rPr>
      <t>회천</t>
    </r>
    <r>
      <rPr>
        <sz val="11"/>
        <rFont val="Calibri"/>
        <family val="2"/>
      </rPr>
      <t>16</t>
    </r>
  </si>
  <si>
    <r>
      <t>U</t>
    </r>
    <r>
      <rPr>
        <sz val="11"/>
        <rFont val="맑은 고딕"/>
        <family val="3"/>
        <charset val="129"/>
      </rPr>
      <t>와도</t>
    </r>
    <r>
      <rPr>
        <sz val="11"/>
        <rFont val="Calibri"/>
        <family val="2"/>
      </rPr>
      <t>16</t>
    </r>
    <phoneticPr fontId="3" type="noConversion"/>
  </si>
  <si>
    <t>U0855</t>
    <phoneticPr fontId="3" type="noConversion"/>
  </si>
  <si>
    <r>
      <t>U</t>
    </r>
    <r>
      <rPr>
        <sz val="11"/>
        <rFont val="돋움"/>
        <family val="3"/>
        <charset val="129"/>
      </rPr>
      <t>목포</t>
    </r>
    <r>
      <rPr>
        <sz val="11"/>
        <rFont val="Calibri"/>
        <family val="2"/>
      </rPr>
      <t>15</t>
    </r>
  </si>
  <si>
    <r>
      <t>U</t>
    </r>
    <r>
      <rPr>
        <sz val="11"/>
        <rFont val="돋움"/>
        <family val="3"/>
        <charset val="129"/>
      </rPr>
      <t>복내</t>
    </r>
    <r>
      <rPr>
        <sz val="11"/>
        <rFont val="Calibri"/>
        <family val="2"/>
      </rPr>
      <t>36</t>
    </r>
  </si>
  <si>
    <r>
      <t>U</t>
    </r>
    <r>
      <rPr>
        <sz val="11"/>
        <rFont val="돋움"/>
        <family val="3"/>
        <charset val="129"/>
      </rPr>
      <t>청풍</t>
    </r>
    <r>
      <rPr>
        <sz val="11"/>
        <rFont val="Calibri"/>
        <family val="2"/>
      </rPr>
      <t>66</t>
    </r>
  </si>
  <si>
    <t>U0313</t>
    <phoneticPr fontId="3" type="noConversion"/>
  </si>
  <si>
    <r>
      <t>U</t>
    </r>
    <r>
      <rPr>
        <sz val="11"/>
        <rFont val="맑은 고딕"/>
        <family val="2"/>
        <charset val="129"/>
      </rPr>
      <t>덕산21</t>
    </r>
    <phoneticPr fontId="3" type="noConversion"/>
  </si>
  <si>
    <r>
      <t>U</t>
    </r>
    <r>
      <rPr>
        <sz val="11"/>
        <rFont val="맑은 고딕"/>
        <family val="2"/>
        <charset val="129"/>
      </rPr>
      <t>영주84</t>
    </r>
    <phoneticPr fontId="3" type="noConversion"/>
  </si>
  <si>
    <r>
      <t>U</t>
    </r>
    <r>
      <rPr>
        <sz val="11"/>
        <rFont val="맑은 고딕"/>
        <family val="2"/>
        <charset val="129"/>
      </rPr>
      <t>예천08</t>
    </r>
    <phoneticPr fontId="3" type="noConversion"/>
  </si>
  <si>
    <r>
      <t>U</t>
    </r>
    <r>
      <rPr>
        <sz val="11"/>
        <rFont val="돋움"/>
        <family val="3"/>
        <charset val="129"/>
      </rPr>
      <t>남해</t>
    </r>
    <r>
      <rPr>
        <sz val="11"/>
        <rFont val="Calibri"/>
        <family val="2"/>
      </rPr>
      <t>02</t>
    </r>
  </si>
  <si>
    <r>
      <t>U</t>
    </r>
    <r>
      <rPr>
        <sz val="11"/>
        <rFont val="맑은 고딕"/>
        <family val="3"/>
        <charset val="129"/>
      </rPr>
      <t>자은</t>
    </r>
    <r>
      <rPr>
        <sz val="11"/>
        <rFont val="Calibri"/>
        <family val="2"/>
      </rPr>
      <t>10</t>
    </r>
    <phoneticPr fontId="3" type="noConversion"/>
  </si>
  <si>
    <r>
      <t>U</t>
    </r>
    <r>
      <rPr>
        <sz val="11"/>
        <rFont val="돋움"/>
        <family val="3"/>
        <charset val="129"/>
      </rPr>
      <t>화원</t>
    </r>
    <r>
      <rPr>
        <sz val="11"/>
        <rFont val="Calibri"/>
        <family val="2"/>
      </rPr>
      <t>01</t>
    </r>
  </si>
  <si>
    <r>
      <t>U</t>
    </r>
    <r>
      <rPr>
        <sz val="11"/>
        <rFont val="돋움"/>
        <family val="3"/>
        <charset val="129"/>
      </rPr>
      <t>화원</t>
    </r>
    <r>
      <rPr>
        <sz val="11"/>
        <rFont val="Calibri"/>
        <family val="2"/>
      </rPr>
      <t>03</t>
    </r>
  </si>
  <si>
    <r>
      <t>U</t>
    </r>
    <r>
      <rPr>
        <sz val="11"/>
        <rFont val="돋움"/>
        <family val="3"/>
        <charset val="129"/>
      </rPr>
      <t>광주</t>
    </r>
    <r>
      <rPr>
        <sz val="11"/>
        <rFont val="Calibri"/>
        <family val="2"/>
      </rPr>
      <t>35</t>
    </r>
  </si>
  <si>
    <r>
      <t>U</t>
    </r>
    <r>
      <rPr>
        <sz val="11"/>
        <rFont val="맑은 고딕"/>
        <family val="2"/>
        <charset val="129"/>
      </rPr>
      <t>구례45</t>
    </r>
    <phoneticPr fontId="3" type="noConversion"/>
  </si>
  <si>
    <r>
      <t>U</t>
    </r>
    <r>
      <rPr>
        <sz val="11"/>
        <rFont val="맑은 고딕"/>
        <family val="3"/>
        <charset val="129"/>
      </rPr>
      <t>목포</t>
    </r>
    <r>
      <rPr>
        <sz val="11"/>
        <rFont val="Calibri"/>
        <family val="3"/>
      </rPr>
      <t>07</t>
    </r>
    <phoneticPr fontId="3" type="noConversion"/>
  </si>
  <si>
    <r>
      <t>U</t>
    </r>
    <r>
      <rPr>
        <sz val="11"/>
        <rFont val="돋움"/>
        <family val="3"/>
        <charset val="129"/>
      </rPr>
      <t>해남</t>
    </r>
    <r>
      <rPr>
        <sz val="11"/>
        <rFont val="Calibri"/>
        <family val="2"/>
      </rPr>
      <t>30</t>
    </r>
  </si>
  <si>
    <r>
      <t>U</t>
    </r>
    <r>
      <rPr>
        <sz val="11"/>
        <rFont val="돋움"/>
        <family val="3"/>
        <charset val="129"/>
      </rPr>
      <t>나주</t>
    </r>
    <r>
      <rPr>
        <sz val="11"/>
        <rFont val="Calibri"/>
        <family val="2"/>
      </rPr>
      <t>29</t>
    </r>
  </si>
  <si>
    <t>U1015</t>
    <phoneticPr fontId="3" type="noConversion"/>
  </si>
  <si>
    <r>
      <t>U</t>
    </r>
    <r>
      <rPr>
        <sz val="11"/>
        <rFont val="돋움"/>
        <family val="3"/>
        <charset val="129"/>
      </rPr>
      <t>독산</t>
    </r>
    <r>
      <rPr>
        <sz val="11"/>
        <rFont val="Calibri"/>
        <family val="2"/>
      </rPr>
      <t>31</t>
    </r>
  </si>
  <si>
    <t>RTS1</t>
  </si>
  <si>
    <t>RTS2</t>
  </si>
  <si>
    <t>gvrs</t>
  </si>
  <si>
    <t>rts2</t>
  </si>
  <si>
    <t>VRS-RTCM31</t>
  </si>
  <si>
    <t>VRS-CMRx</t>
  </si>
  <si>
    <t>VRS-RTCM23</t>
  </si>
  <si>
    <t>RTK-RTCM32</t>
  </si>
  <si>
    <t>VRS-RTCM34</t>
  </si>
  <si>
    <t>FKP-RTCM31</t>
  </si>
  <si>
    <t>VRS-RTCM32</t>
  </si>
  <si>
    <t>GVRS</t>
  </si>
  <si>
    <t>Pohang-Nam-Dongchon</t>
  </si>
  <si>
    <t>Gyeongju-Angang</t>
  </si>
  <si>
    <t>Gyeongju-Yul</t>
  </si>
  <si>
    <t>Gyeongju-Sannae</t>
  </si>
  <si>
    <t>Ulsan-Ulju-Eonyang</t>
  </si>
  <si>
    <t>Gyeongju-Munmudaewang</t>
  </si>
  <si>
    <t>Ulsan-Buk-Sinhyeon</t>
  </si>
  <si>
    <t>Yeoju-Daesin</t>
  </si>
  <si>
    <t>Yeoju-Ganam</t>
  </si>
  <si>
    <t>Pyeongtaek-Poseung</t>
  </si>
  <si>
    <t>Jangsu-Beonam</t>
  </si>
  <si>
    <t>Siheung-Hajung</t>
  </si>
  <si>
    <t>Hongcheon-Duchon</t>
  </si>
  <si>
    <t>Hongcheon-Nae</t>
  </si>
  <si>
    <t>Pyeongchang-Jinbu-Singi</t>
  </si>
  <si>
    <t>Pyeongchang-Jinbu-Dongs</t>
  </si>
  <si>
    <t>Jeongseon-Hwaam</t>
  </si>
  <si>
    <t>Jeongseon-Jeongseon</t>
  </si>
  <si>
    <t>Pyeongchang-Yongpyeong</t>
  </si>
  <si>
    <t>Euiseong-Danbuk</t>
  </si>
  <si>
    <t>Euiseong-Anpyeong</t>
  </si>
  <si>
    <t>Yeongyang-Ibam</t>
  </si>
  <si>
    <t>Yeongyang-Yeongyang</t>
  </si>
  <si>
    <t>Cheongsong-Juwangsan</t>
  </si>
  <si>
    <t>Cheongsong-Pacheon</t>
  </si>
  <si>
    <t>Cheongsong-Hyeonseo</t>
  </si>
  <si>
    <t>Pohang-Buk-Gibuk</t>
  </si>
  <si>
    <t>Yangsan-Samho</t>
  </si>
  <si>
    <t>Yangsan-Eogok</t>
  </si>
  <si>
    <t>Miryang-Samnangjin</t>
  </si>
  <si>
    <t>Cheongdo-Maejeon</t>
  </si>
  <si>
    <t>Cheongdo-Punggak</t>
  </si>
  <si>
    <t>Changyeong-Gilgok</t>
  </si>
  <si>
    <t>Gimcheon-Gammun</t>
  </si>
  <si>
    <t>Anseong-Gongdo</t>
  </si>
  <si>
    <t>Icheon-Hobeop</t>
  </si>
  <si>
    <t>Yongin-Cheoin</t>
  </si>
  <si>
    <t>Anseong-Juksan</t>
  </si>
  <si>
    <t>Cheongju-Judeok</t>
  </si>
  <si>
    <t>Jeungpyeong-Jeungpyeong</t>
  </si>
  <si>
    <t>Goesan-Goesan</t>
  </si>
  <si>
    <t>Gwangju-Gonjiam</t>
  </si>
  <si>
    <t>Cheonan-Dongnam</t>
  </si>
  <si>
    <t>Uljin-Uljin</t>
  </si>
  <si>
    <t>Weonju-Jijeong</t>
  </si>
  <si>
    <t>Gangneung-Wangsan</t>
  </si>
  <si>
    <t>Chuncheon-Dongsan</t>
  </si>
  <si>
    <t>Chuncheon-Namsan</t>
  </si>
  <si>
    <t>서비스</t>
    <phoneticPr fontId="3" type="noConversion"/>
  </si>
  <si>
    <t>마운트포인트</t>
    <phoneticPr fontId="3" type="noConversion"/>
  </si>
  <si>
    <r>
      <rPr>
        <sz val="11"/>
        <rFont val="Calibri"/>
        <family val="2"/>
      </rPr>
      <t>순천64-10</t>
    </r>
  </si>
  <si>
    <r>
      <rPr>
        <sz val="11"/>
        <rFont val="Calibri"/>
        <family val="2"/>
      </rPr>
      <t>순천64-11</t>
    </r>
  </si>
  <si>
    <r>
      <rPr>
        <sz val="11"/>
        <rFont val="Calibri"/>
        <family val="2"/>
      </rPr>
      <t>순천64-12</t>
    </r>
  </si>
  <si>
    <t>rtkinfo</t>
    <phoneticPr fontId="3" type="noConversion"/>
  </si>
  <si>
    <t>PDOP</t>
    <phoneticPr fontId="3" type="noConversion"/>
  </si>
  <si>
    <t>비고</t>
    <phoneticPr fontId="4" type="noConversion"/>
  </si>
  <si>
    <r>
      <t>U</t>
    </r>
    <r>
      <rPr>
        <sz val="11"/>
        <rFont val="맑은 고딕"/>
        <family val="3"/>
        <charset val="129"/>
      </rPr>
      <t>순천6</t>
    </r>
    <r>
      <rPr>
        <sz val="11"/>
        <rFont val="Calibri"/>
        <family val="3"/>
      </rPr>
      <t>4</t>
    </r>
    <phoneticPr fontId="3" type="noConversion"/>
  </si>
  <si>
    <t>GPS</t>
    <phoneticPr fontId="3" type="noConversion"/>
  </si>
  <si>
    <t>GLONASS</t>
    <phoneticPr fontId="3" type="noConversion"/>
  </si>
  <si>
    <t>BEIDU</t>
  </si>
  <si>
    <t>QZSS</t>
  </si>
  <si>
    <t>IRNSS</t>
  </si>
  <si>
    <t>GALILEO</t>
    <phoneticPr fontId="3" type="noConversion"/>
  </si>
  <si>
    <t>total</t>
    <phoneticPr fontId="3" type="noConversion"/>
  </si>
  <si>
    <t>RTS1</t>
    <phoneticPr fontId="3" type="noConversion"/>
  </si>
  <si>
    <r>
      <t>U</t>
    </r>
    <r>
      <rPr>
        <sz val="11"/>
        <rFont val="맑은 고딕"/>
        <family val="3"/>
        <charset val="129"/>
      </rPr>
      <t>청송</t>
    </r>
    <r>
      <rPr>
        <sz val="11"/>
        <rFont val="Calibri"/>
        <family val="2"/>
      </rPr>
      <t>73</t>
    </r>
    <phoneticPr fontId="3" type="noConversion"/>
  </si>
  <si>
    <r>
      <t>U</t>
    </r>
    <r>
      <rPr>
        <sz val="11"/>
        <rFont val="Calibri"/>
        <family val="2"/>
      </rPr>
      <t>청송73-rts1-vrs-rtcm23-1</t>
    </r>
  </si>
  <si>
    <t>Haccuracy</t>
    <phoneticPr fontId="3" type="noConversion"/>
  </si>
  <si>
    <t>Error_E</t>
    <phoneticPr fontId="4" type="noConversion"/>
  </si>
  <si>
    <t>Error_N</t>
    <phoneticPr fontId="4" type="noConversion"/>
  </si>
  <si>
    <t>Error_U</t>
    <phoneticPr fontId="4" type="noConversion"/>
  </si>
  <si>
    <t>VAR_E</t>
    <phoneticPr fontId="8" type="noConversion"/>
  </si>
  <si>
    <t>VAR_N</t>
    <phoneticPr fontId="8" type="noConversion"/>
  </si>
  <si>
    <t>VAR_U</t>
    <phoneticPr fontId="8" type="noConversion"/>
  </si>
  <si>
    <t>-</t>
    <phoneticPr fontId="8" type="noConversion"/>
  </si>
  <si>
    <t>////</t>
    <phoneticPr fontId="8" type="noConversion"/>
  </si>
  <si>
    <t>Haccuracy</t>
  </si>
  <si>
    <t>점명</t>
  </si>
  <si>
    <t>서비스</t>
  </si>
  <si>
    <t>마운트포인트</t>
  </si>
  <si>
    <t>PDOP</t>
  </si>
  <si>
    <t>Error_E</t>
  </si>
  <si>
    <t>Error_N</t>
  </si>
  <si>
    <t>Error_U</t>
  </si>
  <si>
    <t>Error_E</t>
    <phoneticPr fontId="8" type="noConversion"/>
  </si>
  <si>
    <t>점명</t>
    <phoneticPr fontId="8" type="noConversion"/>
  </si>
  <si>
    <r>
      <t>&lt;</t>
    </r>
    <r>
      <rPr>
        <sz val="11"/>
        <rFont val="Malgun Gothic"/>
        <family val="2"/>
        <charset val="129"/>
      </rPr>
      <t>절댓값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평균</t>
    </r>
    <r>
      <rPr>
        <sz val="11"/>
        <rFont val="Calibri"/>
        <family val="2"/>
      </rPr>
      <t>&gt;</t>
    </r>
    <phoneticPr fontId="8" type="noConversion"/>
  </si>
  <si>
    <t>Cheongdo-Maejeon</t>
    <phoneticPr fontId="8" type="noConversion"/>
  </si>
  <si>
    <r>
      <t>U</t>
    </r>
    <r>
      <rPr>
        <sz val="11"/>
        <color theme="1"/>
        <rFont val="맑은 고딕"/>
        <family val="2"/>
        <charset val="129"/>
      </rPr>
      <t>청도</t>
    </r>
    <r>
      <rPr>
        <sz val="11"/>
        <color theme="1"/>
        <rFont val="Calibri"/>
        <family val="2"/>
      </rPr>
      <t>16</t>
    </r>
    <phoneticPr fontId="3" type="noConversion"/>
  </si>
  <si>
    <r>
      <t>U</t>
    </r>
    <r>
      <rPr>
        <sz val="11"/>
        <color theme="1"/>
        <rFont val="맑은 고딕"/>
        <family val="2"/>
        <charset val="129"/>
      </rPr>
      <t>창원05</t>
    </r>
    <phoneticPr fontId="3" type="noConversion"/>
  </si>
  <si>
    <t>service</t>
    <phoneticPr fontId="3" type="noConversion"/>
  </si>
  <si>
    <t>Service</t>
    <phoneticPr fontId="3" type="noConversion"/>
  </si>
  <si>
    <t>Point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</si>
</sst>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_ "/>
    <numFmt numFmtId="177" formatCode="0.0000000000_ "/>
    <numFmt numFmtId="178" formatCode="0.0000000_ "/>
    <numFmt numFmtId="179" formatCode="0.000000_);[Red]\(0.000000\)"/>
    <numFmt numFmtId="180" formatCode="0.00000000_ "/>
  </numFmts>
  <fonts count="14">
    <font>
      <sz val="11"/>
      <name val="Calibri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Calibri"/>
      <family val="3"/>
    </font>
    <font>
      <sz val="11"/>
      <name val="돋움"/>
      <family val="3"/>
      <charset val="129"/>
    </font>
    <font>
      <sz val="8"/>
      <name val="나눔명조"/>
      <family val="3"/>
      <charset val="129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Malgun Gothic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ADC7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176" fontId="0" fillId="0" borderId="3" xfId="0" applyNumberFormat="1" applyBorder="1"/>
    <xf numFmtId="177" fontId="0" fillId="0" borderId="0" xfId="0" applyNumberFormat="1" applyAlignment="1">
      <alignment vertical="center"/>
    </xf>
    <xf numFmtId="178" fontId="0" fillId="0" borderId="0" xfId="0" applyNumberFormat="1"/>
    <xf numFmtId="178" fontId="1" fillId="0" borderId="0" xfId="0" applyNumberFormat="1" applyFont="1"/>
    <xf numFmtId="178" fontId="9" fillId="0" borderId="0" xfId="0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6" borderId="0" xfId="0" applyFont="1" applyFill="1"/>
    <xf numFmtId="177" fontId="9" fillId="6" borderId="0" xfId="0" applyNumberFormat="1" applyFont="1" applyFill="1" applyAlignment="1">
      <alignment vertical="center"/>
    </xf>
    <xf numFmtId="178" fontId="9" fillId="6" borderId="0" xfId="0" applyNumberFormat="1" applyFont="1" applyFill="1"/>
    <xf numFmtId="177" fontId="0" fillId="6" borderId="0" xfId="0" applyNumberFormat="1" applyFill="1" applyAlignment="1">
      <alignment vertical="center"/>
    </xf>
    <xf numFmtId="178" fontId="0" fillId="6" borderId="0" xfId="0" applyNumberFormat="1" applyFill="1"/>
    <xf numFmtId="178" fontId="1" fillId="6" borderId="0" xfId="0" applyNumberFormat="1" applyFont="1" applyFill="1"/>
    <xf numFmtId="179" fontId="1" fillId="0" borderId="0" xfId="0" applyNumberFormat="1" applyFont="1"/>
    <xf numFmtId="179" fontId="0" fillId="0" borderId="0" xfId="0" applyNumberFormat="1"/>
    <xf numFmtId="0" fontId="0" fillId="5" borderId="4" xfId="0" applyFill="1" applyBorder="1"/>
    <xf numFmtId="0" fontId="0" fillId="5" borderId="5" xfId="0" applyFill="1" applyBorder="1"/>
    <xf numFmtId="179" fontId="0" fillId="5" borderId="5" xfId="0" applyNumberFormat="1" applyFill="1" applyBorder="1"/>
    <xf numFmtId="179" fontId="0" fillId="5" borderId="6" xfId="0" applyNumberFormat="1" applyFill="1" applyBorder="1"/>
    <xf numFmtId="0" fontId="0" fillId="5" borderId="7" xfId="0" applyFill="1" applyBorder="1"/>
    <xf numFmtId="0" fontId="0" fillId="5" borderId="3" xfId="0" applyFill="1" applyBorder="1"/>
    <xf numFmtId="179" fontId="0" fillId="5" borderId="3" xfId="0" applyNumberFormat="1" applyFill="1" applyBorder="1"/>
    <xf numFmtId="179" fontId="0" fillId="5" borderId="8" xfId="0" applyNumberFormat="1" applyFill="1" applyBorder="1"/>
    <xf numFmtId="0" fontId="0" fillId="5" borderId="9" xfId="0" applyFill="1" applyBorder="1"/>
    <xf numFmtId="0" fontId="0" fillId="5" borderId="10" xfId="0" applyFill="1" applyBorder="1"/>
    <xf numFmtId="179" fontId="0" fillId="5" borderId="10" xfId="0" applyNumberFormat="1" applyFill="1" applyBorder="1"/>
    <xf numFmtId="179" fontId="0" fillId="5" borderId="11" xfId="0" applyNumberFormat="1" applyFill="1" applyBorder="1"/>
    <xf numFmtId="11" fontId="0" fillId="5" borderId="3" xfId="0" applyNumberFormat="1" applyFill="1" applyBorder="1"/>
    <xf numFmtId="0" fontId="0" fillId="6" borderId="4" xfId="0" applyFill="1" applyBorder="1"/>
    <xf numFmtId="0" fontId="0" fillId="6" borderId="5" xfId="0" applyFill="1" applyBorder="1"/>
    <xf numFmtId="177" fontId="0" fillId="6" borderId="5" xfId="0" applyNumberFormat="1" applyFill="1" applyBorder="1" applyAlignment="1">
      <alignment vertical="center"/>
    </xf>
    <xf numFmtId="178" fontId="0" fillId="6" borderId="5" xfId="0" applyNumberFormat="1" applyFill="1" applyBorder="1"/>
    <xf numFmtId="178" fontId="0" fillId="2" borderId="5" xfId="0" applyNumberFormat="1" applyFill="1" applyBorder="1"/>
    <xf numFmtId="178" fontId="0" fillId="6" borderId="6" xfId="0" applyNumberFormat="1" applyFill="1" applyBorder="1"/>
    <xf numFmtId="0" fontId="0" fillId="0" borderId="7" xfId="0" applyBorder="1"/>
    <xf numFmtId="177" fontId="0" fillId="0" borderId="3" xfId="0" applyNumberFormat="1" applyBorder="1" applyAlignment="1">
      <alignment vertical="center"/>
    </xf>
    <xf numFmtId="178" fontId="0" fillId="0" borderId="3" xfId="0" applyNumberFormat="1" applyBorder="1"/>
    <xf numFmtId="178" fontId="0" fillId="0" borderId="8" xfId="0" applyNumberFormat="1" applyBorder="1"/>
    <xf numFmtId="0" fontId="0" fillId="0" borderId="9" xfId="0" applyBorder="1"/>
    <xf numFmtId="0" fontId="0" fillId="0" borderId="10" xfId="0" applyBorder="1"/>
    <xf numFmtId="177" fontId="0" fillId="0" borderId="10" xfId="0" applyNumberFormat="1" applyBorder="1" applyAlignment="1">
      <alignment vertical="center"/>
    </xf>
    <xf numFmtId="178" fontId="0" fillId="0" borderId="10" xfId="0" applyNumberFormat="1" applyBorder="1"/>
    <xf numFmtId="178" fontId="0" fillId="0" borderId="11" xfId="0" applyNumberFormat="1" applyBorder="1"/>
    <xf numFmtId="178" fontId="0" fillId="2" borderId="6" xfId="0" applyNumberFormat="1" applyFill="1" applyBorder="1"/>
    <xf numFmtId="178" fontId="0" fillId="3" borderId="6" xfId="0" applyNumberFormat="1" applyFill="1" applyBorder="1"/>
    <xf numFmtId="178" fontId="0" fillId="3" borderId="5" xfId="0" applyNumberFormat="1" applyFill="1" applyBorder="1"/>
    <xf numFmtId="178" fontId="1" fillId="0" borderId="3" xfId="0" applyNumberFormat="1" applyFont="1" applyBorder="1"/>
    <xf numFmtId="178" fontId="1" fillId="0" borderId="8" xfId="0" applyNumberFormat="1" applyFont="1" applyBorder="1"/>
    <xf numFmtId="178" fontId="1" fillId="0" borderId="10" xfId="0" applyNumberFormat="1" applyFont="1" applyBorder="1"/>
    <xf numFmtId="178" fontId="1" fillId="0" borderId="11" xfId="0" applyNumberFormat="1" applyFont="1" applyBorder="1"/>
    <xf numFmtId="178" fontId="0" fillId="4" borderId="6" xfId="0" applyNumberFormat="1" applyFill="1" applyBorder="1"/>
    <xf numFmtId="179" fontId="0" fillId="0" borderId="3" xfId="0" applyNumberFormat="1" applyBorder="1"/>
    <xf numFmtId="177" fontId="0" fillId="0" borderId="3" xfId="0" applyNumberFormat="1" applyBorder="1"/>
    <xf numFmtId="0" fontId="0" fillId="0" borderId="12" xfId="0" applyBorder="1"/>
    <xf numFmtId="0" fontId="0" fillId="0" borderId="13" xfId="0" applyBorder="1"/>
    <xf numFmtId="177" fontId="0" fillId="0" borderId="13" xfId="0" applyNumberFormat="1" applyBorder="1"/>
    <xf numFmtId="178" fontId="0" fillId="0" borderId="13" xfId="0" applyNumberFormat="1" applyBorder="1"/>
    <xf numFmtId="178" fontId="0" fillId="2" borderId="14" xfId="0" applyNumberFormat="1" applyFill="1" applyBorder="1"/>
    <xf numFmtId="0" fontId="0" fillId="0" borderId="15" xfId="0" applyBorder="1"/>
    <xf numFmtId="178" fontId="0" fillId="0" borderId="16" xfId="0" applyNumberFormat="1" applyBorder="1"/>
    <xf numFmtId="0" fontId="0" fillId="0" borderId="17" xfId="0" applyBorder="1"/>
    <xf numFmtId="0" fontId="0" fillId="0" borderId="18" xfId="0" applyBorder="1"/>
    <xf numFmtId="177" fontId="0" fillId="0" borderId="18" xfId="0" applyNumberFormat="1" applyBorder="1"/>
    <xf numFmtId="178" fontId="0" fillId="0" borderId="18" xfId="0" applyNumberFormat="1" applyBorder="1"/>
    <xf numFmtId="178" fontId="0" fillId="0" borderId="19" xfId="0" applyNumberFormat="1" applyBorder="1"/>
    <xf numFmtId="178" fontId="0" fillId="2" borderId="13" xfId="0" applyNumberFormat="1" applyFill="1" applyBorder="1"/>
    <xf numFmtId="178" fontId="0" fillId="0" borderId="14" xfId="0" applyNumberFormat="1" applyBorder="1"/>
    <xf numFmtId="179" fontId="0" fillId="0" borderId="13" xfId="0" applyNumberFormat="1" applyBorder="1"/>
    <xf numFmtId="179" fontId="0" fillId="0" borderId="14" xfId="0" applyNumberFormat="1" applyBorder="1"/>
    <xf numFmtId="179" fontId="0" fillId="0" borderId="16" xfId="0" applyNumberFormat="1" applyBorder="1"/>
    <xf numFmtId="179" fontId="0" fillId="0" borderId="18" xfId="0" applyNumberFormat="1" applyBorder="1"/>
    <xf numFmtId="179" fontId="0" fillId="0" borderId="19" xfId="0" applyNumberFormat="1" applyBorder="1"/>
    <xf numFmtId="178" fontId="0" fillId="3" borderId="14" xfId="0" applyNumberFormat="1" applyFill="1" applyBorder="1"/>
    <xf numFmtId="178" fontId="0" fillId="3" borderId="13" xfId="0" applyNumberFormat="1" applyFill="1" applyBorder="1"/>
    <xf numFmtId="178" fontId="1" fillId="0" borderId="16" xfId="0" applyNumberFormat="1" applyFont="1" applyBorder="1"/>
    <xf numFmtId="178" fontId="1" fillId="0" borderId="18" xfId="0" applyNumberFormat="1" applyFont="1" applyBorder="1"/>
    <xf numFmtId="178" fontId="1" fillId="0" borderId="19" xfId="0" applyNumberFormat="1" applyFont="1" applyBorder="1"/>
    <xf numFmtId="178" fontId="0" fillId="4" borderId="14" xfId="0" applyNumberFormat="1" applyFill="1" applyBorder="1"/>
    <xf numFmtId="0" fontId="1" fillId="0" borderId="12" xfId="0" applyFont="1" applyBorder="1"/>
    <xf numFmtId="0" fontId="9" fillId="0" borderId="13" xfId="0" applyFont="1" applyBorder="1"/>
    <xf numFmtId="177" fontId="9" fillId="0" borderId="13" xfId="0" applyNumberFormat="1" applyFont="1" applyBorder="1"/>
    <xf numFmtId="178" fontId="9" fillId="0" borderId="13" xfId="0" applyNumberFormat="1" applyFont="1" applyBorder="1"/>
    <xf numFmtId="178" fontId="9" fillId="2" borderId="13" xfId="0" applyNumberFormat="1" applyFont="1" applyFill="1" applyBorder="1"/>
    <xf numFmtId="178" fontId="9" fillId="0" borderId="14" xfId="0" applyNumberFormat="1" applyFont="1" applyBorder="1"/>
    <xf numFmtId="0" fontId="9" fillId="0" borderId="15" xfId="0" applyFont="1" applyBorder="1"/>
    <xf numFmtId="0" fontId="9" fillId="0" borderId="3" xfId="0" applyFont="1" applyBorder="1"/>
    <xf numFmtId="177" fontId="9" fillId="0" borderId="3" xfId="0" applyNumberFormat="1" applyFont="1" applyBorder="1"/>
    <xf numFmtId="178" fontId="9" fillId="0" borderId="3" xfId="0" applyNumberFormat="1" applyFont="1" applyBorder="1"/>
    <xf numFmtId="178" fontId="9" fillId="0" borderId="16" xfId="0" applyNumberFormat="1" applyFont="1" applyBorder="1"/>
    <xf numFmtId="0" fontId="9" fillId="0" borderId="18" xfId="0" applyFont="1" applyBorder="1"/>
    <xf numFmtId="177" fontId="9" fillId="0" borderId="18" xfId="0" applyNumberFormat="1" applyFont="1" applyBorder="1"/>
    <xf numFmtId="178" fontId="9" fillId="0" borderId="18" xfId="0" applyNumberFormat="1" applyFont="1" applyBorder="1"/>
    <xf numFmtId="178" fontId="9" fillId="0" borderId="19" xfId="0" applyNumberFormat="1" applyFont="1" applyBorder="1"/>
    <xf numFmtId="0" fontId="9" fillId="8" borderId="12" xfId="0" applyFont="1" applyFill="1" applyBorder="1"/>
    <xf numFmtId="0" fontId="9" fillId="8" borderId="15" xfId="0" applyFont="1" applyFill="1" applyBorder="1"/>
    <xf numFmtId="0" fontId="9" fillId="8" borderId="17" xfId="0" applyFont="1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17" xfId="0" applyFill="1" applyBorder="1"/>
    <xf numFmtId="0" fontId="0" fillId="8" borderId="3" xfId="0" applyFill="1" applyBorder="1"/>
    <xf numFmtId="0" fontId="5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7" fontId="1" fillId="0" borderId="3" xfId="0" applyNumberFormat="1" applyFont="1" applyBorder="1"/>
    <xf numFmtId="0" fontId="1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77" fontId="1" fillId="0" borderId="18" xfId="0" applyNumberFormat="1" applyFont="1" applyBorder="1"/>
    <xf numFmtId="0" fontId="1" fillId="6" borderId="0" xfId="0" applyFont="1" applyFill="1"/>
    <xf numFmtId="177" fontId="0" fillId="0" borderId="0" xfId="0" applyNumberFormat="1"/>
    <xf numFmtId="177" fontId="0" fillId="0" borderId="13" xfId="0" applyNumberFormat="1" applyBorder="1" applyAlignment="1">
      <alignment vertical="center"/>
    </xf>
    <xf numFmtId="177" fontId="9" fillId="6" borderId="0" xfId="0" applyNumberFormat="1" applyFont="1" applyFill="1"/>
    <xf numFmtId="177" fontId="0" fillId="6" borderId="0" xfId="0" applyNumberFormat="1" applyFill="1"/>
    <xf numFmtId="0" fontId="10" fillId="9" borderId="20" xfId="0" applyFont="1" applyFill="1" applyBorder="1" applyAlignment="1">
      <alignment horizontal="center" vertical="center" wrapText="1" readingOrder="1"/>
    </xf>
    <xf numFmtId="0" fontId="10" fillId="9" borderId="21" xfId="0" applyFont="1" applyFill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78" fontId="0" fillId="10" borderId="0" xfId="0" applyNumberFormat="1" applyFill="1"/>
    <xf numFmtId="178" fontId="0" fillId="10" borderId="18" xfId="0" applyNumberFormat="1" applyFill="1" applyBorder="1"/>
    <xf numFmtId="178" fontId="0" fillId="7" borderId="0" xfId="0" applyNumberFormat="1" applyFill="1"/>
    <xf numFmtId="178" fontId="0" fillId="7" borderId="18" xfId="0" applyNumberFormat="1" applyFill="1" applyBorder="1"/>
    <xf numFmtId="0" fontId="0" fillId="7" borderId="3" xfId="0" applyFill="1" applyBorder="1"/>
    <xf numFmtId="180" fontId="1" fillId="0" borderId="18" xfId="0" applyNumberFormat="1" applyFont="1" applyBorder="1"/>
    <xf numFmtId="180" fontId="0" fillId="0" borderId="0" xfId="0" applyNumberFormat="1"/>
    <xf numFmtId="0" fontId="12" fillId="12" borderId="19" xfId="0" applyFont="1" applyFill="1" applyBorder="1" applyAlignment="1">
      <alignment horizontal="center"/>
    </xf>
    <xf numFmtId="0" fontId="12" fillId="12" borderId="22" xfId="0" applyFont="1" applyFill="1" applyBorder="1" applyAlignment="1">
      <alignment horizontal="center"/>
    </xf>
    <xf numFmtId="0" fontId="9" fillId="12" borderId="19" xfId="0" applyFont="1" applyFill="1" applyBorder="1" applyAlignment="1">
      <alignment horizontal="center"/>
    </xf>
    <xf numFmtId="177" fontId="9" fillId="12" borderId="19" xfId="0" applyNumberFormat="1" applyFont="1" applyFill="1" applyBorder="1"/>
    <xf numFmtId="0" fontId="9" fillId="12" borderId="16" xfId="0" applyFont="1" applyFill="1" applyBorder="1"/>
    <xf numFmtId="0" fontId="9" fillId="12" borderId="23" xfId="0" applyFont="1" applyFill="1" applyBorder="1"/>
    <xf numFmtId="178" fontId="9" fillId="12" borderId="16" xfId="0" applyNumberFormat="1" applyFont="1" applyFill="1" applyBorder="1"/>
    <xf numFmtId="0" fontId="9" fillId="12" borderId="19" xfId="0" applyFont="1" applyFill="1" applyBorder="1"/>
    <xf numFmtId="0" fontId="9" fillId="12" borderId="22" xfId="0" applyFont="1" applyFill="1" applyBorder="1"/>
    <xf numFmtId="178" fontId="9" fillId="12" borderId="19" xfId="0" applyNumberFormat="1" applyFont="1" applyFill="1" applyBorder="1"/>
    <xf numFmtId="0" fontId="2" fillId="11" borderId="19" xfId="0" applyFont="1" applyFill="1" applyBorder="1" applyAlignment="1">
      <alignment horizontal="center"/>
    </xf>
    <xf numFmtId="0" fontId="0" fillId="11" borderId="16" xfId="0" applyFill="1" applyBorder="1"/>
    <xf numFmtId="0" fontId="1" fillId="11" borderId="16" xfId="0" applyFont="1" applyFill="1" applyBorder="1"/>
    <xf numFmtId="0" fontId="1" fillId="11" borderId="19" xfId="0" applyFon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0" borderId="16" xfId="0" applyBorder="1"/>
    <xf numFmtId="177" fontId="1" fillId="11" borderId="19" xfId="0" applyNumberFormat="1" applyFont="1" applyFill="1" applyBorder="1"/>
    <xf numFmtId="178" fontId="0" fillId="11" borderId="16" xfId="0" applyNumberForma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ADC7"/>
      <color rgb="FFF4BEFF"/>
      <color rgb="FFFF85FF"/>
      <color rgb="FFFF8AD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373"/>
  <sheetViews>
    <sheetView topLeftCell="A1886" workbookViewId="0">
      <selection activeCell="A2009" sqref="A2009:XFD2011"/>
    </sheetView>
  </sheetViews>
  <sheetFormatPr defaultColWidth="8.77734375" defaultRowHeight="14.4"/>
  <cols>
    <col min="3" max="3" width="27.77734375" bestFit="1" customWidth="1"/>
    <col min="4" max="4" width="22.33203125" customWidth="1"/>
    <col min="6" max="6" width="8.6640625" customWidth="1"/>
    <col min="7" max="7" width="15.6640625" customWidth="1"/>
    <col min="8" max="8" width="18.6640625" customWidth="1"/>
    <col min="9" max="10" width="16.44140625" bestFit="1" customWidth="1"/>
    <col min="22" max="22" width="57.44140625" bestFit="1" customWidth="1"/>
    <col min="23" max="23" width="10.6640625" bestFit="1" customWidth="1"/>
    <col min="24" max="24" width="12" bestFit="1" customWidth="1"/>
    <col min="25" max="25" width="13.77734375" bestFit="1" customWidth="1"/>
  </cols>
  <sheetData>
    <row r="1" spans="1:25" ht="17.399999999999999">
      <c r="A1" s="1" t="s">
        <v>15291</v>
      </c>
      <c r="B1" s="1" t="s">
        <v>15501</v>
      </c>
      <c r="C1" s="1" t="s">
        <v>15502</v>
      </c>
      <c r="D1" s="2" t="s">
        <v>0</v>
      </c>
      <c r="E1" s="7" t="s">
        <v>15520</v>
      </c>
      <c r="F1" s="2" t="s">
        <v>3601</v>
      </c>
      <c r="G1" t="s">
        <v>3765</v>
      </c>
      <c r="H1" t="s">
        <v>3766</v>
      </c>
      <c r="I1" s="2" t="s">
        <v>3767</v>
      </c>
      <c r="J1" s="2" t="s">
        <v>7126</v>
      </c>
      <c r="K1" s="2" t="s">
        <v>15507</v>
      </c>
      <c r="L1" s="2" t="s">
        <v>11883</v>
      </c>
      <c r="M1" s="2" t="s">
        <v>11884</v>
      </c>
      <c r="N1" s="1" t="s">
        <v>15510</v>
      </c>
      <c r="O1" s="1" t="s">
        <v>15511</v>
      </c>
      <c r="P1" s="1" t="s">
        <v>15515</v>
      </c>
      <c r="Q1" s="1" t="s">
        <v>15512</v>
      </c>
      <c r="R1" s="1" t="s">
        <v>15513</v>
      </c>
      <c r="S1" s="1" t="s">
        <v>15514</v>
      </c>
      <c r="T1" s="1" t="s">
        <v>15516</v>
      </c>
      <c r="U1" s="2" t="s">
        <v>11922</v>
      </c>
      <c r="V1" s="7" t="s">
        <v>15506</v>
      </c>
      <c r="W1" s="1" t="s">
        <v>15508</v>
      </c>
      <c r="X1" s="2"/>
      <c r="Y1" s="2"/>
    </row>
    <row r="2" spans="1:25" hidden="1">
      <c r="A2" t="s">
        <v>15406</v>
      </c>
      <c r="B2" t="s">
        <v>15441</v>
      </c>
      <c r="C2" t="s">
        <v>15446</v>
      </c>
      <c r="D2" t="s">
        <v>773</v>
      </c>
      <c r="E2" t="s">
        <v>3453</v>
      </c>
      <c r="F2" t="s">
        <v>3467</v>
      </c>
      <c r="G2" s="3">
        <v>38.223031660877801</v>
      </c>
      <c r="H2" s="3">
        <v>128.496916537039</v>
      </c>
      <c r="I2" t="s">
        <v>4539</v>
      </c>
      <c r="J2" t="s">
        <v>7898</v>
      </c>
      <c r="K2" t="s">
        <v>11046</v>
      </c>
      <c r="L2" t="s">
        <v>3366</v>
      </c>
      <c r="M2" t="s">
        <v>11885</v>
      </c>
      <c r="N2" t="s">
        <v>3363</v>
      </c>
      <c r="O2" t="s">
        <v>3361</v>
      </c>
      <c r="P2" t="s">
        <v>15211</v>
      </c>
      <c r="Q2" t="s">
        <v>15211</v>
      </c>
      <c r="R2" t="s">
        <v>15211</v>
      </c>
      <c r="S2" t="s">
        <v>15211</v>
      </c>
      <c r="T2" t="s">
        <v>3368</v>
      </c>
      <c r="U2" t="s">
        <v>12677</v>
      </c>
      <c r="V2" t="s">
        <v>15229</v>
      </c>
    </row>
    <row r="3" spans="1:25" hidden="1">
      <c r="A3" t="s">
        <v>15406</v>
      </c>
      <c r="B3" t="s">
        <v>15441</v>
      </c>
      <c r="C3" t="s">
        <v>15446</v>
      </c>
      <c r="D3" t="s">
        <v>774</v>
      </c>
      <c r="E3" t="s">
        <v>3432</v>
      </c>
      <c r="F3" t="s">
        <v>3611</v>
      </c>
      <c r="G3" s="3">
        <v>38.223031649540097</v>
      </c>
      <c r="H3" s="3">
        <v>128.496916531815</v>
      </c>
      <c r="I3" t="s">
        <v>4540</v>
      </c>
      <c r="J3" t="s">
        <v>7899</v>
      </c>
      <c r="K3" t="s">
        <v>11047</v>
      </c>
      <c r="L3" t="s">
        <v>3366</v>
      </c>
      <c r="M3" t="s">
        <v>11885</v>
      </c>
      <c r="N3" t="s">
        <v>3363</v>
      </c>
      <c r="O3" t="s">
        <v>3361</v>
      </c>
      <c r="P3" t="s">
        <v>15211</v>
      </c>
      <c r="Q3" t="s">
        <v>15211</v>
      </c>
      <c r="R3" t="s">
        <v>15211</v>
      </c>
      <c r="S3" t="s">
        <v>15211</v>
      </c>
      <c r="T3" t="s">
        <v>3368</v>
      </c>
      <c r="U3" t="s">
        <v>12678</v>
      </c>
      <c r="V3" t="s">
        <v>15229</v>
      </c>
    </row>
    <row r="4" spans="1:25" hidden="1">
      <c r="A4" t="s">
        <v>15406</v>
      </c>
      <c r="B4" t="s">
        <v>15441</v>
      </c>
      <c r="C4" t="s">
        <v>15446</v>
      </c>
      <c r="D4" t="s">
        <v>775</v>
      </c>
      <c r="E4" t="s">
        <v>3461</v>
      </c>
      <c r="F4" t="s">
        <v>3540</v>
      </c>
      <c r="G4" s="3">
        <v>38.223031649555701</v>
      </c>
      <c r="H4" s="3">
        <v>128.49691651573701</v>
      </c>
      <c r="I4" t="s">
        <v>4541</v>
      </c>
      <c r="J4" t="s">
        <v>7900</v>
      </c>
      <c r="K4" t="s">
        <v>11048</v>
      </c>
      <c r="L4" t="s">
        <v>3366</v>
      </c>
      <c r="M4" t="s">
        <v>11885</v>
      </c>
      <c r="N4" t="s">
        <v>3363</v>
      </c>
      <c r="O4" t="s">
        <v>3361</v>
      </c>
      <c r="P4" t="s">
        <v>15211</v>
      </c>
      <c r="Q4" t="s">
        <v>15211</v>
      </c>
      <c r="R4" t="s">
        <v>15211</v>
      </c>
      <c r="S4" t="s">
        <v>15211</v>
      </c>
      <c r="T4" t="s">
        <v>3368</v>
      </c>
      <c r="U4" t="s">
        <v>12679</v>
      </c>
      <c r="V4" t="s">
        <v>15229</v>
      </c>
    </row>
    <row r="5" spans="1:25" hidden="1">
      <c r="A5" t="s">
        <v>15406</v>
      </c>
      <c r="B5" t="s">
        <v>15441</v>
      </c>
      <c r="C5" t="s">
        <v>15445</v>
      </c>
      <c r="D5" t="s">
        <v>776</v>
      </c>
      <c r="E5" t="s">
        <v>3435</v>
      </c>
      <c r="F5" t="s">
        <v>3579</v>
      </c>
      <c r="G5" s="3">
        <v>38.2230317969398</v>
      </c>
      <c r="H5" s="3">
        <v>128.49691676351199</v>
      </c>
      <c r="I5" t="s">
        <v>4542</v>
      </c>
      <c r="J5" t="s">
        <v>7901</v>
      </c>
      <c r="K5" t="s">
        <v>11049</v>
      </c>
      <c r="L5" t="s">
        <v>3366</v>
      </c>
      <c r="M5" t="s">
        <v>11885</v>
      </c>
      <c r="N5" t="s">
        <v>3363</v>
      </c>
      <c r="O5" t="s">
        <v>3361</v>
      </c>
      <c r="P5" t="s">
        <v>15211</v>
      </c>
      <c r="Q5" t="s">
        <v>15211</v>
      </c>
      <c r="R5" t="s">
        <v>15211</v>
      </c>
      <c r="S5" t="s">
        <v>15211</v>
      </c>
      <c r="T5" t="s">
        <v>3368</v>
      </c>
      <c r="U5" t="s">
        <v>12680</v>
      </c>
      <c r="V5" t="s">
        <v>15228</v>
      </c>
    </row>
    <row r="6" spans="1:25" hidden="1">
      <c r="A6" t="s">
        <v>15406</v>
      </c>
      <c r="B6" t="s">
        <v>15441</v>
      </c>
      <c r="C6" t="s">
        <v>15445</v>
      </c>
      <c r="D6" t="s">
        <v>777</v>
      </c>
      <c r="E6" t="s">
        <v>3435</v>
      </c>
      <c r="F6" t="s">
        <v>3579</v>
      </c>
      <c r="G6" s="3">
        <v>38.223031799190402</v>
      </c>
      <c r="H6" s="3">
        <v>128.496916763331</v>
      </c>
      <c r="I6" t="s">
        <v>4543</v>
      </c>
      <c r="J6" t="s">
        <v>7902</v>
      </c>
      <c r="K6" t="s">
        <v>11050</v>
      </c>
      <c r="L6" t="s">
        <v>3366</v>
      </c>
      <c r="M6" t="s">
        <v>11885</v>
      </c>
      <c r="N6" t="s">
        <v>3363</v>
      </c>
      <c r="O6" t="s">
        <v>3361</v>
      </c>
      <c r="P6" t="s">
        <v>15211</v>
      </c>
      <c r="Q6" t="s">
        <v>15211</v>
      </c>
      <c r="R6" t="s">
        <v>15211</v>
      </c>
      <c r="S6" t="s">
        <v>15211</v>
      </c>
      <c r="T6" t="s">
        <v>3368</v>
      </c>
      <c r="U6" t="s">
        <v>12681</v>
      </c>
      <c r="V6" t="s">
        <v>15228</v>
      </c>
    </row>
    <row r="7" spans="1:25" hidden="1">
      <c r="A7" t="s">
        <v>15406</v>
      </c>
      <c r="B7" t="s">
        <v>15441</v>
      </c>
      <c r="C7" t="s">
        <v>15445</v>
      </c>
      <c r="D7" t="s">
        <v>778</v>
      </c>
      <c r="E7" t="s">
        <v>3435</v>
      </c>
      <c r="F7" t="s">
        <v>3478</v>
      </c>
      <c r="G7" s="3">
        <v>38.223031796412101</v>
      </c>
      <c r="H7" s="3">
        <v>128.49691675488901</v>
      </c>
      <c r="I7" t="s">
        <v>4544</v>
      </c>
      <c r="J7" t="s">
        <v>7903</v>
      </c>
      <c r="K7" t="s">
        <v>11051</v>
      </c>
      <c r="L7" t="s">
        <v>3366</v>
      </c>
      <c r="M7" t="s">
        <v>11885</v>
      </c>
      <c r="N7" t="s">
        <v>3363</v>
      </c>
      <c r="O7" t="s">
        <v>3361</v>
      </c>
      <c r="P7" t="s">
        <v>15211</v>
      </c>
      <c r="Q7" t="s">
        <v>15211</v>
      </c>
      <c r="R7" t="s">
        <v>15211</v>
      </c>
      <c r="S7" t="s">
        <v>15211</v>
      </c>
      <c r="T7" t="s">
        <v>3368</v>
      </c>
      <c r="U7" t="s">
        <v>12682</v>
      </c>
      <c r="V7" t="s">
        <v>15228</v>
      </c>
    </row>
    <row r="8" spans="1:25" hidden="1">
      <c r="A8" t="s">
        <v>15406</v>
      </c>
      <c r="B8" t="s">
        <v>15441</v>
      </c>
      <c r="C8" t="s">
        <v>15448</v>
      </c>
      <c r="D8" t="s">
        <v>779</v>
      </c>
      <c r="E8" t="s">
        <v>3431</v>
      </c>
      <c r="F8" t="s">
        <v>3476</v>
      </c>
      <c r="G8" s="3">
        <v>38.223031864619003</v>
      </c>
      <c r="H8" s="3">
        <v>128.49691678724099</v>
      </c>
      <c r="I8" t="s">
        <v>4545</v>
      </c>
      <c r="J8" t="s">
        <v>7904</v>
      </c>
      <c r="K8" t="s">
        <v>11030</v>
      </c>
      <c r="L8" t="s">
        <v>3366</v>
      </c>
      <c r="M8" t="s">
        <v>11905</v>
      </c>
      <c r="N8" t="s">
        <v>3363</v>
      </c>
      <c r="O8" t="s">
        <v>3363</v>
      </c>
      <c r="P8" t="s">
        <v>3361</v>
      </c>
      <c r="Q8" t="s">
        <v>3376</v>
      </c>
      <c r="R8" t="s">
        <v>3359</v>
      </c>
      <c r="S8" t="s">
        <v>3358</v>
      </c>
      <c r="T8" t="s">
        <v>3398</v>
      </c>
      <c r="U8" t="s">
        <v>12683</v>
      </c>
      <c r="V8" t="s">
        <v>15230</v>
      </c>
    </row>
    <row r="9" spans="1:25" hidden="1">
      <c r="A9" t="s">
        <v>15406</v>
      </c>
      <c r="B9" t="s">
        <v>15441</v>
      </c>
      <c r="C9" t="s">
        <v>15448</v>
      </c>
      <c r="D9" t="s">
        <v>780</v>
      </c>
      <c r="E9" t="s">
        <v>3431</v>
      </c>
      <c r="F9" t="s">
        <v>3476</v>
      </c>
      <c r="G9" s="3">
        <v>38.223031875971401</v>
      </c>
      <c r="H9" s="3">
        <v>128.49691677076399</v>
      </c>
      <c r="I9" t="s">
        <v>4546</v>
      </c>
      <c r="J9" t="s">
        <v>7905</v>
      </c>
      <c r="K9" t="s">
        <v>11030</v>
      </c>
      <c r="L9" t="s">
        <v>3366</v>
      </c>
      <c r="M9" t="s">
        <v>11905</v>
      </c>
      <c r="N9" t="s">
        <v>3363</v>
      </c>
      <c r="O9" t="s">
        <v>3363</v>
      </c>
      <c r="P9" t="s">
        <v>3361</v>
      </c>
      <c r="Q9" t="s">
        <v>3376</v>
      </c>
      <c r="R9" t="s">
        <v>3359</v>
      </c>
      <c r="S9" t="s">
        <v>3358</v>
      </c>
      <c r="T9" t="s">
        <v>3398</v>
      </c>
      <c r="U9" t="s">
        <v>12684</v>
      </c>
      <c r="V9" t="s">
        <v>15230</v>
      </c>
    </row>
    <row r="10" spans="1:25" hidden="1">
      <c r="A10" t="s">
        <v>15406</v>
      </c>
      <c r="B10" t="s">
        <v>15441</v>
      </c>
      <c r="C10" t="s">
        <v>15448</v>
      </c>
      <c r="D10" t="s">
        <v>781</v>
      </c>
      <c r="E10" t="s">
        <v>3431</v>
      </c>
      <c r="F10" t="s">
        <v>3464</v>
      </c>
      <c r="G10" s="3">
        <v>38.223031864990404</v>
      </c>
      <c r="H10" s="3">
        <v>128.496916789951</v>
      </c>
      <c r="I10" t="s">
        <v>4547</v>
      </c>
      <c r="J10" t="s">
        <v>7906</v>
      </c>
      <c r="K10" t="s">
        <v>11030</v>
      </c>
      <c r="L10" t="s">
        <v>3366</v>
      </c>
      <c r="M10" t="s">
        <v>11905</v>
      </c>
      <c r="N10" t="s">
        <v>3363</v>
      </c>
      <c r="O10" t="s">
        <v>3363</v>
      </c>
      <c r="P10" t="s">
        <v>3361</v>
      </c>
      <c r="Q10" t="s">
        <v>3376</v>
      </c>
      <c r="R10" t="s">
        <v>3359</v>
      </c>
      <c r="S10" t="s">
        <v>3358</v>
      </c>
      <c r="T10" t="s">
        <v>3398</v>
      </c>
      <c r="U10" t="s">
        <v>12685</v>
      </c>
      <c r="V10" t="s">
        <v>15230</v>
      </c>
    </row>
    <row r="11" spans="1:25" hidden="1">
      <c r="A11" t="s">
        <v>15406</v>
      </c>
      <c r="B11" t="s">
        <v>15441</v>
      </c>
      <c r="C11" t="s">
        <v>15449</v>
      </c>
      <c r="D11" t="s">
        <v>782</v>
      </c>
      <c r="E11" t="s">
        <v>3440</v>
      </c>
      <c r="F11" t="s">
        <v>3434</v>
      </c>
      <c r="G11" s="3">
        <v>38.223031863122202</v>
      </c>
      <c r="H11" s="3">
        <v>128.49691675509399</v>
      </c>
      <c r="I11" t="s">
        <v>4548</v>
      </c>
      <c r="J11" t="s">
        <v>7907</v>
      </c>
      <c r="K11" t="s">
        <v>11052</v>
      </c>
      <c r="L11" t="s">
        <v>3371</v>
      </c>
      <c r="M11" t="s">
        <v>11913</v>
      </c>
      <c r="N11" t="s">
        <v>3363</v>
      </c>
      <c r="O11" t="s">
        <v>3363</v>
      </c>
      <c r="P11" t="s">
        <v>3361</v>
      </c>
      <c r="Q11" t="s">
        <v>3376</v>
      </c>
      <c r="R11" t="s">
        <v>3359</v>
      </c>
      <c r="S11" t="s">
        <v>3358</v>
      </c>
      <c r="T11" t="s">
        <v>3398</v>
      </c>
      <c r="U11" t="s">
        <v>12686</v>
      </c>
      <c r="V11" t="s">
        <v>15231</v>
      </c>
    </row>
    <row r="12" spans="1:25" hidden="1">
      <c r="A12" t="s">
        <v>15406</v>
      </c>
      <c r="B12" t="s">
        <v>15441</v>
      </c>
      <c r="C12" t="s">
        <v>15449</v>
      </c>
      <c r="D12" t="s">
        <v>783</v>
      </c>
      <c r="E12" t="s">
        <v>3437</v>
      </c>
      <c r="F12" t="s">
        <v>3434</v>
      </c>
      <c r="G12" s="3">
        <v>38.223031876216503</v>
      </c>
      <c r="H12" s="3">
        <v>128.49691675027501</v>
      </c>
      <c r="I12" t="s">
        <v>4549</v>
      </c>
      <c r="J12" t="s">
        <v>7908</v>
      </c>
      <c r="K12" t="s">
        <v>11052</v>
      </c>
      <c r="L12" t="s">
        <v>3366</v>
      </c>
      <c r="M12" t="s">
        <v>11913</v>
      </c>
      <c r="N12" t="s">
        <v>3363</v>
      </c>
      <c r="O12" t="s">
        <v>3363</v>
      </c>
      <c r="P12" t="s">
        <v>3361</v>
      </c>
      <c r="Q12" t="s">
        <v>3376</v>
      </c>
      <c r="R12" t="s">
        <v>3359</v>
      </c>
      <c r="S12" t="s">
        <v>3358</v>
      </c>
      <c r="T12" t="s">
        <v>3398</v>
      </c>
      <c r="U12" t="s">
        <v>12687</v>
      </c>
      <c r="V12" t="s">
        <v>15231</v>
      </c>
    </row>
    <row r="13" spans="1:25" hidden="1">
      <c r="A13" t="s">
        <v>15406</v>
      </c>
      <c r="B13" t="s">
        <v>15441</v>
      </c>
      <c r="C13" t="s">
        <v>15449</v>
      </c>
      <c r="D13" t="s">
        <v>784</v>
      </c>
      <c r="E13" t="s">
        <v>3437</v>
      </c>
      <c r="F13" t="s">
        <v>3434</v>
      </c>
      <c r="G13" s="3">
        <v>38.223031867189</v>
      </c>
      <c r="H13" s="3">
        <v>128.49691676419499</v>
      </c>
      <c r="I13" t="s">
        <v>4550</v>
      </c>
      <c r="J13" t="s">
        <v>7909</v>
      </c>
      <c r="K13" t="s">
        <v>11053</v>
      </c>
      <c r="L13" t="s">
        <v>3366</v>
      </c>
      <c r="M13" t="s">
        <v>11913</v>
      </c>
      <c r="N13" t="s">
        <v>3363</v>
      </c>
      <c r="O13" t="s">
        <v>3363</v>
      </c>
      <c r="P13" t="s">
        <v>3361</v>
      </c>
      <c r="Q13" t="s">
        <v>3376</v>
      </c>
      <c r="R13" t="s">
        <v>3359</v>
      </c>
      <c r="S13" t="s">
        <v>3358</v>
      </c>
      <c r="T13" t="s">
        <v>3398</v>
      </c>
      <c r="U13" t="s">
        <v>12688</v>
      </c>
      <c r="V13" t="s">
        <v>15231</v>
      </c>
    </row>
    <row r="14" spans="1:25" hidden="1">
      <c r="A14" t="s">
        <v>15406</v>
      </c>
      <c r="B14" t="s">
        <v>15442</v>
      </c>
      <c r="C14" t="s">
        <v>15450</v>
      </c>
      <c r="D14" t="s">
        <v>785</v>
      </c>
      <c r="E14" t="s">
        <v>3427</v>
      </c>
      <c r="F14" t="s">
        <v>3462</v>
      </c>
      <c r="G14" s="3">
        <v>38.223031567809898</v>
      </c>
      <c r="H14" s="3">
        <v>128.496917021716</v>
      </c>
      <c r="I14" t="s">
        <v>4551</v>
      </c>
      <c r="J14" t="s">
        <v>7910</v>
      </c>
      <c r="K14" t="s">
        <v>11054</v>
      </c>
      <c r="L14" t="s">
        <v>3366</v>
      </c>
      <c r="M14" t="s">
        <v>11894</v>
      </c>
      <c r="N14" t="s">
        <v>3363</v>
      </c>
      <c r="O14" t="s">
        <v>3363</v>
      </c>
      <c r="P14" t="s">
        <v>3361</v>
      </c>
      <c r="Q14" t="s">
        <v>3376</v>
      </c>
      <c r="R14" t="s">
        <v>3359</v>
      </c>
      <c r="S14" t="s">
        <v>3358</v>
      </c>
      <c r="T14" t="s">
        <v>3398</v>
      </c>
      <c r="U14" t="s">
        <v>12689</v>
      </c>
      <c r="V14" t="s">
        <v>15232</v>
      </c>
    </row>
    <row r="15" spans="1:25" hidden="1">
      <c r="A15" t="s">
        <v>15406</v>
      </c>
      <c r="B15" t="s">
        <v>15442</v>
      </c>
      <c r="C15" t="s">
        <v>15450</v>
      </c>
      <c r="D15" t="s">
        <v>786</v>
      </c>
      <c r="E15" t="s">
        <v>3428</v>
      </c>
      <c r="F15" t="s">
        <v>3465</v>
      </c>
      <c r="G15" s="3">
        <v>38.223031555025599</v>
      </c>
      <c r="H15" s="3">
        <v>128.49691702012601</v>
      </c>
      <c r="I15" t="s">
        <v>4552</v>
      </c>
      <c r="J15" t="s">
        <v>7911</v>
      </c>
      <c r="K15" t="s">
        <v>11055</v>
      </c>
      <c r="L15" t="s">
        <v>3366</v>
      </c>
      <c r="M15" t="s">
        <v>11894</v>
      </c>
      <c r="N15" t="s">
        <v>3363</v>
      </c>
      <c r="O15" t="s">
        <v>3363</v>
      </c>
      <c r="P15" t="s">
        <v>3361</v>
      </c>
      <c r="Q15" t="s">
        <v>3376</v>
      </c>
      <c r="R15" t="s">
        <v>3359</v>
      </c>
      <c r="S15" t="s">
        <v>3358</v>
      </c>
      <c r="T15" t="s">
        <v>3398</v>
      </c>
      <c r="U15" t="s">
        <v>12690</v>
      </c>
      <c r="V15" t="s">
        <v>15232</v>
      </c>
    </row>
    <row r="16" spans="1:25" hidden="1">
      <c r="A16" t="s">
        <v>15406</v>
      </c>
      <c r="B16" t="s">
        <v>15442</v>
      </c>
      <c r="C16" t="s">
        <v>15450</v>
      </c>
      <c r="D16" t="s">
        <v>787</v>
      </c>
      <c r="E16" t="s">
        <v>3436</v>
      </c>
      <c r="F16" t="s">
        <v>3450</v>
      </c>
      <c r="G16" s="3">
        <v>38.223031583655597</v>
      </c>
      <c r="H16" s="3">
        <v>128.496917018001</v>
      </c>
      <c r="I16" t="s">
        <v>4553</v>
      </c>
      <c r="J16" t="s">
        <v>7912</v>
      </c>
      <c r="K16" t="s">
        <v>10936</v>
      </c>
      <c r="L16" t="s">
        <v>3366</v>
      </c>
      <c r="M16" t="s">
        <v>11894</v>
      </c>
      <c r="N16" t="s">
        <v>3363</v>
      </c>
      <c r="O16" t="s">
        <v>3363</v>
      </c>
      <c r="P16" t="s">
        <v>3361</v>
      </c>
      <c r="Q16" t="s">
        <v>3376</v>
      </c>
      <c r="R16" t="s">
        <v>3359</v>
      </c>
      <c r="S16" t="s">
        <v>3358</v>
      </c>
      <c r="T16" t="s">
        <v>3398</v>
      </c>
      <c r="U16" t="s">
        <v>12691</v>
      </c>
      <c r="V16" t="s">
        <v>15232</v>
      </c>
    </row>
    <row r="17" spans="1:22" hidden="1">
      <c r="A17" t="s">
        <v>15406</v>
      </c>
      <c r="B17" t="s">
        <v>15442</v>
      </c>
      <c r="C17" t="s">
        <v>15445</v>
      </c>
      <c r="D17" t="s">
        <v>788</v>
      </c>
      <c r="E17" t="s">
        <v>3437</v>
      </c>
      <c r="F17" t="s">
        <v>3429</v>
      </c>
      <c r="G17" s="3">
        <v>38.223031815984903</v>
      </c>
      <c r="H17" s="3">
        <v>128.496916740194</v>
      </c>
      <c r="I17" t="s">
        <v>4554</v>
      </c>
      <c r="J17" t="s">
        <v>7913</v>
      </c>
      <c r="K17" t="s">
        <v>11056</v>
      </c>
      <c r="L17" t="s">
        <v>3366</v>
      </c>
      <c r="M17" t="s">
        <v>11890</v>
      </c>
      <c r="N17" t="s">
        <v>3363</v>
      </c>
      <c r="O17" t="s">
        <v>3363</v>
      </c>
      <c r="P17" t="s">
        <v>3361</v>
      </c>
      <c r="Q17" t="s">
        <v>3376</v>
      </c>
      <c r="R17" t="s">
        <v>3359</v>
      </c>
      <c r="S17" t="s">
        <v>3358</v>
      </c>
      <c r="T17" t="s">
        <v>3398</v>
      </c>
      <c r="U17" t="s">
        <v>12692</v>
      </c>
      <c r="V17" t="s">
        <v>15233</v>
      </c>
    </row>
    <row r="18" spans="1:22" hidden="1">
      <c r="A18" t="s">
        <v>15406</v>
      </c>
      <c r="B18" t="s">
        <v>15442</v>
      </c>
      <c r="C18" t="s">
        <v>15445</v>
      </c>
      <c r="D18" t="s">
        <v>789</v>
      </c>
      <c r="E18" t="s">
        <v>3437</v>
      </c>
      <c r="F18" t="s">
        <v>3442</v>
      </c>
      <c r="G18" s="3">
        <v>38.223031857992403</v>
      </c>
      <c r="H18" s="3">
        <v>128.49691672205401</v>
      </c>
      <c r="I18" t="s">
        <v>4555</v>
      </c>
      <c r="J18" t="s">
        <v>7914</v>
      </c>
      <c r="K18" t="s">
        <v>11056</v>
      </c>
      <c r="L18" t="s">
        <v>3366</v>
      </c>
      <c r="M18" t="s">
        <v>11890</v>
      </c>
      <c r="N18" t="s">
        <v>3363</v>
      </c>
      <c r="O18" t="s">
        <v>3363</v>
      </c>
      <c r="P18" t="s">
        <v>3361</v>
      </c>
      <c r="Q18" t="s">
        <v>3376</v>
      </c>
      <c r="R18" t="s">
        <v>3359</v>
      </c>
      <c r="S18" t="s">
        <v>3358</v>
      </c>
      <c r="T18" t="s">
        <v>3398</v>
      </c>
      <c r="U18" t="s">
        <v>12693</v>
      </c>
      <c r="V18" t="s">
        <v>15233</v>
      </c>
    </row>
    <row r="19" spans="1:22" hidden="1">
      <c r="A19" t="s">
        <v>15406</v>
      </c>
      <c r="B19" t="s">
        <v>15442</v>
      </c>
      <c r="C19" t="s">
        <v>15445</v>
      </c>
      <c r="D19" t="s">
        <v>790</v>
      </c>
      <c r="E19" t="s">
        <v>3440</v>
      </c>
      <c r="F19" t="s">
        <v>3432</v>
      </c>
      <c r="G19" s="3">
        <v>38.223031840304799</v>
      </c>
      <c r="H19" s="3">
        <v>128.49691674661901</v>
      </c>
      <c r="I19" t="s">
        <v>4556</v>
      </c>
      <c r="J19" t="s">
        <v>7915</v>
      </c>
      <c r="K19" t="s">
        <v>11057</v>
      </c>
      <c r="L19" t="s">
        <v>3366</v>
      </c>
      <c r="M19" t="s">
        <v>11890</v>
      </c>
      <c r="N19" t="s">
        <v>3363</v>
      </c>
      <c r="O19" t="s">
        <v>3363</v>
      </c>
      <c r="P19" t="s">
        <v>3361</v>
      </c>
      <c r="Q19" t="s">
        <v>3376</v>
      </c>
      <c r="R19" t="s">
        <v>3359</v>
      </c>
      <c r="S19" t="s">
        <v>3358</v>
      </c>
      <c r="T19" t="s">
        <v>3398</v>
      </c>
      <c r="U19" t="s">
        <v>12694</v>
      </c>
      <c r="V19" t="s">
        <v>15233</v>
      </c>
    </row>
    <row r="20" spans="1:22" hidden="1">
      <c r="A20" t="s">
        <v>15406</v>
      </c>
      <c r="B20" t="s">
        <v>15442</v>
      </c>
      <c r="C20" t="s">
        <v>15451</v>
      </c>
      <c r="D20" t="s">
        <v>791</v>
      </c>
      <c r="E20" t="s">
        <v>3428</v>
      </c>
      <c r="F20" t="s">
        <v>3441</v>
      </c>
      <c r="G20" s="3">
        <v>38.223031880612901</v>
      </c>
      <c r="H20" s="3">
        <v>128.496916783269</v>
      </c>
      <c r="I20" t="s">
        <v>4557</v>
      </c>
      <c r="J20" t="s">
        <v>7916</v>
      </c>
      <c r="K20" t="s">
        <v>11058</v>
      </c>
      <c r="L20" t="s">
        <v>3366</v>
      </c>
      <c r="M20" t="s">
        <v>11907</v>
      </c>
      <c r="N20" t="s">
        <v>3363</v>
      </c>
      <c r="O20" t="s">
        <v>3363</v>
      </c>
      <c r="P20" t="s">
        <v>3361</v>
      </c>
      <c r="Q20" t="s">
        <v>3376</v>
      </c>
      <c r="R20" t="s">
        <v>3359</v>
      </c>
      <c r="S20" t="s">
        <v>3358</v>
      </c>
      <c r="T20" t="s">
        <v>3398</v>
      </c>
      <c r="U20" t="s">
        <v>12695</v>
      </c>
      <c r="V20" t="s">
        <v>15234</v>
      </c>
    </row>
    <row r="21" spans="1:22" hidden="1">
      <c r="A21" t="s">
        <v>15406</v>
      </c>
      <c r="B21" t="s">
        <v>15442</v>
      </c>
      <c r="C21" t="s">
        <v>15451</v>
      </c>
      <c r="D21" t="s">
        <v>792</v>
      </c>
      <c r="E21" t="s">
        <v>3438</v>
      </c>
      <c r="F21" t="s">
        <v>3442</v>
      </c>
      <c r="G21" s="3">
        <v>38.223031856529602</v>
      </c>
      <c r="H21" s="3">
        <v>128.49691678279899</v>
      </c>
      <c r="I21" t="s">
        <v>4558</v>
      </c>
      <c r="J21" t="s">
        <v>7917</v>
      </c>
      <c r="K21" t="s">
        <v>11059</v>
      </c>
      <c r="L21" t="s">
        <v>3366</v>
      </c>
      <c r="M21" t="s">
        <v>11907</v>
      </c>
      <c r="N21" t="s">
        <v>3363</v>
      </c>
      <c r="O21" t="s">
        <v>3363</v>
      </c>
      <c r="P21" t="s">
        <v>3361</v>
      </c>
      <c r="Q21" t="s">
        <v>3376</v>
      </c>
      <c r="R21" t="s">
        <v>3359</v>
      </c>
      <c r="S21" t="s">
        <v>3358</v>
      </c>
      <c r="T21" t="s">
        <v>3398</v>
      </c>
      <c r="U21" t="s">
        <v>12696</v>
      </c>
      <c r="V21" t="s">
        <v>15234</v>
      </c>
    </row>
    <row r="22" spans="1:22" hidden="1">
      <c r="A22" t="s">
        <v>15406</v>
      </c>
      <c r="B22" t="s">
        <v>15442</v>
      </c>
      <c r="C22" t="s">
        <v>15451</v>
      </c>
      <c r="D22" t="s">
        <v>793</v>
      </c>
      <c r="E22" t="s">
        <v>3438</v>
      </c>
      <c r="F22" t="s">
        <v>3430</v>
      </c>
      <c r="G22" s="3">
        <v>38.223031827553598</v>
      </c>
      <c r="H22" s="3">
        <v>128.49691677430201</v>
      </c>
      <c r="I22" t="s">
        <v>4559</v>
      </c>
      <c r="J22" t="s">
        <v>7918</v>
      </c>
      <c r="K22" t="s">
        <v>11059</v>
      </c>
      <c r="L22" t="s">
        <v>3366</v>
      </c>
      <c r="M22" t="s">
        <v>11907</v>
      </c>
      <c r="N22" t="s">
        <v>3363</v>
      </c>
      <c r="O22" t="s">
        <v>3363</v>
      </c>
      <c r="P22" t="s">
        <v>3361</v>
      </c>
      <c r="Q22" t="s">
        <v>3376</v>
      </c>
      <c r="R22" t="s">
        <v>3359</v>
      </c>
      <c r="S22" t="s">
        <v>3358</v>
      </c>
      <c r="T22" t="s">
        <v>3398</v>
      </c>
      <c r="U22" t="s">
        <v>12697</v>
      </c>
      <c r="V22" t="s">
        <v>15234</v>
      </c>
    </row>
    <row r="23" spans="1:22" hidden="1">
      <c r="A23" t="s">
        <v>15400</v>
      </c>
      <c r="B23" t="s">
        <v>15441</v>
      </c>
      <c r="C23" t="s">
        <v>15445</v>
      </c>
      <c r="D23" t="s">
        <v>2948</v>
      </c>
      <c r="E23" t="s">
        <v>3438</v>
      </c>
      <c r="F23" t="s">
        <v>3432</v>
      </c>
      <c r="G23" s="3">
        <v>37.347086040500002</v>
      </c>
      <c r="H23" s="3">
        <v>127.845972057704</v>
      </c>
      <c r="I23" t="s">
        <v>6718</v>
      </c>
      <c r="J23" t="s">
        <v>10074</v>
      </c>
      <c r="K23" t="s">
        <v>11798</v>
      </c>
      <c r="L23" t="s">
        <v>3366</v>
      </c>
      <c r="M23" t="s">
        <v>11887</v>
      </c>
      <c r="N23" t="s">
        <v>3360</v>
      </c>
      <c r="O23" t="s">
        <v>3359</v>
      </c>
      <c r="P23" t="s">
        <v>15211</v>
      </c>
      <c r="Q23" t="s">
        <v>15211</v>
      </c>
      <c r="R23" t="s">
        <v>15211</v>
      </c>
      <c r="S23" t="s">
        <v>15211</v>
      </c>
      <c r="T23" t="s">
        <v>3363</v>
      </c>
      <c r="U23" t="s">
        <v>14812</v>
      </c>
      <c r="V23" t="s">
        <v>15228</v>
      </c>
    </row>
    <row r="24" spans="1:22" hidden="1">
      <c r="A24" t="s">
        <v>15400</v>
      </c>
      <c r="B24" t="s">
        <v>15441</v>
      </c>
      <c r="C24" t="s">
        <v>15445</v>
      </c>
      <c r="D24" t="s">
        <v>2949</v>
      </c>
      <c r="E24" t="s">
        <v>3438</v>
      </c>
      <c r="F24" t="s">
        <v>3433</v>
      </c>
      <c r="G24" s="3">
        <v>37.347085976020097</v>
      </c>
      <c r="H24" s="3">
        <v>127.845972122723</v>
      </c>
      <c r="I24" t="s">
        <v>6719</v>
      </c>
      <c r="J24" t="s">
        <v>10075</v>
      </c>
      <c r="K24" t="s">
        <v>11798</v>
      </c>
      <c r="L24" t="s">
        <v>3366</v>
      </c>
      <c r="M24" t="s">
        <v>11887</v>
      </c>
      <c r="N24" t="s">
        <v>3360</v>
      </c>
      <c r="O24" t="s">
        <v>3359</v>
      </c>
      <c r="P24" t="s">
        <v>15211</v>
      </c>
      <c r="Q24" t="s">
        <v>15211</v>
      </c>
      <c r="R24" t="s">
        <v>15211</v>
      </c>
      <c r="S24" t="s">
        <v>15211</v>
      </c>
      <c r="T24" t="s">
        <v>3363</v>
      </c>
      <c r="U24" t="s">
        <v>14813</v>
      </c>
      <c r="V24" t="s">
        <v>15228</v>
      </c>
    </row>
    <row r="25" spans="1:22" hidden="1">
      <c r="A25" t="s">
        <v>15400</v>
      </c>
      <c r="B25" t="s">
        <v>15441</v>
      </c>
      <c r="C25" t="s">
        <v>15445</v>
      </c>
      <c r="D25" t="s">
        <v>2950</v>
      </c>
      <c r="E25" t="s">
        <v>3438</v>
      </c>
      <c r="F25" t="s">
        <v>3433</v>
      </c>
      <c r="G25" s="3">
        <v>37.347085944297802</v>
      </c>
      <c r="H25" s="3">
        <v>127.845972138509</v>
      </c>
      <c r="I25" t="s">
        <v>6720</v>
      </c>
      <c r="J25" t="s">
        <v>10076</v>
      </c>
      <c r="K25" t="s">
        <v>11798</v>
      </c>
      <c r="L25" t="s">
        <v>3366</v>
      </c>
      <c r="M25" t="s">
        <v>11887</v>
      </c>
      <c r="N25" t="s">
        <v>3360</v>
      </c>
      <c r="O25" t="s">
        <v>3359</v>
      </c>
      <c r="P25" t="s">
        <v>15211</v>
      </c>
      <c r="Q25" t="s">
        <v>15211</v>
      </c>
      <c r="R25" t="s">
        <v>15211</v>
      </c>
      <c r="S25" t="s">
        <v>15211</v>
      </c>
      <c r="T25" t="s">
        <v>3363</v>
      </c>
      <c r="U25" t="s">
        <v>14814</v>
      </c>
      <c r="V25" t="s">
        <v>15228</v>
      </c>
    </row>
    <row r="26" spans="1:22" hidden="1">
      <c r="A26" t="s">
        <v>15400</v>
      </c>
      <c r="B26" t="s">
        <v>15441</v>
      </c>
      <c r="C26" t="s">
        <v>15446</v>
      </c>
      <c r="D26" t="s">
        <v>2951</v>
      </c>
      <c r="E26" t="s">
        <v>3430</v>
      </c>
      <c r="F26" t="s">
        <v>3540</v>
      </c>
      <c r="G26" s="3">
        <v>37.347085414172398</v>
      </c>
      <c r="H26" s="3">
        <v>127.845971955465</v>
      </c>
      <c r="I26" t="s">
        <v>6721</v>
      </c>
      <c r="J26" t="s">
        <v>10077</v>
      </c>
      <c r="K26" t="s">
        <v>11799</v>
      </c>
      <c r="L26" t="s">
        <v>3366</v>
      </c>
      <c r="M26" t="s">
        <v>11887</v>
      </c>
      <c r="N26" t="s">
        <v>3360</v>
      </c>
      <c r="O26" t="s">
        <v>3359</v>
      </c>
      <c r="P26" t="s">
        <v>15211</v>
      </c>
      <c r="Q26" t="s">
        <v>15211</v>
      </c>
      <c r="R26" t="s">
        <v>15211</v>
      </c>
      <c r="S26" t="s">
        <v>15211</v>
      </c>
      <c r="T26" t="s">
        <v>3363</v>
      </c>
      <c r="U26" t="s">
        <v>14815</v>
      </c>
      <c r="V26" t="s">
        <v>15229</v>
      </c>
    </row>
    <row r="27" spans="1:22" hidden="1">
      <c r="A27" t="s">
        <v>15400</v>
      </c>
      <c r="B27" t="s">
        <v>15441</v>
      </c>
      <c r="C27" t="s">
        <v>15446</v>
      </c>
      <c r="D27" t="s">
        <v>2952</v>
      </c>
      <c r="E27" t="s">
        <v>3441</v>
      </c>
      <c r="F27" t="s">
        <v>3458</v>
      </c>
      <c r="G27" s="3">
        <v>37.347085374594897</v>
      </c>
      <c r="H27" s="3">
        <v>127.84597203982899</v>
      </c>
      <c r="I27" t="s">
        <v>6722</v>
      </c>
      <c r="J27" t="s">
        <v>10078</v>
      </c>
      <c r="K27" t="s">
        <v>11800</v>
      </c>
      <c r="L27" t="s">
        <v>3366</v>
      </c>
      <c r="M27" t="s">
        <v>11887</v>
      </c>
      <c r="N27" t="s">
        <v>3360</v>
      </c>
      <c r="O27" t="s">
        <v>3359</v>
      </c>
      <c r="P27" t="s">
        <v>15211</v>
      </c>
      <c r="Q27" t="s">
        <v>15211</v>
      </c>
      <c r="R27" t="s">
        <v>15211</v>
      </c>
      <c r="S27" t="s">
        <v>15211</v>
      </c>
      <c r="T27" t="s">
        <v>3363</v>
      </c>
      <c r="U27" t="s">
        <v>14816</v>
      </c>
      <c r="V27" t="s">
        <v>15229</v>
      </c>
    </row>
    <row r="28" spans="1:22" hidden="1">
      <c r="A28" t="s">
        <v>15400</v>
      </c>
      <c r="B28" t="s">
        <v>15441</v>
      </c>
      <c r="C28" t="s">
        <v>15446</v>
      </c>
      <c r="D28" t="s">
        <v>2953</v>
      </c>
      <c r="E28" t="s">
        <v>3452</v>
      </c>
      <c r="F28" t="s">
        <v>3612</v>
      </c>
      <c r="G28" s="3">
        <v>37.347085467813301</v>
      </c>
      <c r="H28" s="3">
        <v>127.845972102739</v>
      </c>
      <c r="I28" t="s">
        <v>6723</v>
      </c>
      <c r="J28" t="s">
        <v>10079</v>
      </c>
      <c r="K28" t="s">
        <v>11801</v>
      </c>
      <c r="L28" t="s">
        <v>3366</v>
      </c>
      <c r="M28" t="s">
        <v>11887</v>
      </c>
      <c r="N28" t="s">
        <v>3360</v>
      </c>
      <c r="O28" t="s">
        <v>3359</v>
      </c>
      <c r="P28" t="s">
        <v>15211</v>
      </c>
      <c r="Q28" t="s">
        <v>15211</v>
      </c>
      <c r="R28" t="s">
        <v>15211</v>
      </c>
      <c r="S28" t="s">
        <v>15211</v>
      </c>
      <c r="T28" t="s">
        <v>3363</v>
      </c>
      <c r="U28" t="s">
        <v>14817</v>
      </c>
      <c r="V28" t="s">
        <v>15229</v>
      </c>
    </row>
    <row r="29" spans="1:22" hidden="1">
      <c r="A29" t="s">
        <v>15400</v>
      </c>
      <c r="B29" t="s">
        <v>15441</v>
      </c>
      <c r="C29" t="s">
        <v>15447</v>
      </c>
      <c r="D29" t="s">
        <v>2954</v>
      </c>
      <c r="E29" t="s">
        <v>3534</v>
      </c>
      <c r="F29" t="s">
        <v>3751</v>
      </c>
      <c r="G29" s="3">
        <v>37.347101589150597</v>
      </c>
      <c r="H29" s="3">
        <v>127.84597436053301</v>
      </c>
      <c r="I29" t="s">
        <v>6724</v>
      </c>
      <c r="J29" t="s">
        <v>10080</v>
      </c>
      <c r="K29" t="s">
        <v>11802</v>
      </c>
      <c r="L29" t="s">
        <v>3366</v>
      </c>
      <c r="M29" t="s">
        <v>11909</v>
      </c>
      <c r="N29" t="s">
        <v>3362</v>
      </c>
      <c r="O29" t="s">
        <v>15211</v>
      </c>
      <c r="P29" t="s">
        <v>15211</v>
      </c>
      <c r="Q29" t="s">
        <v>15211</v>
      </c>
      <c r="R29" t="s">
        <v>15211</v>
      </c>
      <c r="S29" t="s">
        <v>15211</v>
      </c>
      <c r="T29" t="s">
        <v>3362</v>
      </c>
      <c r="U29" t="s">
        <v>14818</v>
      </c>
      <c r="V29" t="s">
        <v>15235</v>
      </c>
    </row>
    <row r="30" spans="1:22" hidden="1">
      <c r="A30" t="s">
        <v>15400</v>
      </c>
      <c r="B30" t="s">
        <v>15441</v>
      </c>
      <c r="C30" t="s">
        <v>15447</v>
      </c>
      <c r="D30" t="s">
        <v>2955</v>
      </c>
      <c r="E30" t="s">
        <v>3534</v>
      </c>
      <c r="F30" t="s">
        <v>3751</v>
      </c>
      <c r="G30" s="3">
        <v>37.347101719228498</v>
      </c>
      <c r="H30" s="3">
        <v>127.845974313369</v>
      </c>
      <c r="I30" t="s">
        <v>6725</v>
      </c>
      <c r="J30" t="s">
        <v>10081</v>
      </c>
      <c r="K30" t="s">
        <v>11803</v>
      </c>
      <c r="L30" t="s">
        <v>3366</v>
      </c>
      <c r="M30" t="s">
        <v>11909</v>
      </c>
      <c r="N30" t="s">
        <v>3362</v>
      </c>
      <c r="O30" t="s">
        <v>15211</v>
      </c>
      <c r="P30" t="s">
        <v>15211</v>
      </c>
      <c r="Q30" t="s">
        <v>15211</v>
      </c>
      <c r="R30" t="s">
        <v>15211</v>
      </c>
      <c r="S30" t="s">
        <v>15211</v>
      </c>
      <c r="T30" t="s">
        <v>3362</v>
      </c>
      <c r="U30" t="s">
        <v>14819</v>
      </c>
      <c r="V30" t="s">
        <v>15235</v>
      </c>
    </row>
    <row r="31" spans="1:22" hidden="1">
      <c r="A31" t="s">
        <v>15400</v>
      </c>
      <c r="B31" t="s">
        <v>15441</v>
      </c>
      <c r="C31" t="s">
        <v>15447</v>
      </c>
      <c r="D31" t="s">
        <v>2956</v>
      </c>
      <c r="E31" t="s">
        <v>3534</v>
      </c>
      <c r="F31" t="s">
        <v>3751</v>
      </c>
      <c r="G31" s="3">
        <v>37.347101685437799</v>
      </c>
      <c r="H31" s="3">
        <v>127.845974302557</v>
      </c>
      <c r="I31" t="s">
        <v>6726</v>
      </c>
      <c r="J31" t="s">
        <v>10082</v>
      </c>
      <c r="K31" t="s">
        <v>11804</v>
      </c>
      <c r="L31" t="s">
        <v>3366</v>
      </c>
      <c r="M31" t="s">
        <v>11909</v>
      </c>
      <c r="N31" t="s">
        <v>3362</v>
      </c>
      <c r="O31" t="s">
        <v>15211</v>
      </c>
      <c r="P31" t="s">
        <v>15211</v>
      </c>
      <c r="Q31" t="s">
        <v>15211</v>
      </c>
      <c r="R31" t="s">
        <v>15211</v>
      </c>
      <c r="S31" t="s">
        <v>15211</v>
      </c>
      <c r="T31" t="s">
        <v>3362</v>
      </c>
      <c r="U31" t="s">
        <v>14820</v>
      </c>
      <c r="V31" t="s">
        <v>15235</v>
      </c>
    </row>
    <row r="32" spans="1:22" ht="17.399999999999999" hidden="1">
      <c r="A32" t="s">
        <v>15345</v>
      </c>
      <c r="B32" t="s">
        <v>15441</v>
      </c>
      <c r="C32" t="s">
        <v>15445</v>
      </c>
      <c r="D32" t="s">
        <v>31</v>
      </c>
      <c r="E32" t="s">
        <v>3437</v>
      </c>
      <c r="F32" t="s">
        <v>3431</v>
      </c>
      <c r="G32" s="3">
        <v>35.967852300184099</v>
      </c>
      <c r="H32" s="3">
        <v>129.23335798033301</v>
      </c>
      <c r="I32" t="s">
        <v>3798</v>
      </c>
      <c r="J32" t="s">
        <v>7157</v>
      </c>
      <c r="K32" t="s">
        <v>10507</v>
      </c>
      <c r="L32" t="s">
        <v>3368</v>
      </c>
      <c r="M32" t="s">
        <v>11885</v>
      </c>
      <c r="N32" t="s">
        <v>3363</v>
      </c>
      <c r="O32" t="s">
        <v>3361</v>
      </c>
      <c r="P32" t="s">
        <v>15211</v>
      </c>
      <c r="Q32" t="s">
        <v>15211</v>
      </c>
      <c r="R32" t="s">
        <v>15211</v>
      </c>
      <c r="S32" t="s">
        <v>15211</v>
      </c>
      <c r="T32" t="s">
        <v>3368</v>
      </c>
      <c r="U32" t="s">
        <v>11953</v>
      </c>
      <c r="V32" t="s">
        <v>15212</v>
      </c>
    </row>
    <row r="33" spans="1:22" ht="17.399999999999999" hidden="1">
      <c r="A33" t="s">
        <v>15345</v>
      </c>
      <c r="B33" t="s">
        <v>15441</v>
      </c>
      <c r="C33" t="s">
        <v>15445</v>
      </c>
      <c r="D33" t="s">
        <v>32</v>
      </c>
      <c r="E33" t="s">
        <v>3437</v>
      </c>
      <c r="F33" t="s">
        <v>3431</v>
      </c>
      <c r="G33" s="3">
        <v>35.9678523008686</v>
      </c>
      <c r="H33" s="3">
        <v>129.23335799342601</v>
      </c>
      <c r="I33" t="s">
        <v>3799</v>
      </c>
      <c r="J33" t="s">
        <v>7158</v>
      </c>
      <c r="K33" t="s">
        <v>10508</v>
      </c>
      <c r="L33" t="s">
        <v>3366</v>
      </c>
      <c r="M33" t="s">
        <v>11885</v>
      </c>
      <c r="N33" t="s">
        <v>3363</v>
      </c>
      <c r="O33" t="s">
        <v>3361</v>
      </c>
      <c r="P33" t="s">
        <v>15211</v>
      </c>
      <c r="Q33" t="s">
        <v>15211</v>
      </c>
      <c r="R33" t="s">
        <v>15211</v>
      </c>
      <c r="S33" t="s">
        <v>15211</v>
      </c>
      <c r="T33" t="s">
        <v>3368</v>
      </c>
      <c r="U33" t="s">
        <v>11954</v>
      </c>
      <c r="V33" t="s">
        <v>15212</v>
      </c>
    </row>
    <row r="34" spans="1:22" ht="17.399999999999999" hidden="1">
      <c r="A34" t="s">
        <v>15345</v>
      </c>
      <c r="B34" t="s">
        <v>15441</v>
      </c>
      <c r="C34" t="s">
        <v>15445</v>
      </c>
      <c r="D34" t="s">
        <v>33</v>
      </c>
      <c r="E34" t="s">
        <v>3437</v>
      </c>
      <c r="F34" t="s">
        <v>3431</v>
      </c>
      <c r="G34" s="3">
        <v>35.967852296706603</v>
      </c>
      <c r="H34" s="3">
        <v>129.233357986166</v>
      </c>
      <c r="I34" t="s">
        <v>3800</v>
      </c>
      <c r="J34" t="s">
        <v>7159</v>
      </c>
      <c r="K34" t="s">
        <v>10509</v>
      </c>
      <c r="L34" t="s">
        <v>3366</v>
      </c>
      <c r="M34" t="s">
        <v>11885</v>
      </c>
      <c r="N34" t="s">
        <v>3363</v>
      </c>
      <c r="O34" t="s">
        <v>3361</v>
      </c>
      <c r="P34" t="s">
        <v>15211</v>
      </c>
      <c r="Q34" t="s">
        <v>15211</v>
      </c>
      <c r="R34" t="s">
        <v>15211</v>
      </c>
      <c r="S34" t="s">
        <v>15211</v>
      </c>
      <c r="T34" t="s">
        <v>3368</v>
      </c>
      <c r="U34" t="s">
        <v>11955</v>
      </c>
      <c r="V34" t="s">
        <v>15212</v>
      </c>
    </row>
    <row r="35" spans="1:22" ht="17.399999999999999" hidden="1">
      <c r="A35" t="s">
        <v>15345</v>
      </c>
      <c r="B35" t="s">
        <v>15441</v>
      </c>
      <c r="C35" t="s">
        <v>15446</v>
      </c>
      <c r="D35" t="s">
        <v>34</v>
      </c>
      <c r="E35" t="s">
        <v>3437</v>
      </c>
      <c r="F35" t="s">
        <v>3431</v>
      </c>
      <c r="G35" s="3">
        <v>35.967852293396398</v>
      </c>
      <c r="H35" s="3">
        <v>129.233357838415</v>
      </c>
      <c r="I35" t="s">
        <v>3801</v>
      </c>
      <c r="J35" t="s">
        <v>7160</v>
      </c>
      <c r="K35" t="s">
        <v>10510</v>
      </c>
      <c r="L35" t="s">
        <v>3380</v>
      </c>
      <c r="M35" t="s">
        <v>11885</v>
      </c>
      <c r="N35" t="s">
        <v>3363</v>
      </c>
      <c r="O35" t="s">
        <v>3361</v>
      </c>
      <c r="P35" t="s">
        <v>15211</v>
      </c>
      <c r="Q35" t="s">
        <v>15211</v>
      </c>
      <c r="R35" t="s">
        <v>15211</v>
      </c>
      <c r="S35" t="s">
        <v>15211</v>
      </c>
      <c r="T35" t="s">
        <v>3368</v>
      </c>
      <c r="U35" t="s">
        <v>11956</v>
      </c>
      <c r="V35" t="s">
        <v>15213</v>
      </c>
    </row>
    <row r="36" spans="1:22" ht="17.399999999999999" hidden="1">
      <c r="A36" t="s">
        <v>15345</v>
      </c>
      <c r="B36" t="s">
        <v>15441</v>
      </c>
      <c r="C36" t="s">
        <v>15446</v>
      </c>
      <c r="D36" t="s">
        <v>35</v>
      </c>
      <c r="E36" t="s">
        <v>3437</v>
      </c>
      <c r="F36" t="s">
        <v>3431</v>
      </c>
      <c r="G36" s="3">
        <v>35.967852303732897</v>
      </c>
      <c r="H36" s="3">
        <v>129.23335783629901</v>
      </c>
      <c r="I36" t="s">
        <v>3802</v>
      </c>
      <c r="J36" t="s">
        <v>7161</v>
      </c>
      <c r="K36" t="s">
        <v>10511</v>
      </c>
      <c r="L36" t="s">
        <v>3366</v>
      </c>
      <c r="M36" t="s">
        <v>11885</v>
      </c>
      <c r="N36" t="s">
        <v>3363</v>
      </c>
      <c r="O36" t="s">
        <v>3361</v>
      </c>
      <c r="P36" t="s">
        <v>15211</v>
      </c>
      <c r="Q36" t="s">
        <v>15211</v>
      </c>
      <c r="R36" t="s">
        <v>15211</v>
      </c>
      <c r="S36" t="s">
        <v>15211</v>
      </c>
      <c r="T36" t="s">
        <v>3368</v>
      </c>
      <c r="U36" t="s">
        <v>11957</v>
      </c>
      <c r="V36" t="s">
        <v>15213</v>
      </c>
    </row>
    <row r="37" spans="1:22" ht="17.399999999999999" hidden="1">
      <c r="A37" t="s">
        <v>15345</v>
      </c>
      <c r="B37" t="s">
        <v>15441</v>
      </c>
      <c r="C37" t="s">
        <v>15446</v>
      </c>
      <c r="D37" t="s">
        <v>36</v>
      </c>
      <c r="E37" t="s">
        <v>3437</v>
      </c>
      <c r="F37" t="s">
        <v>3431</v>
      </c>
      <c r="G37" s="3">
        <v>35.967852326880099</v>
      </c>
      <c r="H37" s="3">
        <v>129.23335780699699</v>
      </c>
      <c r="I37" t="s">
        <v>3803</v>
      </c>
      <c r="J37" t="s">
        <v>7162</v>
      </c>
      <c r="K37" t="s">
        <v>10512</v>
      </c>
      <c r="L37" t="s">
        <v>3366</v>
      </c>
      <c r="M37" t="s">
        <v>11885</v>
      </c>
      <c r="N37" t="s">
        <v>3363</v>
      </c>
      <c r="O37" t="s">
        <v>3361</v>
      </c>
      <c r="P37" t="s">
        <v>15211</v>
      </c>
      <c r="Q37" t="s">
        <v>15211</v>
      </c>
      <c r="R37" t="s">
        <v>15211</v>
      </c>
      <c r="S37" t="s">
        <v>15211</v>
      </c>
      <c r="T37" t="s">
        <v>3368</v>
      </c>
      <c r="U37" t="s">
        <v>11958</v>
      </c>
      <c r="V37" t="s">
        <v>15213</v>
      </c>
    </row>
    <row r="38" spans="1:22" ht="17.399999999999999" hidden="1">
      <c r="A38" t="s">
        <v>15345</v>
      </c>
      <c r="B38" t="s">
        <v>15441</v>
      </c>
      <c r="C38" t="s">
        <v>15447</v>
      </c>
      <c r="D38" t="s">
        <v>37</v>
      </c>
      <c r="E38" t="s">
        <v>3428</v>
      </c>
      <c r="F38" t="s">
        <v>3441</v>
      </c>
      <c r="G38" s="3">
        <v>35.967852234437203</v>
      </c>
      <c r="H38" s="3">
        <v>129.23335793639001</v>
      </c>
      <c r="I38" t="s">
        <v>3804</v>
      </c>
      <c r="J38" t="s">
        <v>7163</v>
      </c>
      <c r="K38" t="s">
        <v>10513</v>
      </c>
      <c r="L38" t="s">
        <v>3370</v>
      </c>
      <c r="M38" t="s">
        <v>11887</v>
      </c>
      <c r="N38" t="s">
        <v>3363</v>
      </c>
      <c r="O38" t="s">
        <v>15211</v>
      </c>
      <c r="P38" t="s">
        <v>15211</v>
      </c>
      <c r="Q38" t="s">
        <v>15211</v>
      </c>
      <c r="R38" t="s">
        <v>15211</v>
      </c>
      <c r="S38" t="s">
        <v>15211</v>
      </c>
      <c r="T38" t="s">
        <v>3363</v>
      </c>
      <c r="U38" t="s">
        <v>11959</v>
      </c>
      <c r="V38" t="s">
        <v>15214</v>
      </c>
    </row>
    <row r="39" spans="1:22" ht="17.399999999999999" hidden="1">
      <c r="A39" t="s">
        <v>15345</v>
      </c>
      <c r="B39" t="s">
        <v>15441</v>
      </c>
      <c r="C39" t="s">
        <v>15447</v>
      </c>
      <c r="D39" t="s">
        <v>38</v>
      </c>
      <c r="E39" t="s">
        <v>3438</v>
      </c>
      <c r="F39" t="s">
        <v>3429</v>
      </c>
      <c r="G39" s="3">
        <v>35.96785222602</v>
      </c>
      <c r="H39" s="3">
        <v>129.23335794776699</v>
      </c>
      <c r="I39" t="s">
        <v>3805</v>
      </c>
      <c r="J39" t="s">
        <v>7164</v>
      </c>
      <c r="K39" t="s">
        <v>10514</v>
      </c>
      <c r="L39" t="s">
        <v>3366</v>
      </c>
      <c r="M39" t="s">
        <v>11887</v>
      </c>
      <c r="N39" t="s">
        <v>3363</v>
      </c>
      <c r="O39" t="s">
        <v>15211</v>
      </c>
      <c r="P39" t="s">
        <v>15211</v>
      </c>
      <c r="Q39" t="s">
        <v>15211</v>
      </c>
      <c r="R39" t="s">
        <v>15211</v>
      </c>
      <c r="S39" t="s">
        <v>15211</v>
      </c>
      <c r="T39" t="s">
        <v>3363</v>
      </c>
      <c r="U39" t="s">
        <v>11960</v>
      </c>
      <c r="V39" t="s">
        <v>15214</v>
      </c>
    </row>
    <row r="40" spans="1:22" ht="17.399999999999999" hidden="1">
      <c r="A40" t="s">
        <v>15345</v>
      </c>
      <c r="B40" t="s">
        <v>15441</v>
      </c>
      <c r="C40" t="s">
        <v>15447</v>
      </c>
      <c r="D40" t="s">
        <v>39</v>
      </c>
      <c r="E40" t="s">
        <v>3438</v>
      </c>
      <c r="F40" t="s">
        <v>3435</v>
      </c>
      <c r="G40" s="3">
        <v>35.9678522482875</v>
      </c>
      <c r="H40" s="3">
        <v>129.23335793771099</v>
      </c>
      <c r="I40" t="s">
        <v>3806</v>
      </c>
      <c r="J40" t="s">
        <v>7165</v>
      </c>
      <c r="K40" t="s">
        <v>10515</v>
      </c>
      <c r="L40" t="s">
        <v>3366</v>
      </c>
      <c r="M40" t="s">
        <v>11887</v>
      </c>
      <c r="N40" t="s">
        <v>3363</v>
      </c>
      <c r="O40" t="s">
        <v>15211</v>
      </c>
      <c r="P40" t="s">
        <v>15211</v>
      </c>
      <c r="Q40" t="s">
        <v>15211</v>
      </c>
      <c r="R40" t="s">
        <v>15211</v>
      </c>
      <c r="S40" t="s">
        <v>15211</v>
      </c>
      <c r="T40" t="s">
        <v>3363</v>
      </c>
      <c r="U40" t="s">
        <v>11961</v>
      </c>
      <c r="V40" t="s">
        <v>15214</v>
      </c>
    </row>
    <row r="41" spans="1:22" ht="17.399999999999999" hidden="1">
      <c r="A41" t="s">
        <v>15345</v>
      </c>
      <c r="B41" t="s">
        <v>15441</v>
      </c>
      <c r="C41" t="s">
        <v>15448</v>
      </c>
      <c r="D41" t="s">
        <v>40</v>
      </c>
      <c r="E41" t="s">
        <v>3429</v>
      </c>
      <c r="F41" t="s">
        <v>3449</v>
      </c>
      <c r="G41" s="3">
        <v>35.967852331056903</v>
      </c>
      <c r="H41" s="3">
        <v>129.233357929943</v>
      </c>
      <c r="I41" t="s">
        <v>3807</v>
      </c>
      <c r="J41" t="s">
        <v>7166</v>
      </c>
      <c r="K41" t="s">
        <v>10516</v>
      </c>
      <c r="L41" t="s">
        <v>3379</v>
      </c>
      <c r="M41" t="s">
        <v>11891</v>
      </c>
      <c r="N41" t="s">
        <v>3363</v>
      </c>
      <c r="O41" t="s">
        <v>3360</v>
      </c>
      <c r="P41" t="s">
        <v>3361</v>
      </c>
      <c r="Q41" t="s">
        <v>3359</v>
      </c>
      <c r="R41" t="s">
        <v>3357</v>
      </c>
      <c r="S41" t="s">
        <v>15211</v>
      </c>
      <c r="T41" t="s">
        <v>3376</v>
      </c>
      <c r="U41" t="s">
        <v>11962</v>
      </c>
      <c r="V41" t="s">
        <v>15215</v>
      </c>
    </row>
    <row r="42" spans="1:22" ht="17.399999999999999" hidden="1">
      <c r="A42" t="s">
        <v>15345</v>
      </c>
      <c r="B42" t="s">
        <v>15441</v>
      </c>
      <c r="C42" t="s">
        <v>15448</v>
      </c>
      <c r="D42" t="s">
        <v>41</v>
      </c>
      <c r="E42" t="s">
        <v>3430</v>
      </c>
      <c r="F42" t="s">
        <v>3484</v>
      </c>
      <c r="G42" s="3">
        <v>35.967852327077303</v>
      </c>
      <c r="H42" s="3">
        <v>129.23335789919099</v>
      </c>
      <c r="I42" t="s">
        <v>3808</v>
      </c>
      <c r="J42" t="s">
        <v>7167</v>
      </c>
      <c r="K42" t="s">
        <v>10517</v>
      </c>
      <c r="L42" t="s">
        <v>3366</v>
      </c>
      <c r="M42" t="s">
        <v>11891</v>
      </c>
      <c r="N42" t="s">
        <v>3363</v>
      </c>
      <c r="O42" t="s">
        <v>3361</v>
      </c>
      <c r="P42" t="s">
        <v>3362</v>
      </c>
      <c r="Q42" t="s">
        <v>3360</v>
      </c>
      <c r="R42" t="s">
        <v>3358</v>
      </c>
      <c r="S42" t="s">
        <v>15211</v>
      </c>
      <c r="T42" t="s">
        <v>3380</v>
      </c>
      <c r="U42" t="s">
        <v>11963</v>
      </c>
      <c r="V42" t="s">
        <v>15215</v>
      </c>
    </row>
    <row r="43" spans="1:22" ht="17.399999999999999" hidden="1">
      <c r="A43" t="s">
        <v>15345</v>
      </c>
      <c r="B43" t="s">
        <v>15441</v>
      </c>
      <c r="C43" t="s">
        <v>15448</v>
      </c>
      <c r="D43" t="s">
        <v>42</v>
      </c>
      <c r="E43" t="s">
        <v>3430</v>
      </c>
      <c r="F43" t="s">
        <v>3484</v>
      </c>
      <c r="G43" s="3">
        <v>35.967852334436202</v>
      </c>
      <c r="H43" s="3">
        <v>129.233357920119</v>
      </c>
      <c r="I43" t="s">
        <v>3809</v>
      </c>
      <c r="J43" t="s">
        <v>7168</v>
      </c>
      <c r="K43" t="s">
        <v>10518</v>
      </c>
      <c r="L43" t="s">
        <v>3366</v>
      </c>
      <c r="M43" t="s">
        <v>11891</v>
      </c>
      <c r="N43" t="s">
        <v>3363</v>
      </c>
      <c r="O43" t="s">
        <v>3361</v>
      </c>
      <c r="P43" t="s">
        <v>3362</v>
      </c>
      <c r="Q43" t="s">
        <v>3360</v>
      </c>
      <c r="R43" t="s">
        <v>3358</v>
      </c>
      <c r="S43" t="s">
        <v>15211</v>
      </c>
      <c r="T43" t="s">
        <v>3380</v>
      </c>
      <c r="U43" t="s">
        <v>11964</v>
      </c>
      <c r="V43" t="s">
        <v>15215</v>
      </c>
    </row>
    <row r="44" spans="1:22" ht="17.399999999999999" hidden="1">
      <c r="A44" t="s">
        <v>15345</v>
      </c>
      <c r="B44" t="s">
        <v>15441</v>
      </c>
      <c r="C44" t="s">
        <v>15449</v>
      </c>
      <c r="D44" t="s">
        <v>43</v>
      </c>
      <c r="E44" t="s">
        <v>3428</v>
      </c>
      <c r="F44" t="s">
        <v>3441</v>
      </c>
      <c r="G44" s="3">
        <v>35.967852380735501</v>
      </c>
      <c r="H44" s="3">
        <v>129.23335792779201</v>
      </c>
      <c r="I44" t="s">
        <v>3810</v>
      </c>
      <c r="J44" t="s">
        <v>7169</v>
      </c>
      <c r="K44" t="s">
        <v>10519</v>
      </c>
      <c r="L44" t="s">
        <v>3376</v>
      </c>
      <c r="M44" t="s">
        <v>11891</v>
      </c>
      <c r="N44" t="s">
        <v>3363</v>
      </c>
      <c r="O44" t="s">
        <v>3361</v>
      </c>
      <c r="P44" t="s">
        <v>3362</v>
      </c>
      <c r="Q44" t="s">
        <v>3360</v>
      </c>
      <c r="R44" t="s">
        <v>3357</v>
      </c>
      <c r="S44" t="s">
        <v>15211</v>
      </c>
      <c r="T44" t="s">
        <v>3379</v>
      </c>
      <c r="U44" t="s">
        <v>11965</v>
      </c>
      <c r="V44" t="s">
        <v>15216</v>
      </c>
    </row>
    <row r="45" spans="1:22" ht="17.399999999999999" hidden="1">
      <c r="A45" t="s">
        <v>15345</v>
      </c>
      <c r="B45" t="s">
        <v>15441</v>
      </c>
      <c r="C45" t="s">
        <v>15449</v>
      </c>
      <c r="D45" t="s">
        <v>44</v>
      </c>
      <c r="E45" t="s">
        <v>3436</v>
      </c>
      <c r="F45" t="s">
        <v>3453</v>
      </c>
      <c r="G45" s="3">
        <v>35.967852361462903</v>
      </c>
      <c r="H45" s="3">
        <v>129.233357946144</v>
      </c>
      <c r="I45" t="s">
        <v>3811</v>
      </c>
      <c r="J45" t="s">
        <v>7170</v>
      </c>
      <c r="K45" t="s">
        <v>10520</v>
      </c>
      <c r="L45" t="s">
        <v>3366</v>
      </c>
      <c r="M45" t="s">
        <v>11891</v>
      </c>
      <c r="N45" t="s">
        <v>3363</v>
      </c>
      <c r="O45" t="s">
        <v>3361</v>
      </c>
      <c r="P45" t="s">
        <v>3362</v>
      </c>
      <c r="Q45" t="s">
        <v>3360</v>
      </c>
      <c r="R45" t="s">
        <v>3358</v>
      </c>
      <c r="S45" t="s">
        <v>15211</v>
      </c>
      <c r="T45" t="s">
        <v>3380</v>
      </c>
      <c r="U45" t="s">
        <v>11966</v>
      </c>
      <c r="V45" t="s">
        <v>15216</v>
      </c>
    </row>
    <row r="46" spans="1:22" ht="17.399999999999999" hidden="1">
      <c r="A46" t="s">
        <v>15345</v>
      </c>
      <c r="B46" t="s">
        <v>15441</v>
      </c>
      <c r="C46" t="s">
        <v>15449</v>
      </c>
      <c r="D46" t="s">
        <v>45</v>
      </c>
      <c r="E46" t="s">
        <v>3436</v>
      </c>
      <c r="F46" t="s">
        <v>3453</v>
      </c>
      <c r="G46" s="3">
        <v>35.967852368997796</v>
      </c>
      <c r="H46" s="3">
        <v>129.23335793757201</v>
      </c>
      <c r="I46" t="s">
        <v>3812</v>
      </c>
      <c r="J46" t="s">
        <v>7171</v>
      </c>
      <c r="K46" t="s">
        <v>10521</v>
      </c>
      <c r="L46" t="s">
        <v>3366</v>
      </c>
      <c r="M46" t="s">
        <v>11891</v>
      </c>
      <c r="N46" t="s">
        <v>3363</v>
      </c>
      <c r="O46" t="s">
        <v>3361</v>
      </c>
      <c r="P46" t="s">
        <v>3362</v>
      </c>
      <c r="Q46" t="s">
        <v>3360</v>
      </c>
      <c r="R46" t="s">
        <v>3358</v>
      </c>
      <c r="S46" t="s">
        <v>15211</v>
      </c>
      <c r="T46" t="s">
        <v>3380</v>
      </c>
      <c r="U46" t="s">
        <v>11967</v>
      </c>
      <c r="V46" t="s">
        <v>15216</v>
      </c>
    </row>
    <row r="47" spans="1:22" ht="17.399999999999999" hidden="1">
      <c r="A47" t="s">
        <v>15345</v>
      </c>
      <c r="B47" t="s">
        <v>15442</v>
      </c>
      <c r="C47" t="s">
        <v>15450</v>
      </c>
      <c r="D47" t="s">
        <v>46</v>
      </c>
      <c r="E47" t="s">
        <v>3428</v>
      </c>
      <c r="F47" t="s">
        <v>3433</v>
      </c>
      <c r="G47" s="3">
        <v>35.967852332282597</v>
      </c>
      <c r="H47" s="3">
        <v>129.23335798242999</v>
      </c>
      <c r="I47" t="s">
        <v>3813</v>
      </c>
      <c r="J47" t="s">
        <v>7172</v>
      </c>
      <c r="K47" t="s">
        <v>10522</v>
      </c>
      <c r="L47" t="s">
        <v>3378</v>
      </c>
      <c r="M47" t="s">
        <v>11885</v>
      </c>
      <c r="N47" t="s">
        <v>3363</v>
      </c>
      <c r="O47" t="s">
        <v>3361</v>
      </c>
      <c r="P47" t="s">
        <v>15211</v>
      </c>
      <c r="Q47" t="s">
        <v>15211</v>
      </c>
      <c r="R47" t="s">
        <v>15211</v>
      </c>
      <c r="S47" t="s">
        <v>15211</v>
      </c>
      <c r="T47" t="s">
        <v>3368</v>
      </c>
      <c r="U47" t="s">
        <v>11968</v>
      </c>
      <c r="V47" t="s">
        <v>15217</v>
      </c>
    </row>
    <row r="48" spans="1:22" ht="17.399999999999999" hidden="1">
      <c r="A48" t="s">
        <v>15345</v>
      </c>
      <c r="B48" t="s">
        <v>15442</v>
      </c>
      <c r="C48" t="s">
        <v>15450</v>
      </c>
      <c r="D48" t="s">
        <v>47</v>
      </c>
      <c r="E48" t="s">
        <v>3428</v>
      </c>
      <c r="F48" t="s">
        <v>3433</v>
      </c>
      <c r="G48" s="3">
        <v>35.967852361525203</v>
      </c>
      <c r="H48" s="3">
        <v>129.23335800474999</v>
      </c>
      <c r="I48" t="s">
        <v>3814</v>
      </c>
      <c r="J48" t="s">
        <v>7173</v>
      </c>
      <c r="K48" t="s">
        <v>10523</v>
      </c>
      <c r="L48" t="s">
        <v>3366</v>
      </c>
      <c r="M48" t="s">
        <v>11885</v>
      </c>
      <c r="N48" t="s">
        <v>3363</v>
      </c>
      <c r="O48" t="s">
        <v>3361</v>
      </c>
      <c r="P48" t="s">
        <v>15211</v>
      </c>
      <c r="Q48" t="s">
        <v>15211</v>
      </c>
      <c r="R48" t="s">
        <v>15211</v>
      </c>
      <c r="S48" t="s">
        <v>15211</v>
      </c>
      <c r="T48" t="s">
        <v>3368</v>
      </c>
      <c r="U48" t="s">
        <v>11969</v>
      </c>
      <c r="V48" t="s">
        <v>15217</v>
      </c>
    </row>
    <row r="49" spans="1:22" ht="17.399999999999999" hidden="1">
      <c r="A49" t="s">
        <v>15345</v>
      </c>
      <c r="B49" t="s">
        <v>15442</v>
      </c>
      <c r="C49" t="s">
        <v>15450</v>
      </c>
      <c r="D49" t="s">
        <v>48</v>
      </c>
      <c r="E49" t="s">
        <v>3428</v>
      </c>
      <c r="F49" t="s">
        <v>3433</v>
      </c>
      <c r="G49" s="3">
        <v>35.967852370608199</v>
      </c>
      <c r="H49" s="3">
        <v>129.23335803017301</v>
      </c>
      <c r="I49" t="s">
        <v>3815</v>
      </c>
      <c r="J49" t="s">
        <v>7174</v>
      </c>
      <c r="K49" t="s">
        <v>10524</v>
      </c>
      <c r="L49" t="s">
        <v>3366</v>
      </c>
      <c r="M49" t="s">
        <v>11885</v>
      </c>
      <c r="N49" t="s">
        <v>3363</v>
      </c>
      <c r="O49" t="s">
        <v>3361</v>
      </c>
      <c r="P49" t="s">
        <v>15211</v>
      </c>
      <c r="Q49" t="s">
        <v>15211</v>
      </c>
      <c r="R49" t="s">
        <v>15211</v>
      </c>
      <c r="S49" t="s">
        <v>15211</v>
      </c>
      <c r="T49" t="s">
        <v>3368</v>
      </c>
      <c r="U49" t="s">
        <v>11970</v>
      </c>
      <c r="V49" t="s">
        <v>15217</v>
      </c>
    </row>
    <row r="50" spans="1:22" ht="17.399999999999999" hidden="1">
      <c r="A50" t="s">
        <v>15345</v>
      </c>
      <c r="B50" t="s">
        <v>15442</v>
      </c>
      <c r="C50" t="s">
        <v>15445</v>
      </c>
      <c r="D50" t="s">
        <v>49</v>
      </c>
      <c r="E50" t="s">
        <v>3437</v>
      </c>
      <c r="F50" t="s">
        <v>3431</v>
      </c>
      <c r="G50" s="3">
        <v>35.9678523430712</v>
      </c>
      <c r="H50" s="3">
        <v>129.233358030115</v>
      </c>
      <c r="I50" t="s">
        <v>3816</v>
      </c>
      <c r="J50" t="s">
        <v>7175</v>
      </c>
      <c r="K50" t="s">
        <v>10525</v>
      </c>
      <c r="L50" t="s">
        <v>3381</v>
      </c>
      <c r="M50" t="s">
        <v>11885</v>
      </c>
      <c r="N50" t="s">
        <v>3363</v>
      </c>
      <c r="O50" t="s">
        <v>3361</v>
      </c>
      <c r="P50" t="s">
        <v>15211</v>
      </c>
      <c r="Q50" t="s">
        <v>15211</v>
      </c>
      <c r="R50" t="s">
        <v>15211</v>
      </c>
      <c r="S50" t="s">
        <v>15211</v>
      </c>
      <c r="T50" t="s">
        <v>3368</v>
      </c>
      <c r="U50" t="s">
        <v>11971</v>
      </c>
      <c r="V50" t="s">
        <v>15218</v>
      </c>
    </row>
    <row r="51" spans="1:22" ht="17.399999999999999" hidden="1">
      <c r="A51" t="s">
        <v>15345</v>
      </c>
      <c r="B51" t="s">
        <v>15442</v>
      </c>
      <c r="C51" t="s">
        <v>15445</v>
      </c>
      <c r="D51" t="s">
        <v>50</v>
      </c>
      <c r="E51" t="s">
        <v>3437</v>
      </c>
      <c r="F51" t="s">
        <v>3431</v>
      </c>
      <c r="G51" s="3">
        <v>35.967852360754101</v>
      </c>
      <c r="H51" s="3">
        <v>129.233357971109</v>
      </c>
      <c r="I51" t="s">
        <v>3817</v>
      </c>
      <c r="J51" t="s">
        <v>7176</v>
      </c>
      <c r="K51" t="s">
        <v>10526</v>
      </c>
      <c r="L51" t="s">
        <v>3366</v>
      </c>
      <c r="M51" t="s">
        <v>11885</v>
      </c>
      <c r="N51" t="s">
        <v>3363</v>
      </c>
      <c r="O51" t="s">
        <v>3361</v>
      </c>
      <c r="P51" t="s">
        <v>15211</v>
      </c>
      <c r="Q51" t="s">
        <v>15211</v>
      </c>
      <c r="R51" t="s">
        <v>15211</v>
      </c>
      <c r="S51" t="s">
        <v>15211</v>
      </c>
      <c r="T51" t="s">
        <v>3368</v>
      </c>
      <c r="U51" t="s">
        <v>11972</v>
      </c>
      <c r="V51" t="s">
        <v>15218</v>
      </c>
    </row>
    <row r="52" spans="1:22" ht="17.399999999999999" hidden="1">
      <c r="A52" t="s">
        <v>15345</v>
      </c>
      <c r="B52" t="s">
        <v>15442</v>
      </c>
      <c r="C52" t="s">
        <v>15445</v>
      </c>
      <c r="D52" t="s">
        <v>51</v>
      </c>
      <c r="E52" t="s">
        <v>3437</v>
      </c>
      <c r="F52" t="s">
        <v>3431</v>
      </c>
      <c r="G52" s="3">
        <v>35.9678523557549</v>
      </c>
      <c r="H52" s="3">
        <v>129.23335795944899</v>
      </c>
      <c r="I52" t="s">
        <v>3818</v>
      </c>
      <c r="J52" t="s">
        <v>7177</v>
      </c>
      <c r="K52" t="s">
        <v>10527</v>
      </c>
      <c r="L52" t="s">
        <v>3366</v>
      </c>
      <c r="M52" t="s">
        <v>11885</v>
      </c>
      <c r="N52" t="s">
        <v>3363</v>
      </c>
      <c r="O52" t="s">
        <v>3361</v>
      </c>
      <c r="P52" t="s">
        <v>15211</v>
      </c>
      <c r="Q52" t="s">
        <v>15211</v>
      </c>
      <c r="R52" t="s">
        <v>15211</v>
      </c>
      <c r="S52" t="s">
        <v>15211</v>
      </c>
      <c r="T52" t="s">
        <v>3368</v>
      </c>
      <c r="U52" t="s">
        <v>11973</v>
      </c>
      <c r="V52" t="s">
        <v>15218</v>
      </c>
    </row>
    <row r="53" spans="1:22" ht="17.399999999999999" hidden="1">
      <c r="A53" t="s">
        <v>15345</v>
      </c>
      <c r="B53" t="s">
        <v>15442</v>
      </c>
      <c r="C53" t="s">
        <v>15451</v>
      </c>
      <c r="D53" t="s">
        <v>52</v>
      </c>
      <c r="E53" t="s">
        <v>3439</v>
      </c>
      <c r="F53" t="s">
        <v>3428</v>
      </c>
      <c r="G53" s="3">
        <v>35.967852410402898</v>
      </c>
      <c r="H53" s="3">
        <v>129.23335795324701</v>
      </c>
      <c r="I53" t="s">
        <v>3819</v>
      </c>
      <c r="J53" t="s">
        <v>7178</v>
      </c>
      <c r="K53" t="s">
        <v>10528</v>
      </c>
      <c r="L53" t="s">
        <v>3380</v>
      </c>
      <c r="M53" t="s">
        <v>11888</v>
      </c>
      <c r="N53" t="s">
        <v>3363</v>
      </c>
      <c r="O53" t="s">
        <v>3361</v>
      </c>
      <c r="P53" t="s">
        <v>15211</v>
      </c>
      <c r="Q53" t="s">
        <v>15211</v>
      </c>
      <c r="R53" t="s">
        <v>15211</v>
      </c>
      <c r="S53" t="s">
        <v>15211</v>
      </c>
      <c r="T53" t="s">
        <v>3368</v>
      </c>
      <c r="U53" t="s">
        <v>11974</v>
      </c>
      <c r="V53" t="s">
        <v>15219</v>
      </c>
    </row>
    <row r="54" spans="1:22" ht="17.399999999999999" hidden="1">
      <c r="A54" t="s">
        <v>15345</v>
      </c>
      <c r="B54" t="s">
        <v>15442</v>
      </c>
      <c r="C54" t="s">
        <v>15451</v>
      </c>
      <c r="D54" t="s">
        <v>53</v>
      </c>
      <c r="E54" t="s">
        <v>3437</v>
      </c>
      <c r="F54" t="s">
        <v>3436</v>
      </c>
      <c r="G54" s="3">
        <v>35.967852419789303</v>
      </c>
      <c r="H54" s="3">
        <v>129.233357957122</v>
      </c>
      <c r="I54" t="s">
        <v>3820</v>
      </c>
      <c r="J54" t="s">
        <v>7179</v>
      </c>
      <c r="K54" t="s">
        <v>10529</v>
      </c>
      <c r="L54" t="s">
        <v>3366</v>
      </c>
      <c r="M54" t="s">
        <v>11888</v>
      </c>
      <c r="N54" t="s">
        <v>3363</v>
      </c>
      <c r="O54" t="s">
        <v>3361</v>
      </c>
      <c r="P54" t="s">
        <v>15211</v>
      </c>
      <c r="Q54" t="s">
        <v>15211</v>
      </c>
      <c r="R54" t="s">
        <v>15211</v>
      </c>
      <c r="S54" t="s">
        <v>15211</v>
      </c>
      <c r="T54" t="s">
        <v>3368</v>
      </c>
      <c r="U54" t="s">
        <v>11975</v>
      </c>
      <c r="V54" t="s">
        <v>15219</v>
      </c>
    </row>
    <row r="55" spans="1:22" ht="17.399999999999999" hidden="1">
      <c r="A55" t="s">
        <v>15345</v>
      </c>
      <c r="B55" t="s">
        <v>15442</v>
      </c>
      <c r="C55" t="s">
        <v>15451</v>
      </c>
      <c r="D55" t="s">
        <v>54</v>
      </c>
      <c r="E55" t="s">
        <v>3440</v>
      </c>
      <c r="F55" t="s">
        <v>3431</v>
      </c>
      <c r="G55" s="3">
        <v>35.967852435844499</v>
      </c>
      <c r="H55" s="3">
        <v>129.23335794820301</v>
      </c>
      <c r="I55" t="s">
        <v>3821</v>
      </c>
      <c r="J55" t="s">
        <v>7180</v>
      </c>
      <c r="K55" t="s">
        <v>10530</v>
      </c>
      <c r="L55" t="s">
        <v>3366</v>
      </c>
      <c r="M55" t="s">
        <v>11889</v>
      </c>
      <c r="N55" t="s">
        <v>3363</v>
      </c>
      <c r="O55" t="s">
        <v>3361</v>
      </c>
      <c r="P55" t="s">
        <v>15211</v>
      </c>
      <c r="Q55" t="s">
        <v>15211</v>
      </c>
      <c r="R55" t="s">
        <v>15211</v>
      </c>
      <c r="S55" t="s">
        <v>15211</v>
      </c>
      <c r="T55" t="s">
        <v>3368</v>
      </c>
      <c r="U55" t="s">
        <v>11976</v>
      </c>
      <c r="V55" t="s">
        <v>15219</v>
      </c>
    </row>
    <row r="56" spans="1:22" ht="17.399999999999999">
      <c r="A56" t="s">
        <v>15345</v>
      </c>
      <c r="B56" t="s">
        <v>15443</v>
      </c>
      <c r="C56" t="s">
        <v>15452</v>
      </c>
      <c r="D56" t="s">
        <v>55</v>
      </c>
      <c r="E56" t="s">
        <v>3437</v>
      </c>
      <c r="F56" t="s">
        <v>3425</v>
      </c>
      <c r="G56" s="3">
        <v>35.967852425677201</v>
      </c>
      <c r="H56" s="3">
        <v>129.23335801465001</v>
      </c>
      <c r="I56" t="s">
        <v>3822</v>
      </c>
      <c r="J56" t="s">
        <v>7181</v>
      </c>
      <c r="K56" t="s">
        <v>10531</v>
      </c>
      <c r="L56" t="s">
        <v>3372</v>
      </c>
      <c r="M56" t="s">
        <v>11890</v>
      </c>
      <c r="N56" t="s">
        <v>3363</v>
      </c>
      <c r="O56" t="s">
        <v>3361</v>
      </c>
      <c r="P56" t="s">
        <v>15211</v>
      </c>
      <c r="Q56" t="s">
        <v>15211</v>
      </c>
      <c r="R56" t="s">
        <v>15211</v>
      </c>
      <c r="S56" t="s">
        <v>15211</v>
      </c>
      <c r="T56" t="s">
        <v>3368</v>
      </c>
      <c r="U56" t="s">
        <v>11977</v>
      </c>
      <c r="V56" t="s">
        <v>15220</v>
      </c>
    </row>
    <row r="57" spans="1:22" ht="17.399999999999999">
      <c r="A57" t="s">
        <v>15345</v>
      </c>
      <c r="B57" t="s">
        <v>15443</v>
      </c>
      <c r="C57" t="s">
        <v>15452</v>
      </c>
      <c r="D57" t="s">
        <v>56</v>
      </c>
      <c r="E57" t="s">
        <v>3438</v>
      </c>
      <c r="F57" t="s">
        <v>3434</v>
      </c>
      <c r="G57" s="3">
        <v>35.9678523930342</v>
      </c>
      <c r="H57" s="3">
        <v>129.23335800633399</v>
      </c>
      <c r="I57" t="s">
        <v>3823</v>
      </c>
      <c r="J57" t="s">
        <v>7182</v>
      </c>
      <c r="K57" t="s">
        <v>10532</v>
      </c>
      <c r="L57" t="s">
        <v>3366</v>
      </c>
      <c r="M57" t="s">
        <v>11890</v>
      </c>
      <c r="N57" t="s">
        <v>3363</v>
      </c>
      <c r="O57" t="s">
        <v>3361</v>
      </c>
      <c r="P57" t="s">
        <v>15211</v>
      </c>
      <c r="Q57" t="s">
        <v>15211</v>
      </c>
      <c r="R57" t="s">
        <v>15211</v>
      </c>
      <c r="S57" t="s">
        <v>15211</v>
      </c>
      <c r="T57" t="s">
        <v>3368</v>
      </c>
      <c r="U57" t="s">
        <v>11978</v>
      </c>
      <c r="V57" t="s">
        <v>15220</v>
      </c>
    </row>
    <row r="58" spans="1:22" ht="17.399999999999999">
      <c r="A58" t="s">
        <v>15345</v>
      </c>
      <c r="B58" t="s">
        <v>15443</v>
      </c>
      <c r="C58" t="s">
        <v>15452</v>
      </c>
      <c r="D58" t="s">
        <v>57</v>
      </c>
      <c r="E58" t="s">
        <v>3438</v>
      </c>
      <c r="F58" t="s">
        <v>3434</v>
      </c>
      <c r="G58" s="3">
        <v>35.967852382406903</v>
      </c>
      <c r="H58" s="3">
        <v>129.23335800897101</v>
      </c>
      <c r="I58" t="s">
        <v>3824</v>
      </c>
      <c r="J58" t="s">
        <v>7183</v>
      </c>
      <c r="K58" t="s">
        <v>10532</v>
      </c>
      <c r="L58" t="s">
        <v>3366</v>
      </c>
      <c r="M58" t="s">
        <v>11890</v>
      </c>
      <c r="N58" t="s">
        <v>3363</v>
      </c>
      <c r="O58" t="s">
        <v>3361</v>
      </c>
      <c r="P58" t="s">
        <v>15211</v>
      </c>
      <c r="Q58" t="s">
        <v>15211</v>
      </c>
      <c r="R58" t="s">
        <v>15211</v>
      </c>
      <c r="S58" t="s">
        <v>15211</v>
      </c>
      <c r="T58" t="s">
        <v>3368</v>
      </c>
      <c r="U58" t="s">
        <v>11979</v>
      </c>
      <c r="V58" t="s">
        <v>15220</v>
      </c>
    </row>
    <row r="59" spans="1:22" ht="17.399999999999999" hidden="1">
      <c r="A59" t="s">
        <v>15345</v>
      </c>
      <c r="B59" t="s">
        <v>15443</v>
      </c>
      <c r="C59" t="s">
        <v>15454</v>
      </c>
      <c r="D59" t="s">
        <v>58</v>
      </c>
      <c r="E59" t="s">
        <v>3435</v>
      </c>
      <c r="F59" t="s">
        <v>3450</v>
      </c>
      <c r="G59" s="3">
        <v>35.967852405349603</v>
      </c>
      <c r="H59" s="3">
        <v>129.23335796978299</v>
      </c>
      <c r="I59" t="s">
        <v>3825</v>
      </c>
      <c r="J59" t="s">
        <v>7184</v>
      </c>
      <c r="K59" t="s">
        <v>10533</v>
      </c>
      <c r="L59" t="s">
        <v>3385</v>
      </c>
      <c r="M59" t="s">
        <v>11890</v>
      </c>
      <c r="N59" t="s">
        <v>3363</v>
      </c>
      <c r="O59" t="s">
        <v>3360</v>
      </c>
      <c r="P59" t="s">
        <v>15211</v>
      </c>
      <c r="Q59" t="s">
        <v>15211</v>
      </c>
      <c r="R59" t="s">
        <v>15211</v>
      </c>
      <c r="S59" t="s">
        <v>15211</v>
      </c>
      <c r="T59" t="s">
        <v>3367</v>
      </c>
      <c r="U59" t="s">
        <v>11980</v>
      </c>
      <c r="V59" t="s">
        <v>15222</v>
      </c>
    </row>
    <row r="60" spans="1:22" ht="17.399999999999999" hidden="1">
      <c r="A60" t="s">
        <v>15345</v>
      </c>
      <c r="B60" t="s">
        <v>15443</v>
      </c>
      <c r="C60" t="s">
        <v>15454</v>
      </c>
      <c r="D60" t="s">
        <v>59</v>
      </c>
      <c r="E60" t="s">
        <v>3435</v>
      </c>
      <c r="F60" t="s">
        <v>3465</v>
      </c>
      <c r="G60" s="3">
        <v>35.967852449234201</v>
      </c>
      <c r="H60" s="3">
        <v>129.233357917512</v>
      </c>
      <c r="I60" t="s">
        <v>3826</v>
      </c>
      <c r="J60" t="s">
        <v>7185</v>
      </c>
      <c r="K60" t="s">
        <v>10534</v>
      </c>
      <c r="L60" t="s">
        <v>3366</v>
      </c>
      <c r="M60" t="s">
        <v>11890</v>
      </c>
      <c r="N60" t="s">
        <v>3364</v>
      </c>
      <c r="O60" t="s">
        <v>15211</v>
      </c>
      <c r="P60" t="s">
        <v>3362</v>
      </c>
      <c r="Q60" t="s">
        <v>15211</v>
      </c>
      <c r="R60" t="s">
        <v>15211</v>
      </c>
      <c r="S60" t="s">
        <v>15211</v>
      </c>
      <c r="T60" t="s">
        <v>3370</v>
      </c>
      <c r="U60" t="s">
        <v>11981</v>
      </c>
      <c r="V60" t="s">
        <v>15222</v>
      </c>
    </row>
    <row r="61" spans="1:22" ht="17.399999999999999" hidden="1">
      <c r="A61" t="s">
        <v>15345</v>
      </c>
      <c r="B61" t="s">
        <v>15443</v>
      </c>
      <c r="C61" t="s">
        <v>15454</v>
      </c>
      <c r="D61" t="s">
        <v>60</v>
      </c>
      <c r="E61" t="s">
        <v>3434</v>
      </c>
      <c r="F61" t="s">
        <v>3426</v>
      </c>
      <c r="G61" s="3">
        <v>35.967852459689297</v>
      </c>
      <c r="H61" s="3">
        <v>129.23335793344</v>
      </c>
      <c r="I61" t="s">
        <v>3827</v>
      </c>
      <c r="J61" t="s">
        <v>7186</v>
      </c>
      <c r="K61" t="s">
        <v>10534</v>
      </c>
      <c r="L61" t="s">
        <v>3366</v>
      </c>
      <c r="M61" t="s">
        <v>11890</v>
      </c>
      <c r="N61" t="s">
        <v>3364</v>
      </c>
      <c r="O61" t="s">
        <v>15211</v>
      </c>
      <c r="P61" t="s">
        <v>3362</v>
      </c>
      <c r="Q61" t="s">
        <v>15211</v>
      </c>
      <c r="R61" t="s">
        <v>15211</v>
      </c>
      <c r="S61" t="s">
        <v>15211</v>
      </c>
      <c r="T61" t="s">
        <v>3370</v>
      </c>
      <c r="U61" t="s">
        <v>11982</v>
      </c>
      <c r="V61" t="s">
        <v>15222</v>
      </c>
    </row>
    <row r="62" spans="1:22" ht="17.399999999999999" hidden="1">
      <c r="A62" t="s">
        <v>15346</v>
      </c>
      <c r="B62" t="s">
        <v>15441</v>
      </c>
      <c r="C62" t="s">
        <v>15445</v>
      </c>
      <c r="D62" t="s">
        <v>61</v>
      </c>
      <c r="E62" t="s">
        <v>3438</v>
      </c>
      <c r="F62" t="s">
        <v>3431</v>
      </c>
      <c r="G62" s="3">
        <v>35.867219364953101</v>
      </c>
      <c r="H62" s="3">
        <v>129.224866062486</v>
      </c>
      <c r="I62" t="s">
        <v>3828</v>
      </c>
      <c r="J62" t="s">
        <v>7187</v>
      </c>
      <c r="K62" t="s">
        <v>10535</v>
      </c>
      <c r="L62" t="s">
        <v>3366</v>
      </c>
      <c r="M62" t="s">
        <v>11885</v>
      </c>
      <c r="N62" t="s">
        <v>3364</v>
      </c>
      <c r="O62" t="s">
        <v>3360</v>
      </c>
      <c r="P62" t="s">
        <v>15211</v>
      </c>
      <c r="Q62" t="s">
        <v>15211</v>
      </c>
      <c r="R62" t="s">
        <v>15211</v>
      </c>
      <c r="S62" t="s">
        <v>15211</v>
      </c>
      <c r="T62" t="s">
        <v>3368</v>
      </c>
      <c r="U62" t="s">
        <v>11983</v>
      </c>
      <c r="V62" t="s">
        <v>15212</v>
      </c>
    </row>
    <row r="63" spans="1:22" ht="17.399999999999999" hidden="1">
      <c r="A63" t="s">
        <v>15346</v>
      </c>
      <c r="B63" t="s">
        <v>15441</v>
      </c>
      <c r="C63" t="s">
        <v>15445</v>
      </c>
      <c r="D63" t="s">
        <v>62</v>
      </c>
      <c r="E63" t="s">
        <v>3438</v>
      </c>
      <c r="F63" t="s">
        <v>3431</v>
      </c>
      <c r="G63" s="3">
        <v>35.8672193506018</v>
      </c>
      <c r="H63" s="3">
        <v>129.224866074213</v>
      </c>
      <c r="I63" t="s">
        <v>3829</v>
      </c>
      <c r="J63" t="s">
        <v>7188</v>
      </c>
      <c r="K63" t="s">
        <v>10535</v>
      </c>
      <c r="L63" t="s">
        <v>3366</v>
      </c>
      <c r="M63" t="s">
        <v>11885</v>
      </c>
      <c r="N63" t="s">
        <v>3364</v>
      </c>
      <c r="O63" t="s">
        <v>3360</v>
      </c>
      <c r="P63" t="s">
        <v>15211</v>
      </c>
      <c r="Q63" t="s">
        <v>15211</v>
      </c>
      <c r="R63" t="s">
        <v>15211</v>
      </c>
      <c r="S63" t="s">
        <v>15211</v>
      </c>
      <c r="T63" t="s">
        <v>3368</v>
      </c>
      <c r="U63" t="s">
        <v>11984</v>
      </c>
      <c r="V63" t="s">
        <v>15212</v>
      </c>
    </row>
    <row r="64" spans="1:22" ht="17.399999999999999" hidden="1">
      <c r="A64" t="s">
        <v>15346</v>
      </c>
      <c r="B64" t="s">
        <v>15441</v>
      </c>
      <c r="C64" t="s">
        <v>15445</v>
      </c>
      <c r="D64" t="s">
        <v>63</v>
      </c>
      <c r="E64" t="s">
        <v>3438</v>
      </c>
      <c r="F64" t="s">
        <v>3431</v>
      </c>
      <c r="G64" s="3">
        <v>35.867219319142599</v>
      </c>
      <c r="H64" s="3">
        <v>129.22486606776599</v>
      </c>
      <c r="I64" t="s">
        <v>3830</v>
      </c>
      <c r="J64" t="s">
        <v>7189</v>
      </c>
      <c r="K64" t="s">
        <v>10536</v>
      </c>
      <c r="L64" t="s">
        <v>3366</v>
      </c>
      <c r="M64" t="s">
        <v>11885</v>
      </c>
      <c r="N64" t="s">
        <v>3364</v>
      </c>
      <c r="O64" t="s">
        <v>3360</v>
      </c>
      <c r="P64" t="s">
        <v>15211</v>
      </c>
      <c r="Q64" t="s">
        <v>15211</v>
      </c>
      <c r="R64" t="s">
        <v>15211</v>
      </c>
      <c r="S64" t="s">
        <v>15211</v>
      </c>
      <c r="T64" t="s">
        <v>3368</v>
      </c>
      <c r="U64" t="s">
        <v>11985</v>
      </c>
      <c r="V64" t="s">
        <v>15212</v>
      </c>
    </row>
    <row r="65" spans="1:22" ht="17.399999999999999" hidden="1">
      <c r="A65" t="s">
        <v>15346</v>
      </c>
      <c r="B65" t="s">
        <v>15441</v>
      </c>
      <c r="C65" t="s">
        <v>15445</v>
      </c>
      <c r="D65" t="s">
        <v>64</v>
      </c>
      <c r="E65" t="s">
        <v>3438</v>
      </c>
      <c r="F65" t="s">
        <v>3431</v>
      </c>
      <c r="G65" s="3">
        <v>35.867219330868203</v>
      </c>
      <c r="H65" s="3">
        <v>129.224866076827</v>
      </c>
      <c r="I65" t="s">
        <v>3831</v>
      </c>
      <c r="J65" t="s">
        <v>7190</v>
      </c>
      <c r="K65" t="s">
        <v>10536</v>
      </c>
      <c r="L65" t="s">
        <v>3366</v>
      </c>
      <c r="M65" t="s">
        <v>11885</v>
      </c>
      <c r="N65" t="s">
        <v>3364</v>
      </c>
      <c r="O65" t="s">
        <v>3360</v>
      </c>
      <c r="P65" t="s">
        <v>15211</v>
      </c>
      <c r="Q65" t="s">
        <v>15211</v>
      </c>
      <c r="R65" t="s">
        <v>15211</v>
      </c>
      <c r="S65" t="s">
        <v>15211</v>
      </c>
      <c r="T65" t="s">
        <v>3368</v>
      </c>
      <c r="U65" t="s">
        <v>11986</v>
      </c>
      <c r="V65" t="s">
        <v>15212</v>
      </c>
    </row>
    <row r="66" spans="1:22" ht="17.399999999999999" hidden="1">
      <c r="A66" t="s">
        <v>15346</v>
      </c>
      <c r="B66" t="s">
        <v>15441</v>
      </c>
      <c r="C66" t="s">
        <v>15446</v>
      </c>
      <c r="D66" t="s">
        <v>65</v>
      </c>
      <c r="E66" t="s">
        <v>3427</v>
      </c>
      <c r="F66" t="s">
        <v>3442</v>
      </c>
      <c r="G66" s="3">
        <v>35.867219373835098</v>
      </c>
      <c r="H66" s="3">
        <v>129.22486609834201</v>
      </c>
      <c r="I66" t="s">
        <v>3832</v>
      </c>
      <c r="J66" t="s">
        <v>7191</v>
      </c>
      <c r="K66" t="s">
        <v>10537</v>
      </c>
      <c r="L66" t="s">
        <v>3374</v>
      </c>
      <c r="M66" t="s">
        <v>11886</v>
      </c>
      <c r="N66" t="s">
        <v>3363</v>
      </c>
      <c r="O66" t="s">
        <v>3360</v>
      </c>
      <c r="P66" t="s">
        <v>15211</v>
      </c>
      <c r="Q66" t="s">
        <v>15211</v>
      </c>
      <c r="R66" t="s">
        <v>15211</v>
      </c>
      <c r="S66" t="s">
        <v>15211</v>
      </c>
      <c r="T66" t="s">
        <v>3367</v>
      </c>
      <c r="U66" t="s">
        <v>11987</v>
      </c>
      <c r="V66" t="s">
        <v>15213</v>
      </c>
    </row>
    <row r="67" spans="1:22" ht="17.399999999999999" hidden="1">
      <c r="A67" t="s">
        <v>15346</v>
      </c>
      <c r="B67" t="s">
        <v>15441</v>
      </c>
      <c r="C67" t="s">
        <v>15446</v>
      </c>
      <c r="D67" t="s">
        <v>66</v>
      </c>
      <c r="E67" t="s">
        <v>3438</v>
      </c>
      <c r="F67" t="s">
        <v>3435</v>
      </c>
      <c r="G67" s="3">
        <v>35.867219407485301</v>
      </c>
      <c r="H67" s="3">
        <v>129.22486606935701</v>
      </c>
      <c r="I67" t="s">
        <v>3833</v>
      </c>
      <c r="J67" t="s">
        <v>7192</v>
      </c>
      <c r="K67" t="s">
        <v>10538</v>
      </c>
      <c r="L67" t="s">
        <v>3366</v>
      </c>
      <c r="M67" t="s">
        <v>11885</v>
      </c>
      <c r="N67" t="s">
        <v>3363</v>
      </c>
      <c r="O67" t="s">
        <v>3360</v>
      </c>
      <c r="P67" t="s">
        <v>15211</v>
      </c>
      <c r="Q67" t="s">
        <v>15211</v>
      </c>
      <c r="R67" t="s">
        <v>15211</v>
      </c>
      <c r="S67" t="s">
        <v>15211</v>
      </c>
      <c r="T67" t="s">
        <v>3367</v>
      </c>
      <c r="U67" t="s">
        <v>11988</v>
      </c>
      <c r="V67" t="s">
        <v>15213</v>
      </c>
    </row>
    <row r="68" spans="1:22" ht="17.399999999999999" hidden="1">
      <c r="A68" t="s">
        <v>15346</v>
      </c>
      <c r="B68" t="s">
        <v>15441</v>
      </c>
      <c r="C68" t="s">
        <v>15446</v>
      </c>
      <c r="D68" t="s">
        <v>67</v>
      </c>
      <c r="E68" t="s">
        <v>3427</v>
      </c>
      <c r="F68" t="s">
        <v>3429</v>
      </c>
      <c r="G68" s="3">
        <v>35.867219459826998</v>
      </c>
      <c r="H68" s="3">
        <v>129.22486611057801</v>
      </c>
      <c r="I68" t="s">
        <v>3834</v>
      </c>
      <c r="J68" t="s">
        <v>7193</v>
      </c>
      <c r="K68" t="s">
        <v>10539</v>
      </c>
      <c r="L68" t="s">
        <v>3366</v>
      </c>
      <c r="M68" t="s">
        <v>11885</v>
      </c>
      <c r="N68" t="s">
        <v>3364</v>
      </c>
      <c r="O68" t="s">
        <v>3360</v>
      </c>
      <c r="P68" t="s">
        <v>15211</v>
      </c>
      <c r="Q68" t="s">
        <v>15211</v>
      </c>
      <c r="R68" t="s">
        <v>15211</v>
      </c>
      <c r="S68" t="s">
        <v>15211</v>
      </c>
      <c r="T68" t="s">
        <v>3368</v>
      </c>
      <c r="U68" t="s">
        <v>11989</v>
      </c>
      <c r="V68" t="s">
        <v>15213</v>
      </c>
    </row>
    <row r="69" spans="1:22" ht="17.399999999999999" hidden="1">
      <c r="A69" t="s">
        <v>15346</v>
      </c>
      <c r="B69" t="s">
        <v>15441</v>
      </c>
      <c r="C69" t="s">
        <v>15447</v>
      </c>
      <c r="D69" t="s">
        <v>68</v>
      </c>
      <c r="E69" t="s">
        <v>3427</v>
      </c>
      <c r="F69" t="s">
        <v>3435</v>
      </c>
      <c r="G69" s="3">
        <v>35.867219356283599</v>
      </c>
      <c r="H69" s="3">
        <v>129.224866176658</v>
      </c>
      <c r="I69" t="s">
        <v>3835</v>
      </c>
      <c r="J69" t="s">
        <v>7194</v>
      </c>
      <c r="K69" t="s">
        <v>10540</v>
      </c>
      <c r="L69" t="s">
        <v>3382</v>
      </c>
      <c r="M69" t="s">
        <v>11892</v>
      </c>
      <c r="N69" t="s">
        <v>3364</v>
      </c>
      <c r="O69" t="s">
        <v>15211</v>
      </c>
      <c r="P69" t="s">
        <v>15211</v>
      </c>
      <c r="Q69" t="s">
        <v>15211</v>
      </c>
      <c r="R69" t="s">
        <v>15211</v>
      </c>
      <c r="S69" t="s">
        <v>15211</v>
      </c>
      <c r="T69" t="s">
        <v>3364</v>
      </c>
      <c r="U69" t="s">
        <v>11990</v>
      </c>
      <c r="V69" t="s">
        <v>15214</v>
      </c>
    </row>
    <row r="70" spans="1:22" ht="17.399999999999999" hidden="1">
      <c r="A70" t="s">
        <v>15346</v>
      </c>
      <c r="B70" t="s">
        <v>15441</v>
      </c>
      <c r="C70" t="s">
        <v>15447</v>
      </c>
      <c r="D70" t="s">
        <v>69</v>
      </c>
      <c r="E70" t="s">
        <v>3427</v>
      </c>
      <c r="F70" t="s">
        <v>3430</v>
      </c>
      <c r="G70" s="3">
        <v>35.867219354752898</v>
      </c>
      <c r="H70" s="3">
        <v>129.22486615655299</v>
      </c>
      <c r="I70" t="s">
        <v>3836</v>
      </c>
      <c r="J70" t="s">
        <v>7195</v>
      </c>
      <c r="K70" t="s">
        <v>10540</v>
      </c>
      <c r="L70" t="s">
        <v>3366</v>
      </c>
      <c r="M70" t="s">
        <v>11892</v>
      </c>
      <c r="N70" t="s">
        <v>3364</v>
      </c>
      <c r="O70" t="s">
        <v>15211</v>
      </c>
      <c r="P70" t="s">
        <v>15211</v>
      </c>
      <c r="Q70" t="s">
        <v>15211</v>
      </c>
      <c r="R70" t="s">
        <v>15211</v>
      </c>
      <c r="S70" t="s">
        <v>15211</v>
      </c>
      <c r="T70" t="s">
        <v>3364</v>
      </c>
      <c r="U70" t="s">
        <v>11991</v>
      </c>
      <c r="V70" t="s">
        <v>15214</v>
      </c>
    </row>
    <row r="71" spans="1:22" ht="17.399999999999999" hidden="1">
      <c r="A71" t="s">
        <v>15346</v>
      </c>
      <c r="B71" t="s">
        <v>15441</v>
      </c>
      <c r="C71" t="s">
        <v>15447</v>
      </c>
      <c r="D71" t="s">
        <v>70</v>
      </c>
      <c r="E71" t="s">
        <v>3427</v>
      </c>
      <c r="F71" t="s">
        <v>3429</v>
      </c>
      <c r="G71" s="3">
        <v>35.867219370725103</v>
      </c>
      <c r="H71" s="3">
        <v>129.22486614645001</v>
      </c>
      <c r="I71" t="s">
        <v>3837</v>
      </c>
      <c r="J71" t="s">
        <v>7196</v>
      </c>
      <c r="K71" t="s">
        <v>10541</v>
      </c>
      <c r="L71" t="s">
        <v>3366</v>
      </c>
      <c r="M71" t="s">
        <v>11892</v>
      </c>
      <c r="N71" t="s">
        <v>3364</v>
      </c>
      <c r="O71" t="s">
        <v>15211</v>
      </c>
      <c r="P71" t="s">
        <v>15211</v>
      </c>
      <c r="Q71" t="s">
        <v>15211</v>
      </c>
      <c r="R71" t="s">
        <v>15211</v>
      </c>
      <c r="S71" t="s">
        <v>15211</v>
      </c>
      <c r="T71" t="s">
        <v>3364</v>
      </c>
      <c r="U71" t="s">
        <v>11992</v>
      </c>
      <c r="V71" t="s">
        <v>15214</v>
      </c>
    </row>
    <row r="72" spans="1:22" ht="17.399999999999999" hidden="1">
      <c r="A72" t="s">
        <v>15346</v>
      </c>
      <c r="B72" t="s">
        <v>15441</v>
      </c>
      <c r="C72" t="s">
        <v>15448</v>
      </c>
      <c r="D72" t="s">
        <v>71</v>
      </c>
      <c r="E72" t="s">
        <v>3435</v>
      </c>
      <c r="F72" t="s">
        <v>3450</v>
      </c>
      <c r="G72" s="3">
        <v>35.867219403486601</v>
      </c>
      <c r="H72" s="3">
        <v>129.22486596922499</v>
      </c>
      <c r="I72" t="s">
        <v>3838</v>
      </c>
      <c r="J72" t="s">
        <v>7197</v>
      </c>
      <c r="K72" t="s">
        <v>10542</v>
      </c>
      <c r="L72" t="s">
        <v>3378</v>
      </c>
      <c r="M72" t="s">
        <v>11891</v>
      </c>
      <c r="N72" t="s">
        <v>3364</v>
      </c>
      <c r="O72" t="s">
        <v>3359</v>
      </c>
      <c r="P72" t="s">
        <v>3361</v>
      </c>
      <c r="Q72" t="s">
        <v>3359</v>
      </c>
      <c r="R72" t="s">
        <v>3357</v>
      </c>
      <c r="S72" t="s">
        <v>15211</v>
      </c>
      <c r="T72" t="s">
        <v>3376</v>
      </c>
      <c r="U72" t="s">
        <v>11993</v>
      </c>
      <c r="V72" t="s">
        <v>15215</v>
      </c>
    </row>
    <row r="73" spans="1:22" ht="17.399999999999999" hidden="1">
      <c r="A73" t="s">
        <v>15346</v>
      </c>
      <c r="B73" t="s">
        <v>15441</v>
      </c>
      <c r="C73" t="s">
        <v>15448</v>
      </c>
      <c r="D73" t="s">
        <v>72</v>
      </c>
      <c r="E73" t="s">
        <v>3430</v>
      </c>
      <c r="F73" t="s">
        <v>3511</v>
      </c>
      <c r="G73" s="3">
        <v>35.867219398790702</v>
      </c>
      <c r="H73" s="3">
        <v>129.224866032215</v>
      </c>
      <c r="I73" t="s">
        <v>3839</v>
      </c>
      <c r="J73" t="s">
        <v>7198</v>
      </c>
      <c r="K73" t="s">
        <v>3621</v>
      </c>
      <c r="L73" t="s">
        <v>3366</v>
      </c>
      <c r="M73" t="s">
        <v>11891</v>
      </c>
      <c r="N73" t="s">
        <v>3364</v>
      </c>
      <c r="O73" t="s">
        <v>3360</v>
      </c>
      <c r="P73" t="s">
        <v>3362</v>
      </c>
      <c r="Q73" t="s">
        <v>3360</v>
      </c>
      <c r="R73" t="s">
        <v>3358</v>
      </c>
      <c r="S73" t="s">
        <v>15211</v>
      </c>
      <c r="T73" t="s">
        <v>3380</v>
      </c>
      <c r="U73" t="s">
        <v>11994</v>
      </c>
      <c r="V73" t="s">
        <v>15215</v>
      </c>
    </row>
    <row r="74" spans="1:22" ht="17.399999999999999" hidden="1">
      <c r="A74" t="s">
        <v>15346</v>
      </c>
      <c r="B74" t="s">
        <v>15441</v>
      </c>
      <c r="C74" t="s">
        <v>15448</v>
      </c>
      <c r="D74" t="s">
        <v>73</v>
      </c>
      <c r="E74" t="s">
        <v>3441</v>
      </c>
      <c r="F74" t="s">
        <v>3579</v>
      </c>
      <c r="G74" s="3">
        <v>35.867219418491402</v>
      </c>
      <c r="H74" s="3">
        <v>129.22486599734501</v>
      </c>
      <c r="I74" t="s">
        <v>3840</v>
      </c>
      <c r="J74" t="s">
        <v>7199</v>
      </c>
      <c r="K74" t="s">
        <v>3621</v>
      </c>
      <c r="L74" t="s">
        <v>3366</v>
      </c>
      <c r="M74" t="s">
        <v>11891</v>
      </c>
      <c r="N74" t="s">
        <v>3365</v>
      </c>
      <c r="O74" t="s">
        <v>3360</v>
      </c>
      <c r="P74" t="s">
        <v>3362</v>
      </c>
      <c r="Q74" t="s">
        <v>3360</v>
      </c>
      <c r="R74" t="s">
        <v>3358</v>
      </c>
      <c r="S74" t="s">
        <v>15211</v>
      </c>
      <c r="T74" t="s">
        <v>3381</v>
      </c>
      <c r="U74" t="s">
        <v>11995</v>
      </c>
      <c r="V74" t="s">
        <v>15215</v>
      </c>
    </row>
    <row r="75" spans="1:22" ht="17.399999999999999" hidden="1">
      <c r="A75" t="s">
        <v>15346</v>
      </c>
      <c r="B75" t="s">
        <v>15441</v>
      </c>
      <c r="C75" t="s">
        <v>15449</v>
      </c>
      <c r="D75" t="s">
        <v>74</v>
      </c>
      <c r="E75" t="s">
        <v>3436</v>
      </c>
      <c r="F75" t="s">
        <v>3442</v>
      </c>
      <c r="G75" s="3">
        <v>35.867219430397199</v>
      </c>
      <c r="H75" s="3">
        <v>129.224866007418</v>
      </c>
      <c r="I75" t="s">
        <v>3841</v>
      </c>
      <c r="J75" t="s">
        <v>7200</v>
      </c>
      <c r="K75" t="s">
        <v>10543</v>
      </c>
      <c r="L75" t="s">
        <v>3374</v>
      </c>
      <c r="M75" t="s">
        <v>11891</v>
      </c>
      <c r="N75" t="s">
        <v>3365</v>
      </c>
      <c r="O75" t="s">
        <v>3360</v>
      </c>
      <c r="P75" t="s">
        <v>3361</v>
      </c>
      <c r="Q75" t="s">
        <v>3360</v>
      </c>
      <c r="R75" t="s">
        <v>3357</v>
      </c>
      <c r="S75" t="s">
        <v>15211</v>
      </c>
      <c r="T75" t="s">
        <v>3379</v>
      </c>
      <c r="U75" t="s">
        <v>11996</v>
      </c>
      <c r="V75" t="s">
        <v>15216</v>
      </c>
    </row>
    <row r="76" spans="1:22" ht="17.399999999999999" hidden="1">
      <c r="A76" t="s">
        <v>15346</v>
      </c>
      <c r="B76" t="s">
        <v>15441</v>
      </c>
      <c r="C76" t="s">
        <v>15449</v>
      </c>
      <c r="D76" t="s">
        <v>75</v>
      </c>
      <c r="E76" t="s">
        <v>3425</v>
      </c>
      <c r="F76" t="s">
        <v>3432</v>
      </c>
      <c r="G76" s="3">
        <v>35.867219452215302</v>
      </c>
      <c r="H76" s="3">
        <v>129.22486605967799</v>
      </c>
      <c r="I76" t="s">
        <v>3842</v>
      </c>
      <c r="J76" t="s">
        <v>7201</v>
      </c>
      <c r="K76" t="s">
        <v>10544</v>
      </c>
      <c r="L76" t="s">
        <v>3366</v>
      </c>
      <c r="M76" t="s">
        <v>11893</v>
      </c>
      <c r="N76" t="s">
        <v>3365</v>
      </c>
      <c r="O76" t="s">
        <v>3360</v>
      </c>
      <c r="P76" t="s">
        <v>3362</v>
      </c>
      <c r="Q76" t="s">
        <v>3360</v>
      </c>
      <c r="R76" t="s">
        <v>3358</v>
      </c>
      <c r="S76" t="s">
        <v>15211</v>
      </c>
      <c r="T76" t="s">
        <v>3381</v>
      </c>
      <c r="U76" t="s">
        <v>11997</v>
      </c>
      <c r="V76" t="s">
        <v>15216</v>
      </c>
    </row>
    <row r="77" spans="1:22" ht="17.399999999999999" hidden="1">
      <c r="A77" t="s">
        <v>15346</v>
      </c>
      <c r="B77" t="s">
        <v>15441</v>
      </c>
      <c r="C77" t="s">
        <v>15449</v>
      </c>
      <c r="D77" t="s">
        <v>76</v>
      </c>
      <c r="E77" t="s">
        <v>3431</v>
      </c>
      <c r="F77" t="s">
        <v>3433</v>
      </c>
      <c r="G77" s="3">
        <v>35.867219476468399</v>
      </c>
      <c r="H77" s="3">
        <v>129.22486606939799</v>
      </c>
      <c r="I77" t="s">
        <v>3843</v>
      </c>
      <c r="J77" t="s">
        <v>7202</v>
      </c>
      <c r="K77" t="s">
        <v>10544</v>
      </c>
      <c r="L77" t="s">
        <v>3366</v>
      </c>
      <c r="M77" t="s">
        <v>11893</v>
      </c>
      <c r="N77" t="s">
        <v>3365</v>
      </c>
      <c r="O77" t="s">
        <v>3360</v>
      </c>
      <c r="P77" t="s">
        <v>3362</v>
      </c>
      <c r="Q77" t="s">
        <v>3360</v>
      </c>
      <c r="R77" t="s">
        <v>3358</v>
      </c>
      <c r="S77" t="s">
        <v>15211</v>
      </c>
      <c r="T77" t="s">
        <v>3381</v>
      </c>
      <c r="U77" t="s">
        <v>11991</v>
      </c>
      <c r="V77" t="s">
        <v>15216</v>
      </c>
    </row>
    <row r="78" spans="1:22" ht="17.399999999999999" hidden="1">
      <c r="A78" t="s">
        <v>15346</v>
      </c>
      <c r="B78" t="s">
        <v>15442</v>
      </c>
      <c r="C78" t="s">
        <v>15450</v>
      </c>
      <c r="D78" t="s">
        <v>77</v>
      </c>
      <c r="E78" t="s">
        <v>3434</v>
      </c>
      <c r="F78" t="s">
        <v>3484</v>
      </c>
      <c r="G78" s="3">
        <v>35.867219626400797</v>
      </c>
      <c r="H78" s="3">
        <v>129.22486619810101</v>
      </c>
      <c r="I78" t="s">
        <v>3844</v>
      </c>
      <c r="J78" t="s">
        <v>7203</v>
      </c>
      <c r="K78" t="s">
        <v>10545</v>
      </c>
      <c r="L78" t="s">
        <v>3375</v>
      </c>
      <c r="M78" t="s">
        <v>11890</v>
      </c>
      <c r="N78" t="s">
        <v>3365</v>
      </c>
      <c r="O78" t="s">
        <v>3360</v>
      </c>
      <c r="P78" t="s">
        <v>15211</v>
      </c>
      <c r="Q78" t="s">
        <v>15211</v>
      </c>
      <c r="R78" t="s">
        <v>15211</v>
      </c>
      <c r="S78" t="s">
        <v>15211</v>
      </c>
      <c r="T78" t="s">
        <v>3369</v>
      </c>
      <c r="U78" t="s">
        <v>11998</v>
      </c>
      <c r="V78" t="s">
        <v>15217</v>
      </c>
    </row>
    <row r="79" spans="1:22" ht="17.399999999999999" hidden="1">
      <c r="A79" t="s">
        <v>15346</v>
      </c>
      <c r="B79" t="s">
        <v>15442</v>
      </c>
      <c r="C79" t="s">
        <v>15450</v>
      </c>
      <c r="D79" t="s">
        <v>78</v>
      </c>
      <c r="E79" t="s">
        <v>3435</v>
      </c>
      <c r="F79" t="s">
        <v>3478</v>
      </c>
      <c r="G79" s="3">
        <v>35.8672195585062</v>
      </c>
      <c r="H79" s="3">
        <v>129.224866195836</v>
      </c>
      <c r="I79" t="s">
        <v>3845</v>
      </c>
      <c r="J79" t="s">
        <v>7204</v>
      </c>
      <c r="K79" t="s">
        <v>10545</v>
      </c>
      <c r="L79" t="s">
        <v>3366</v>
      </c>
      <c r="M79" t="s">
        <v>11890</v>
      </c>
      <c r="N79" t="s">
        <v>3365</v>
      </c>
      <c r="O79" t="s">
        <v>3360</v>
      </c>
      <c r="P79" t="s">
        <v>15211</v>
      </c>
      <c r="Q79" t="s">
        <v>15211</v>
      </c>
      <c r="R79" t="s">
        <v>15211</v>
      </c>
      <c r="S79" t="s">
        <v>15211</v>
      </c>
      <c r="T79" t="s">
        <v>3369</v>
      </c>
      <c r="U79" t="s">
        <v>11999</v>
      </c>
      <c r="V79" t="s">
        <v>15217</v>
      </c>
    </row>
    <row r="80" spans="1:22" ht="17.399999999999999" hidden="1">
      <c r="A80" t="s">
        <v>15346</v>
      </c>
      <c r="B80" t="s">
        <v>15442</v>
      </c>
      <c r="C80" t="s">
        <v>15450</v>
      </c>
      <c r="D80" t="s">
        <v>79</v>
      </c>
      <c r="E80" t="s">
        <v>3435</v>
      </c>
      <c r="F80" t="s">
        <v>3484</v>
      </c>
      <c r="G80" s="3">
        <v>35.867219536874401</v>
      </c>
      <c r="H80" s="3">
        <v>129.22486611510499</v>
      </c>
      <c r="I80" t="s">
        <v>3846</v>
      </c>
      <c r="J80" t="s">
        <v>7205</v>
      </c>
      <c r="K80" t="s">
        <v>10546</v>
      </c>
      <c r="L80" t="s">
        <v>3366</v>
      </c>
      <c r="M80" t="s">
        <v>11885</v>
      </c>
      <c r="N80" t="s">
        <v>3365</v>
      </c>
      <c r="O80" t="s">
        <v>3360</v>
      </c>
      <c r="P80" t="s">
        <v>15211</v>
      </c>
      <c r="Q80" t="s">
        <v>15211</v>
      </c>
      <c r="R80" t="s">
        <v>15211</v>
      </c>
      <c r="S80" t="s">
        <v>15211</v>
      </c>
      <c r="T80" t="s">
        <v>3369</v>
      </c>
      <c r="U80" t="s">
        <v>12000</v>
      </c>
      <c r="V80" t="s">
        <v>15217</v>
      </c>
    </row>
    <row r="81" spans="1:22" ht="17.399999999999999" hidden="1">
      <c r="A81" t="s">
        <v>15346</v>
      </c>
      <c r="B81" t="s">
        <v>15442</v>
      </c>
      <c r="C81" t="s">
        <v>15445</v>
      </c>
      <c r="D81" t="s">
        <v>80</v>
      </c>
      <c r="E81" t="s">
        <v>3440</v>
      </c>
      <c r="F81" t="s">
        <v>3431</v>
      </c>
      <c r="G81" s="3">
        <v>35.867219432585898</v>
      </c>
      <c r="H81" s="3">
        <v>129.224866001603</v>
      </c>
      <c r="I81" t="s">
        <v>3847</v>
      </c>
      <c r="J81" t="s">
        <v>7206</v>
      </c>
      <c r="K81" t="s">
        <v>10545</v>
      </c>
      <c r="L81" t="s">
        <v>3376</v>
      </c>
      <c r="M81" t="s">
        <v>11890</v>
      </c>
      <c r="N81" t="s">
        <v>3365</v>
      </c>
      <c r="O81" t="s">
        <v>3360</v>
      </c>
      <c r="P81" t="s">
        <v>15211</v>
      </c>
      <c r="Q81" t="s">
        <v>15211</v>
      </c>
      <c r="R81" t="s">
        <v>15211</v>
      </c>
      <c r="S81" t="s">
        <v>15211</v>
      </c>
      <c r="T81" t="s">
        <v>3369</v>
      </c>
      <c r="U81" t="s">
        <v>12001</v>
      </c>
      <c r="V81" t="s">
        <v>15218</v>
      </c>
    </row>
    <row r="82" spans="1:22" ht="17.399999999999999" hidden="1">
      <c r="A82" t="s">
        <v>15346</v>
      </c>
      <c r="B82" t="s">
        <v>15442</v>
      </c>
      <c r="C82" t="s">
        <v>15445</v>
      </c>
      <c r="D82" t="s">
        <v>81</v>
      </c>
      <c r="E82" t="s">
        <v>3440</v>
      </c>
      <c r="F82" t="s">
        <v>3431</v>
      </c>
      <c r="G82" s="3">
        <v>35.867219446591101</v>
      </c>
      <c r="H82" s="3">
        <v>129.22486604191599</v>
      </c>
      <c r="I82" t="s">
        <v>3848</v>
      </c>
      <c r="J82" t="s">
        <v>7207</v>
      </c>
      <c r="K82" t="s">
        <v>10547</v>
      </c>
      <c r="L82" t="s">
        <v>3366</v>
      </c>
      <c r="M82" t="s">
        <v>11890</v>
      </c>
      <c r="N82" t="s">
        <v>3365</v>
      </c>
      <c r="O82" t="s">
        <v>3360</v>
      </c>
      <c r="P82" t="s">
        <v>15211</v>
      </c>
      <c r="Q82" t="s">
        <v>15211</v>
      </c>
      <c r="R82" t="s">
        <v>15211</v>
      </c>
      <c r="S82" t="s">
        <v>15211</v>
      </c>
      <c r="T82" t="s">
        <v>3369</v>
      </c>
      <c r="U82" t="s">
        <v>12002</v>
      </c>
      <c r="V82" t="s">
        <v>15218</v>
      </c>
    </row>
    <row r="83" spans="1:22" ht="17.399999999999999" hidden="1">
      <c r="A83" t="s">
        <v>15346</v>
      </c>
      <c r="B83" t="s">
        <v>15442</v>
      </c>
      <c r="C83" t="s">
        <v>15445</v>
      </c>
      <c r="D83" t="s">
        <v>82</v>
      </c>
      <c r="E83" t="s">
        <v>3440</v>
      </c>
      <c r="F83" t="s">
        <v>3431</v>
      </c>
      <c r="G83" s="3">
        <v>35.867219486053102</v>
      </c>
      <c r="H83" s="3">
        <v>129.22486604564401</v>
      </c>
      <c r="I83" t="s">
        <v>3849</v>
      </c>
      <c r="J83" t="s">
        <v>7208</v>
      </c>
      <c r="K83" t="s">
        <v>10547</v>
      </c>
      <c r="L83" t="s">
        <v>3366</v>
      </c>
      <c r="M83" t="s">
        <v>11890</v>
      </c>
      <c r="N83" t="s">
        <v>3365</v>
      </c>
      <c r="O83" t="s">
        <v>3360</v>
      </c>
      <c r="P83" t="s">
        <v>15211</v>
      </c>
      <c r="Q83" t="s">
        <v>15211</v>
      </c>
      <c r="R83" t="s">
        <v>15211</v>
      </c>
      <c r="S83" t="s">
        <v>15211</v>
      </c>
      <c r="T83" t="s">
        <v>3369</v>
      </c>
      <c r="U83" t="s">
        <v>12003</v>
      </c>
      <c r="V83" t="s">
        <v>15218</v>
      </c>
    </row>
    <row r="84" spans="1:22" ht="17.399999999999999" hidden="1">
      <c r="A84" t="s">
        <v>15346</v>
      </c>
      <c r="B84" t="s">
        <v>15442</v>
      </c>
      <c r="C84" t="s">
        <v>15451</v>
      </c>
      <c r="D84" t="s">
        <v>83</v>
      </c>
      <c r="E84" t="s">
        <v>3440</v>
      </c>
      <c r="F84" t="s">
        <v>3425</v>
      </c>
      <c r="G84" s="3">
        <v>35.867219387665997</v>
      </c>
      <c r="H84" s="3">
        <v>129.22486603679701</v>
      </c>
      <c r="I84" t="s">
        <v>3850</v>
      </c>
      <c r="J84" t="s">
        <v>7209</v>
      </c>
      <c r="K84" t="s">
        <v>10548</v>
      </c>
      <c r="L84" t="s">
        <v>3382</v>
      </c>
      <c r="M84" t="s">
        <v>11891</v>
      </c>
      <c r="N84" t="s">
        <v>3364</v>
      </c>
      <c r="O84" t="s">
        <v>3360</v>
      </c>
      <c r="P84" t="s">
        <v>3361</v>
      </c>
      <c r="Q84" t="s">
        <v>3359</v>
      </c>
      <c r="R84" t="s">
        <v>15211</v>
      </c>
      <c r="S84" t="s">
        <v>15211</v>
      </c>
      <c r="T84" t="s">
        <v>3376</v>
      </c>
      <c r="U84" t="s">
        <v>12004</v>
      </c>
      <c r="V84" t="s">
        <v>15219</v>
      </c>
    </row>
    <row r="85" spans="1:22" ht="17.399999999999999" hidden="1">
      <c r="A85" t="s">
        <v>15346</v>
      </c>
      <c r="B85" t="s">
        <v>15442</v>
      </c>
      <c r="C85" t="s">
        <v>15451</v>
      </c>
      <c r="D85" t="s">
        <v>84</v>
      </c>
      <c r="E85" t="s">
        <v>3440</v>
      </c>
      <c r="F85" t="s">
        <v>3425</v>
      </c>
      <c r="G85" s="3">
        <v>35.867219377205799</v>
      </c>
      <c r="H85" s="3">
        <v>129.22486602591599</v>
      </c>
      <c r="I85" t="s">
        <v>3851</v>
      </c>
      <c r="J85" t="s">
        <v>7210</v>
      </c>
      <c r="K85" t="s">
        <v>10549</v>
      </c>
      <c r="L85" t="s">
        <v>3366</v>
      </c>
      <c r="M85" t="s">
        <v>11891</v>
      </c>
      <c r="N85" t="s">
        <v>3365</v>
      </c>
      <c r="O85" t="s">
        <v>3360</v>
      </c>
      <c r="P85" t="s">
        <v>3363</v>
      </c>
      <c r="Q85" t="s">
        <v>3360</v>
      </c>
      <c r="R85" t="s">
        <v>15211</v>
      </c>
      <c r="S85" t="s">
        <v>15211</v>
      </c>
      <c r="T85" t="s">
        <v>3380</v>
      </c>
      <c r="U85" t="s">
        <v>11991</v>
      </c>
      <c r="V85" t="s">
        <v>15219</v>
      </c>
    </row>
    <row r="86" spans="1:22" ht="17.399999999999999" hidden="1">
      <c r="A86" t="s">
        <v>15346</v>
      </c>
      <c r="B86" t="s">
        <v>15442</v>
      </c>
      <c r="C86" t="s">
        <v>15451</v>
      </c>
      <c r="D86" t="s">
        <v>85</v>
      </c>
      <c r="E86" t="s">
        <v>3440</v>
      </c>
      <c r="F86" t="s">
        <v>3425</v>
      </c>
      <c r="G86" s="3">
        <v>35.867219360511498</v>
      </c>
      <c r="H86" s="3">
        <v>129.224866005059</v>
      </c>
      <c r="I86" t="s">
        <v>3852</v>
      </c>
      <c r="J86" t="s">
        <v>7211</v>
      </c>
      <c r="K86" t="s">
        <v>10549</v>
      </c>
      <c r="L86" t="s">
        <v>3366</v>
      </c>
      <c r="M86" t="s">
        <v>11891</v>
      </c>
      <c r="N86" t="s">
        <v>3365</v>
      </c>
      <c r="O86" t="s">
        <v>3360</v>
      </c>
      <c r="P86" t="s">
        <v>3363</v>
      </c>
      <c r="Q86" t="s">
        <v>3360</v>
      </c>
      <c r="R86" t="s">
        <v>15211</v>
      </c>
      <c r="S86" t="s">
        <v>15211</v>
      </c>
      <c r="T86" t="s">
        <v>3380</v>
      </c>
      <c r="U86" t="s">
        <v>12005</v>
      </c>
      <c r="V86" t="s">
        <v>15219</v>
      </c>
    </row>
    <row r="87" spans="1:22" ht="17.399999999999999">
      <c r="A87" t="s">
        <v>15346</v>
      </c>
      <c r="B87" t="s">
        <v>15443</v>
      </c>
      <c r="C87" t="s">
        <v>15452</v>
      </c>
      <c r="D87" t="s">
        <v>86</v>
      </c>
      <c r="E87" t="s">
        <v>3440</v>
      </c>
      <c r="F87" t="s">
        <v>3436</v>
      </c>
      <c r="G87" s="3">
        <v>35.867219195370097</v>
      </c>
      <c r="H87" s="3">
        <v>129.22486589010501</v>
      </c>
      <c r="I87" t="s">
        <v>3853</v>
      </c>
      <c r="J87" t="s">
        <v>7212</v>
      </c>
      <c r="K87" t="s">
        <v>10550</v>
      </c>
      <c r="L87" t="s">
        <v>3372</v>
      </c>
      <c r="M87" t="s">
        <v>11894</v>
      </c>
      <c r="N87" t="s">
        <v>3363</v>
      </c>
      <c r="O87" t="s">
        <v>15211</v>
      </c>
      <c r="P87" t="s">
        <v>3363</v>
      </c>
      <c r="Q87" t="s">
        <v>15211</v>
      </c>
      <c r="R87" t="s">
        <v>15211</v>
      </c>
      <c r="S87" t="s">
        <v>15211</v>
      </c>
      <c r="T87" t="s">
        <v>3370</v>
      </c>
      <c r="U87" t="s">
        <v>12006</v>
      </c>
      <c r="V87" t="s">
        <v>15220</v>
      </c>
    </row>
    <row r="88" spans="1:22" ht="17.399999999999999">
      <c r="A88" t="s">
        <v>15346</v>
      </c>
      <c r="B88" t="s">
        <v>15443</v>
      </c>
      <c r="C88" t="s">
        <v>15452</v>
      </c>
      <c r="D88" t="s">
        <v>87</v>
      </c>
      <c r="E88" t="s">
        <v>3440</v>
      </c>
      <c r="F88" t="s">
        <v>3436</v>
      </c>
      <c r="G88" s="3">
        <v>35.867219197162399</v>
      </c>
      <c r="H88" s="3">
        <v>129.22486588767799</v>
      </c>
      <c r="I88" t="s">
        <v>3854</v>
      </c>
      <c r="J88" t="s">
        <v>7213</v>
      </c>
      <c r="K88" t="s">
        <v>10551</v>
      </c>
      <c r="L88" t="s">
        <v>3366</v>
      </c>
      <c r="M88" t="s">
        <v>11894</v>
      </c>
      <c r="N88" t="s">
        <v>3363</v>
      </c>
      <c r="O88" t="s">
        <v>15211</v>
      </c>
      <c r="P88" t="s">
        <v>3363</v>
      </c>
      <c r="Q88" t="s">
        <v>15211</v>
      </c>
      <c r="R88" t="s">
        <v>15211</v>
      </c>
      <c r="S88" t="s">
        <v>15211</v>
      </c>
      <c r="T88" t="s">
        <v>3370</v>
      </c>
      <c r="U88" t="s">
        <v>12007</v>
      </c>
      <c r="V88" t="s">
        <v>15220</v>
      </c>
    </row>
    <row r="89" spans="1:22" ht="17.399999999999999">
      <c r="A89" t="s">
        <v>15346</v>
      </c>
      <c r="B89" t="s">
        <v>15443</v>
      </c>
      <c r="C89" t="s">
        <v>15452</v>
      </c>
      <c r="D89" t="s">
        <v>88</v>
      </c>
      <c r="E89" t="s">
        <v>3440</v>
      </c>
      <c r="F89" t="s">
        <v>3436</v>
      </c>
      <c r="G89" s="3">
        <v>35.867219195138198</v>
      </c>
      <c r="H89" s="3">
        <v>129.22486586790001</v>
      </c>
      <c r="I89" t="s">
        <v>3855</v>
      </c>
      <c r="J89" t="s">
        <v>7214</v>
      </c>
      <c r="K89" t="s">
        <v>10552</v>
      </c>
      <c r="L89" t="s">
        <v>3366</v>
      </c>
      <c r="M89" t="s">
        <v>11894</v>
      </c>
      <c r="N89" t="s">
        <v>3363</v>
      </c>
      <c r="O89" t="s">
        <v>15211</v>
      </c>
      <c r="P89" t="s">
        <v>3363</v>
      </c>
      <c r="Q89" t="s">
        <v>15211</v>
      </c>
      <c r="R89" t="s">
        <v>15211</v>
      </c>
      <c r="S89" t="s">
        <v>15211</v>
      </c>
      <c r="T89" t="s">
        <v>3370</v>
      </c>
      <c r="U89" t="s">
        <v>12008</v>
      </c>
      <c r="V89" t="s">
        <v>15220</v>
      </c>
    </row>
    <row r="90" spans="1:22" ht="17.399999999999999" hidden="1">
      <c r="A90" t="s">
        <v>15346</v>
      </c>
      <c r="B90" t="s">
        <v>15443</v>
      </c>
      <c r="C90" t="s">
        <v>15455</v>
      </c>
      <c r="D90" t="s">
        <v>89</v>
      </c>
      <c r="E90" t="s">
        <v>3436</v>
      </c>
      <c r="F90" t="s">
        <v>3442</v>
      </c>
      <c r="G90" s="3">
        <v>35.867219213969697</v>
      </c>
      <c r="H90" s="3">
        <v>129.22486589725301</v>
      </c>
      <c r="I90" t="s">
        <v>3856</v>
      </c>
      <c r="J90" t="s">
        <v>7215</v>
      </c>
      <c r="K90" t="s">
        <v>10553</v>
      </c>
      <c r="L90" t="s">
        <v>3369</v>
      </c>
      <c r="M90" t="s">
        <v>11895</v>
      </c>
      <c r="N90" t="s">
        <v>3364</v>
      </c>
      <c r="O90" t="s">
        <v>15211</v>
      </c>
      <c r="P90" t="s">
        <v>3363</v>
      </c>
      <c r="Q90" t="s">
        <v>15211</v>
      </c>
      <c r="R90" t="s">
        <v>15211</v>
      </c>
      <c r="S90" t="s">
        <v>15211</v>
      </c>
      <c r="T90" t="s">
        <v>3371</v>
      </c>
      <c r="U90" t="s">
        <v>12009</v>
      </c>
      <c r="V90" t="s">
        <v>15223</v>
      </c>
    </row>
    <row r="91" spans="1:22" ht="17.399999999999999" hidden="1">
      <c r="A91" t="s">
        <v>15346</v>
      </c>
      <c r="B91" t="s">
        <v>15443</v>
      </c>
      <c r="C91" t="s">
        <v>15455</v>
      </c>
      <c r="D91" t="s">
        <v>90</v>
      </c>
      <c r="E91" t="s">
        <v>3431</v>
      </c>
      <c r="F91" t="s">
        <v>3453</v>
      </c>
      <c r="G91" s="3">
        <v>35.867219218493801</v>
      </c>
      <c r="H91" s="3">
        <v>129.224865879162</v>
      </c>
      <c r="I91" t="s">
        <v>3857</v>
      </c>
      <c r="J91" t="s">
        <v>7216</v>
      </c>
      <c r="K91" t="s">
        <v>10554</v>
      </c>
      <c r="L91" t="s">
        <v>3366</v>
      </c>
      <c r="M91" t="s">
        <v>11895</v>
      </c>
      <c r="N91" t="s">
        <v>3364</v>
      </c>
      <c r="O91" t="s">
        <v>15211</v>
      </c>
      <c r="P91" t="s">
        <v>3363</v>
      </c>
      <c r="Q91" t="s">
        <v>15211</v>
      </c>
      <c r="R91" t="s">
        <v>15211</v>
      </c>
      <c r="S91" t="s">
        <v>15211</v>
      </c>
      <c r="T91" t="s">
        <v>3371</v>
      </c>
      <c r="U91" t="s">
        <v>12010</v>
      </c>
      <c r="V91" t="s">
        <v>15223</v>
      </c>
    </row>
    <row r="92" spans="1:22" ht="17.399999999999999" hidden="1">
      <c r="A92" t="s">
        <v>15346</v>
      </c>
      <c r="B92" t="s">
        <v>15443</v>
      </c>
      <c r="C92" t="s">
        <v>15455</v>
      </c>
      <c r="D92" t="s">
        <v>91</v>
      </c>
      <c r="E92" t="s">
        <v>3431</v>
      </c>
      <c r="F92" t="s">
        <v>3432</v>
      </c>
      <c r="G92" s="3">
        <v>35.867219212867901</v>
      </c>
      <c r="H92" s="3">
        <v>129.22486588237601</v>
      </c>
      <c r="I92" t="s">
        <v>3858</v>
      </c>
      <c r="J92" t="s">
        <v>7217</v>
      </c>
      <c r="K92" t="s">
        <v>10555</v>
      </c>
      <c r="L92" t="s">
        <v>3366</v>
      </c>
      <c r="M92" t="s">
        <v>11895</v>
      </c>
      <c r="N92" t="s">
        <v>3364</v>
      </c>
      <c r="O92" t="s">
        <v>15211</v>
      </c>
      <c r="P92" t="s">
        <v>3363</v>
      </c>
      <c r="Q92" t="s">
        <v>15211</v>
      </c>
      <c r="R92" t="s">
        <v>15211</v>
      </c>
      <c r="S92" t="s">
        <v>15211</v>
      </c>
      <c r="T92" t="s">
        <v>3371</v>
      </c>
      <c r="U92" t="s">
        <v>12011</v>
      </c>
      <c r="V92" t="s">
        <v>15223</v>
      </c>
    </row>
    <row r="93" spans="1:22" hidden="1">
      <c r="A93" t="s">
        <v>15347</v>
      </c>
      <c r="B93" t="s">
        <v>15441</v>
      </c>
      <c r="C93" t="s">
        <v>15445</v>
      </c>
      <c r="D93" t="s">
        <v>92</v>
      </c>
      <c r="E93" t="s">
        <v>3427</v>
      </c>
      <c r="F93" t="s">
        <v>3434</v>
      </c>
      <c r="G93" s="3">
        <v>35.805448354510602</v>
      </c>
      <c r="H93" s="3">
        <v>128.96902372331999</v>
      </c>
      <c r="I93" t="s">
        <v>3859</v>
      </c>
      <c r="J93" t="s">
        <v>7218</v>
      </c>
      <c r="K93" t="s">
        <v>10556</v>
      </c>
      <c r="L93" t="s">
        <v>3366</v>
      </c>
      <c r="M93" t="s">
        <v>11886</v>
      </c>
      <c r="N93" t="s">
        <v>15211</v>
      </c>
      <c r="O93" t="s">
        <v>15211</v>
      </c>
      <c r="P93" t="s">
        <v>15211</v>
      </c>
      <c r="Q93" t="s">
        <v>15211</v>
      </c>
      <c r="R93" t="s">
        <v>15211</v>
      </c>
      <c r="S93" t="s">
        <v>15211</v>
      </c>
      <c r="T93" t="s">
        <v>15211</v>
      </c>
      <c r="U93" t="s">
        <v>12012</v>
      </c>
      <c r="V93" t="s">
        <v>15212</v>
      </c>
    </row>
    <row r="94" spans="1:22" hidden="1">
      <c r="A94" t="s">
        <v>15347</v>
      </c>
      <c r="B94" t="s">
        <v>15441</v>
      </c>
      <c r="C94" t="s">
        <v>15445</v>
      </c>
      <c r="D94" t="s">
        <v>93</v>
      </c>
      <c r="E94" t="s">
        <v>3438</v>
      </c>
      <c r="F94" t="s">
        <v>3431</v>
      </c>
      <c r="G94" s="3">
        <v>35.805448392895599</v>
      </c>
      <c r="H94" s="3">
        <v>128.96902369388599</v>
      </c>
      <c r="I94" t="s">
        <v>3860</v>
      </c>
      <c r="J94" t="s">
        <v>7219</v>
      </c>
      <c r="K94" t="s">
        <v>3682</v>
      </c>
      <c r="L94" t="s">
        <v>3366</v>
      </c>
      <c r="M94" t="s">
        <v>11886</v>
      </c>
      <c r="N94" t="s">
        <v>15211</v>
      </c>
      <c r="O94" t="s">
        <v>15211</v>
      </c>
      <c r="P94" t="s">
        <v>15211</v>
      </c>
      <c r="Q94" t="s">
        <v>15211</v>
      </c>
      <c r="R94" t="s">
        <v>15211</v>
      </c>
      <c r="S94" t="s">
        <v>15211</v>
      </c>
      <c r="T94" t="s">
        <v>15211</v>
      </c>
      <c r="U94" t="s">
        <v>12013</v>
      </c>
      <c r="V94" t="s">
        <v>15212</v>
      </c>
    </row>
    <row r="95" spans="1:22" hidden="1">
      <c r="A95" t="s">
        <v>15347</v>
      </c>
      <c r="B95" t="s">
        <v>15441</v>
      </c>
      <c r="C95" t="s">
        <v>15445</v>
      </c>
      <c r="D95" t="s">
        <v>94</v>
      </c>
      <c r="E95" t="s">
        <v>3438</v>
      </c>
      <c r="F95" t="s">
        <v>3431</v>
      </c>
      <c r="G95" s="3">
        <v>35.8054483927028</v>
      </c>
      <c r="H95" s="3">
        <v>128.969023669226</v>
      </c>
      <c r="I95" t="s">
        <v>3861</v>
      </c>
      <c r="J95" t="s">
        <v>7220</v>
      </c>
      <c r="K95" t="s">
        <v>10557</v>
      </c>
      <c r="L95" t="s">
        <v>3366</v>
      </c>
      <c r="M95" t="s">
        <v>11886</v>
      </c>
      <c r="N95" t="s">
        <v>15211</v>
      </c>
      <c r="O95" t="s">
        <v>15211</v>
      </c>
      <c r="P95" t="s">
        <v>15211</v>
      </c>
      <c r="Q95" t="s">
        <v>15211</v>
      </c>
      <c r="R95" t="s">
        <v>15211</v>
      </c>
      <c r="S95" t="s">
        <v>15211</v>
      </c>
      <c r="T95" t="s">
        <v>15211</v>
      </c>
      <c r="U95" t="s">
        <v>12014</v>
      </c>
      <c r="V95" t="s">
        <v>15212</v>
      </c>
    </row>
    <row r="96" spans="1:22" hidden="1">
      <c r="A96" t="s">
        <v>15347</v>
      </c>
      <c r="B96" t="s">
        <v>15441</v>
      </c>
      <c r="C96" t="s">
        <v>15446</v>
      </c>
      <c r="D96" t="s">
        <v>95</v>
      </c>
      <c r="E96" t="s">
        <v>3428</v>
      </c>
      <c r="F96" t="s">
        <v>3453</v>
      </c>
      <c r="G96" s="3">
        <v>35.805448360950102</v>
      </c>
      <c r="H96" s="3">
        <v>128.96902380865899</v>
      </c>
      <c r="I96" t="s">
        <v>3862</v>
      </c>
      <c r="J96" t="s">
        <v>7221</v>
      </c>
      <c r="K96" t="s">
        <v>10558</v>
      </c>
      <c r="L96" t="s">
        <v>3379</v>
      </c>
      <c r="M96" t="s">
        <v>11886</v>
      </c>
      <c r="N96" t="s">
        <v>15211</v>
      </c>
      <c r="O96" t="s">
        <v>15211</v>
      </c>
      <c r="P96" t="s">
        <v>15211</v>
      </c>
      <c r="Q96" t="s">
        <v>15211</v>
      </c>
      <c r="R96" t="s">
        <v>15211</v>
      </c>
      <c r="S96" t="s">
        <v>15211</v>
      </c>
      <c r="T96" t="s">
        <v>15211</v>
      </c>
      <c r="U96" t="s">
        <v>12015</v>
      </c>
      <c r="V96" t="s">
        <v>15213</v>
      </c>
    </row>
    <row r="97" spans="1:22" hidden="1">
      <c r="A97" t="s">
        <v>15347</v>
      </c>
      <c r="B97" t="s">
        <v>15441</v>
      </c>
      <c r="C97" t="s">
        <v>15446</v>
      </c>
      <c r="D97" t="s">
        <v>96</v>
      </c>
      <c r="E97" t="s">
        <v>3428</v>
      </c>
      <c r="F97" t="s">
        <v>3453</v>
      </c>
      <c r="G97" s="3">
        <v>35.805448333704398</v>
      </c>
      <c r="H97" s="3">
        <v>128.969023761626</v>
      </c>
      <c r="I97" t="s">
        <v>3863</v>
      </c>
      <c r="J97" t="s">
        <v>7222</v>
      </c>
      <c r="K97" t="s">
        <v>10559</v>
      </c>
      <c r="L97" t="s">
        <v>3366</v>
      </c>
      <c r="M97" t="s">
        <v>11886</v>
      </c>
      <c r="N97" t="s">
        <v>15211</v>
      </c>
      <c r="O97" t="s">
        <v>15211</v>
      </c>
      <c r="P97" t="s">
        <v>15211</v>
      </c>
      <c r="Q97" t="s">
        <v>15211</v>
      </c>
      <c r="R97" t="s">
        <v>15211</v>
      </c>
      <c r="S97" t="s">
        <v>15211</v>
      </c>
      <c r="T97" t="s">
        <v>15211</v>
      </c>
      <c r="U97" t="s">
        <v>12016</v>
      </c>
      <c r="V97" t="s">
        <v>15213</v>
      </c>
    </row>
    <row r="98" spans="1:22" hidden="1">
      <c r="A98" t="s">
        <v>15347</v>
      </c>
      <c r="B98" t="s">
        <v>15441</v>
      </c>
      <c r="C98" t="s">
        <v>15446</v>
      </c>
      <c r="D98" t="s">
        <v>97</v>
      </c>
      <c r="E98" t="s">
        <v>3436</v>
      </c>
      <c r="F98" t="s">
        <v>3430</v>
      </c>
      <c r="G98" s="3">
        <v>35.805448286818397</v>
      </c>
      <c r="H98" s="3">
        <v>128.96902377978699</v>
      </c>
      <c r="I98" t="s">
        <v>3864</v>
      </c>
      <c r="J98" t="s">
        <v>7223</v>
      </c>
      <c r="K98" t="s">
        <v>10560</v>
      </c>
      <c r="L98" t="s">
        <v>3366</v>
      </c>
      <c r="M98" t="s">
        <v>11886</v>
      </c>
      <c r="N98" t="s">
        <v>15211</v>
      </c>
      <c r="O98" t="s">
        <v>15211</v>
      </c>
      <c r="P98" t="s">
        <v>15211</v>
      </c>
      <c r="Q98" t="s">
        <v>15211</v>
      </c>
      <c r="R98" t="s">
        <v>15211</v>
      </c>
      <c r="S98" t="s">
        <v>15211</v>
      </c>
      <c r="T98" t="s">
        <v>15211</v>
      </c>
      <c r="U98" t="s">
        <v>12017</v>
      </c>
      <c r="V98" t="s">
        <v>15213</v>
      </c>
    </row>
    <row r="99" spans="1:22" hidden="1">
      <c r="A99" t="s">
        <v>15347</v>
      </c>
      <c r="B99" t="s">
        <v>15441</v>
      </c>
      <c r="C99" t="s">
        <v>15447</v>
      </c>
      <c r="D99" t="s">
        <v>98</v>
      </c>
      <c r="E99" t="s">
        <v>3427</v>
      </c>
      <c r="F99" t="s">
        <v>3434</v>
      </c>
      <c r="G99" s="3">
        <v>35.805448318736197</v>
      </c>
      <c r="H99" s="3">
        <v>128.969023732175</v>
      </c>
      <c r="I99" t="s">
        <v>3865</v>
      </c>
      <c r="J99" t="s">
        <v>7224</v>
      </c>
      <c r="K99" t="s">
        <v>10561</v>
      </c>
      <c r="L99" t="s">
        <v>3377</v>
      </c>
      <c r="M99" t="s">
        <v>11892</v>
      </c>
      <c r="N99" t="s">
        <v>15211</v>
      </c>
      <c r="O99" t="s">
        <v>15211</v>
      </c>
      <c r="P99" t="s">
        <v>15211</v>
      </c>
      <c r="Q99" t="s">
        <v>15211</v>
      </c>
      <c r="R99" t="s">
        <v>15211</v>
      </c>
      <c r="S99" t="s">
        <v>15211</v>
      </c>
      <c r="T99" t="s">
        <v>15211</v>
      </c>
      <c r="U99" t="s">
        <v>12018</v>
      </c>
      <c r="V99" t="s">
        <v>15214</v>
      </c>
    </row>
    <row r="100" spans="1:22" hidden="1">
      <c r="A100" t="s">
        <v>15347</v>
      </c>
      <c r="B100" t="s">
        <v>15441</v>
      </c>
      <c r="C100" t="s">
        <v>15447</v>
      </c>
      <c r="D100" t="s">
        <v>99</v>
      </c>
      <c r="E100" t="s">
        <v>3428</v>
      </c>
      <c r="F100" t="s">
        <v>3435</v>
      </c>
      <c r="G100" s="3">
        <v>35.805448302673497</v>
      </c>
      <c r="H100" s="3">
        <v>128.96902374568199</v>
      </c>
      <c r="I100" t="s">
        <v>3866</v>
      </c>
      <c r="J100" t="s">
        <v>7225</v>
      </c>
      <c r="K100" t="s">
        <v>10562</v>
      </c>
      <c r="L100" t="s">
        <v>3366</v>
      </c>
      <c r="M100" t="s">
        <v>11892</v>
      </c>
      <c r="N100" t="s">
        <v>15211</v>
      </c>
      <c r="O100" t="s">
        <v>15211</v>
      </c>
      <c r="P100" t="s">
        <v>15211</v>
      </c>
      <c r="Q100" t="s">
        <v>15211</v>
      </c>
      <c r="R100" t="s">
        <v>15211</v>
      </c>
      <c r="S100" t="s">
        <v>15211</v>
      </c>
      <c r="T100" t="s">
        <v>15211</v>
      </c>
      <c r="U100" t="s">
        <v>12019</v>
      </c>
      <c r="V100" t="s">
        <v>15214</v>
      </c>
    </row>
    <row r="101" spans="1:22" hidden="1">
      <c r="A101" t="s">
        <v>15347</v>
      </c>
      <c r="B101" t="s">
        <v>15441</v>
      </c>
      <c r="C101" t="s">
        <v>15447</v>
      </c>
      <c r="D101" t="s">
        <v>100</v>
      </c>
      <c r="E101" t="s">
        <v>3428</v>
      </c>
      <c r="F101" t="s">
        <v>3435</v>
      </c>
      <c r="G101" s="3">
        <v>35.8054482950145</v>
      </c>
      <c r="H101" s="3">
        <v>128.969023780605</v>
      </c>
      <c r="I101" t="s">
        <v>3867</v>
      </c>
      <c r="J101" t="s">
        <v>7226</v>
      </c>
      <c r="K101" t="s">
        <v>10563</v>
      </c>
      <c r="L101" t="s">
        <v>3366</v>
      </c>
      <c r="M101" t="s">
        <v>11892</v>
      </c>
      <c r="N101" t="s">
        <v>15211</v>
      </c>
      <c r="O101" t="s">
        <v>15211</v>
      </c>
      <c r="P101" t="s">
        <v>15211</v>
      </c>
      <c r="Q101" t="s">
        <v>15211</v>
      </c>
      <c r="R101" t="s">
        <v>15211</v>
      </c>
      <c r="S101" t="s">
        <v>15211</v>
      </c>
      <c r="T101" t="s">
        <v>15211</v>
      </c>
      <c r="U101" t="s">
        <v>12020</v>
      </c>
      <c r="V101" t="s">
        <v>15214</v>
      </c>
    </row>
    <row r="102" spans="1:22" hidden="1">
      <c r="A102" t="s">
        <v>15347</v>
      </c>
      <c r="B102" t="s">
        <v>15441</v>
      </c>
      <c r="C102" t="s">
        <v>15448</v>
      </c>
      <c r="D102" t="s">
        <v>101</v>
      </c>
      <c r="E102" t="s">
        <v>3430</v>
      </c>
      <c r="F102" t="s">
        <v>3478</v>
      </c>
      <c r="G102" s="3">
        <v>35.8054483897007</v>
      </c>
      <c r="H102" s="3">
        <v>128.96902384984199</v>
      </c>
      <c r="I102" t="s">
        <v>3868</v>
      </c>
      <c r="J102" t="s">
        <v>7227</v>
      </c>
      <c r="K102" t="s">
        <v>10564</v>
      </c>
      <c r="L102" t="s">
        <v>3369</v>
      </c>
      <c r="M102" t="s">
        <v>11896</v>
      </c>
      <c r="N102" t="s">
        <v>3365</v>
      </c>
      <c r="O102" t="s">
        <v>15211</v>
      </c>
      <c r="P102" t="s">
        <v>15211</v>
      </c>
      <c r="Q102" t="s">
        <v>15211</v>
      </c>
      <c r="R102" t="s">
        <v>15211</v>
      </c>
      <c r="S102" t="s">
        <v>15211</v>
      </c>
      <c r="T102" t="s">
        <v>3365</v>
      </c>
      <c r="U102" t="s">
        <v>12021</v>
      </c>
      <c r="V102" t="s">
        <v>15215</v>
      </c>
    </row>
    <row r="103" spans="1:22" hidden="1">
      <c r="A103" t="s">
        <v>15347</v>
      </c>
      <c r="B103" t="s">
        <v>15441</v>
      </c>
      <c r="C103" t="s">
        <v>15448</v>
      </c>
      <c r="D103" t="s">
        <v>102</v>
      </c>
      <c r="E103" t="s">
        <v>3442</v>
      </c>
      <c r="F103" t="s">
        <v>3515</v>
      </c>
      <c r="G103" s="3">
        <v>35.805448368267101</v>
      </c>
      <c r="H103" s="3">
        <v>128.96902381016699</v>
      </c>
      <c r="I103" t="s">
        <v>3869</v>
      </c>
      <c r="J103" t="s">
        <v>7228</v>
      </c>
      <c r="K103" t="s">
        <v>10565</v>
      </c>
      <c r="L103" t="s">
        <v>3366</v>
      </c>
      <c r="M103" t="s">
        <v>11891</v>
      </c>
      <c r="N103" t="s">
        <v>3365</v>
      </c>
      <c r="O103" t="s">
        <v>15211</v>
      </c>
      <c r="P103" t="s">
        <v>15211</v>
      </c>
      <c r="Q103" t="s">
        <v>15211</v>
      </c>
      <c r="R103" t="s">
        <v>15211</v>
      </c>
      <c r="S103" t="s">
        <v>15211</v>
      </c>
      <c r="T103" t="s">
        <v>3365</v>
      </c>
      <c r="U103" t="s">
        <v>12022</v>
      </c>
      <c r="V103" t="s">
        <v>15215</v>
      </c>
    </row>
    <row r="104" spans="1:22" hidden="1">
      <c r="A104" t="s">
        <v>15347</v>
      </c>
      <c r="B104" t="s">
        <v>15441</v>
      </c>
      <c r="C104" t="s">
        <v>15448</v>
      </c>
      <c r="D104" t="s">
        <v>103</v>
      </c>
      <c r="E104" t="s">
        <v>3442</v>
      </c>
      <c r="F104" t="s">
        <v>3476</v>
      </c>
      <c r="G104" s="3">
        <v>35.805448352271199</v>
      </c>
      <c r="H104" s="3">
        <v>128.96902380247201</v>
      </c>
      <c r="I104" t="s">
        <v>3870</v>
      </c>
      <c r="J104" t="s">
        <v>7229</v>
      </c>
      <c r="K104" t="s">
        <v>10566</v>
      </c>
      <c r="L104" t="s">
        <v>3366</v>
      </c>
      <c r="M104" t="s">
        <v>11896</v>
      </c>
      <c r="N104" t="s">
        <v>3365</v>
      </c>
      <c r="O104" t="s">
        <v>15211</v>
      </c>
      <c r="P104" t="s">
        <v>15211</v>
      </c>
      <c r="Q104" t="s">
        <v>15211</v>
      </c>
      <c r="R104" t="s">
        <v>15211</v>
      </c>
      <c r="S104" t="s">
        <v>15211</v>
      </c>
      <c r="T104" t="s">
        <v>3365</v>
      </c>
      <c r="U104" t="s">
        <v>12023</v>
      </c>
      <c r="V104" t="s">
        <v>15215</v>
      </c>
    </row>
    <row r="105" spans="1:22" hidden="1">
      <c r="A105" t="s">
        <v>15347</v>
      </c>
      <c r="B105" t="s">
        <v>15441</v>
      </c>
      <c r="C105" t="s">
        <v>15449</v>
      </c>
      <c r="D105" t="s">
        <v>104</v>
      </c>
      <c r="E105" t="s">
        <v>3436</v>
      </c>
      <c r="F105" t="s">
        <v>3452</v>
      </c>
      <c r="G105" s="3">
        <v>35.805448349626502</v>
      </c>
      <c r="H105" s="3">
        <v>128.969023831345</v>
      </c>
      <c r="I105" t="s">
        <v>3871</v>
      </c>
      <c r="J105" t="s">
        <v>7230</v>
      </c>
      <c r="K105" t="s">
        <v>3713</v>
      </c>
      <c r="L105" t="s">
        <v>3375</v>
      </c>
      <c r="M105" t="s">
        <v>11896</v>
      </c>
      <c r="N105" t="s">
        <v>3365</v>
      </c>
      <c r="O105" t="s">
        <v>15211</v>
      </c>
      <c r="P105" t="s">
        <v>15211</v>
      </c>
      <c r="Q105" t="s">
        <v>15211</v>
      </c>
      <c r="R105" t="s">
        <v>15211</v>
      </c>
      <c r="S105" t="s">
        <v>15211</v>
      </c>
      <c r="T105" t="s">
        <v>3365</v>
      </c>
      <c r="U105" t="s">
        <v>12024</v>
      </c>
      <c r="V105" t="s">
        <v>15216</v>
      </c>
    </row>
    <row r="106" spans="1:22" hidden="1">
      <c r="A106" t="s">
        <v>15347</v>
      </c>
      <c r="B106" t="s">
        <v>15441</v>
      </c>
      <c r="C106" t="s">
        <v>15449</v>
      </c>
      <c r="D106" t="s">
        <v>105</v>
      </c>
      <c r="E106" t="s">
        <v>3431</v>
      </c>
      <c r="F106" t="s">
        <v>3462</v>
      </c>
      <c r="G106" s="3">
        <v>35.805448342527598</v>
      </c>
      <c r="H106" s="3">
        <v>128.96902383790101</v>
      </c>
      <c r="I106" t="s">
        <v>3872</v>
      </c>
      <c r="J106" t="s">
        <v>7231</v>
      </c>
      <c r="K106" t="s">
        <v>10567</v>
      </c>
      <c r="L106" t="s">
        <v>3366</v>
      </c>
      <c r="M106" t="s">
        <v>11896</v>
      </c>
      <c r="N106" t="s">
        <v>3365</v>
      </c>
      <c r="O106" t="s">
        <v>15211</v>
      </c>
      <c r="P106" t="s">
        <v>15211</v>
      </c>
      <c r="Q106" t="s">
        <v>15211</v>
      </c>
      <c r="R106" t="s">
        <v>15211</v>
      </c>
      <c r="S106" t="s">
        <v>15211</v>
      </c>
      <c r="T106" t="s">
        <v>3365</v>
      </c>
      <c r="U106" t="s">
        <v>12025</v>
      </c>
      <c r="V106" t="s">
        <v>15216</v>
      </c>
    </row>
    <row r="107" spans="1:22" hidden="1">
      <c r="A107" t="s">
        <v>15347</v>
      </c>
      <c r="B107" t="s">
        <v>15441</v>
      </c>
      <c r="C107" t="s">
        <v>15449</v>
      </c>
      <c r="D107" t="s">
        <v>106</v>
      </c>
      <c r="E107" t="s">
        <v>3434</v>
      </c>
      <c r="F107" t="s">
        <v>3465</v>
      </c>
      <c r="G107" s="3">
        <v>35.8054483468934</v>
      </c>
      <c r="H107" s="3">
        <v>128.96902385410701</v>
      </c>
      <c r="I107" t="s">
        <v>3873</v>
      </c>
      <c r="J107" t="s">
        <v>7232</v>
      </c>
      <c r="K107" t="s">
        <v>10568</v>
      </c>
      <c r="L107" t="s">
        <v>3366</v>
      </c>
      <c r="M107" t="s">
        <v>11896</v>
      </c>
      <c r="N107" t="s">
        <v>3365</v>
      </c>
      <c r="O107" t="s">
        <v>15211</v>
      </c>
      <c r="P107" t="s">
        <v>15211</v>
      </c>
      <c r="Q107" t="s">
        <v>15211</v>
      </c>
      <c r="R107" t="s">
        <v>15211</v>
      </c>
      <c r="S107" t="s">
        <v>15211</v>
      </c>
      <c r="T107" t="s">
        <v>3365</v>
      </c>
      <c r="U107" t="s">
        <v>12026</v>
      </c>
      <c r="V107" t="s">
        <v>15216</v>
      </c>
    </row>
    <row r="108" spans="1:22" hidden="1">
      <c r="A108" t="s">
        <v>15347</v>
      </c>
      <c r="B108" t="s">
        <v>15442</v>
      </c>
      <c r="C108" t="s">
        <v>15450</v>
      </c>
      <c r="D108" t="s">
        <v>107</v>
      </c>
      <c r="E108" t="s">
        <v>3427</v>
      </c>
      <c r="F108" t="s">
        <v>3435</v>
      </c>
      <c r="G108" s="3">
        <v>35.805448119643998</v>
      </c>
      <c r="H108" s="3">
        <v>128.969023990593</v>
      </c>
      <c r="I108" t="s">
        <v>3874</v>
      </c>
      <c r="J108" t="s">
        <v>7233</v>
      </c>
      <c r="K108" t="s">
        <v>10569</v>
      </c>
      <c r="L108" t="s">
        <v>3367</v>
      </c>
      <c r="M108" t="s">
        <v>11886</v>
      </c>
      <c r="N108" t="s">
        <v>3365</v>
      </c>
      <c r="O108" t="s">
        <v>15211</v>
      </c>
      <c r="P108" t="s">
        <v>15211</v>
      </c>
      <c r="Q108" t="s">
        <v>15211</v>
      </c>
      <c r="R108" t="s">
        <v>15211</v>
      </c>
      <c r="S108" t="s">
        <v>15211</v>
      </c>
      <c r="T108" t="s">
        <v>3365</v>
      </c>
      <c r="U108" t="s">
        <v>12027</v>
      </c>
      <c r="V108" t="s">
        <v>15217</v>
      </c>
    </row>
    <row r="109" spans="1:22" hidden="1">
      <c r="A109" t="s">
        <v>15347</v>
      </c>
      <c r="B109" t="s">
        <v>15442</v>
      </c>
      <c r="C109" t="s">
        <v>15450</v>
      </c>
      <c r="D109" t="s">
        <v>108</v>
      </c>
      <c r="E109" t="s">
        <v>3427</v>
      </c>
      <c r="F109" t="s">
        <v>3435</v>
      </c>
      <c r="G109" s="3">
        <v>35.8054480986887</v>
      </c>
      <c r="H109" s="3">
        <v>128.969024005835</v>
      </c>
      <c r="I109" t="s">
        <v>3875</v>
      </c>
      <c r="J109" t="s">
        <v>7234</v>
      </c>
      <c r="K109" t="s">
        <v>10570</v>
      </c>
      <c r="L109" t="s">
        <v>3366</v>
      </c>
      <c r="M109" t="s">
        <v>11886</v>
      </c>
      <c r="N109" t="s">
        <v>3364</v>
      </c>
      <c r="O109" t="s">
        <v>3357</v>
      </c>
      <c r="P109" t="s">
        <v>15211</v>
      </c>
      <c r="Q109" t="s">
        <v>15211</v>
      </c>
      <c r="R109" t="s">
        <v>15211</v>
      </c>
      <c r="S109" t="s">
        <v>15211</v>
      </c>
      <c r="T109" t="s">
        <v>3365</v>
      </c>
      <c r="U109" t="s">
        <v>12028</v>
      </c>
      <c r="V109" t="s">
        <v>15217</v>
      </c>
    </row>
    <row r="110" spans="1:22" hidden="1">
      <c r="A110" t="s">
        <v>15347</v>
      </c>
      <c r="B110" t="s">
        <v>15442</v>
      </c>
      <c r="C110" t="s">
        <v>15450</v>
      </c>
      <c r="D110" t="s">
        <v>109</v>
      </c>
      <c r="E110" t="s">
        <v>3427</v>
      </c>
      <c r="F110" t="s">
        <v>3435</v>
      </c>
      <c r="G110" s="3">
        <v>35.805448071065101</v>
      </c>
      <c r="H110" s="3">
        <v>128.96902402582401</v>
      </c>
      <c r="I110" t="s">
        <v>3876</v>
      </c>
      <c r="J110" t="s">
        <v>7235</v>
      </c>
      <c r="K110" t="s">
        <v>10571</v>
      </c>
      <c r="L110" t="s">
        <v>3366</v>
      </c>
      <c r="M110" t="s">
        <v>11886</v>
      </c>
      <c r="N110" t="s">
        <v>3364</v>
      </c>
      <c r="O110" t="s">
        <v>3359</v>
      </c>
      <c r="P110" t="s">
        <v>15211</v>
      </c>
      <c r="Q110" t="s">
        <v>15211</v>
      </c>
      <c r="R110" t="s">
        <v>15211</v>
      </c>
      <c r="S110" t="s">
        <v>15211</v>
      </c>
      <c r="T110" t="s">
        <v>3367</v>
      </c>
      <c r="U110" t="s">
        <v>12029</v>
      </c>
      <c r="V110" t="s">
        <v>15217</v>
      </c>
    </row>
    <row r="111" spans="1:22" hidden="1">
      <c r="A111" t="s">
        <v>15347</v>
      </c>
      <c r="B111" t="s">
        <v>15442</v>
      </c>
      <c r="C111" t="s">
        <v>15445</v>
      </c>
      <c r="D111" t="s">
        <v>110</v>
      </c>
      <c r="E111" t="s">
        <v>3439</v>
      </c>
      <c r="F111" t="s">
        <v>3427</v>
      </c>
      <c r="G111" s="3">
        <v>35.805448181869401</v>
      </c>
      <c r="H111" s="3">
        <v>128.96902399936599</v>
      </c>
      <c r="I111" t="s">
        <v>3877</v>
      </c>
      <c r="J111" t="s">
        <v>7236</v>
      </c>
      <c r="K111" t="s">
        <v>10572</v>
      </c>
      <c r="L111" t="s">
        <v>3380</v>
      </c>
      <c r="M111" t="s">
        <v>11886</v>
      </c>
      <c r="N111" t="s">
        <v>3364</v>
      </c>
      <c r="O111" t="s">
        <v>3361</v>
      </c>
      <c r="P111" t="s">
        <v>15211</v>
      </c>
      <c r="Q111" t="s">
        <v>15211</v>
      </c>
      <c r="R111" t="s">
        <v>15211</v>
      </c>
      <c r="S111" t="s">
        <v>15211</v>
      </c>
      <c r="T111" t="s">
        <v>3369</v>
      </c>
      <c r="U111" t="s">
        <v>12030</v>
      </c>
      <c r="V111" t="s">
        <v>15218</v>
      </c>
    </row>
    <row r="112" spans="1:22" hidden="1">
      <c r="A112" t="s">
        <v>15347</v>
      </c>
      <c r="B112" t="s">
        <v>15442</v>
      </c>
      <c r="C112" t="s">
        <v>15445</v>
      </c>
      <c r="D112" t="s">
        <v>111</v>
      </c>
      <c r="E112" t="s">
        <v>3439</v>
      </c>
      <c r="F112" t="s">
        <v>3427</v>
      </c>
      <c r="G112" s="3">
        <v>35.805448220675302</v>
      </c>
      <c r="H112" s="3">
        <v>128.96902400870101</v>
      </c>
      <c r="I112" t="s">
        <v>3878</v>
      </c>
      <c r="J112" t="s">
        <v>7237</v>
      </c>
      <c r="K112" t="s">
        <v>10573</v>
      </c>
      <c r="L112" t="s">
        <v>3366</v>
      </c>
      <c r="M112" t="s">
        <v>11886</v>
      </c>
      <c r="N112" t="s">
        <v>3364</v>
      </c>
      <c r="O112" t="s">
        <v>3361</v>
      </c>
      <c r="P112" t="s">
        <v>15211</v>
      </c>
      <c r="Q112" t="s">
        <v>15211</v>
      </c>
      <c r="R112" t="s">
        <v>15211</v>
      </c>
      <c r="S112" t="s">
        <v>15211</v>
      </c>
      <c r="T112" t="s">
        <v>3369</v>
      </c>
      <c r="U112" t="s">
        <v>12031</v>
      </c>
      <c r="V112" t="s">
        <v>15218</v>
      </c>
    </row>
    <row r="113" spans="1:22" hidden="1">
      <c r="A113" t="s">
        <v>15347</v>
      </c>
      <c r="B113" t="s">
        <v>15442</v>
      </c>
      <c r="C113" t="s">
        <v>15445</v>
      </c>
      <c r="D113" t="s">
        <v>112</v>
      </c>
      <c r="E113" t="s">
        <v>3439</v>
      </c>
      <c r="F113" t="s">
        <v>3427</v>
      </c>
      <c r="G113" s="3">
        <v>35.805448237129703</v>
      </c>
      <c r="H113" s="3">
        <v>128.969024001804</v>
      </c>
      <c r="I113" t="s">
        <v>3879</v>
      </c>
      <c r="J113" t="s">
        <v>7238</v>
      </c>
      <c r="K113" t="s">
        <v>10574</v>
      </c>
      <c r="L113" t="s">
        <v>3366</v>
      </c>
      <c r="M113" t="s">
        <v>11886</v>
      </c>
      <c r="N113" t="s">
        <v>3364</v>
      </c>
      <c r="O113" t="s">
        <v>3361</v>
      </c>
      <c r="P113" t="s">
        <v>15211</v>
      </c>
      <c r="Q113" t="s">
        <v>15211</v>
      </c>
      <c r="R113" t="s">
        <v>15211</v>
      </c>
      <c r="S113" t="s">
        <v>15211</v>
      </c>
      <c r="T113" t="s">
        <v>3369</v>
      </c>
      <c r="U113" t="s">
        <v>12032</v>
      </c>
      <c r="V113" t="s">
        <v>15218</v>
      </c>
    </row>
    <row r="114" spans="1:22" hidden="1">
      <c r="A114" t="s">
        <v>15347</v>
      </c>
      <c r="B114" t="s">
        <v>15442</v>
      </c>
      <c r="C114" t="s">
        <v>15451</v>
      </c>
      <c r="D114" t="s">
        <v>113</v>
      </c>
      <c r="E114" t="s">
        <v>3443</v>
      </c>
      <c r="F114" t="s">
        <v>3438</v>
      </c>
      <c r="G114" s="3">
        <v>35.805448234856001</v>
      </c>
      <c r="H114" s="3">
        <v>128.96902392890701</v>
      </c>
      <c r="I114" t="s">
        <v>3880</v>
      </c>
      <c r="J114" t="s">
        <v>7239</v>
      </c>
      <c r="K114" t="s">
        <v>10575</v>
      </c>
      <c r="L114" t="s">
        <v>3381</v>
      </c>
      <c r="M114" t="s">
        <v>11888</v>
      </c>
      <c r="N114" t="s">
        <v>3364</v>
      </c>
      <c r="O114" t="s">
        <v>3361</v>
      </c>
      <c r="P114" t="s">
        <v>15211</v>
      </c>
      <c r="Q114" t="s">
        <v>15211</v>
      </c>
      <c r="R114" t="s">
        <v>15211</v>
      </c>
      <c r="S114" t="s">
        <v>15211</v>
      </c>
      <c r="T114" t="s">
        <v>3369</v>
      </c>
      <c r="U114" t="s">
        <v>12033</v>
      </c>
      <c r="V114" t="s">
        <v>15219</v>
      </c>
    </row>
    <row r="115" spans="1:22" hidden="1">
      <c r="A115" t="s">
        <v>15347</v>
      </c>
      <c r="B115" t="s">
        <v>15442</v>
      </c>
      <c r="C115" t="s">
        <v>15451</v>
      </c>
      <c r="D115" t="s">
        <v>114</v>
      </c>
      <c r="E115" t="s">
        <v>3443</v>
      </c>
      <c r="F115" t="s">
        <v>3438</v>
      </c>
      <c r="G115" s="3">
        <v>35.805448225126398</v>
      </c>
      <c r="H115" s="3">
        <v>128.96902393343399</v>
      </c>
      <c r="I115" t="s">
        <v>3881</v>
      </c>
      <c r="J115" t="s">
        <v>7240</v>
      </c>
      <c r="K115" t="s">
        <v>10576</v>
      </c>
      <c r="L115" t="s">
        <v>3366</v>
      </c>
      <c r="M115" t="s">
        <v>11888</v>
      </c>
      <c r="N115" t="s">
        <v>3364</v>
      </c>
      <c r="O115" t="s">
        <v>3361</v>
      </c>
      <c r="P115" t="s">
        <v>15211</v>
      </c>
      <c r="Q115" t="s">
        <v>15211</v>
      </c>
      <c r="R115" t="s">
        <v>15211</v>
      </c>
      <c r="S115" t="s">
        <v>15211</v>
      </c>
      <c r="T115" t="s">
        <v>3369</v>
      </c>
      <c r="U115" t="s">
        <v>12016</v>
      </c>
      <c r="V115" t="s">
        <v>15219</v>
      </c>
    </row>
    <row r="116" spans="1:22" hidden="1">
      <c r="A116" t="s">
        <v>15347</v>
      </c>
      <c r="B116" t="s">
        <v>15442</v>
      </c>
      <c r="C116" t="s">
        <v>15451</v>
      </c>
      <c r="D116" t="s">
        <v>115</v>
      </c>
      <c r="E116" t="s">
        <v>3443</v>
      </c>
      <c r="F116" t="s">
        <v>3438</v>
      </c>
      <c r="G116" s="3">
        <v>35.805448239963503</v>
      </c>
      <c r="H116" s="3">
        <v>128.96902396105401</v>
      </c>
      <c r="I116" t="s">
        <v>3882</v>
      </c>
      <c r="J116" t="s">
        <v>7241</v>
      </c>
      <c r="K116" t="s">
        <v>3667</v>
      </c>
      <c r="L116" t="s">
        <v>3366</v>
      </c>
      <c r="M116" t="s">
        <v>11888</v>
      </c>
      <c r="N116" t="s">
        <v>3364</v>
      </c>
      <c r="O116" t="s">
        <v>3361</v>
      </c>
      <c r="P116" t="s">
        <v>15211</v>
      </c>
      <c r="Q116" t="s">
        <v>15211</v>
      </c>
      <c r="R116" t="s">
        <v>15211</v>
      </c>
      <c r="S116" t="s">
        <v>15211</v>
      </c>
      <c r="T116" t="s">
        <v>3369</v>
      </c>
      <c r="U116" t="s">
        <v>12034</v>
      </c>
      <c r="V116" t="s">
        <v>15219</v>
      </c>
    </row>
    <row r="117" spans="1:22">
      <c r="A117" t="s">
        <v>15347</v>
      </c>
      <c r="B117" t="s">
        <v>15443</v>
      </c>
      <c r="C117" t="s">
        <v>15452</v>
      </c>
      <c r="D117" t="s">
        <v>116</v>
      </c>
      <c r="E117" t="s">
        <v>3439</v>
      </c>
      <c r="F117" t="s">
        <v>3428</v>
      </c>
      <c r="G117" s="3">
        <v>35.8054481873667</v>
      </c>
      <c r="H117" s="3">
        <v>128.969024030941</v>
      </c>
      <c r="I117" t="s">
        <v>3883</v>
      </c>
      <c r="J117" t="s">
        <v>7242</v>
      </c>
      <c r="K117" t="s">
        <v>10577</v>
      </c>
      <c r="L117" t="s">
        <v>3373</v>
      </c>
      <c r="M117" t="s">
        <v>11890</v>
      </c>
      <c r="N117" t="s">
        <v>3365</v>
      </c>
      <c r="O117" t="s">
        <v>3359</v>
      </c>
      <c r="P117" t="s">
        <v>3362</v>
      </c>
      <c r="Q117" t="s">
        <v>3364</v>
      </c>
      <c r="R117" t="s">
        <v>15211</v>
      </c>
      <c r="S117" t="s">
        <v>15211</v>
      </c>
      <c r="T117" t="s">
        <v>3382</v>
      </c>
      <c r="U117" t="s">
        <v>12035</v>
      </c>
      <c r="V117" t="s">
        <v>15220</v>
      </c>
    </row>
    <row r="118" spans="1:22">
      <c r="A118" t="s">
        <v>15347</v>
      </c>
      <c r="B118" t="s">
        <v>15443</v>
      </c>
      <c r="C118" t="s">
        <v>15452</v>
      </c>
      <c r="D118" t="s">
        <v>117</v>
      </c>
      <c r="E118" t="s">
        <v>3439</v>
      </c>
      <c r="F118" t="s">
        <v>3428</v>
      </c>
      <c r="G118" s="3">
        <v>35.805448187754102</v>
      </c>
      <c r="H118" s="3">
        <v>128.96902401415599</v>
      </c>
      <c r="I118" t="s">
        <v>3884</v>
      </c>
      <c r="J118" t="s">
        <v>7243</v>
      </c>
      <c r="K118" t="s">
        <v>10578</v>
      </c>
      <c r="L118" t="s">
        <v>3366</v>
      </c>
      <c r="M118" t="s">
        <v>11890</v>
      </c>
      <c r="N118" t="s">
        <v>3365</v>
      </c>
      <c r="O118" t="s">
        <v>3359</v>
      </c>
      <c r="P118" t="s">
        <v>3362</v>
      </c>
      <c r="Q118" t="s">
        <v>3364</v>
      </c>
      <c r="R118" t="s">
        <v>15211</v>
      </c>
      <c r="S118" t="s">
        <v>15211</v>
      </c>
      <c r="T118" t="s">
        <v>3382</v>
      </c>
      <c r="U118" t="s">
        <v>12036</v>
      </c>
      <c r="V118" t="s">
        <v>15220</v>
      </c>
    </row>
    <row r="119" spans="1:22">
      <c r="A119" t="s">
        <v>15347</v>
      </c>
      <c r="B119" t="s">
        <v>15443</v>
      </c>
      <c r="C119" t="s">
        <v>15452</v>
      </c>
      <c r="D119" t="s">
        <v>118</v>
      </c>
      <c r="E119" t="s">
        <v>3439</v>
      </c>
      <c r="F119" t="s">
        <v>3428</v>
      </c>
      <c r="G119" s="3">
        <v>35.805448202742902</v>
      </c>
      <c r="H119" s="3">
        <v>128.96902400001599</v>
      </c>
      <c r="I119" t="s">
        <v>3885</v>
      </c>
      <c r="J119" t="s">
        <v>7244</v>
      </c>
      <c r="K119" t="s">
        <v>10579</v>
      </c>
      <c r="L119" t="s">
        <v>3366</v>
      </c>
      <c r="M119" t="s">
        <v>11890</v>
      </c>
      <c r="N119" t="s">
        <v>3365</v>
      </c>
      <c r="O119" t="s">
        <v>3359</v>
      </c>
      <c r="P119" t="s">
        <v>3362</v>
      </c>
      <c r="Q119" t="s">
        <v>3364</v>
      </c>
      <c r="R119" t="s">
        <v>15211</v>
      </c>
      <c r="S119" t="s">
        <v>15211</v>
      </c>
      <c r="T119" t="s">
        <v>3382</v>
      </c>
      <c r="U119" t="s">
        <v>12037</v>
      </c>
      <c r="V119" t="s">
        <v>15220</v>
      </c>
    </row>
    <row r="120" spans="1:22" hidden="1">
      <c r="A120" t="s">
        <v>15347</v>
      </c>
      <c r="B120" t="s">
        <v>15443</v>
      </c>
      <c r="C120" t="s">
        <v>15456</v>
      </c>
      <c r="D120" t="s">
        <v>119</v>
      </c>
      <c r="E120" t="s">
        <v>3436</v>
      </c>
      <c r="F120" t="s">
        <v>3461</v>
      </c>
      <c r="G120" s="3">
        <v>35.805448237520402</v>
      </c>
      <c r="H120" s="3">
        <v>128.96902397416</v>
      </c>
      <c r="I120" t="s">
        <v>3886</v>
      </c>
      <c r="J120" t="s">
        <v>7245</v>
      </c>
      <c r="K120" t="s">
        <v>10580</v>
      </c>
      <c r="L120" t="s">
        <v>3384</v>
      </c>
      <c r="M120" t="s">
        <v>11890</v>
      </c>
      <c r="N120" t="s">
        <v>3365</v>
      </c>
      <c r="O120" t="s">
        <v>3359</v>
      </c>
      <c r="P120" t="s">
        <v>3362</v>
      </c>
      <c r="Q120" t="s">
        <v>3364</v>
      </c>
      <c r="R120" t="s">
        <v>15211</v>
      </c>
      <c r="S120" t="s">
        <v>15211</v>
      </c>
      <c r="T120" t="s">
        <v>3382</v>
      </c>
      <c r="U120" t="s">
        <v>12038</v>
      </c>
      <c r="V120" t="s">
        <v>15224</v>
      </c>
    </row>
    <row r="121" spans="1:22" hidden="1">
      <c r="A121" t="s">
        <v>15347</v>
      </c>
      <c r="B121" t="s">
        <v>15443</v>
      </c>
      <c r="C121" t="s">
        <v>15456</v>
      </c>
      <c r="D121" t="s">
        <v>120</v>
      </c>
      <c r="E121" t="s">
        <v>3436</v>
      </c>
      <c r="F121" t="s">
        <v>3461</v>
      </c>
      <c r="G121" s="3">
        <v>35.805448213150598</v>
      </c>
      <c r="H121" s="3">
        <v>128.969023945944</v>
      </c>
      <c r="I121" t="s">
        <v>3887</v>
      </c>
      <c r="J121" t="s">
        <v>7246</v>
      </c>
      <c r="K121" t="s">
        <v>10581</v>
      </c>
      <c r="L121" t="s">
        <v>3366</v>
      </c>
      <c r="M121" t="s">
        <v>11890</v>
      </c>
      <c r="N121" t="s">
        <v>3365</v>
      </c>
      <c r="O121" t="s">
        <v>3359</v>
      </c>
      <c r="P121" t="s">
        <v>3362</v>
      </c>
      <c r="Q121" t="s">
        <v>3364</v>
      </c>
      <c r="R121" t="s">
        <v>15211</v>
      </c>
      <c r="S121" t="s">
        <v>15211</v>
      </c>
      <c r="T121" t="s">
        <v>3382</v>
      </c>
      <c r="U121" t="s">
        <v>12039</v>
      </c>
      <c r="V121" t="s">
        <v>15224</v>
      </c>
    </row>
    <row r="122" spans="1:22" hidden="1">
      <c r="A122" t="s">
        <v>15347</v>
      </c>
      <c r="B122" t="s">
        <v>15443</v>
      </c>
      <c r="C122" t="s">
        <v>15456</v>
      </c>
      <c r="D122" t="s">
        <v>121</v>
      </c>
      <c r="E122" t="s">
        <v>3436</v>
      </c>
      <c r="F122" t="s">
        <v>3452</v>
      </c>
      <c r="G122" s="3">
        <v>35.805448194493302</v>
      </c>
      <c r="H122" s="3">
        <v>128.969023969766</v>
      </c>
      <c r="I122" t="s">
        <v>3888</v>
      </c>
      <c r="J122" t="s">
        <v>7247</v>
      </c>
      <c r="K122" t="s">
        <v>10582</v>
      </c>
      <c r="L122" t="s">
        <v>3366</v>
      </c>
      <c r="M122" t="s">
        <v>11890</v>
      </c>
      <c r="N122" t="s">
        <v>3365</v>
      </c>
      <c r="O122" t="s">
        <v>3359</v>
      </c>
      <c r="P122" t="s">
        <v>3362</v>
      </c>
      <c r="Q122" t="s">
        <v>3364</v>
      </c>
      <c r="R122" t="s">
        <v>15211</v>
      </c>
      <c r="S122" t="s">
        <v>15211</v>
      </c>
      <c r="T122" t="s">
        <v>3382</v>
      </c>
      <c r="U122" t="s">
        <v>12040</v>
      </c>
      <c r="V122" t="s">
        <v>15224</v>
      </c>
    </row>
    <row r="123" spans="1:22" ht="17.399999999999999" hidden="1">
      <c r="A123" t="s">
        <v>15348</v>
      </c>
      <c r="B123" t="s">
        <v>15441</v>
      </c>
      <c r="C123" t="s">
        <v>15445</v>
      </c>
      <c r="D123" t="s">
        <v>122</v>
      </c>
      <c r="E123" t="s">
        <v>3444</v>
      </c>
      <c r="F123" t="s">
        <v>3507</v>
      </c>
      <c r="G123" s="3">
        <v>35.6729171936624</v>
      </c>
      <c r="H123" s="3">
        <v>129.05147604444201</v>
      </c>
      <c r="I123" t="s">
        <v>3889</v>
      </c>
      <c r="J123" t="s">
        <v>7248</v>
      </c>
      <c r="K123" t="s">
        <v>10583</v>
      </c>
      <c r="L123" t="s">
        <v>3371</v>
      </c>
      <c r="M123" t="s">
        <v>11887</v>
      </c>
      <c r="N123" t="s">
        <v>3360</v>
      </c>
      <c r="O123" t="s">
        <v>3359</v>
      </c>
      <c r="P123" t="s">
        <v>15211</v>
      </c>
      <c r="Q123" t="s">
        <v>15211</v>
      </c>
      <c r="R123" t="s">
        <v>15211</v>
      </c>
      <c r="S123" t="s">
        <v>15211</v>
      </c>
      <c r="T123" t="s">
        <v>3363</v>
      </c>
      <c r="U123" t="s">
        <v>12041</v>
      </c>
      <c r="V123" t="s">
        <v>15212</v>
      </c>
    </row>
    <row r="124" spans="1:22" ht="17.399999999999999" hidden="1">
      <c r="A124" t="s">
        <v>15348</v>
      </c>
      <c r="B124" t="s">
        <v>15441</v>
      </c>
      <c r="C124" t="s">
        <v>15445</v>
      </c>
      <c r="D124" t="s">
        <v>123</v>
      </c>
      <c r="E124" t="s">
        <v>3432</v>
      </c>
      <c r="F124" t="s">
        <v>3562</v>
      </c>
      <c r="G124" s="3">
        <v>35.672917012802699</v>
      </c>
      <c r="H124" s="3">
        <v>129.05147617429901</v>
      </c>
      <c r="I124" t="s">
        <v>3890</v>
      </c>
      <c r="J124" t="s">
        <v>7249</v>
      </c>
      <c r="K124" t="s">
        <v>10584</v>
      </c>
      <c r="L124" t="s">
        <v>3366</v>
      </c>
      <c r="M124" t="s">
        <v>11892</v>
      </c>
      <c r="N124" t="s">
        <v>3360</v>
      </c>
      <c r="O124" t="s">
        <v>3359</v>
      </c>
      <c r="P124" t="s">
        <v>15211</v>
      </c>
      <c r="Q124" t="s">
        <v>15211</v>
      </c>
      <c r="R124" t="s">
        <v>15211</v>
      </c>
      <c r="S124" t="s">
        <v>15211</v>
      </c>
      <c r="T124" t="s">
        <v>3363</v>
      </c>
      <c r="U124" t="s">
        <v>12042</v>
      </c>
      <c r="V124" t="s">
        <v>15212</v>
      </c>
    </row>
    <row r="125" spans="1:22" ht="17.399999999999999" hidden="1">
      <c r="A125" t="s">
        <v>15348</v>
      </c>
      <c r="B125" t="s">
        <v>15441</v>
      </c>
      <c r="C125" t="s">
        <v>15445</v>
      </c>
      <c r="D125" t="s">
        <v>124</v>
      </c>
      <c r="E125" t="s">
        <v>3435</v>
      </c>
      <c r="F125" t="s">
        <v>3463</v>
      </c>
      <c r="G125" s="3">
        <v>35.672916937772499</v>
      </c>
      <c r="H125" s="3">
        <v>129.05147613941801</v>
      </c>
      <c r="I125" t="s">
        <v>3891</v>
      </c>
      <c r="J125" t="s">
        <v>7250</v>
      </c>
      <c r="K125" t="s">
        <v>10585</v>
      </c>
      <c r="L125" t="s">
        <v>3366</v>
      </c>
      <c r="M125" t="s">
        <v>11892</v>
      </c>
      <c r="N125" t="s">
        <v>3360</v>
      </c>
      <c r="O125" t="s">
        <v>3359</v>
      </c>
      <c r="P125" t="s">
        <v>15211</v>
      </c>
      <c r="Q125" t="s">
        <v>15211</v>
      </c>
      <c r="R125" t="s">
        <v>15211</v>
      </c>
      <c r="S125" t="s">
        <v>15211</v>
      </c>
      <c r="T125" t="s">
        <v>3363</v>
      </c>
      <c r="U125" t="s">
        <v>12043</v>
      </c>
      <c r="V125" t="s">
        <v>15212</v>
      </c>
    </row>
    <row r="126" spans="1:22" ht="17.399999999999999" hidden="1">
      <c r="A126" t="s">
        <v>15348</v>
      </c>
      <c r="B126" t="s">
        <v>15441</v>
      </c>
      <c r="C126" t="s">
        <v>15446</v>
      </c>
      <c r="D126" t="s">
        <v>125</v>
      </c>
      <c r="E126" t="s">
        <v>3441</v>
      </c>
      <c r="F126" t="s">
        <v>3515</v>
      </c>
      <c r="G126" s="3">
        <v>35.672916920110303</v>
      </c>
      <c r="H126" s="3">
        <v>129.05147625680499</v>
      </c>
      <c r="I126" t="s">
        <v>3892</v>
      </c>
      <c r="J126" t="s">
        <v>7251</v>
      </c>
      <c r="K126" t="s">
        <v>10586</v>
      </c>
      <c r="L126" t="s">
        <v>3379</v>
      </c>
      <c r="M126" t="s">
        <v>11892</v>
      </c>
      <c r="N126" t="s">
        <v>3360</v>
      </c>
      <c r="O126" t="s">
        <v>3360</v>
      </c>
      <c r="P126" t="s">
        <v>15211</v>
      </c>
      <c r="Q126" t="s">
        <v>15211</v>
      </c>
      <c r="R126" t="s">
        <v>15211</v>
      </c>
      <c r="S126" t="s">
        <v>15211</v>
      </c>
      <c r="T126" t="s">
        <v>3364</v>
      </c>
      <c r="U126" t="s">
        <v>12044</v>
      </c>
      <c r="V126" t="s">
        <v>15213</v>
      </c>
    </row>
    <row r="127" spans="1:22" ht="17.399999999999999" hidden="1">
      <c r="A127" t="s">
        <v>15348</v>
      </c>
      <c r="B127" t="s">
        <v>15441</v>
      </c>
      <c r="C127" t="s">
        <v>15446</v>
      </c>
      <c r="D127" t="s">
        <v>126</v>
      </c>
      <c r="E127" t="s">
        <v>3432</v>
      </c>
      <c r="F127" t="s">
        <v>3463</v>
      </c>
      <c r="G127" s="3">
        <v>35.672916900487401</v>
      </c>
      <c r="H127" s="3">
        <v>129.051476225095</v>
      </c>
      <c r="I127" t="s">
        <v>3893</v>
      </c>
      <c r="J127" t="s">
        <v>7252</v>
      </c>
      <c r="K127" t="s">
        <v>10587</v>
      </c>
      <c r="L127" t="s">
        <v>3366</v>
      </c>
      <c r="M127" t="s">
        <v>11892</v>
      </c>
      <c r="N127" t="s">
        <v>3360</v>
      </c>
      <c r="O127" t="s">
        <v>3360</v>
      </c>
      <c r="P127" t="s">
        <v>15211</v>
      </c>
      <c r="Q127" t="s">
        <v>15211</v>
      </c>
      <c r="R127" t="s">
        <v>15211</v>
      </c>
      <c r="S127" t="s">
        <v>15211</v>
      </c>
      <c r="T127" t="s">
        <v>3364</v>
      </c>
      <c r="U127" t="s">
        <v>12045</v>
      </c>
      <c r="V127" t="s">
        <v>15213</v>
      </c>
    </row>
    <row r="128" spans="1:22" ht="17.399999999999999" hidden="1">
      <c r="A128" t="s">
        <v>15348</v>
      </c>
      <c r="B128" t="s">
        <v>15441</v>
      </c>
      <c r="C128" t="s">
        <v>15446</v>
      </c>
      <c r="D128" t="s">
        <v>127</v>
      </c>
      <c r="E128" t="s">
        <v>3445</v>
      </c>
      <c r="F128" t="s">
        <v>3540</v>
      </c>
      <c r="G128" s="3">
        <v>35.672916670035498</v>
      </c>
      <c r="H128" s="3">
        <v>129.05147618207801</v>
      </c>
      <c r="I128" t="s">
        <v>3894</v>
      </c>
      <c r="J128" t="s">
        <v>7253</v>
      </c>
      <c r="K128" t="s">
        <v>10588</v>
      </c>
      <c r="L128" t="s">
        <v>3366</v>
      </c>
      <c r="M128" t="s">
        <v>11892</v>
      </c>
      <c r="N128" t="s">
        <v>3360</v>
      </c>
      <c r="O128" t="s">
        <v>3360</v>
      </c>
      <c r="P128" t="s">
        <v>15211</v>
      </c>
      <c r="Q128" t="s">
        <v>15211</v>
      </c>
      <c r="R128" t="s">
        <v>15211</v>
      </c>
      <c r="S128" t="s">
        <v>15211</v>
      </c>
      <c r="T128" t="s">
        <v>3364</v>
      </c>
      <c r="U128" t="s">
        <v>12046</v>
      </c>
      <c r="V128" t="s">
        <v>15213</v>
      </c>
    </row>
    <row r="129" spans="1:22" ht="17.399999999999999" hidden="1">
      <c r="A129" t="s">
        <v>15348</v>
      </c>
      <c r="B129" t="s">
        <v>15441</v>
      </c>
      <c r="C129" t="s">
        <v>15447</v>
      </c>
      <c r="D129" t="s">
        <v>128</v>
      </c>
      <c r="E129" t="s">
        <v>3446</v>
      </c>
      <c r="F129" t="s">
        <v>3602</v>
      </c>
      <c r="G129" s="3">
        <v>35.672927188619703</v>
      </c>
      <c r="H129" s="3">
        <v>129.05147548187199</v>
      </c>
      <c r="I129" t="s">
        <v>3895</v>
      </c>
      <c r="J129" t="s">
        <v>7254</v>
      </c>
      <c r="K129" t="s">
        <v>10589</v>
      </c>
      <c r="L129" t="s">
        <v>3377</v>
      </c>
      <c r="M129" t="s">
        <v>11897</v>
      </c>
      <c r="N129" t="s">
        <v>3360</v>
      </c>
      <c r="O129" t="s">
        <v>15211</v>
      </c>
      <c r="P129" t="s">
        <v>15211</v>
      </c>
      <c r="Q129" t="s">
        <v>15211</v>
      </c>
      <c r="R129" t="s">
        <v>15211</v>
      </c>
      <c r="S129" t="s">
        <v>15211</v>
      </c>
      <c r="T129" t="s">
        <v>3360</v>
      </c>
      <c r="U129" t="s">
        <v>12047</v>
      </c>
      <c r="V129" t="s">
        <v>15214</v>
      </c>
    </row>
    <row r="130" spans="1:22" ht="17.399999999999999" hidden="1">
      <c r="A130" t="s">
        <v>15348</v>
      </c>
      <c r="B130" t="s">
        <v>15441</v>
      </c>
      <c r="C130" t="s">
        <v>15447</v>
      </c>
      <c r="D130" t="s">
        <v>129</v>
      </c>
      <c r="E130" t="s">
        <v>3447</v>
      </c>
      <c r="F130" t="s">
        <v>3603</v>
      </c>
      <c r="G130" s="3">
        <v>35.672919430138798</v>
      </c>
      <c r="H130" s="3">
        <v>129.05147688475799</v>
      </c>
      <c r="I130" t="s">
        <v>3896</v>
      </c>
      <c r="J130" t="s">
        <v>7255</v>
      </c>
      <c r="K130" t="s">
        <v>10590</v>
      </c>
      <c r="L130" t="s">
        <v>3366</v>
      </c>
      <c r="M130" t="s">
        <v>11897</v>
      </c>
      <c r="N130" t="s">
        <v>3360</v>
      </c>
      <c r="O130" t="s">
        <v>15211</v>
      </c>
      <c r="P130" t="s">
        <v>15211</v>
      </c>
      <c r="Q130" t="s">
        <v>15211</v>
      </c>
      <c r="R130" t="s">
        <v>15211</v>
      </c>
      <c r="S130" t="s">
        <v>15211</v>
      </c>
      <c r="T130" t="s">
        <v>3360</v>
      </c>
      <c r="U130" t="s">
        <v>12048</v>
      </c>
      <c r="V130" t="s">
        <v>15214</v>
      </c>
    </row>
    <row r="131" spans="1:22" ht="17.399999999999999" hidden="1">
      <c r="A131" t="s">
        <v>15348</v>
      </c>
      <c r="B131" t="s">
        <v>15441</v>
      </c>
      <c r="C131" t="s">
        <v>15447</v>
      </c>
      <c r="D131" t="s">
        <v>130</v>
      </c>
      <c r="E131" t="s">
        <v>3448</v>
      </c>
      <c r="F131" t="s">
        <v>3604</v>
      </c>
      <c r="G131" s="3">
        <v>35.672919431671602</v>
      </c>
      <c r="H131" s="3">
        <v>129.05147687128701</v>
      </c>
      <c r="I131" t="s">
        <v>3897</v>
      </c>
      <c r="J131" t="s">
        <v>7256</v>
      </c>
      <c r="K131" t="s">
        <v>10591</v>
      </c>
      <c r="L131" t="s">
        <v>3366</v>
      </c>
      <c r="M131" t="s">
        <v>11897</v>
      </c>
      <c r="N131" t="s">
        <v>3360</v>
      </c>
      <c r="O131" t="s">
        <v>15211</v>
      </c>
      <c r="P131" t="s">
        <v>15211</v>
      </c>
      <c r="Q131" t="s">
        <v>15211</v>
      </c>
      <c r="R131" t="s">
        <v>15211</v>
      </c>
      <c r="S131" t="s">
        <v>15211</v>
      </c>
      <c r="T131" t="s">
        <v>3360</v>
      </c>
      <c r="U131" t="s">
        <v>12049</v>
      </c>
      <c r="V131" t="s">
        <v>15214</v>
      </c>
    </row>
    <row r="132" spans="1:22" ht="17.399999999999999" hidden="1">
      <c r="A132" t="s">
        <v>15348</v>
      </c>
      <c r="B132" t="s">
        <v>15441</v>
      </c>
      <c r="C132" t="s">
        <v>15448</v>
      </c>
      <c r="D132" t="s">
        <v>131</v>
      </c>
      <c r="E132" t="s">
        <v>3449</v>
      </c>
      <c r="F132" t="s">
        <v>3478</v>
      </c>
      <c r="G132" s="3">
        <v>35.672917120134997</v>
      </c>
      <c r="H132" s="3">
        <v>129.05147608473101</v>
      </c>
      <c r="I132" t="s">
        <v>3898</v>
      </c>
      <c r="J132" t="s">
        <v>7257</v>
      </c>
      <c r="K132" t="s">
        <v>10592</v>
      </c>
      <c r="L132" t="s">
        <v>3375</v>
      </c>
      <c r="M132" t="s">
        <v>11898</v>
      </c>
      <c r="N132" t="s">
        <v>3362</v>
      </c>
      <c r="O132" t="s">
        <v>15211</v>
      </c>
      <c r="P132" t="s">
        <v>15211</v>
      </c>
      <c r="Q132" t="s">
        <v>15211</v>
      </c>
      <c r="R132" t="s">
        <v>15211</v>
      </c>
      <c r="S132" t="s">
        <v>15211</v>
      </c>
      <c r="T132" t="s">
        <v>3362</v>
      </c>
      <c r="U132" t="s">
        <v>12050</v>
      </c>
      <c r="V132" t="s">
        <v>15215</v>
      </c>
    </row>
    <row r="133" spans="1:22" ht="17.399999999999999" hidden="1">
      <c r="A133" t="s">
        <v>15348</v>
      </c>
      <c r="B133" t="s">
        <v>15441</v>
      </c>
      <c r="C133" t="s">
        <v>15448</v>
      </c>
      <c r="D133" t="s">
        <v>132</v>
      </c>
      <c r="E133" t="s">
        <v>3450</v>
      </c>
      <c r="F133" t="s">
        <v>3476</v>
      </c>
      <c r="G133" s="3">
        <v>35.672917129165199</v>
      </c>
      <c r="H133" s="3">
        <v>129.051476109623</v>
      </c>
      <c r="I133" t="s">
        <v>3899</v>
      </c>
      <c r="J133" t="s">
        <v>7258</v>
      </c>
      <c r="K133" t="s">
        <v>10593</v>
      </c>
      <c r="L133" t="s">
        <v>3366</v>
      </c>
      <c r="M133" t="s">
        <v>11899</v>
      </c>
      <c r="N133" t="s">
        <v>3361</v>
      </c>
      <c r="O133" t="s">
        <v>3360</v>
      </c>
      <c r="P133" t="s">
        <v>3361</v>
      </c>
      <c r="Q133" t="s">
        <v>3359</v>
      </c>
      <c r="R133" t="s">
        <v>3358</v>
      </c>
      <c r="S133" t="s">
        <v>15211</v>
      </c>
      <c r="T133" t="s">
        <v>3375</v>
      </c>
      <c r="U133" t="s">
        <v>12051</v>
      </c>
      <c r="V133" t="s">
        <v>15215</v>
      </c>
    </row>
    <row r="134" spans="1:22" ht="17.399999999999999" hidden="1">
      <c r="A134" t="s">
        <v>15348</v>
      </c>
      <c r="B134" t="s">
        <v>15441</v>
      </c>
      <c r="C134" t="s">
        <v>15448</v>
      </c>
      <c r="D134" t="s">
        <v>133</v>
      </c>
      <c r="E134" t="s">
        <v>3449</v>
      </c>
      <c r="F134" t="s">
        <v>3467</v>
      </c>
      <c r="G134" s="3">
        <v>35.672917106801201</v>
      </c>
      <c r="H134" s="3">
        <v>129.051476090911</v>
      </c>
      <c r="I134" t="s">
        <v>3900</v>
      </c>
      <c r="J134" t="s">
        <v>7259</v>
      </c>
      <c r="K134" t="s">
        <v>10529</v>
      </c>
      <c r="L134" t="s">
        <v>3366</v>
      </c>
      <c r="M134" t="s">
        <v>11899</v>
      </c>
      <c r="N134" t="s">
        <v>3361</v>
      </c>
      <c r="O134" t="s">
        <v>3360</v>
      </c>
      <c r="P134" t="s">
        <v>3361</v>
      </c>
      <c r="Q134" t="s">
        <v>3359</v>
      </c>
      <c r="R134" t="s">
        <v>3358</v>
      </c>
      <c r="S134" t="s">
        <v>15211</v>
      </c>
      <c r="T134" t="s">
        <v>3375</v>
      </c>
      <c r="U134" t="s">
        <v>12052</v>
      </c>
      <c r="V134" t="s">
        <v>15215</v>
      </c>
    </row>
    <row r="135" spans="1:22" ht="17.399999999999999" hidden="1">
      <c r="A135" t="s">
        <v>15348</v>
      </c>
      <c r="B135" t="s">
        <v>15441</v>
      </c>
      <c r="C135" t="s">
        <v>15449</v>
      </c>
      <c r="D135" t="s">
        <v>134</v>
      </c>
      <c r="E135" t="s">
        <v>3434</v>
      </c>
      <c r="F135" t="s">
        <v>3463</v>
      </c>
      <c r="G135" s="3">
        <v>35.672917391380601</v>
      </c>
      <c r="H135" s="3">
        <v>129.051476007849</v>
      </c>
      <c r="I135" t="s">
        <v>3901</v>
      </c>
      <c r="J135" t="s">
        <v>7260</v>
      </c>
      <c r="K135" t="s">
        <v>10594</v>
      </c>
      <c r="L135" t="s">
        <v>3366</v>
      </c>
      <c r="M135" t="s">
        <v>11894</v>
      </c>
      <c r="N135" t="s">
        <v>3361</v>
      </c>
      <c r="O135" t="s">
        <v>15211</v>
      </c>
      <c r="P135" t="s">
        <v>3361</v>
      </c>
      <c r="Q135" t="s">
        <v>3358</v>
      </c>
      <c r="R135" t="s">
        <v>3358</v>
      </c>
      <c r="S135" t="s">
        <v>15211</v>
      </c>
      <c r="T135" t="s">
        <v>3370</v>
      </c>
      <c r="U135" t="s">
        <v>12053</v>
      </c>
      <c r="V135" t="s">
        <v>15216</v>
      </c>
    </row>
    <row r="136" spans="1:22" ht="17.399999999999999" hidden="1">
      <c r="A136" t="s">
        <v>15348</v>
      </c>
      <c r="B136" t="s">
        <v>15441</v>
      </c>
      <c r="C136" t="s">
        <v>15449</v>
      </c>
      <c r="D136" t="s">
        <v>135</v>
      </c>
      <c r="E136" t="s">
        <v>3434</v>
      </c>
      <c r="F136" t="s">
        <v>3460</v>
      </c>
      <c r="G136" s="3">
        <v>35.672917380042598</v>
      </c>
      <c r="H136" s="3">
        <v>129.05147600261401</v>
      </c>
      <c r="I136" t="s">
        <v>3902</v>
      </c>
      <c r="J136" t="s">
        <v>7261</v>
      </c>
      <c r="K136" t="s">
        <v>10595</v>
      </c>
      <c r="L136" t="s">
        <v>3366</v>
      </c>
      <c r="M136" t="s">
        <v>11894</v>
      </c>
      <c r="N136" t="s">
        <v>3361</v>
      </c>
      <c r="O136" t="s">
        <v>15211</v>
      </c>
      <c r="P136" t="s">
        <v>3361</v>
      </c>
      <c r="Q136" t="s">
        <v>3358</v>
      </c>
      <c r="R136" t="s">
        <v>3358</v>
      </c>
      <c r="S136" t="s">
        <v>15211</v>
      </c>
      <c r="T136" t="s">
        <v>3370</v>
      </c>
      <c r="U136" t="s">
        <v>12054</v>
      </c>
      <c r="V136" t="s">
        <v>15216</v>
      </c>
    </row>
    <row r="137" spans="1:22" ht="17.399999999999999" hidden="1">
      <c r="A137" t="s">
        <v>15348</v>
      </c>
      <c r="B137" t="s">
        <v>15441</v>
      </c>
      <c r="C137" t="s">
        <v>15449</v>
      </c>
      <c r="D137" t="s">
        <v>136</v>
      </c>
      <c r="E137" t="s">
        <v>3435</v>
      </c>
      <c r="F137" t="s">
        <v>3449</v>
      </c>
      <c r="G137" s="3">
        <v>35.672917405148198</v>
      </c>
      <c r="H137" s="3">
        <v>129.05147605239</v>
      </c>
      <c r="I137" t="s">
        <v>3903</v>
      </c>
      <c r="J137" t="s">
        <v>7262</v>
      </c>
      <c r="K137" t="s">
        <v>3602</v>
      </c>
      <c r="L137" t="s">
        <v>3366</v>
      </c>
      <c r="M137" t="s">
        <v>11895</v>
      </c>
      <c r="N137" t="s">
        <v>3361</v>
      </c>
      <c r="O137" t="s">
        <v>15211</v>
      </c>
      <c r="P137" t="s">
        <v>3361</v>
      </c>
      <c r="Q137" t="s">
        <v>3359</v>
      </c>
      <c r="R137" t="s">
        <v>3358</v>
      </c>
      <c r="S137" t="s">
        <v>15211</v>
      </c>
      <c r="T137" t="s">
        <v>3371</v>
      </c>
      <c r="U137" t="s">
        <v>12055</v>
      </c>
      <c r="V137" t="s">
        <v>15216</v>
      </c>
    </row>
    <row r="138" spans="1:22" ht="17.399999999999999" hidden="1">
      <c r="A138" t="s">
        <v>15348</v>
      </c>
      <c r="B138" t="s">
        <v>15442</v>
      </c>
      <c r="C138" t="s">
        <v>15450</v>
      </c>
      <c r="D138" t="s">
        <v>137</v>
      </c>
      <c r="E138" t="s">
        <v>3451</v>
      </c>
      <c r="F138" t="s">
        <v>3605</v>
      </c>
      <c r="G138" s="3">
        <v>35.672916814650598</v>
      </c>
      <c r="H138" s="3">
        <v>129.05147619702501</v>
      </c>
      <c r="I138" t="s">
        <v>3904</v>
      </c>
      <c r="J138" t="s">
        <v>7263</v>
      </c>
      <c r="K138" t="s">
        <v>10596</v>
      </c>
      <c r="L138" t="s">
        <v>3371</v>
      </c>
      <c r="M138" t="s">
        <v>11900</v>
      </c>
      <c r="N138" t="s">
        <v>3361</v>
      </c>
      <c r="O138" t="s">
        <v>3359</v>
      </c>
      <c r="P138" t="s">
        <v>15211</v>
      </c>
      <c r="Q138" t="s">
        <v>15211</v>
      </c>
      <c r="R138" t="s">
        <v>15211</v>
      </c>
      <c r="S138" t="s">
        <v>15211</v>
      </c>
      <c r="T138" t="s">
        <v>3364</v>
      </c>
      <c r="U138" t="s">
        <v>12056</v>
      </c>
      <c r="V138" t="s">
        <v>15217</v>
      </c>
    </row>
    <row r="139" spans="1:22" ht="17.399999999999999" hidden="1">
      <c r="A139" t="s">
        <v>15348</v>
      </c>
      <c r="B139" t="s">
        <v>15442</v>
      </c>
      <c r="C139" t="s">
        <v>15450</v>
      </c>
      <c r="D139" t="s">
        <v>138</v>
      </c>
      <c r="E139" t="s">
        <v>3452</v>
      </c>
      <c r="F139" t="s">
        <v>3563</v>
      </c>
      <c r="G139" s="3">
        <v>35.672916980434998</v>
      </c>
      <c r="H139" s="3">
        <v>129.05147612131299</v>
      </c>
      <c r="I139" t="s">
        <v>3905</v>
      </c>
      <c r="J139" t="s">
        <v>7264</v>
      </c>
      <c r="K139" t="s">
        <v>10597</v>
      </c>
      <c r="L139" t="s">
        <v>3366</v>
      </c>
      <c r="M139" t="s">
        <v>11900</v>
      </c>
      <c r="N139" t="s">
        <v>3361</v>
      </c>
      <c r="O139" t="s">
        <v>3360</v>
      </c>
      <c r="P139" t="s">
        <v>15211</v>
      </c>
      <c r="Q139" t="s">
        <v>15211</v>
      </c>
      <c r="R139" t="s">
        <v>15211</v>
      </c>
      <c r="S139" t="s">
        <v>15211</v>
      </c>
      <c r="T139" t="s">
        <v>3365</v>
      </c>
      <c r="U139" t="s">
        <v>12057</v>
      </c>
      <c r="V139" t="s">
        <v>15217</v>
      </c>
    </row>
    <row r="140" spans="1:22" ht="17.399999999999999" hidden="1">
      <c r="A140" t="s">
        <v>15348</v>
      </c>
      <c r="B140" t="s">
        <v>15442</v>
      </c>
      <c r="C140" t="s">
        <v>15450</v>
      </c>
      <c r="D140" t="s">
        <v>139</v>
      </c>
      <c r="E140" t="s">
        <v>3453</v>
      </c>
      <c r="F140" t="s">
        <v>3540</v>
      </c>
      <c r="G140" s="3">
        <v>35.672916987174197</v>
      </c>
      <c r="H140" s="3">
        <v>129.05147614598701</v>
      </c>
      <c r="I140" t="s">
        <v>3906</v>
      </c>
      <c r="J140" t="s">
        <v>7265</v>
      </c>
      <c r="K140" t="s">
        <v>10598</v>
      </c>
      <c r="L140" t="s">
        <v>3366</v>
      </c>
      <c r="M140" t="s">
        <v>11892</v>
      </c>
      <c r="N140" t="s">
        <v>3361</v>
      </c>
      <c r="O140" t="s">
        <v>3359</v>
      </c>
      <c r="P140" t="s">
        <v>15211</v>
      </c>
      <c r="Q140" t="s">
        <v>15211</v>
      </c>
      <c r="R140" t="s">
        <v>15211</v>
      </c>
      <c r="S140" t="s">
        <v>15211</v>
      </c>
      <c r="T140" t="s">
        <v>3364</v>
      </c>
      <c r="U140" t="s">
        <v>12058</v>
      </c>
      <c r="V140" t="s">
        <v>15217</v>
      </c>
    </row>
    <row r="141" spans="1:22" ht="17.399999999999999" hidden="1">
      <c r="A141" t="s">
        <v>15348</v>
      </c>
      <c r="B141" t="s">
        <v>15442</v>
      </c>
      <c r="C141" t="s">
        <v>15445</v>
      </c>
      <c r="D141" t="s">
        <v>140</v>
      </c>
      <c r="E141" t="s">
        <v>3454</v>
      </c>
      <c r="F141" t="s">
        <v>3606</v>
      </c>
      <c r="G141" s="3">
        <v>35.672917506237098</v>
      </c>
      <c r="H141" s="3">
        <v>129.05147595077099</v>
      </c>
      <c r="I141" t="s">
        <v>3907</v>
      </c>
      <c r="J141" t="s">
        <v>7266</v>
      </c>
      <c r="K141" t="s">
        <v>10599</v>
      </c>
      <c r="L141" t="s">
        <v>3382</v>
      </c>
      <c r="M141" t="s">
        <v>11892</v>
      </c>
      <c r="N141" t="s">
        <v>3361</v>
      </c>
      <c r="O141" t="s">
        <v>3359</v>
      </c>
      <c r="P141" t="s">
        <v>15211</v>
      </c>
      <c r="Q141" t="s">
        <v>15211</v>
      </c>
      <c r="R141" t="s">
        <v>15211</v>
      </c>
      <c r="S141" t="s">
        <v>15211</v>
      </c>
      <c r="T141" t="s">
        <v>3364</v>
      </c>
      <c r="U141" t="s">
        <v>12059</v>
      </c>
      <c r="V141" t="s">
        <v>15218</v>
      </c>
    </row>
    <row r="142" spans="1:22" ht="17.399999999999999" hidden="1">
      <c r="A142" t="s">
        <v>15348</v>
      </c>
      <c r="B142" t="s">
        <v>15442</v>
      </c>
      <c r="C142" t="s">
        <v>15445</v>
      </c>
      <c r="D142" t="s">
        <v>141</v>
      </c>
      <c r="E142" t="s">
        <v>3455</v>
      </c>
      <c r="F142" t="s">
        <v>3607</v>
      </c>
      <c r="G142" s="3">
        <v>35.672917377940102</v>
      </c>
      <c r="H142" s="3">
        <v>129.05147602750799</v>
      </c>
      <c r="I142" t="s">
        <v>3908</v>
      </c>
      <c r="J142" t="s">
        <v>7267</v>
      </c>
      <c r="K142" t="s">
        <v>10600</v>
      </c>
      <c r="L142" t="s">
        <v>3366</v>
      </c>
      <c r="M142" t="s">
        <v>11900</v>
      </c>
      <c r="N142" t="s">
        <v>3361</v>
      </c>
      <c r="O142" t="s">
        <v>3360</v>
      </c>
      <c r="P142" t="s">
        <v>15211</v>
      </c>
      <c r="Q142" t="s">
        <v>15211</v>
      </c>
      <c r="R142" t="s">
        <v>15211</v>
      </c>
      <c r="S142" t="s">
        <v>15211</v>
      </c>
      <c r="T142" t="s">
        <v>3365</v>
      </c>
      <c r="U142" t="s">
        <v>12060</v>
      </c>
      <c r="V142" t="s">
        <v>15218</v>
      </c>
    </row>
    <row r="143" spans="1:22" ht="17.399999999999999" hidden="1">
      <c r="A143" t="s">
        <v>15348</v>
      </c>
      <c r="B143" t="s">
        <v>15442</v>
      </c>
      <c r="C143" t="s">
        <v>15445</v>
      </c>
      <c r="D143" t="s">
        <v>142</v>
      </c>
      <c r="E143" t="s">
        <v>3456</v>
      </c>
      <c r="F143" t="s">
        <v>3608</v>
      </c>
      <c r="G143" s="3">
        <v>35.672917035356399</v>
      </c>
      <c r="H143" s="3">
        <v>129.051476208163</v>
      </c>
      <c r="I143" t="s">
        <v>3909</v>
      </c>
      <c r="J143" t="s">
        <v>7268</v>
      </c>
      <c r="K143" t="s">
        <v>10601</v>
      </c>
      <c r="L143" t="s">
        <v>3366</v>
      </c>
      <c r="M143" t="s">
        <v>11900</v>
      </c>
      <c r="N143" t="s">
        <v>3361</v>
      </c>
      <c r="O143" t="s">
        <v>3360</v>
      </c>
      <c r="P143" t="s">
        <v>15211</v>
      </c>
      <c r="Q143" t="s">
        <v>15211</v>
      </c>
      <c r="R143" t="s">
        <v>15211</v>
      </c>
      <c r="S143" t="s">
        <v>15211</v>
      </c>
      <c r="T143" t="s">
        <v>3365</v>
      </c>
      <c r="U143" t="s">
        <v>12061</v>
      </c>
      <c r="V143" t="s">
        <v>15218</v>
      </c>
    </row>
    <row r="144" spans="1:22" ht="17.399999999999999" hidden="1">
      <c r="A144" t="s">
        <v>15348</v>
      </c>
      <c r="B144" t="s">
        <v>15442</v>
      </c>
      <c r="C144" t="s">
        <v>15451</v>
      </c>
      <c r="D144" t="s">
        <v>143</v>
      </c>
      <c r="E144" t="s">
        <v>3437</v>
      </c>
      <c r="F144" t="s">
        <v>3428</v>
      </c>
      <c r="G144" s="3">
        <v>35.672917056002397</v>
      </c>
      <c r="H144" s="3">
        <v>129.051476231923</v>
      </c>
      <c r="I144" t="s">
        <v>3910</v>
      </c>
      <c r="J144" t="s">
        <v>7269</v>
      </c>
      <c r="K144" t="s">
        <v>10602</v>
      </c>
      <c r="L144" t="s">
        <v>3381</v>
      </c>
      <c r="M144" t="s">
        <v>11901</v>
      </c>
      <c r="N144" t="s">
        <v>3361</v>
      </c>
      <c r="O144" t="s">
        <v>3359</v>
      </c>
      <c r="P144" t="s">
        <v>3361</v>
      </c>
      <c r="Q144" t="s">
        <v>3359</v>
      </c>
      <c r="R144" t="s">
        <v>15211</v>
      </c>
      <c r="S144" t="s">
        <v>15211</v>
      </c>
      <c r="T144" t="s">
        <v>3372</v>
      </c>
      <c r="U144" t="s">
        <v>12062</v>
      </c>
      <c r="V144" t="s">
        <v>15219</v>
      </c>
    </row>
    <row r="145" spans="1:22" ht="17.399999999999999" hidden="1">
      <c r="A145" t="s">
        <v>15348</v>
      </c>
      <c r="B145" t="s">
        <v>15442</v>
      </c>
      <c r="C145" t="s">
        <v>15451</v>
      </c>
      <c r="D145" t="s">
        <v>144</v>
      </c>
      <c r="E145" t="s">
        <v>3437</v>
      </c>
      <c r="F145" t="s">
        <v>3428</v>
      </c>
      <c r="G145" s="3">
        <v>35.672917043272797</v>
      </c>
      <c r="H145" s="3">
        <v>129.051476232525</v>
      </c>
      <c r="I145" t="s">
        <v>3911</v>
      </c>
      <c r="J145" t="s">
        <v>7270</v>
      </c>
      <c r="K145" t="s">
        <v>10603</v>
      </c>
      <c r="L145" t="s">
        <v>3366</v>
      </c>
      <c r="M145" t="s">
        <v>11901</v>
      </c>
      <c r="N145" t="s">
        <v>3362</v>
      </c>
      <c r="O145" t="s">
        <v>3359</v>
      </c>
      <c r="P145" t="s">
        <v>3361</v>
      </c>
      <c r="Q145" t="s">
        <v>3359</v>
      </c>
      <c r="R145" t="s">
        <v>15211</v>
      </c>
      <c r="S145" t="s">
        <v>15211</v>
      </c>
      <c r="T145" t="s">
        <v>3373</v>
      </c>
      <c r="U145" t="s">
        <v>12063</v>
      </c>
      <c r="V145" t="s">
        <v>15219</v>
      </c>
    </row>
    <row r="146" spans="1:22" ht="17.399999999999999" hidden="1">
      <c r="A146" t="s">
        <v>15348</v>
      </c>
      <c r="B146" t="s">
        <v>15442</v>
      </c>
      <c r="C146" t="s">
        <v>15451</v>
      </c>
      <c r="D146" t="s">
        <v>145</v>
      </c>
      <c r="E146" t="s">
        <v>3440</v>
      </c>
      <c r="F146" t="s">
        <v>3425</v>
      </c>
      <c r="G146" s="3">
        <v>35.672917067175298</v>
      </c>
      <c r="H146" s="3">
        <v>129.051476237196</v>
      </c>
      <c r="I146" t="s">
        <v>3912</v>
      </c>
      <c r="J146" t="s">
        <v>7271</v>
      </c>
      <c r="K146" t="s">
        <v>10604</v>
      </c>
      <c r="L146" t="s">
        <v>3366</v>
      </c>
      <c r="M146" t="s">
        <v>11898</v>
      </c>
      <c r="N146" t="s">
        <v>3362</v>
      </c>
      <c r="O146" t="s">
        <v>3360</v>
      </c>
      <c r="P146" t="s">
        <v>3361</v>
      </c>
      <c r="Q146" t="s">
        <v>3359</v>
      </c>
      <c r="R146" t="s">
        <v>15211</v>
      </c>
      <c r="S146" t="s">
        <v>15211</v>
      </c>
      <c r="T146" t="s">
        <v>3374</v>
      </c>
      <c r="U146" t="s">
        <v>12064</v>
      </c>
      <c r="V146" t="s">
        <v>15219</v>
      </c>
    </row>
    <row r="147" spans="1:22" ht="17.399999999999999">
      <c r="A147" t="s">
        <v>15348</v>
      </c>
      <c r="B147" t="s">
        <v>15443</v>
      </c>
      <c r="C147" t="s">
        <v>15452</v>
      </c>
      <c r="D147" t="s">
        <v>146</v>
      </c>
      <c r="E147" t="s">
        <v>3436</v>
      </c>
      <c r="F147" t="s">
        <v>3453</v>
      </c>
      <c r="G147" s="3">
        <v>35.672917353639001</v>
      </c>
      <c r="H147" s="3">
        <v>129.05147601336901</v>
      </c>
      <c r="I147" t="s">
        <v>3913</v>
      </c>
      <c r="J147" t="s">
        <v>7272</v>
      </c>
      <c r="K147" t="s">
        <v>10605</v>
      </c>
      <c r="L147" t="s">
        <v>3378</v>
      </c>
      <c r="M147" t="s">
        <v>11902</v>
      </c>
      <c r="N147" t="s">
        <v>3361</v>
      </c>
      <c r="O147" t="s">
        <v>15211</v>
      </c>
      <c r="P147" t="s">
        <v>3361</v>
      </c>
      <c r="Q147" t="s">
        <v>15211</v>
      </c>
      <c r="R147" t="s">
        <v>15211</v>
      </c>
      <c r="S147" t="s">
        <v>15211</v>
      </c>
      <c r="T147" t="s">
        <v>3366</v>
      </c>
      <c r="U147" t="s">
        <v>12065</v>
      </c>
      <c r="V147" t="s">
        <v>15220</v>
      </c>
    </row>
    <row r="148" spans="1:22" ht="17.399999999999999">
      <c r="A148" t="s">
        <v>15348</v>
      </c>
      <c r="B148" t="s">
        <v>15443</v>
      </c>
      <c r="C148" t="s">
        <v>15452</v>
      </c>
      <c r="D148" t="s">
        <v>147</v>
      </c>
      <c r="E148" t="s">
        <v>3428</v>
      </c>
      <c r="F148" t="s">
        <v>3442</v>
      </c>
      <c r="G148" s="3">
        <v>35.672917371693998</v>
      </c>
      <c r="H148" s="3">
        <v>129.05147602392901</v>
      </c>
      <c r="I148" t="s">
        <v>3914</v>
      </c>
      <c r="J148" t="s">
        <v>7273</v>
      </c>
      <c r="K148" t="s">
        <v>10606</v>
      </c>
      <c r="L148" t="s">
        <v>3366</v>
      </c>
      <c r="M148" t="s">
        <v>11886</v>
      </c>
      <c r="N148" t="s">
        <v>3362</v>
      </c>
      <c r="O148" t="s">
        <v>15211</v>
      </c>
      <c r="P148" t="s">
        <v>3361</v>
      </c>
      <c r="Q148" t="s">
        <v>15211</v>
      </c>
      <c r="R148" t="s">
        <v>15211</v>
      </c>
      <c r="S148" t="s">
        <v>15211</v>
      </c>
      <c r="T148" t="s">
        <v>3367</v>
      </c>
      <c r="U148" t="s">
        <v>12066</v>
      </c>
      <c r="V148" t="s">
        <v>15220</v>
      </c>
    </row>
    <row r="149" spans="1:22" ht="17.399999999999999">
      <c r="A149" t="s">
        <v>15348</v>
      </c>
      <c r="B149" t="s">
        <v>15443</v>
      </c>
      <c r="C149" t="s">
        <v>15452</v>
      </c>
      <c r="D149" t="s">
        <v>148</v>
      </c>
      <c r="E149" t="s">
        <v>3436</v>
      </c>
      <c r="F149" t="s">
        <v>3442</v>
      </c>
      <c r="G149" s="3">
        <v>35.672917366034802</v>
      </c>
      <c r="H149" s="3">
        <v>129.051475996976</v>
      </c>
      <c r="I149" t="s">
        <v>3915</v>
      </c>
      <c r="J149" t="s">
        <v>7274</v>
      </c>
      <c r="K149" t="s">
        <v>10607</v>
      </c>
      <c r="L149" t="s">
        <v>3366</v>
      </c>
      <c r="M149" t="s">
        <v>11902</v>
      </c>
      <c r="N149" t="s">
        <v>3362</v>
      </c>
      <c r="O149" t="s">
        <v>15211</v>
      </c>
      <c r="P149" t="s">
        <v>3361</v>
      </c>
      <c r="Q149" t="s">
        <v>15211</v>
      </c>
      <c r="R149" t="s">
        <v>15211</v>
      </c>
      <c r="S149" t="s">
        <v>15211</v>
      </c>
      <c r="T149" t="s">
        <v>3367</v>
      </c>
      <c r="U149" t="s">
        <v>12067</v>
      </c>
      <c r="V149" t="s">
        <v>15220</v>
      </c>
    </row>
    <row r="150" spans="1:22" ht="17.399999999999999" hidden="1">
      <c r="A150" t="s">
        <v>15349</v>
      </c>
      <c r="B150" t="s">
        <v>15441</v>
      </c>
      <c r="C150" t="s">
        <v>15445</v>
      </c>
      <c r="D150" t="s">
        <v>149</v>
      </c>
      <c r="E150" t="s">
        <v>3443</v>
      </c>
      <c r="F150" t="s">
        <v>3440</v>
      </c>
      <c r="G150" s="3">
        <v>35.654249407834598</v>
      </c>
      <c r="H150" s="3">
        <v>129.221338950882</v>
      </c>
      <c r="I150" t="s">
        <v>3916</v>
      </c>
      <c r="J150" t="s">
        <v>7275</v>
      </c>
      <c r="K150" t="s">
        <v>10608</v>
      </c>
      <c r="L150" t="s">
        <v>3366</v>
      </c>
      <c r="M150" t="s">
        <v>11903</v>
      </c>
      <c r="N150" t="s">
        <v>3365</v>
      </c>
      <c r="O150" t="s">
        <v>3363</v>
      </c>
      <c r="P150" t="s">
        <v>15211</v>
      </c>
      <c r="Q150" t="s">
        <v>15211</v>
      </c>
      <c r="R150" t="s">
        <v>15211</v>
      </c>
      <c r="S150" t="s">
        <v>15211</v>
      </c>
      <c r="T150" t="s">
        <v>3372</v>
      </c>
      <c r="U150" t="s">
        <v>12068</v>
      </c>
      <c r="V150" t="s">
        <v>15212</v>
      </c>
    </row>
    <row r="151" spans="1:22" ht="17.399999999999999" hidden="1">
      <c r="A151" t="s">
        <v>15349</v>
      </c>
      <c r="B151" t="s">
        <v>15441</v>
      </c>
      <c r="C151" t="s">
        <v>15445</v>
      </c>
      <c r="D151" t="s">
        <v>150</v>
      </c>
      <c r="E151" t="s">
        <v>3443</v>
      </c>
      <c r="F151" t="s">
        <v>3440</v>
      </c>
      <c r="G151" s="3">
        <v>35.654249427401197</v>
      </c>
      <c r="H151" s="3">
        <v>129.22133896761801</v>
      </c>
      <c r="I151" t="s">
        <v>3917</v>
      </c>
      <c r="J151" t="s">
        <v>7276</v>
      </c>
      <c r="K151" t="s">
        <v>10608</v>
      </c>
      <c r="L151" t="s">
        <v>3366</v>
      </c>
      <c r="M151" t="s">
        <v>11903</v>
      </c>
      <c r="N151" t="s">
        <v>3365</v>
      </c>
      <c r="O151" t="s">
        <v>3363</v>
      </c>
      <c r="P151" t="s">
        <v>15211</v>
      </c>
      <c r="Q151" t="s">
        <v>15211</v>
      </c>
      <c r="R151" t="s">
        <v>15211</v>
      </c>
      <c r="S151" t="s">
        <v>15211</v>
      </c>
      <c r="T151" t="s">
        <v>3372</v>
      </c>
      <c r="U151" t="s">
        <v>12069</v>
      </c>
      <c r="V151" t="s">
        <v>15212</v>
      </c>
    </row>
    <row r="152" spans="1:22" ht="17.399999999999999" hidden="1">
      <c r="A152" t="s">
        <v>15349</v>
      </c>
      <c r="B152" t="s">
        <v>15441</v>
      </c>
      <c r="C152" t="s">
        <v>15445</v>
      </c>
      <c r="D152" t="s">
        <v>151</v>
      </c>
      <c r="E152" t="s">
        <v>3443</v>
      </c>
      <c r="F152" t="s">
        <v>3440</v>
      </c>
      <c r="G152" s="3">
        <v>35.654249420536303</v>
      </c>
      <c r="H152" s="3">
        <v>129.22133895550499</v>
      </c>
      <c r="I152" t="s">
        <v>3918</v>
      </c>
      <c r="J152" t="s">
        <v>7277</v>
      </c>
      <c r="K152" t="s">
        <v>10608</v>
      </c>
      <c r="L152" t="s">
        <v>3366</v>
      </c>
      <c r="M152" t="s">
        <v>11903</v>
      </c>
      <c r="N152" t="s">
        <v>3365</v>
      </c>
      <c r="O152" t="s">
        <v>3363</v>
      </c>
      <c r="P152" t="s">
        <v>15211</v>
      </c>
      <c r="Q152" t="s">
        <v>15211</v>
      </c>
      <c r="R152" t="s">
        <v>15211</v>
      </c>
      <c r="S152" t="s">
        <v>15211</v>
      </c>
      <c r="T152" t="s">
        <v>3372</v>
      </c>
      <c r="U152" t="s">
        <v>12070</v>
      </c>
      <c r="V152" t="s">
        <v>15212</v>
      </c>
    </row>
    <row r="153" spans="1:22" ht="17.399999999999999" hidden="1">
      <c r="A153" t="s">
        <v>15349</v>
      </c>
      <c r="B153" t="s">
        <v>15441</v>
      </c>
      <c r="C153" t="s">
        <v>15446</v>
      </c>
      <c r="D153" t="s">
        <v>152</v>
      </c>
      <c r="E153" t="s">
        <v>3443</v>
      </c>
      <c r="F153" t="s">
        <v>3440</v>
      </c>
      <c r="G153" s="3">
        <v>35.654249427533699</v>
      </c>
      <c r="H153" s="3">
        <v>129.221338956583</v>
      </c>
      <c r="I153" t="s">
        <v>3919</v>
      </c>
      <c r="J153" t="s">
        <v>7278</v>
      </c>
      <c r="K153" t="s">
        <v>10609</v>
      </c>
      <c r="L153" t="s">
        <v>3378</v>
      </c>
      <c r="M153" t="s">
        <v>11903</v>
      </c>
      <c r="N153" t="s">
        <v>3365</v>
      </c>
      <c r="O153" t="s">
        <v>3363</v>
      </c>
      <c r="P153" t="s">
        <v>15211</v>
      </c>
      <c r="Q153" t="s">
        <v>15211</v>
      </c>
      <c r="R153" t="s">
        <v>15211</v>
      </c>
      <c r="S153" t="s">
        <v>15211</v>
      </c>
      <c r="T153" t="s">
        <v>3372</v>
      </c>
      <c r="U153" t="s">
        <v>12071</v>
      </c>
      <c r="V153" t="s">
        <v>15213</v>
      </c>
    </row>
    <row r="154" spans="1:22" ht="17.399999999999999" hidden="1">
      <c r="A154" t="s">
        <v>15349</v>
      </c>
      <c r="B154" t="s">
        <v>15441</v>
      </c>
      <c r="C154" t="s">
        <v>15446</v>
      </c>
      <c r="D154" t="s">
        <v>153</v>
      </c>
      <c r="E154" t="s">
        <v>3443</v>
      </c>
      <c r="F154" t="s">
        <v>3440</v>
      </c>
      <c r="G154" s="3">
        <v>35.654249445971502</v>
      </c>
      <c r="H154" s="3">
        <v>129.22133896988899</v>
      </c>
      <c r="I154" t="s">
        <v>3920</v>
      </c>
      <c r="J154" t="s">
        <v>7279</v>
      </c>
      <c r="K154" t="s">
        <v>10609</v>
      </c>
      <c r="L154" t="s">
        <v>3366</v>
      </c>
      <c r="M154" t="s">
        <v>11903</v>
      </c>
      <c r="N154" t="s">
        <v>3365</v>
      </c>
      <c r="O154" t="s">
        <v>3363</v>
      </c>
      <c r="P154" t="s">
        <v>15211</v>
      </c>
      <c r="Q154" t="s">
        <v>15211</v>
      </c>
      <c r="R154" t="s">
        <v>15211</v>
      </c>
      <c r="S154" t="s">
        <v>15211</v>
      </c>
      <c r="T154" t="s">
        <v>3372</v>
      </c>
      <c r="U154" t="s">
        <v>12072</v>
      </c>
      <c r="V154" t="s">
        <v>15213</v>
      </c>
    </row>
    <row r="155" spans="1:22" ht="17.399999999999999" hidden="1">
      <c r="A155" t="s">
        <v>15349</v>
      </c>
      <c r="B155" t="s">
        <v>15441</v>
      </c>
      <c r="C155" t="s">
        <v>15446</v>
      </c>
      <c r="D155" t="s">
        <v>154</v>
      </c>
      <c r="E155" t="s">
        <v>3443</v>
      </c>
      <c r="F155" t="s">
        <v>3440</v>
      </c>
      <c r="G155" s="3">
        <v>35.654249434041297</v>
      </c>
      <c r="H155" s="3">
        <v>129.22133898789201</v>
      </c>
      <c r="I155" t="s">
        <v>3921</v>
      </c>
      <c r="J155" t="s">
        <v>7280</v>
      </c>
      <c r="K155" t="s">
        <v>10609</v>
      </c>
      <c r="L155" t="s">
        <v>3366</v>
      </c>
      <c r="M155" t="s">
        <v>11903</v>
      </c>
      <c r="N155" t="s">
        <v>3365</v>
      </c>
      <c r="O155" t="s">
        <v>3363</v>
      </c>
      <c r="P155" t="s">
        <v>15211</v>
      </c>
      <c r="Q155" t="s">
        <v>15211</v>
      </c>
      <c r="R155" t="s">
        <v>15211</v>
      </c>
      <c r="S155" t="s">
        <v>15211</v>
      </c>
      <c r="T155" t="s">
        <v>3372</v>
      </c>
      <c r="U155" t="s">
        <v>12073</v>
      </c>
      <c r="V155" t="s">
        <v>15213</v>
      </c>
    </row>
    <row r="156" spans="1:22" ht="17.399999999999999" hidden="1">
      <c r="A156" t="s">
        <v>15349</v>
      </c>
      <c r="B156" t="s">
        <v>15441</v>
      </c>
      <c r="C156" t="s">
        <v>15447</v>
      </c>
      <c r="D156" t="s">
        <v>155</v>
      </c>
      <c r="E156" t="s">
        <v>3439</v>
      </c>
      <c r="F156" t="s">
        <v>3427</v>
      </c>
      <c r="G156" s="3">
        <v>35.654249437446403</v>
      </c>
      <c r="H156" s="3">
        <v>129.22133905666999</v>
      </c>
      <c r="I156" t="s">
        <v>3922</v>
      </c>
      <c r="J156" t="s">
        <v>7281</v>
      </c>
      <c r="K156" t="s">
        <v>10610</v>
      </c>
      <c r="L156" t="s">
        <v>3380</v>
      </c>
      <c r="M156" t="s">
        <v>11900</v>
      </c>
      <c r="N156" t="s">
        <v>3365</v>
      </c>
      <c r="O156" t="s">
        <v>15211</v>
      </c>
      <c r="P156" t="s">
        <v>15211</v>
      </c>
      <c r="Q156" t="s">
        <v>15211</v>
      </c>
      <c r="R156" t="s">
        <v>15211</v>
      </c>
      <c r="S156" t="s">
        <v>15211</v>
      </c>
      <c r="T156" t="s">
        <v>3365</v>
      </c>
      <c r="U156" t="s">
        <v>12074</v>
      </c>
      <c r="V156" t="s">
        <v>15214</v>
      </c>
    </row>
    <row r="157" spans="1:22" ht="17.399999999999999" hidden="1">
      <c r="A157" t="s">
        <v>15349</v>
      </c>
      <c r="B157" t="s">
        <v>15441</v>
      </c>
      <c r="C157" t="s">
        <v>15447</v>
      </c>
      <c r="D157" t="s">
        <v>156</v>
      </c>
      <c r="E157" t="s">
        <v>3443</v>
      </c>
      <c r="F157" t="s">
        <v>3438</v>
      </c>
      <c r="G157" s="3">
        <v>35.654249433988298</v>
      </c>
      <c r="H157" s="3">
        <v>129.22133906558699</v>
      </c>
      <c r="I157" t="s">
        <v>3923</v>
      </c>
      <c r="J157" t="s">
        <v>7282</v>
      </c>
      <c r="K157" t="s">
        <v>10611</v>
      </c>
      <c r="L157" t="s">
        <v>3366</v>
      </c>
      <c r="M157" t="s">
        <v>11900</v>
      </c>
      <c r="N157" t="s">
        <v>3365</v>
      </c>
      <c r="O157" t="s">
        <v>15211</v>
      </c>
      <c r="P157" t="s">
        <v>15211</v>
      </c>
      <c r="Q157" t="s">
        <v>15211</v>
      </c>
      <c r="R157" t="s">
        <v>15211</v>
      </c>
      <c r="S157" t="s">
        <v>15211</v>
      </c>
      <c r="T157" t="s">
        <v>3365</v>
      </c>
      <c r="U157" t="s">
        <v>12075</v>
      </c>
      <c r="V157" t="s">
        <v>15214</v>
      </c>
    </row>
    <row r="158" spans="1:22" ht="17.399999999999999" hidden="1">
      <c r="A158" t="s">
        <v>15349</v>
      </c>
      <c r="B158" t="s">
        <v>15441</v>
      </c>
      <c r="C158" t="s">
        <v>15447</v>
      </c>
      <c r="D158" t="s">
        <v>157</v>
      </c>
      <c r="E158" t="s">
        <v>3443</v>
      </c>
      <c r="F158" t="s">
        <v>3438</v>
      </c>
      <c r="G158" s="3">
        <v>35.654249426155602</v>
      </c>
      <c r="H158" s="3">
        <v>129.22133905988099</v>
      </c>
      <c r="I158" t="s">
        <v>3924</v>
      </c>
      <c r="J158" t="s">
        <v>7283</v>
      </c>
      <c r="K158" t="s">
        <v>10612</v>
      </c>
      <c r="L158" t="s">
        <v>3366</v>
      </c>
      <c r="M158" t="s">
        <v>11900</v>
      </c>
      <c r="N158" t="s">
        <v>3365</v>
      </c>
      <c r="O158" t="s">
        <v>15211</v>
      </c>
      <c r="P158" t="s">
        <v>15211</v>
      </c>
      <c r="Q158" t="s">
        <v>15211</v>
      </c>
      <c r="R158" t="s">
        <v>15211</v>
      </c>
      <c r="S158" t="s">
        <v>15211</v>
      </c>
      <c r="T158" t="s">
        <v>3365</v>
      </c>
      <c r="U158" t="s">
        <v>12076</v>
      </c>
      <c r="V158" t="s">
        <v>15214</v>
      </c>
    </row>
    <row r="159" spans="1:22" ht="17.399999999999999" hidden="1">
      <c r="A159" t="s">
        <v>15349</v>
      </c>
      <c r="B159" t="s">
        <v>15441</v>
      </c>
      <c r="C159" t="s">
        <v>15448</v>
      </c>
      <c r="D159" t="s">
        <v>158</v>
      </c>
      <c r="E159" t="s">
        <v>3440</v>
      </c>
      <c r="F159" t="s">
        <v>3434</v>
      </c>
      <c r="G159" s="3">
        <v>35.654249439183701</v>
      </c>
      <c r="H159" s="3">
        <v>129.22133903782299</v>
      </c>
      <c r="I159" t="s">
        <v>3925</v>
      </c>
      <c r="J159" t="s">
        <v>7284</v>
      </c>
      <c r="K159" t="s">
        <v>10613</v>
      </c>
      <c r="L159" t="s">
        <v>3369</v>
      </c>
      <c r="M159" t="s">
        <v>11904</v>
      </c>
      <c r="N159" t="s">
        <v>3365</v>
      </c>
      <c r="O159" t="s">
        <v>3363</v>
      </c>
      <c r="P159" t="s">
        <v>3364</v>
      </c>
      <c r="Q159" t="s">
        <v>3365</v>
      </c>
      <c r="R159" t="s">
        <v>3357</v>
      </c>
      <c r="S159" t="s">
        <v>15211</v>
      </c>
      <c r="T159" t="s">
        <v>3390</v>
      </c>
      <c r="U159" t="s">
        <v>12077</v>
      </c>
      <c r="V159" t="s">
        <v>15215</v>
      </c>
    </row>
    <row r="160" spans="1:22" ht="17.399999999999999" hidden="1">
      <c r="A160" t="s">
        <v>15349</v>
      </c>
      <c r="B160" t="s">
        <v>15441</v>
      </c>
      <c r="C160" t="s">
        <v>15448</v>
      </c>
      <c r="D160" t="s">
        <v>159</v>
      </c>
      <c r="E160" t="s">
        <v>3438</v>
      </c>
      <c r="F160" t="s">
        <v>3430</v>
      </c>
      <c r="G160" s="3">
        <v>35.654249435204399</v>
      </c>
      <c r="H160" s="3">
        <v>129.22133904367999</v>
      </c>
      <c r="I160" t="s">
        <v>3926</v>
      </c>
      <c r="J160" t="s">
        <v>7285</v>
      </c>
      <c r="K160" t="s">
        <v>10614</v>
      </c>
      <c r="L160" t="s">
        <v>3366</v>
      </c>
      <c r="M160" t="s">
        <v>11905</v>
      </c>
      <c r="N160" t="s">
        <v>3365</v>
      </c>
      <c r="O160" t="s">
        <v>3363</v>
      </c>
      <c r="P160" t="s">
        <v>3364</v>
      </c>
      <c r="Q160" t="s">
        <v>3365</v>
      </c>
      <c r="R160" t="s">
        <v>3357</v>
      </c>
      <c r="S160" t="s">
        <v>15211</v>
      </c>
      <c r="T160" t="s">
        <v>3390</v>
      </c>
      <c r="U160" t="s">
        <v>12078</v>
      </c>
      <c r="V160" t="s">
        <v>15215</v>
      </c>
    </row>
    <row r="161" spans="1:22" ht="17.399999999999999" hidden="1">
      <c r="A161" t="s">
        <v>15349</v>
      </c>
      <c r="B161" t="s">
        <v>15441</v>
      </c>
      <c r="C161" t="s">
        <v>15448</v>
      </c>
      <c r="D161" t="s">
        <v>160</v>
      </c>
      <c r="E161" t="s">
        <v>3427</v>
      </c>
      <c r="F161" t="s">
        <v>3442</v>
      </c>
      <c r="G161" s="3">
        <v>35.654249439247202</v>
      </c>
      <c r="H161" s="3">
        <v>129.22133903700899</v>
      </c>
      <c r="I161" t="s">
        <v>3927</v>
      </c>
      <c r="J161" t="s">
        <v>7286</v>
      </c>
      <c r="K161" t="s">
        <v>10614</v>
      </c>
      <c r="L161" t="s">
        <v>3366</v>
      </c>
      <c r="M161" t="s">
        <v>11905</v>
      </c>
      <c r="N161" t="s">
        <v>3365</v>
      </c>
      <c r="O161" t="s">
        <v>3363</v>
      </c>
      <c r="P161" t="s">
        <v>3364</v>
      </c>
      <c r="Q161" t="s">
        <v>3365</v>
      </c>
      <c r="R161" t="s">
        <v>3357</v>
      </c>
      <c r="S161" t="s">
        <v>15211</v>
      </c>
      <c r="T161" t="s">
        <v>3390</v>
      </c>
      <c r="U161" t="s">
        <v>12079</v>
      </c>
      <c r="V161" t="s">
        <v>15215</v>
      </c>
    </row>
    <row r="162" spans="1:22" ht="17.399999999999999" hidden="1">
      <c r="A162" t="s">
        <v>15349</v>
      </c>
      <c r="B162" t="s">
        <v>15441</v>
      </c>
      <c r="C162" t="s">
        <v>15449</v>
      </c>
      <c r="D162" t="s">
        <v>161</v>
      </c>
      <c r="E162" t="s">
        <v>3443</v>
      </c>
      <c r="F162" t="s">
        <v>3427</v>
      </c>
      <c r="G162" s="3">
        <v>35.654249506560397</v>
      </c>
      <c r="H162" s="3">
        <v>129.22133900018301</v>
      </c>
      <c r="I162" t="s">
        <v>3928</v>
      </c>
      <c r="J162" t="s">
        <v>7287</v>
      </c>
      <c r="K162" t="s">
        <v>10615</v>
      </c>
      <c r="L162" t="s">
        <v>3374</v>
      </c>
      <c r="M162" t="s">
        <v>11906</v>
      </c>
      <c r="N162" t="s">
        <v>3365</v>
      </c>
      <c r="O162" t="s">
        <v>3361</v>
      </c>
      <c r="P162" t="s">
        <v>3364</v>
      </c>
      <c r="Q162" t="s">
        <v>3365</v>
      </c>
      <c r="R162" t="s">
        <v>3357</v>
      </c>
      <c r="S162" t="s">
        <v>15211</v>
      </c>
      <c r="T162" t="s">
        <v>3388</v>
      </c>
      <c r="U162" t="s">
        <v>12080</v>
      </c>
      <c r="V162" t="s">
        <v>15216</v>
      </c>
    </row>
    <row r="163" spans="1:22" ht="17.399999999999999" hidden="1">
      <c r="A163" t="s">
        <v>15349</v>
      </c>
      <c r="B163" t="s">
        <v>15441</v>
      </c>
      <c r="C163" t="s">
        <v>15449</v>
      </c>
      <c r="D163" t="s">
        <v>162</v>
      </c>
      <c r="E163" t="s">
        <v>3439</v>
      </c>
      <c r="F163" t="s">
        <v>3428</v>
      </c>
      <c r="G163" s="3">
        <v>35.654249509098399</v>
      </c>
      <c r="H163" s="3">
        <v>129.22133899528501</v>
      </c>
      <c r="I163" t="s">
        <v>3929</v>
      </c>
      <c r="J163" t="s">
        <v>7288</v>
      </c>
      <c r="K163" t="s">
        <v>10615</v>
      </c>
      <c r="L163" t="s">
        <v>3366</v>
      </c>
      <c r="M163" t="s">
        <v>11906</v>
      </c>
      <c r="N163" t="s">
        <v>3365</v>
      </c>
      <c r="O163" t="s">
        <v>3361</v>
      </c>
      <c r="P163" t="s">
        <v>3364</v>
      </c>
      <c r="Q163" t="s">
        <v>3365</v>
      </c>
      <c r="R163" t="s">
        <v>3357</v>
      </c>
      <c r="S163" t="s">
        <v>15211</v>
      </c>
      <c r="T163" t="s">
        <v>3388</v>
      </c>
      <c r="U163" t="s">
        <v>12081</v>
      </c>
      <c r="V163" t="s">
        <v>15216</v>
      </c>
    </row>
    <row r="164" spans="1:22" ht="17.399999999999999" hidden="1">
      <c r="A164" t="s">
        <v>15349</v>
      </c>
      <c r="B164" t="s">
        <v>15441</v>
      </c>
      <c r="C164" t="s">
        <v>15449</v>
      </c>
      <c r="D164" t="s">
        <v>163</v>
      </c>
      <c r="E164" t="s">
        <v>3439</v>
      </c>
      <c r="F164" t="s">
        <v>3436</v>
      </c>
      <c r="G164" s="3">
        <v>35.654249498619798</v>
      </c>
      <c r="H164" s="3">
        <v>129.221338985453</v>
      </c>
      <c r="I164" t="s">
        <v>3930</v>
      </c>
      <c r="J164" t="s">
        <v>7289</v>
      </c>
      <c r="K164" t="s">
        <v>10615</v>
      </c>
      <c r="L164" t="s">
        <v>3366</v>
      </c>
      <c r="M164" t="s">
        <v>11906</v>
      </c>
      <c r="N164" t="s">
        <v>3365</v>
      </c>
      <c r="O164" t="s">
        <v>3361</v>
      </c>
      <c r="P164" t="s">
        <v>3364</v>
      </c>
      <c r="Q164" t="s">
        <v>3365</v>
      </c>
      <c r="R164" t="s">
        <v>3357</v>
      </c>
      <c r="S164" t="s">
        <v>15211</v>
      </c>
      <c r="T164" t="s">
        <v>3388</v>
      </c>
      <c r="U164" t="s">
        <v>12082</v>
      </c>
      <c r="V164" t="s">
        <v>15216</v>
      </c>
    </row>
    <row r="165" spans="1:22" ht="17.399999999999999" hidden="1">
      <c r="A165" t="s">
        <v>15349</v>
      </c>
      <c r="B165" t="s">
        <v>15442</v>
      </c>
      <c r="C165" t="s">
        <v>15450</v>
      </c>
      <c r="D165" t="s">
        <v>164</v>
      </c>
      <c r="E165" t="s">
        <v>3440</v>
      </c>
      <c r="F165" t="s">
        <v>3431</v>
      </c>
      <c r="G165" s="3">
        <v>35.654249432330303</v>
      </c>
      <c r="H165" s="3">
        <v>129.22133899929</v>
      </c>
      <c r="I165" t="s">
        <v>3931</v>
      </c>
      <c r="J165" t="s">
        <v>7290</v>
      </c>
      <c r="K165" t="s">
        <v>10616</v>
      </c>
      <c r="L165" t="s">
        <v>3379</v>
      </c>
      <c r="M165" t="s">
        <v>11903</v>
      </c>
      <c r="N165" t="s">
        <v>3365</v>
      </c>
      <c r="O165" t="s">
        <v>3363</v>
      </c>
      <c r="P165" t="s">
        <v>15211</v>
      </c>
      <c r="Q165" t="s">
        <v>15211</v>
      </c>
      <c r="R165" t="s">
        <v>15211</v>
      </c>
      <c r="S165" t="s">
        <v>15211</v>
      </c>
      <c r="T165" t="s">
        <v>3372</v>
      </c>
      <c r="U165" t="s">
        <v>12083</v>
      </c>
      <c r="V165" t="s">
        <v>15217</v>
      </c>
    </row>
    <row r="166" spans="1:22" ht="17.399999999999999" hidden="1">
      <c r="A166" t="s">
        <v>15349</v>
      </c>
      <c r="B166" t="s">
        <v>15442</v>
      </c>
      <c r="C166" t="s">
        <v>15450</v>
      </c>
      <c r="D166" t="s">
        <v>165</v>
      </c>
      <c r="E166" t="s">
        <v>3440</v>
      </c>
      <c r="F166" t="s">
        <v>3431</v>
      </c>
      <c r="G166" s="3">
        <v>35.654249422143501</v>
      </c>
      <c r="H166" s="3">
        <v>129.22133898402899</v>
      </c>
      <c r="I166" t="s">
        <v>3932</v>
      </c>
      <c r="J166" t="s">
        <v>7291</v>
      </c>
      <c r="K166" t="s">
        <v>3636</v>
      </c>
      <c r="L166" t="s">
        <v>3386</v>
      </c>
      <c r="M166" t="s">
        <v>11903</v>
      </c>
      <c r="N166" t="s">
        <v>3365</v>
      </c>
      <c r="O166" t="s">
        <v>3363</v>
      </c>
      <c r="P166" t="s">
        <v>15211</v>
      </c>
      <c r="Q166" t="s">
        <v>15211</v>
      </c>
      <c r="R166" t="s">
        <v>15211</v>
      </c>
      <c r="S166" t="s">
        <v>15211</v>
      </c>
      <c r="T166" t="s">
        <v>3372</v>
      </c>
      <c r="U166" t="s">
        <v>12084</v>
      </c>
      <c r="V166" t="s">
        <v>15217</v>
      </c>
    </row>
    <row r="167" spans="1:22" ht="17.399999999999999" hidden="1">
      <c r="A167" t="s">
        <v>15349</v>
      </c>
      <c r="B167" t="s">
        <v>15442</v>
      </c>
      <c r="C167" t="s">
        <v>15450</v>
      </c>
      <c r="D167" t="s">
        <v>166</v>
      </c>
      <c r="E167" t="s">
        <v>3440</v>
      </c>
      <c r="F167" t="s">
        <v>3431</v>
      </c>
      <c r="G167" s="3">
        <v>35.654249400445998</v>
      </c>
      <c r="H167" s="3">
        <v>129.221338989706</v>
      </c>
      <c r="I167" t="s">
        <v>3933</v>
      </c>
      <c r="J167" t="s">
        <v>7292</v>
      </c>
      <c r="K167" t="s">
        <v>10617</v>
      </c>
      <c r="L167" t="s">
        <v>3366</v>
      </c>
      <c r="M167" t="s">
        <v>11903</v>
      </c>
      <c r="N167" t="s">
        <v>3365</v>
      </c>
      <c r="O167" t="s">
        <v>3363</v>
      </c>
      <c r="P167" t="s">
        <v>15211</v>
      </c>
      <c r="Q167" t="s">
        <v>15211</v>
      </c>
      <c r="R167" t="s">
        <v>15211</v>
      </c>
      <c r="S167" t="s">
        <v>15211</v>
      </c>
      <c r="T167" t="s">
        <v>3372</v>
      </c>
      <c r="U167" t="s">
        <v>12085</v>
      </c>
      <c r="V167" t="s">
        <v>15217</v>
      </c>
    </row>
    <row r="168" spans="1:22" ht="17.399999999999999" hidden="1">
      <c r="A168" t="s">
        <v>15349</v>
      </c>
      <c r="B168" t="s">
        <v>15442</v>
      </c>
      <c r="C168" t="s">
        <v>15445</v>
      </c>
      <c r="D168" t="s">
        <v>167</v>
      </c>
      <c r="E168" t="s">
        <v>3443</v>
      </c>
      <c r="F168" t="s">
        <v>3440</v>
      </c>
      <c r="G168" s="3">
        <v>35.654249413307802</v>
      </c>
      <c r="H168" s="3">
        <v>129.22133897317201</v>
      </c>
      <c r="I168" t="s">
        <v>3934</v>
      </c>
      <c r="J168" t="s">
        <v>7293</v>
      </c>
      <c r="K168" t="s">
        <v>10618</v>
      </c>
      <c r="L168" t="s">
        <v>3379</v>
      </c>
      <c r="M168" t="s">
        <v>11903</v>
      </c>
      <c r="N168" t="s">
        <v>3365</v>
      </c>
      <c r="O168" t="s">
        <v>3363</v>
      </c>
      <c r="P168" t="s">
        <v>15211</v>
      </c>
      <c r="Q168" t="s">
        <v>15211</v>
      </c>
      <c r="R168" t="s">
        <v>15211</v>
      </c>
      <c r="S168" t="s">
        <v>15211</v>
      </c>
      <c r="T168" t="s">
        <v>3372</v>
      </c>
      <c r="U168" t="s">
        <v>12086</v>
      </c>
      <c r="V168" t="s">
        <v>15218</v>
      </c>
    </row>
    <row r="169" spans="1:22" ht="17.399999999999999" hidden="1">
      <c r="A169" t="s">
        <v>15349</v>
      </c>
      <c r="B169" t="s">
        <v>15442</v>
      </c>
      <c r="C169" t="s">
        <v>15445</v>
      </c>
      <c r="D169" t="s">
        <v>168</v>
      </c>
      <c r="E169" t="s">
        <v>3443</v>
      </c>
      <c r="F169" t="s">
        <v>3440</v>
      </c>
      <c r="G169" s="3">
        <v>35.6542494131469</v>
      </c>
      <c r="H169" s="3">
        <v>129.22133897843801</v>
      </c>
      <c r="I169" t="s">
        <v>3935</v>
      </c>
      <c r="J169" t="s">
        <v>7294</v>
      </c>
      <c r="K169" t="s">
        <v>10618</v>
      </c>
      <c r="L169" t="s">
        <v>3366</v>
      </c>
      <c r="M169" t="s">
        <v>11903</v>
      </c>
      <c r="N169" t="s">
        <v>3365</v>
      </c>
      <c r="O169" t="s">
        <v>3363</v>
      </c>
      <c r="P169" t="s">
        <v>15211</v>
      </c>
      <c r="Q169" t="s">
        <v>15211</v>
      </c>
      <c r="R169" t="s">
        <v>15211</v>
      </c>
      <c r="S169" t="s">
        <v>15211</v>
      </c>
      <c r="T169" t="s">
        <v>3372</v>
      </c>
      <c r="U169" t="s">
        <v>12087</v>
      </c>
      <c r="V169" t="s">
        <v>15218</v>
      </c>
    </row>
    <row r="170" spans="1:22" ht="17.399999999999999" hidden="1">
      <c r="A170" t="s">
        <v>15349</v>
      </c>
      <c r="B170" t="s">
        <v>15442</v>
      </c>
      <c r="C170" t="s">
        <v>15445</v>
      </c>
      <c r="D170" t="s">
        <v>169</v>
      </c>
      <c r="E170" t="s">
        <v>3443</v>
      </c>
      <c r="F170" t="s">
        <v>3440</v>
      </c>
      <c r="G170" s="3">
        <v>35.654249394638697</v>
      </c>
      <c r="H170" s="3">
        <v>129.221338980204</v>
      </c>
      <c r="I170" t="s">
        <v>3936</v>
      </c>
      <c r="J170" t="s">
        <v>7295</v>
      </c>
      <c r="K170" t="s">
        <v>3635</v>
      </c>
      <c r="L170" t="s">
        <v>3366</v>
      </c>
      <c r="M170" t="s">
        <v>11903</v>
      </c>
      <c r="N170" t="s">
        <v>3365</v>
      </c>
      <c r="O170" t="s">
        <v>3363</v>
      </c>
      <c r="P170" t="s">
        <v>15211</v>
      </c>
      <c r="Q170" t="s">
        <v>15211</v>
      </c>
      <c r="R170" t="s">
        <v>15211</v>
      </c>
      <c r="S170" t="s">
        <v>15211</v>
      </c>
      <c r="T170" t="s">
        <v>3372</v>
      </c>
      <c r="U170" t="s">
        <v>12088</v>
      </c>
      <c r="V170" t="s">
        <v>15218</v>
      </c>
    </row>
    <row r="171" spans="1:22" ht="17.399999999999999" hidden="1">
      <c r="A171" t="s">
        <v>15349</v>
      </c>
      <c r="B171" t="s">
        <v>15442</v>
      </c>
      <c r="C171" t="s">
        <v>15451</v>
      </c>
      <c r="D171" t="s">
        <v>170</v>
      </c>
      <c r="E171" t="s">
        <v>3457</v>
      </c>
      <c r="F171" t="s">
        <v>3437</v>
      </c>
      <c r="G171" s="3">
        <v>35.654249421065501</v>
      </c>
      <c r="H171" s="3">
        <v>129.22133897494501</v>
      </c>
      <c r="I171" t="s">
        <v>3937</v>
      </c>
      <c r="J171" t="s">
        <v>7296</v>
      </c>
      <c r="K171" t="s">
        <v>10619</v>
      </c>
      <c r="L171" t="s">
        <v>3382</v>
      </c>
      <c r="M171" t="s">
        <v>11907</v>
      </c>
      <c r="N171" t="s">
        <v>3365</v>
      </c>
      <c r="O171" t="s">
        <v>3363</v>
      </c>
      <c r="P171" t="s">
        <v>3364</v>
      </c>
      <c r="Q171" t="s">
        <v>3362</v>
      </c>
      <c r="R171" t="s">
        <v>15211</v>
      </c>
      <c r="S171" t="s">
        <v>15211</v>
      </c>
      <c r="T171" t="s">
        <v>3386</v>
      </c>
      <c r="U171" t="s">
        <v>12089</v>
      </c>
      <c r="V171" t="s">
        <v>15219</v>
      </c>
    </row>
    <row r="172" spans="1:22" ht="17.399999999999999" hidden="1">
      <c r="A172" t="s">
        <v>15349</v>
      </c>
      <c r="B172" t="s">
        <v>15442</v>
      </c>
      <c r="C172" t="s">
        <v>15451</v>
      </c>
      <c r="D172" t="s">
        <v>171</v>
      </c>
      <c r="E172" t="s">
        <v>3457</v>
      </c>
      <c r="F172" t="s">
        <v>3437</v>
      </c>
      <c r="G172" s="3">
        <v>35.654249431862098</v>
      </c>
      <c r="H172" s="3">
        <v>129.22133897862301</v>
      </c>
      <c r="I172" t="s">
        <v>3938</v>
      </c>
      <c r="J172" t="s">
        <v>7297</v>
      </c>
      <c r="K172" t="s">
        <v>10619</v>
      </c>
      <c r="L172" t="s">
        <v>3366</v>
      </c>
      <c r="M172" t="s">
        <v>11907</v>
      </c>
      <c r="N172" t="s">
        <v>3365</v>
      </c>
      <c r="O172" t="s">
        <v>3363</v>
      </c>
      <c r="P172" t="s">
        <v>3364</v>
      </c>
      <c r="Q172" t="s">
        <v>3362</v>
      </c>
      <c r="R172" t="s">
        <v>15211</v>
      </c>
      <c r="S172" t="s">
        <v>15211</v>
      </c>
      <c r="T172" t="s">
        <v>3386</v>
      </c>
      <c r="U172" t="s">
        <v>12090</v>
      </c>
      <c r="V172" t="s">
        <v>15219</v>
      </c>
    </row>
    <row r="173" spans="1:22" ht="17.399999999999999" hidden="1">
      <c r="A173" t="s">
        <v>15349</v>
      </c>
      <c r="B173" t="s">
        <v>15442</v>
      </c>
      <c r="C173" t="s">
        <v>15451</v>
      </c>
      <c r="D173" t="s">
        <v>172</v>
      </c>
      <c r="E173" t="s">
        <v>3457</v>
      </c>
      <c r="F173" t="s">
        <v>3437</v>
      </c>
      <c r="G173" s="3">
        <v>35.654249434421402</v>
      </c>
      <c r="H173" s="3">
        <v>129.22133898119799</v>
      </c>
      <c r="I173" t="s">
        <v>3939</v>
      </c>
      <c r="J173" t="s">
        <v>7298</v>
      </c>
      <c r="K173" t="s">
        <v>3653</v>
      </c>
      <c r="L173" t="s">
        <v>3366</v>
      </c>
      <c r="M173" t="s">
        <v>11907</v>
      </c>
      <c r="N173" t="s">
        <v>3365</v>
      </c>
      <c r="O173" t="s">
        <v>3363</v>
      </c>
      <c r="P173" t="s">
        <v>3364</v>
      </c>
      <c r="Q173" t="s">
        <v>3362</v>
      </c>
      <c r="R173" t="s">
        <v>15211</v>
      </c>
      <c r="S173" t="s">
        <v>15211</v>
      </c>
      <c r="T173" t="s">
        <v>3386</v>
      </c>
      <c r="U173" t="s">
        <v>12091</v>
      </c>
      <c r="V173" t="s">
        <v>15219</v>
      </c>
    </row>
    <row r="174" spans="1:22" ht="17.399999999999999">
      <c r="A174" t="s">
        <v>15349</v>
      </c>
      <c r="B174" t="s">
        <v>15443</v>
      </c>
      <c r="C174" t="s">
        <v>15452</v>
      </c>
      <c r="D174" t="s">
        <v>173</v>
      </c>
      <c r="E174" t="s">
        <v>3437</v>
      </c>
      <c r="F174" t="s">
        <v>3425</v>
      </c>
      <c r="G174" s="3">
        <v>35.654249476313197</v>
      </c>
      <c r="H174" s="3">
        <v>129.22133899500301</v>
      </c>
      <c r="I174" t="s">
        <v>3940</v>
      </c>
      <c r="J174" t="s">
        <v>7299</v>
      </c>
      <c r="K174" t="s">
        <v>10620</v>
      </c>
      <c r="L174" t="s">
        <v>3377</v>
      </c>
      <c r="M174" t="s">
        <v>11901</v>
      </c>
      <c r="N174" t="s">
        <v>3363</v>
      </c>
      <c r="O174" t="s">
        <v>15211</v>
      </c>
      <c r="P174" t="s">
        <v>3363</v>
      </c>
      <c r="Q174" t="s">
        <v>3359</v>
      </c>
      <c r="R174" t="s">
        <v>15211</v>
      </c>
      <c r="S174" t="s">
        <v>15211</v>
      </c>
      <c r="T174" t="s">
        <v>3373</v>
      </c>
      <c r="U174" t="s">
        <v>12092</v>
      </c>
      <c r="V174" t="s">
        <v>15220</v>
      </c>
    </row>
    <row r="175" spans="1:22" ht="17.399999999999999">
      <c r="A175" t="s">
        <v>15349</v>
      </c>
      <c r="B175" t="s">
        <v>15443</v>
      </c>
      <c r="C175" t="s">
        <v>15452</v>
      </c>
      <c r="D175" t="s">
        <v>174</v>
      </c>
      <c r="E175" t="s">
        <v>3437</v>
      </c>
      <c r="F175" t="s">
        <v>3425</v>
      </c>
      <c r="G175" s="3">
        <v>35.654249473418197</v>
      </c>
      <c r="H175" s="3">
        <v>129.221338987471</v>
      </c>
      <c r="I175" t="s">
        <v>3941</v>
      </c>
      <c r="J175" t="s">
        <v>7300</v>
      </c>
      <c r="K175" t="s">
        <v>10528</v>
      </c>
      <c r="L175" t="s">
        <v>3366</v>
      </c>
      <c r="M175" t="s">
        <v>11898</v>
      </c>
      <c r="N175" t="s">
        <v>3364</v>
      </c>
      <c r="O175" t="s">
        <v>15211</v>
      </c>
      <c r="P175" t="s">
        <v>3363</v>
      </c>
      <c r="Q175" t="s">
        <v>3359</v>
      </c>
      <c r="R175" t="s">
        <v>15211</v>
      </c>
      <c r="S175" t="s">
        <v>15211</v>
      </c>
      <c r="T175" t="s">
        <v>3374</v>
      </c>
      <c r="U175" t="s">
        <v>12093</v>
      </c>
      <c r="V175" t="s">
        <v>15220</v>
      </c>
    </row>
    <row r="176" spans="1:22" ht="17.399999999999999">
      <c r="A176" t="s">
        <v>15349</v>
      </c>
      <c r="B176" t="s">
        <v>15443</v>
      </c>
      <c r="C176" t="s">
        <v>15452</v>
      </c>
      <c r="D176" t="s">
        <v>175</v>
      </c>
      <c r="E176" t="s">
        <v>3437</v>
      </c>
      <c r="F176" t="s">
        <v>3425</v>
      </c>
      <c r="G176" s="3">
        <v>35.654249488536699</v>
      </c>
      <c r="H176" s="3">
        <v>129.221338979482</v>
      </c>
      <c r="I176" t="s">
        <v>3942</v>
      </c>
      <c r="J176" t="s">
        <v>7301</v>
      </c>
      <c r="K176" t="s">
        <v>10528</v>
      </c>
      <c r="L176" t="s">
        <v>3366</v>
      </c>
      <c r="M176" t="s">
        <v>11898</v>
      </c>
      <c r="N176" t="s">
        <v>3364</v>
      </c>
      <c r="O176" t="s">
        <v>15211</v>
      </c>
      <c r="P176" t="s">
        <v>3363</v>
      </c>
      <c r="Q176" t="s">
        <v>3359</v>
      </c>
      <c r="R176" t="s">
        <v>15211</v>
      </c>
      <c r="S176" t="s">
        <v>15211</v>
      </c>
      <c r="T176" t="s">
        <v>3374</v>
      </c>
      <c r="U176" t="s">
        <v>12094</v>
      </c>
      <c r="V176" t="s">
        <v>15220</v>
      </c>
    </row>
    <row r="177" spans="1:22" ht="17.399999999999999" hidden="1">
      <c r="A177" t="s">
        <v>15349</v>
      </c>
      <c r="B177" t="s">
        <v>15443</v>
      </c>
      <c r="C177" t="s">
        <v>15457</v>
      </c>
      <c r="D177" t="s">
        <v>176</v>
      </c>
      <c r="E177" t="s">
        <v>3436</v>
      </c>
      <c r="F177" t="s">
        <v>3432</v>
      </c>
      <c r="G177" s="3">
        <v>35.654249522941903</v>
      </c>
      <c r="H177" s="3">
        <v>129.221338944422</v>
      </c>
      <c r="I177" t="s">
        <v>3943</v>
      </c>
      <c r="J177" t="s">
        <v>7302</v>
      </c>
      <c r="K177" t="s">
        <v>10621</v>
      </c>
      <c r="L177" t="s">
        <v>3384</v>
      </c>
      <c r="M177" t="s">
        <v>11908</v>
      </c>
      <c r="N177" t="s">
        <v>3363</v>
      </c>
      <c r="O177" t="s">
        <v>15211</v>
      </c>
      <c r="P177" t="s">
        <v>3364</v>
      </c>
      <c r="Q177" t="s">
        <v>3361</v>
      </c>
      <c r="R177" t="s">
        <v>15211</v>
      </c>
      <c r="S177" t="s">
        <v>15211</v>
      </c>
      <c r="T177" t="s">
        <v>3376</v>
      </c>
      <c r="U177" t="s">
        <v>12095</v>
      </c>
      <c r="V177" t="s">
        <v>15225</v>
      </c>
    </row>
    <row r="178" spans="1:22" ht="17.399999999999999" hidden="1">
      <c r="A178" t="s">
        <v>15349</v>
      </c>
      <c r="B178" t="s">
        <v>15443</v>
      </c>
      <c r="C178" t="s">
        <v>15457</v>
      </c>
      <c r="D178" t="s">
        <v>177</v>
      </c>
      <c r="E178" t="s">
        <v>3436</v>
      </c>
      <c r="F178" t="s">
        <v>3432</v>
      </c>
      <c r="G178" s="3">
        <v>35.654249517386603</v>
      </c>
      <c r="H178" s="3">
        <v>129.22133895878099</v>
      </c>
      <c r="I178" t="s">
        <v>3944</v>
      </c>
      <c r="J178" t="s">
        <v>7303</v>
      </c>
      <c r="K178" t="s">
        <v>10621</v>
      </c>
      <c r="L178" t="s">
        <v>3366</v>
      </c>
      <c r="M178" t="s">
        <v>11908</v>
      </c>
      <c r="N178" t="s">
        <v>3363</v>
      </c>
      <c r="O178" t="s">
        <v>15211</v>
      </c>
      <c r="P178" t="s">
        <v>3364</v>
      </c>
      <c r="Q178" t="s">
        <v>3361</v>
      </c>
      <c r="R178" t="s">
        <v>15211</v>
      </c>
      <c r="S178" t="s">
        <v>15211</v>
      </c>
      <c r="T178" t="s">
        <v>3376</v>
      </c>
      <c r="U178" t="s">
        <v>12096</v>
      </c>
      <c r="V178" t="s">
        <v>15225</v>
      </c>
    </row>
    <row r="179" spans="1:22" ht="17.399999999999999" hidden="1">
      <c r="A179" t="s">
        <v>15349</v>
      </c>
      <c r="B179" t="s">
        <v>15443</v>
      </c>
      <c r="C179" t="s">
        <v>15457</v>
      </c>
      <c r="D179" t="s">
        <v>178</v>
      </c>
      <c r="E179" t="s">
        <v>3436</v>
      </c>
      <c r="F179" t="s">
        <v>3432</v>
      </c>
      <c r="G179" s="3">
        <v>35.654249512003801</v>
      </c>
      <c r="H179" s="3">
        <v>129.22133895619501</v>
      </c>
      <c r="I179" t="s">
        <v>3945</v>
      </c>
      <c r="J179" t="s">
        <v>7304</v>
      </c>
      <c r="K179" t="s">
        <v>10622</v>
      </c>
      <c r="L179" t="s">
        <v>3366</v>
      </c>
      <c r="M179" t="s">
        <v>11908</v>
      </c>
      <c r="N179" t="s">
        <v>3363</v>
      </c>
      <c r="O179" t="s">
        <v>15211</v>
      </c>
      <c r="P179" t="s">
        <v>3364</v>
      </c>
      <c r="Q179" t="s">
        <v>3361</v>
      </c>
      <c r="R179" t="s">
        <v>15211</v>
      </c>
      <c r="S179" t="s">
        <v>15211</v>
      </c>
      <c r="T179" t="s">
        <v>3376</v>
      </c>
      <c r="U179" t="s">
        <v>12092</v>
      </c>
      <c r="V179" t="s">
        <v>15225</v>
      </c>
    </row>
    <row r="180" spans="1:22" hidden="1">
      <c r="A180" t="s">
        <v>15350</v>
      </c>
      <c r="B180" t="s">
        <v>15441</v>
      </c>
      <c r="C180" t="s">
        <v>15445</v>
      </c>
      <c r="D180" t="s">
        <v>179</v>
      </c>
      <c r="E180" t="s">
        <v>3439</v>
      </c>
      <c r="F180" t="s">
        <v>3434</v>
      </c>
      <c r="G180" s="3">
        <v>35.717002874142203</v>
      </c>
      <c r="H180" s="3">
        <v>129.32382507932701</v>
      </c>
      <c r="I180" t="s">
        <v>3946</v>
      </c>
      <c r="J180" t="s">
        <v>7305</v>
      </c>
      <c r="K180" t="s">
        <v>10623</v>
      </c>
      <c r="L180" t="s">
        <v>3372</v>
      </c>
      <c r="M180" t="s">
        <v>11885</v>
      </c>
      <c r="N180" t="s">
        <v>3362</v>
      </c>
      <c r="O180" t="s">
        <v>3362</v>
      </c>
      <c r="P180" t="s">
        <v>15211</v>
      </c>
      <c r="Q180" t="s">
        <v>15211</v>
      </c>
      <c r="R180" t="s">
        <v>15211</v>
      </c>
      <c r="S180" t="s">
        <v>15211</v>
      </c>
      <c r="T180" t="s">
        <v>3368</v>
      </c>
      <c r="U180" t="s">
        <v>12097</v>
      </c>
      <c r="V180" t="s">
        <v>15212</v>
      </c>
    </row>
    <row r="181" spans="1:22" hidden="1">
      <c r="A181" t="s">
        <v>15350</v>
      </c>
      <c r="B181" t="s">
        <v>15441</v>
      </c>
      <c r="C181" t="s">
        <v>15445</v>
      </c>
      <c r="D181" t="s">
        <v>180</v>
      </c>
      <c r="E181" t="s">
        <v>3439</v>
      </c>
      <c r="F181" t="s">
        <v>3434</v>
      </c>
      <c r="G181" s="3">
        <v>35.717002874085303</v>
      </c>
      <c r="H181" s="3">
        <v>129.32382507190499</v>
      </c>
      <c r="I181" t="s">
        <v>3947</v>
      </c>
      <c r="J181" t="s">
        <v>7306</v>
      </c>
      <c r="K181" t="s">
        <v>10624</v>
      </c>
      <c r="L181" t="s">
        <v>3366</v>
      </c>
      <c r="M181" t="s">
        <v>11885</v>
      </c>
      <c r="N181" t="s">
        <v>3362</v>
      </c>
      <c r="O181" t="s">
        <v>3362</v>
      </c>
      <c r="P181" t="s">
        <v>15211</v>
      </c>
      <c r="Q181" t="s">
        <v>15211</v>
      </c>
      <c r="R181" t="s">
        <v>15211</v>
      </c>
      <c r="S181" t="s">
        <v>15211</v>
      </c>
      <c r="T181" t="s">
        <v>3368</v>
      </c>
      <c r="U181" t="s">
        <v>12098</v>
      </c>
      <c r="V181" t="s">
        <v>15212</v>
      </c>
    </row>
    <row r="182" spans="1:22" hidden="1">
      <c r="A182" t="s">
        <v>15350</v>
      </c>
      <c r="B182" t="s">
        <v>15441</v>
      </c>
      <c r="C182" t="s">
        <v>15445</v>
      </c>
      <c r="D182" t="s">
        <v>181</v>
      </c>
      <c r="E182" t="s">
        <v>3439</v>
      </c>
      <c r="F182" t="s">
        <v>3434</v>
      </c>
      <c r="G182" s="3">
        <v>35.717002876667202</v>
      </c>
      <c r="H182" s="3">
        <v>129.32382508814499</v>
      </c>
      <c r="I182" t="s">
        <v>3948</v>
      </c>
      <c r="J182" t="s">
        <v>7307</v>
      </c>
      <c r="K182" t="s">
        <v>10625</v>
      </c>
      <c r="L182" t="s">
        <v>3366</v>
      </c>
      <c r="M182" t="s">
        <v>11885</v>
      </c>
      <c r="N182" t="s">
        <v>3362</v>
      </c>
      <c r="O182" t="s">
        <v>3362</v>
      </c>
      <c r="P182" t="s">
        <v>15211</v>
      </c>
      <c r="Q182" t="s">
        <v>15211</v>
      </c>
      <c r="R182" t="s">
        <v>15211</v>
      </c>
      <c r="S182" t="s">
        <v>15211</v>
      </c>
      <c r="T182" t="s">
        <v>3368</v>
      </c>
      <c r="U182" t="s">
        <v>12099</v>
      </c>
      <c r="V182" t="s">
        <v>15212</v>
      </c>
    </row>
    <row r="183" spans="1:22" hidden="1">
      <c r="A183" t="s">
        <v>15350</v>
      </c>
      <c r="B183" t="s">
        <v>15441</v>
      </c>
      <c r="C183" t="s">
        <v>15446</v>
      </c>
      <c r="D183" t="s">
        <v>182</v>
      </c>
      <c r="E183" t="s">
        <v>3443</v>
      </c>
      <c r="F183" t="s">
        <v>3428</v>
      </c>
      <c r="G183" s="3">
        <v>35.717002872520801</v>
      </c>
      <c r="H183" s="3">
        <v>129.323825073199</v>
      </c>
      <c r="I183" t="s">
        <v>3949</v>
      </c>
      <c r="J183" t="s">
        <v>7308</v>
      </c>
      <c r="K183" t="s">
        <v>10626</v>
      </c>
      <c r="L183" t="s">
        <v>3379</v>
      </c>
      <c r="M183" t="s">
        <v>11885</v>
      </c>
      <c r="N183" t="s">
        <v>3362</v>
      </c>
      <c r="O183" t="s">
        <v>3362</v>
      </c>
      <c r="P183" t="s">
        <v>15211</v>
      </c>
      <c r="Q183" t="s">
        <v>15211</v>
      </c>
      <c r="R183" t="s">
        <v>15211</v>
      </c>
      <c r="S183" t="s">
        <v>15211</v>
      </c>
      <c r="T183" t="s">
        <v>3368</v>
      </c>
      <c r="U183" t="s">
        <v>12100</v>
      </c>
      <c r="V183" t="s">
        <v>15213</v>
      </c>
    </row>
    <row r="184" spans="1:22" hidden="1">
      <c r="A184" t="s">
        <v>15350</v>
      </c>
      <c r="B184" t="s">
        <v>15441</v>
      </c>
      <c r="C184" t="s">
        <v>15446</v>
      </c>
      <c r="D184" t="s">
        <v>183</v>
      </c>
      <c r="E184" t="s">
        <v>3439</v>
      </c>
      <c r="F184" t="s">
        <v>3425</v>
      </c>
      <c r="G184" s="3">
        <v>35.7170028760778</v>
      </c>
      <c r="H184" s="3">
        <v>129.32382508750999</v>
      </c>
      <c r="I184" t="s">
        <v>3950</v>
      </c>
      <c r="J184" t="s">
        <v>7309</v>
      </c>
      <c r="K184" t="s">
        <v>10627</v>
      </c>
      <c r="L184" t="s">
        <v>3366</v>
      </c>
      <c r="M184" t="s">
        <v>11886</v>
      </c>
      <c r="N184" t="s">
        <v>3362</v>
      </c>
      <c r="O184" t="s">
        <v>3362</v>
      </c>
      <c r="P184" t="s">
        <v>15211</v>
      </c>
      <c r="Q184" t="s">
        <v>15211</v>
      </c>
      <c r="R184" t="s">
        <v>15211</v>
      </c>
      <c r="S184" t="s">
        <v>15211</v>
      </c>
      <c r="T184" t="s">
        <v>3368</v>
      </c>
      <c r="U184" t="s">
        <v>12101</v>
      </c>
      <c r="V184" t="s">
        <v>15213</v>
      </c>
    </row>
    <row r="185" spans="1:22" hidden="1">
      <c r="A185" t="s">
        <v>15350</v>
      </c>
      <c r="B185" t="s">
        <v>15441</v>
      </c>
      <c r="C185" t="s">
        <v>15446</v>
      </c>
      <c r="D185" t="s">
        <v>184</v>
      </c>
      <c r="E185" t="s">
        <v>3439</v>
      </c>
      <c r="F185" t="s">
        <v>3434</v>
      </c>
      <c r="G185" s="3">
        <v>35.717002881132402</v>
      </c>
      <c r="H185" s="3">
        <v>129.32382510256701</v>
      </c>
      <c r="I185" t="s">
        <v>3951</v>
      </c>
      <c r="J185" t="s">
        <v>7310</v>
      </c>
      <c r="K185" t="s">
        <v>10628</v>
      </c>
      <c r="L185" t="s">
        <v>3366</v>
      </c>
      <c r="M185" t="s">
        <v>11886</v>
      </c>
      <c r="N185" t="s">
        <v>3362</v>
      </c>
      <c r="O185" t="s">
        <v>3361</v>
      </c>
      <c r="P185" t="s">
        <v>15211</v>
      </c>
      <c r="Q185" t="s">
        <v>15211</v>
      </c>
      <c r="R185" t="s">
        <v>15211</v>
      </c>
      <c r="S185" t="s">
        <v>15211</v>
      </c>
      <c r="T185" t="s">
        <v>3367</v>
      </c>
      <c r="U185" t="s">
        <v>12102</v>
      </c>
      <c r="V185" t="s">
        <v>15213</v>
      </c>
    </row>
    <row r="186" spans="1:22" hidden="1">
      <c r="A186" t="s">
        <v>15350</v>
      </c>
      <c r="B186" t="s">
        <v>15441</v>
      </c>
      <c r="C186" t="s">
        <v>15447</v>
      </c>
      <c r="D186" t="s">
        <v>185</v>
      </c>
      <c r="E186" t="s">
        <v>3458</v>
      </c>
      <c r="F186" t="s">
        <v>3525</v>
      </c>
      <c r="G186" s="3">
        <v>35.717002926146499</v>
      </c>
      <c r="H186" s="3">
        <v>129.32382515778801</v>
      </c>
      <c r="I186" t="s">
        <v>3952</v>
      </c>
      <c r="J186" t="s">
        <v>7311</v>
      </c>
      <c r="K186" t="s">
        <v>10629</v>
      </c>
      <c r="L186" t="s">
        <v>3381</v>
      </c>
      <c r="M186" t="s">
        <v>11909</v>
      </c>
      <c r="N186" t="s">
        <v>3362</v>
      </c>
      <c r="O186" t="s">
        <v>15211</v>
      </c>
      <c r="P186" t="s">
        <v>15211</v>
      </c>
      <c r="Q186" t="s">
        <v>15211</v>
      </c>
      <c r="R186" t="s">
        <v>15211</v>
      </c>
      <c r="S186" t="s">
        <v>15211</v>
      </c>
      <c r="T186" t="s">
        <v>3362</v>
      </c>
      <c r="U186" t="s">
        <v>12103</v>
      </c>
      <c r="V186" t="s">
        <v>15214</v>
      </c>
    </row>
    <row r="187" spans="1:22" hidden="1">
      <c r="A187" t="s">
        <v>15350</v>
      </c>
      <c r="B187" t="s">
        <v>15441</v>
      </c>
      <c r="C187" t="s">
        <v>15447</v>
      </c>
      <c r="D187" t="s">
        <v>186</v>
      </c>
      <c r="E187" t="s">
        <v>3440</v>
      </c>
      <c r="F187" t="s">
        <v>3430</v>
      </c>
      <c r="G187" s="3">
        <v>35.717002919844496</v>
      </c>
      <c r="H187" s="3">
        <v>129.32382512329499</v>
      </c>
      <c r="I187" t="s">
        <v>3953</v>
      </c>
      <c r="J187" t="s">
        <v>7312</v>
      </c>
      <c r="K187" t="s">
        <v>10630</v>
      </c>
      <c r="L187" t="s">
        <v>3366</v>
      </c>
      <c r="M187" t="s">
        <v>11909</v>
      </c>
      <c r="N187" t="s">
        <v>3362</v>
      </c>
      <c r="O187" t="s">
        <v>15211</v>
      </c>
      <c r="P187" t="s">
        <v>15211</v>
      </c>
      <c r="Q187" t="s">
        <v>15211</v>
      </c>
      <c r="R187" t="s">
        <v>15211</v>
      </c>
      <c r="S187" t="s">
        <v>15211</v>
      </c>
      <c r="T187" t="s">
        <v>3362</v>
      </c>
      <c r="U187" t="s">
        <v>12104</v>
      </c>
      <c r="V187" t="s">
        <v>15214</v>
      </c>
    </row>
    <row r="188" spans="1:22" hidden="1">
      <c r="A188" t="s">
        <v>15350</v>
      </c>
      <c r="B188" t="s">
        <v>15441</v>
      </c>
      <c r="C188" t="s">
        <v>15447</v>
      </c>
      <c r="D188" t="s">
        <v>187</v>
      </c>
      <c r="E188" t="s">
        <v>3437</v>
      </c>
      <c r="F188" t="s">
        <v>3435</v>
      </c>
      <c r="G188" s="3">
        <v>35.7170029050694</v>
      </c>
      <c r="H188" s="3">
        <v>129.32382511703599</v>
      </c>
      <c r="I188" t="s">
        <v>3954</v>
      </c>
      <c r="J188" t="s">
        <v>7313</v>
      </c>
      <c r="K188" t="s">
        <v>10631</v>
      </c>
      <c r="L188" t="s">
        <v>3366</v>
      </c>
      <c r="M188" t="s">
        <v>11909</v>
      </c>
      <c r="N188" t="s">
        <v>3362</v>
      </c>
      <c r="O188" t="s">
        <v>15211</v>
      </c>
      <c r="P188" t="s">
        <v>15211</v>
      </c>
      <c r="Q188" t="s">
        <v>15211</v>
      </c>
      <c r="R188" t="s">
        <v>15211</v>
      </c>
      <c r="S188" t="s">
        <v>15211</v>
      </c>
      <c r="T188" t="s">
        <v>3362</v>
      </c>
      <c r="U188" t="s">
        <v>12105</v>
      </c>
      <c r="V188" t="s">
        <v>15214</v>
      </c>
    </row>
    <row r="189" spans="1:22" hidden="1">
      <c r="A189" t="s">
        <v>15350</v>
      </c>
      <c r="B189" t="s">
        <v>15441</v>
      </c>
      <c r="C189" t="s">
        <v>15448</v>
      </c>
      <c r="D189" t="s">
        <v>188</v>
      </c>
      <c r="E189" t="s">
        <v>3438</v>
      </c>
      <c r="F189" t="s">
        <v>3442</v>
      </c>
      <c r="G189" s="3">
        <v>35.7170028692884</v>
      </c>
      <c r="H189" s="3">
        <v>129.323825053984</v>
      </c>
      <c r="I189" t="s">
        <v>3955</v>
      </c>
      <c r="J189" t="s">
        <v>7314</v>
      </c>
      <c r="K189" t="s">
        <v>10632</v>
      </c>
      <c r="L189" t="s">
        <v>3380</v>
      </c>
      <c r="M189" t="s">
        <v>11910</v>
      </c>
      <c r="N189" t="s">
        <v>3362</v>
      </c>
      <c r="O189" t="s">
        <v>3361</v>
      </c>
      <c r="P189" t="s">
        <v>3362</v>
      </c>
      <c r="Q189" t="s">
        <v>3363</v>
      </c>
      <c r="R189" t="s">
        <v>15211</v>
      </c>
      <c r="S189" t="s">
        <v>15211</v>
      </c>
      <c r="T189" t="s">
        <v>3380</v>
      </c>
      <c r="U189" t="s">
        <v>12106</v>
      </c>
      <c r="V189" t="s">
        <v>15215</v>
      </c>
    </row>
    <row r="190" spans="1:22" hidden="1">
      <c r="A190" t="s">
        <v>15350</v>
      </c>
      <c r="B190" t="s">
        <v>15441</v>
      </c>
      <c r="C190" t="s">
        <v>15448</v>
      </c>
      <c r="D190" t="s">
        <v>189</v>
      </c>
      <c r="E190" t="s">
        <v>3438</v>
      </c>
      <c r="F190" t="s">
        <v>3441</v>
      </c>
      <c r="G190" s="3">
        <v>35.717002856586198</v>
      </c>
      <c r="H190" s="3">
        <v>129.32382506478899</v>
      </c>
      <c r="I190" t="s">
        <v>3956</v>
      </c>
      <c r="J190" t="s">
        <v>7315</v>
      </c>
      <c r="K190" t="s">
        <v>10633</v>
      </c>
      <c r="L190" t="s">
        <v>3366</v>
      </c>
      <c r="M190" t="s">
        <v>11910</v>
      </c>
      <c r="N190" t="s">
        <v>3363</v>
      </c>
      <c r="O190" t="s">
        <v>3361</v>
      </c>
      <c r="P190" t="s">
        <v>3363</v>
      </c>
      <c r="Q190" t="s">
        <v>3364</v>
      </c>
      <c r="R190" t="s">
        <v>3357</v>
      </c>
      <c r="S190" t="s">
        <v>15211</v>
      </c>
      <c r="T190" t="s">
        <v>3384</v>
      </c>
      <c r="U190" t="s">
        <v>12107</v>
      </c>
      <c r="V190" t="s">
        <v>15215</v>
      </c>
    </row>
    <row r="191" spans="1:22" hidden="1">
      <c r="A191" t="s">
        <v>15350</v>
      </c>
      <c r="B191" t="s">
        <v>15441</v>
      </c>
      <c r="C191" t="s">
        <v>15448</v>
      </c>
      <c r="D191" t="s">
        <v>190</v>
      </c>
      <c r="E191" t="s">
        <v>3427</v>
      </c>
      <c r="F191" t="s">
        <v>3453</v>
      </c>
      <c r="G191" s="3">
        <v>35.717002856714103</v>
      </c>
      <c r="H191" s="3">
        <v>129.323825056912</v>
      </c>
      <c r="I191" t="s">
        <v>3957</v>
      </c>
      <c r="J191" t="s">
        <v>7316</v>
      </c>
      <c r="K191" t="s">
        <v>10634</v>
      </c>
      <c r="L191" t="s">
        <v>3366</v>
      </c>
      <c r="M191" t="s">
        <v>11910</v>
      </c>
      <c r="N191" t="s">
        <v>3363</v>
      </c>
      <c r="O191" t="s">
        <v>3361</v>
      </c>
      <c r="P191" t="s">
        <v>3363</v>
      </c>
      <c r="Q191" t="s">
        <v>3364</v>
      </c>
      <c r="R191" t="s">
        <v>3357</v>
      </c>
      <c r="S191" t="s">
        <v>15211</v>
      </c>
      <c r="T191" t="s">
        <v>3384</v>
      </c>
      <c r="U191" t="s">
        <v>12108</v>
      </c>
      <c r="V191" t="s">
        <v>15215</v>
      </c>
    </row>
    <row r="192" spans="1:22" hidden="1">
      <c r="A192" t="s">
        <v>15350</v>
      </c>
      <c r="B192" t="s">
        <v>15441</v>
      </c>
      <c r="C192" t="s">
        <v>15449</v>
      </c>
      <c r="D192" t="s">
        <v>191</v>
      </c>
      <c r="E192" t="s">
        <v>3459</v>
      </c>
      <c r="F192" t="s">
        <v>3439</v>
      </c>
      <c r="G192" s="3">
        <v>35.717002896634497</v>
      </c>
      <c r="H192" s="3">
        <v>129.32382507667401</v>
      </c>
      <c r="I192" t="s">
        <v>3958</v>
      </c>
      <c r="J192" t="s">
        <v>7317</v>
      </c>
      <c r="K192" t="s">
        <v>10635</v>
      </c>
      <c r="L192" t="s">
        <v>3372</v>
      </c>
      <c r="M192" t="s">
        <v>11911</v>
      </c>
      <c r="N192" t="s">
        <v>3363</v>
      </c>
      <c r="O192" t="s">
        <v>3362</v>
      </c>
      <c r="P192" t="s">
        <v>3364</v>
      </c>
      <c r="Q192" t="s">
        <v>3364</v>
      </c>
      <c r="R192" t="s">
        <v>15211</v>
      </c>
      <c r="S192" t="s">
        <v>15211</v>
      </c>
      <c r="T192" t="s">
        <v>3385</v>
      </c>
      <c r="U192" t="s">
        <v>12109</v>
      </c>
      <c r="V192" t="s">
        <v>15216</v>
      </c>
    </row>
    <row r="193" spans="1:22" hidden="1">
      <c r="A193" t="s">
        <v>15350</v>
      </c>
      <c r="B193" t="s">
        <v>15441</v>
      </c>
      <c r="C193" t="s">
        <v>15449</v>
      </c>
      <c r="D193" t="s">
        <v>192</v>
      </c>
      <c r="E193" t="s">
        <v>3459</v>
      </c>
      <c r="F193" t="s">
        <v>3439</v>
      </c>
      <c r="G193" s="3">
        <v>35.717002895145797</v>
      </c>
      <c r="H193" s="3">
        <v>129.32382507672099</v>
      </c>
      <c r="I193" t="s">
        <v>3959</v>
      </c>
      <c r="J193" t="s">
        <v>7318</v>
      </c>
      <c r="K193" t="s">
        <v>10636</v>
      </c>
      <c r="L193" t="s">
        <v>3366</v>
      </c>
      <c r="M193" t="s">
        <v>11910</v>
      </c>
      <c r="N193" t="s">
        <v>3362</v>
      </c>
      <c r="O193" t="s">
        <v>3362</v>
      </c>
      <c r="P193" t="s">
        <v>3364</v>
      </c>
      <c r="Q193" t="s">
        <v>3364</v>
      </c>
      <c r="R193" t="s">
        <v>15211</v>
      </c>
      <c r="S193" t="s">
        <v>15211</v>
      </c>
      <c r="T193" t="s">
        <v>3384</v>
      </c>
      <c r="U193" t="s">
        <v>12109</v>
      </c>
      <c r="V193" t="s">
        <v>15216</v>
      </c>
    </row>
    <row r="194" spans="1:22" hidden="1">
      <c r="A194" t="s">
        <v>15350</v>
      </c>
      <c r="B194" t="s">
        <v>15441</v>
      </c>
      <c r="C194" t="s">
        <v>15449</v>
      </c>
      <c r="D194" t="s">
        <v>193</v>
      </c>
      <c r="E194" t="s">
        <v>3459</v>
      </c>
      <c r="F194" t="s">
        <v>3439</v>
      </c>
      <c r="G194" s="3">
        <v>35.717002896822102</v>
      </c>
      <c r="H194" s="3">
        <v>129.32382506450199</v>
      </c>
      <c r="I194" t="s">
        <v>3960</v>
      </c>
      <c r="J194" t="s">
        <v>7319</v>
      </c>
      <c r="K194" t="s">
        <v>10616</v>
      </c>
      <c r="L194" t="s">
        <v>3366</v>
      </c>
      <c r="M194" t="s">
        <v>11910</v>
      </c>
      <c r="N194" t="s">
        <v>3362</v>
      </c>
      <c r="O194" t="s">
        <v>3362</v>
      </c>
      <c r="P194" t="s">
        <v>3364</v>
      </c>
      <c r="Q194" t="s">
        <v>3364</v>
      </c>
      <c r="R194" t="s">
        <v>15211</v>
      </c>
      <c r="S194" t="s">
        <v>15211</v>
      </c>
      <c r="T194" t="s">
        <v>3384</v>
      </c>
      <c r="U194" t="s">
        <v>12110</v>
      </c>
      <c r="V194" t="s">
        <v>15216</v>
      </c>
    </row>
    <row r="195" spans="1:22" hidden="1">
      <c r="A195" t="s">
        <v>15350</v>
      </c>
      <c r="B195" t="s">
        <v>15442</v>
      </c>
      <c r="C195" t="s">
        <v>15450</v>
      </c>
      <c r="D195" t="s">
        <v>194</v>
      </c>
      <c r="E195" t="s">
        <v>3440</v>
      </c>
      <c r="F195" t="s">
        <v>3430</v>
      </c>
      <c r="G195" s="3">
        <v>35.717002962524901</v>
      </c>
      <c r="H195" s="3">
        <v>129.323825035314</v>
      </c>
      <c r="I195" t="s">
        <v>3961</v>
      </c>
      <c r="J195" t="s">
        <v>7320</v>
      </c>
      <c r="K195" t="s">
        <v>10637</v>
      </c>
      <c r="L195" t="s">
        <v>3374</v>
      </c>
      <c r="M195" t="s">
        <v>11885</v>
      </c>
      <c r="N195" t="s">
        <v>3362</v>
      </c>
      <c r="O195" t="s">
        <v>3362</v>
      </c>
      <c r="P195" t="s">
        <v>15211</v>
      </c>
      <c r="Q195" t="s">
        <v>15211</v>
      </c>
      <c r="R195" t="s">
        <v>15211</v>
      </c>
      <c r="S195" t="s">
        <v>15211</v>
      </c>
      <c r="T195" t="s">
        <v>3368</v>
      </c>
      <c r="U195" t="s">
        <v>12111</v>
      </c>
      <c r="V195" t="s">
        <v>15217</v>
      </c>
    </row>
    <row r="196" spans="1:22" hidden="1">
      <c r="A196" t="s">
        <v>15350</v>
      </c>
      <c r="B196" t="s">
        <v>15442</v>
      </c>
      <c r="C196" t="s">
        <v>15450</v>
      </c>
      <c r="D196" t="s">
        <v>195</v>
      </c>
      <c r="E196" t="s">
        <v>3440</v>
      </c>
      <c r="F196" t="s">
        <v>3442</v>
      </c>
      <c r="G196" s="3">
        <v>35.717002922726898</v>
      </c>
      <c r="H196" s="3">
        <v>129.32382503715201</v>
      </c>
      <c r="I196" t="s">
        <v>3962</v>
      </c>
      <c r="J196" t="s">
        <v>7321</v>
      </c>
      <c r="K196" t="s">
        <v>10638</v>
      </c>
      <c r="L196" t="s">
        <v>3366</v>
      </c>
      <c r="M196" t="s">
        <v>11885</v>
      </c>
      <c r="N196" t="s">
        <v>3362</v>
      </c>
      <c r="O196" t="s">
        <v>3362</v>
      </c>
      <c r="P196" t="s">
        <v>15211</v>
      </c>
      <c r="Q196" t="s">
        <v>15211</v>
      </c>
      <c r="R196" t="s">
        <v>15211</v>
      </c>
      <c r="S196" t="s">
        <v>15211</v>
      </c>
      <c r="T196" t="s">
        <v>3368</v>
      </c>
      <c r="U196" t="s">
        <v>12112</v>
      </c>
      <c r="V196" t="s">
        <v>15217</v>
      </c>
    </row>
    <row r="197" spans="1:22" hidden="1">
      <c r="A197" t="s">
        <v>15350</v>
      </c>
      <c r="B197" t="s">
        <v>15442</v>
      </c>
      <c r="C197" t="s">
        <v>15450</v>
      </c>
      <c r="D197" t="s">
        <v>196</v>
      </c>
      <c r="E197" t="s">
        <v>3438</v>
      </c>
      <c r="F197" t="s">
        <v>3453</v>
      </c>
      <c r="G197" s="3">
        <v>35.717002884886902</v>
      </c>
      <c r="H197" s="3">
        <v>129.323825040674</v>
      </c>
      <c r="I197" t="s">
        <v>3963</v>
      </c>
      <c r="J197" t="s">
        <v>7322</v>
      </c>
      <c r="K197" t="s">
        <v>10639</v>
      </c>
      <c r="L197" t="s">
        <v>3366</v>
      </c>
      <c r="M197" t="s">
        <v>11885</v>
      </c>
      <c r="N197" t="s">
        <v>3362</v>
      </c>
      <c r="O197" t="s">
        <v>3362</v>
      </c>
      <c r="P197" t="s">
        <v>15211</v>
      </c>
      <c r="Q197" t="s">
        <v>15211</v>
      </c>
      <c r="R197" t="s">
        <v>15211</v>
      </c>
      <c r="S197" t="s">
        <v>15211</v>
      </c>
      <c r="T197" t="s">
        <v>3368</v>
      </c>
      <c r="U197" t="s">
        <v>12113</v>
      </c>
      <c r="V197" t="s">
        <v>15217</v>
      </c>
    </row>
    <row r="198" spans="1:22" hidden="1">
      <c r="A198" t="s">
        <v>15350</v>
      </c>
      <c r="B198" t="s">
        <v>15442</v>
      </c>
      <c r="C198" t="s">
        <v>15445</v>
      </c>
      <c r="D198" t="s">
        <v>197</v>
      </c>
      <c r="E198" t="s">
        <v>3443</v>
      </c>
      <c r="F198" t="s">
        <v>3427</v>
      </c>
      <c r="G198" s="3">
        <v>35.717002899034298</v>
      </c>
      <c r="H198" s="3">
        <v>129.32382514208601</v>
      </c>
      <c r="I198" t="s">
        <v>3964</v>
      </c>
      <c r="J198" t="s">
        <v>7323</v>
      </c>
      <c r="K198" t="s">
        <v>10640</v>
      </c>
      <c r="L198" t="s">
        <v>3380</v>
      </c>
      <c r="M198" t="s">
        <v>11885</v>
      </c>
      <c r="N198" t="s">
        <v>3362</v>
      </c>
      <c r="O198" t="s">
        <v>3362</v>
      </c>
      <c r="P198" t="s">
        <v>15211</v>
      </c>
      <c r="Q198" t="s">
        <v>15211</v>
      </c>
      <c r="R198" t="s">
        <v>15211</v>
      </c>
      <c r="S198" t="s">
        <v>15211</v>
      </c>
      <c r="T198" t="s">
        <v>3368</v>
      </c>
      <c r="U198" t="s">
        <v>12114</v>
      </c>
      <c r="V198" t="s">
        <v>15218</v>
      </c>
    </row>
    <row r="199" spans="1:22" hidden="1">
      <c r="A199" t="s">
        <v>15350</v>
      </c>
      <c r="B199" t="s">
        <v>15442</v>
      </c>
      <c r="C199" t="s">
        <v>15445</v>
      </c>
      <c r="D199" t="s">
        <v>198</v>
      </c>
      <c r="E199" t="s">
        <v>3443</v>
      </c>
      <c r="F199" t="s">
        <v>3428</v>
      </c>
      <c r="G199" s="3">
        <v>35.717002896344702</v>
      </c>
      <c r="H199" s="3">
        <v>129.32382511388801</v>
      </c>
      <c r="I199" t="s">
        <v>3965</v>
      </c>
      <c r="J199" t="s">
        <v>7324</v>
      </c>
      <c r="K199" t="s">
        <v>10641</v>
      </c>
      <c r="L199" t="s">
        <v>3366</v>
      </c>
      <c r="M199" t="s">
        <v>11885</v>
      </c>
      <c r="N199" t="s">
        <v>3362</v>
      </c>
      <c r="O199" t="s">
        <v>3362</v>
      </c>
      <c r="P199" t="s">
        <v>15211</v>
      </c>
      <c r="Q199" t="s">
        <v>15211</v>
      </c>
      <c r="R199" t="s">
        <v>15211</v>
      </c>
      <c r="S199" t="s">
        <v>15211</v>
      </c>
      <c r="T199" t="s">
        <v>3368</v>
      </c>
      <c r="U199" t="s">
        <v>12115</v>
      </c>
      <c r="V199" t="s">
        <v>15218</v>
      </c>
    </row>
    <row r="200" spans="1:22" hidden="1">
      <c r="A200" t="s">
        <v>15350</v>
      </c>
      <c r="B200" t="s">
        <v>15442</v>
      </c>
      <c r="C200" t="s">
        <v>15445</v>
      </c>
      <c r="D200" t="s">
        <v>199</v>
      </c>
      <c r="E200" t="s">
        <v>3443</v>
      </c>
      <c r="F200" t="s">
        <v>3428</v>
      </c>
      <c r="G200" s="3">
        <v>35.717002923015798</v>
      </c>
      <c r="H200" s="3">
        <v>129.32382512505799</v>
      </c>
      <c r="I200" t="s">
        <v>3966</v>
      </c>
      <c r="J200" t="s">
        <v>7325</v>
      </c>
      <c r="K200" t="s">
        <v>10642</v>
      </c>
      <c r="L200" t="s">
        <v>3366</v>
      </c>
      <c r="M200" t="s">
        <v>11885</v>
      </c>
      <c r="N200" t="s">
        <v>3362</v>
      </c>
      <c r="O200" t="s">
        <v>3362</v>
      </c>
      <c r="P200" t="s">
        <v>15211</v>
      </c>
      <c r="Q200" t="s">
        <v>15211</v>
      </c>
      <c r="R200" t="s">
        <v>15211</v>
      </c>
      <c r="S200" t="s">
        <v>15211</v>
      </c>
      <c r="T200" t="s">
        <v>3368</v>
      </c>
      <c r="U200" t="s">
        <v>12116</v>
      </c>
      <c r="V200" t="s">
        <v>15218</v>
      </c>
    </row>
    <row r="201" spans="1:22" hidden="1">
      <c r="A201" t="s">
        <v>15350</v>
      </c>
      <c r="B201" t="s">
        <v>15442</v>
      </c>
      <c r="C201" t="s">
        <v>15451</v>
      </c>
      <c r="D201" t="s">
        <v>200</v>
      </c>
      <c r="E201" t="s">
        <v>3457</v>
      </c>
      <c r="F201" t="s">
        <v>3437</v>
      </c>
      <c r="G201" s="3">
        <v>35.717002873499602</v>
      </c>
      <c r="H201" s="3">
        <v>129.32382510127599</v>
      </c>
      <c r="I201" t="s">
        <v>3967</v>
      </c>
      <c r="J201" t="s">
        <v>7326</v>
      </c>
      <c r="K201" t="s">
        <v>10643</v>
      </c>
      <c r="L201" t="s">
        <v>3372</v>
      </c>
      <c r="M201" t="s">
        <v>11912</v>
      </c>
      <c r="N201" t="s">
        <v>3362</v>
      </c>
      <c r="O201" t="s">
        <v>3362</v>
      </c>
      <c r="P201" t="s">
        <v>3363</v>
      </c>
      <c r="Q201" t="s">
        <v>3360</v>
      </c>
      <c r="R201" t="s">
        <v>15211</v>
      </c>
      <c r="S201" t="s">
        <v>15211</v>
      </c>
      <c r="T201" t="s">
        <v>3379</v>
      </c>
      <c r="U201" t="s">
        <v>12117</v>
      </c>
      <c r="V201" t="s">
        <v>15219</v>
      </c>
    </row>
    <row r="202" spans="1:22" hidden="1">
      <c r="A202" t="s">
        <v>15350</v>
      </c>
      <c r="B202" t="s">
        <v>15442</v>
      </c>
      <c r="C202" t="s">
        <v>15451</v>
      </c>
      <c r="D202" t="s">
        <v>201</v>
      </c>
      <c r="E202" t="s">
        <v>3457</v>
      </c>
      <c r="F202" t="s">
        <v>3440</v>
      </c>
      <c r="G202" s="3">
        <v>35.717002882274699</v>
      </c>
      <c r="H202" s="3">
        <v>129.32382511182701</v>
      </c>
      <c r="I202" t="s">
        <v>3968</v>
      </c>
      <c r="J202" t="s">
        <v>7327</v>
      </c>
      <c r="K202" t="s">
        <v>10643</v>
      </c>
      <c r="L202" t="s">
        <v>3366</v>
      </c>
      <c r="M202" t="s">
        <v>11912</v>
      </c>
      <c r="N202" t="s">
        <v>3362</v>
      </c>
      <c r="O202" t="s">
        <v>3362</v>
      </c>
      <c r="P202" t="s">
        <v>3365</v>
      </c>
      <c r="Q202" t="s">
        <v>3361</v>
      </c>
      <c r="R202" t="s">
        <v>15211</v>
      </c>
      <c r="S202" t="s">
        <v>15211</v>
      </c>
      <c r="T202" t="s">
        <v>3382</v>
      </c>
      <c r="U202" t="s">
        <v>12118</v>
      </c>
      <c r="V202" t="s">
        <v>15219</v>
      </c>
    </row>
    <row r="203" spans="1:22" hidden="1">
      <c r="A203" t="s">
        <v>15350</v>
      </c>
      <c r="B203" t="s">
        <v>15442</v>
      </c>
      <c r="C203" t="s">
        <v>15451</v>
      </c>
      <c r="D203" t="s">
        <v>202</v>
      </c>
      <c r="E203" t="s">
        <v>3457</v>
      </c>
      <c r="F203" t="s">
        <v>3438</v>
      </c>
      <c r="G203" s="3">
        <v>35.717002879404802</v>
      </c>
      <c r="H203" s="3">
        <v>129.32382509849501</v>
      </c>
      <c r="I203" t="s">
        <v>3969</v>
      </c>
      <c r="J203" t="s">
        <v>7328</v>
      </c>
      <c r="K203" t="s">
        <v>10644</v>
      </c>
      <c r="L203" t="s">
        <v>3366</v>
      </c>
      <c r="M203" t="s">
        <v>11912</v>
      </c>
      <c r="N203" t="s">
        <v>3362</v>
      </c>
      <c r="O203" t="s">
        <v>3362</v>
      </c>
      <c r="P203" t="s">
        <v>3365</v>
      </c>
      <c r="Q203" t="s">
        <v>3361</v>
      </c>
      <c r="R203" t="s">
        <v>15211</v>
      </c>
      <c r="S203" t="s">
        <v>15211</v>
      </c>
      <c r="T203" t="s">
        <v>3382</v>
      </c>
      <c r="U203" t="s">
        <v>12119</v>
      </c>
      <c r="V203" t="s">
        <v>15219</v>
      </c>
    </row>
    <row r="204" spans="1:22">
      <c r="A204" t="s">
        <v>15350</v>
      </c>
      <c r="B204" t="s">
        <v>15443</v>
      </c>
      <c r="C204" t="s">
        <v>15452</v>
      </c>
      <c r="D204" t="s">
        <v>203</v>
      </c>
      <c r="E204" t="s">
        <v>3438</v>
      </c>
      <c r="F204" t="s">
        <v>3429</v>
      </c>
      <c r="G204" s="3">
        <v>35.7170026815078</v>
      </c>
      <c r="H204" s="3">
        <v>129.32382516284099</v>
      </c>
      <c r="I204" t="s">
        <v>3970</v>
      </c>
      <c r="J204" t="s">
        <v>7329</v>
      </c>
      <c r="K204" t="s">
        <v>10645</v>
      </c>
      <c r="L204" t="s">
        <v>3374</v>
      </c>
      <c r="M204" t="s">
        <v>11898</v>
      </c>
      <c r="N204" t="s">
        <v>3361</v>
      </c>
      <c r="O204" t="s">
        <v>15211</v>
      </c>
      <c r="P204" t="s">
        <v>3363</v>
      </c>
      <c r="Q204" t="s">
        <v>3361</v>
      </c>
      <c r="R204" t="s">
        <v>15211</v>
      </c>
      <c r="S204" t="s">
        <v>15211</v>
      </c>
      <c r="T204" t="s">
        <v>3373</v>
      </c>
      <c r="U204" t="s">
        <v>12120</v>
      </c>
      <c r="V204" t="s">
        <v>15220</v>
      </c>
    </row>
    <row r="205" spans="1:22">
      <c r="A205" t="s">
        <v>15350</v>
      </c>
      <c r="B205" t="s">
        <v>15443</v>
      </c>
      <c r="C205" t="s">
        <v>15452</v>
      </c>
      <c r="D205" t="s">
        <v>204</v>
      </c>
      <c r="E205" t="s">
        <v>3428</v>
      </c>
      <c r="F205" t="s">
        <v>3441</v>
      </c>
      <c r="G205" s="3">
        <v>35.717002682896997</v>
      </c>
      <c r="H205" s="3">
        <v>129.323825127758</v>
      </c>
      <c r="I205" t="s">
        <v>3971</v>
      </c>
      <c r="J205" t="s">
        <v>7330</v>
      </c>
      <c r="K205" t="s">
        <v>10646</v>
      </c>
      <c r="L205" t="s">
        <v>3366</v>
      </c>
      <c r="M205" t="s">
        <v>11898</v>
      </c>
      <c r="N205" t="s">
        <v>3361</v>
      </c>
      <c r="O205" t="s">
        <v>15211</v>
      </c>
      <c r="P205" t="s">
        <v>3364</v>
      </c>
      <c r="Q205" t="s">
        <v>3361</v>
      </c>
      <c r="R205" t="s">
        <v>15211</v>
      </c>
      <c r="S205" t="s">
        <v>15211</v>
      </c>
      <c r="T205" t="s">
        <v>3374</v>
      </c>
      <c r="U205" t="s">
        <v>12121</v>
      </c>
      <c r="V205" t="s">
        <v>15220</v>
      </c>
    </row>
    <row r="206" spans="1:22">
      <c r="A206" t="s">
        <v>15350</v>
      </c>
      <c r="B206" t="s">
        <v>15443</v>
      </c>
      <c r="C206" t="s">
        <v>15452</v>
      </c>
      <c r="D206" t="s">
        <v>205</v>
      </c>
      <c r="E206" t="s">
        <v>3428</v>
      </c>
      <c r="F206" t="s">
        <v>3453</v>
      </c>
      <c r="G206" s="3">
        <v>35.717002690781896</v>
      </c>
      <c r="H206" s="3">
        <v>129.32382513428601</v>
      </c>
      <c r="I206" t="s">
        <v>3972</v>
      </c>
      <c r="J206" t="s">
        <v>7331</v>
      </c>
      <c r="K206" t="s">
        <v>10646</v>
      </c>
      <c r="L206" t="s">
        <v>3366</v>
      </c>
      <c r="M206" t="s">
        <v>11898</v>
      </c>
      <c r="N206" t="s">
        <v>3361</v>
      </c>
      <c r="O206" t="s">
        <v>15211</v>
      </c>
      <c r="P206" t="s">
        <v>3364</v>
      </c>
      <c r="Q206" t="s">
        <v>3361</v>
      </c>
      <c r="R206" t="s">
        <v>15211</v>
      </c>
      <c r="S206" t="s">
        <v>15211</v>
      </c>
      <c r="T206" t="s">
        <v>3374</v>
      </c>
      <c r="U206" t="s">
        <v>12122</v>
      </c>
      <c r="V206" t="s">
        <v>15220</v>
      </c>
    </row>
    <row r="207" spans="1:22" hidden="1">
      <c r="A207" t="s">
        <v>15350</v>
      </c>
      <c r="B207" t="s">
        <v>15443</v>
      </c>
      <c r="C207" t="s">
        <v>15458</v>
      </c>
      <c r="D207" t="s">
        <v>206</v>
      </c>
      <c r="E207" t="s">
        <v>3434</v>
      </c>
      <c r="F207" t="s">
        <v>3465</v>
      </c>
      <c r="G207" s="3">
        <v>35.717002702347003</v>
      </c>
      <c r="H207" s="3">
        <v>129.32382518608301</v>
      </c>
      <c r="I207" t="s">
        <v>3973</v>
      </c>
      <c r="J207" t="s">
        <v>7332</v>
      </c>
      <c r="K207" t="s">
        <v>10646</v>
      </c>
      <c r="L207" t="s">
        <v>3384</v>
      </c>
      <c r="M207" t="s">
        <v>11898</v>
      </c>
      <c r="N207" t="s">
        <v>3361</v>
      </c>
      <c r="O207" t="s">
        <v>15211</v>
      </c>
      <c r="P207" t="s">
        <v>3363</v>
      </c>
      <c r="Q207" t="s">
        <v>3361</v>
      </c>
      <c r="R207" t="s">
        <v>15211</v>
      </c>
      <c r="S207" t="s">
        <v>15211</v>
      </c>
      <c r="T207" t="s">
        <v>3373</v>
      </c>
      <c r="U207" t="s">
        <v>12123</v>
      </c>
      <c r="V207" t="s">
        <v>15226</v>
      </c>
    </row>
    <row r="208" spans="1:22" hidden="1">
      <c r="A208" t="s">
        <v>15350</v>
      </c>
      <c r="B208" t="s">
        <v>15443</v>
      </c>
      <c r="C208" t="s">
        <v>15458</v>
      </c>
      <c r="D208" t="s">
        <v>207</v>
      </c>
      <c r="E208" t="s">
        <v>3429</v>
      </c>
      <c r="F208" t="s">
        <v>3463</v>
      </c>
      <c r="G208" s="3">
        <v>35.717002686650901</v>
      </c>
      <c r="H208" s="3">
        <v>129.32382521512201</v>
      </c>
      <c r="I208" t="s">
        <v>3974</v>
      </c>
      <c r="J208" t="s">
        <v>7333</v>
      </c>
      <c r="K208" t="s">
        <v>10646</v>
      </c>
      <c r="L208" t="s">
        <v>3366</v>
      </c>
      <c r="M208" t="s">
        <v>11898</v>
      </c>
      <c r="N208" t="s">
        <v>3361</v>
      </c>
      <c r="O208" t="s">
        <v>15211</v>
      </c>
      <c r="P208" t="s">
        <v>3364</v>
      </c>
      <c r="Q208" t="s">
        <v>3361</v>
      </c>
      <c r="R208" t="s">
        <v>15211</v>
      </c>
      <c r="S208" t="s">
        <v>15211</v>
      </c>
      <c r="T208" t="s">
        <v>3374</v>
      </c>
      <c r="U208" t="s">
        <v>12124</v>
      </c>
      <c r="V208" t="s">
        <v>15226</v>
      </c>
    </row>
    <row r="209" spans="1:22" hidden="1">
      <c r="A209" t="s">
        <v>15350</v>
      </c>
      <c r="B209" t="s">
        <v>15443</v>
      </c>
      <c r="C209" t="s">
        <v>15458</v>
      </c>
      <c r="D209" t="s">
        <v>208</v>
      </c>
      <c r="E209" t="s">
        <v>3430</v>
      </c>
      <c r="F209" t="s">
        <v>3484</v>
      </c>
      <c r="G209" s="3">
        <v>35.717002701803203</v>
      </c>
      <c r="H209" s="3">
        <v>129.32382522021999</v>
      </c>
      <c r="I209" t="s">
        <v>3975</v>
      </c>
      <c r="J209" t="s">
        <v>7334</v>
      </c>
      <c r="K209" t="s">
        <v>10646</v>
      </c>
      <c r="L209" t="s">
        <v>3366</v>
      </c>
      <c r="M209" t="s">
        <v>11898</v>
      </c>
      <c r="N209" t="s">
        <v>3361</v>
      </c>
      <c r="O209" t="s">
        <v>15211</v>
      </c>
      <c r="P209" t="s">
        <v>3364</v>
      </c>
      <c r="Q209" t="s">
        <v>3361</v>
      </c>
      <c r="R209" t="s">
        <v>15211</v>
      </c>
      <c r="S209" t="s">
        <v>15211</v>
      </c>
      <c r="T209" t="s">
        <v>3374</v>
      </c>
      <c r="U209" t="s">
        <v>12125</v>
      </c>
      <c r="V209" t="s">
        <v>15226</v>
      </c>
    </row>
    <row r="210" spans="1:22" hidden="1">
      <c r="A210" t="s">
        <v>15350</v>
      </c>
      <c r="B210" t="s">
        <v>15443</v>
      </c>
      <c r="C210" t="s">
        <v>15458</v>
      </c>
      <c r="D210" t="s">
        <v>209</v>
      </c>
      <c r="E210" t="s">
        <v>3441</v>
      </c>
      <c r="F210" t="s">
        <v>3515</v>
      </c>
      <c r="G210" s="3">
        <v>35.717002689321298</v>
      </c>
      <c r="H210" s="3">
        <v>129.323825242607</v>
      </c>
      <c r="I210" t="s">
        <v>3976</v>
      </c>
      <c r="J210" t="s">
        <v>7335</v>
      </c>
      <c r="K210" t="s">
        <v>10646</v>
      </c>
      <c r="L210" t="s">
        <v>3366</v>
      </c>
      <c r="M210" t="s">
        <v>11898</v>
      </c>
      <c r="N210" t="s">
        <v>3361</v>
      </c>
      <c r="O210" t="s">
        <v>15211</v>
      </c>
      <c r="P210" t="s">
        <v>3364</v>
      </c>
      <c r="Q210" t="s">
        <v>3361</v>
      </c>
      <c r="R210" t="s">
        <v>15211</v>
      </c>
      <c r="S210" t="s">
        <v>15211</v>
      </c>
      <c r="T210" t="s">
        <v>3374</v>
      </c>
      <c r="U210" t="s">
        <v>12126</v>
      </c>
      <c r="V210" t="s">
        <v>15226</v>
      </c>
    </row>
    <row r="211" spans="1:22" ht="17.399999999999999" hidden="1">
      <c r="A211" t="s">
        <v>15351</v>
      </c>
      <c r="B211" t="s">
        <v>15441</v>
      </c>
      <c r="C211" t="s">
        <v>15445</v>
      </c>
      <c r="D211" t="s">
        <v>210</v>
      </c>
      <c r="E211" t="s">
        <v>3440</v>
      </c>
      <c r="F211" t="s">
        <v>3428</v>
      </c>
      <c r="G211" s="3">
        <v>35.517686135257399</v>
      </c>
      <c r="H211" s="3">
        <v>129.33241020859401</v>
      </c>
      <c r="I211" t="s">
        <v>3977</v>
      </c>
      <c r="J211" t="s">
        <v>7336</v>
      </c>
      <c r="K211" t="s">
        <v>10647</v>
      </c>
      <c r="L211" t="s">
        <v>3366</v>
      </c>
      <c r="M211" t="s">
        <v>11890</v>
      </c>
      <c r="N211" t="s">
        <v>3362</v>
      </c>
      <c r="O211" t="s">
        <v>3363</v>
      </c>
      <c r="P211" t="s">
        <v>15211</v>
      </c>
      <c r="Q211" t="s">
        <v>15211</v>
      </c>
      <c r="R211" t="s">
        <v>15211</v>
      </c>
      <c r="S211" t="s">
        <v>15211</v>
      </c>
      <c r="T211" t="s">
        <v>3369</v>
      </c>
      <c r="U211" t="s">
        <v>12127</v>
      </c>
      <c r="V211" t="s">
        <v>15212</v>
      </c>
    </row>
    <row r="212" spans="1:22" ht="17.399999999999999" hidden="1">
      <c r="A212" t="s">
        <v>15351</v>
      </c>
      <c r="B212" t="s">
        <v>15441</v>
      </c>
      <c r="C212" t="s">
        <v>15445</v>
      </c>
      <c r="D212" t="s">
        <v>211</v>
      </c>
      <c r="E212" t="s">
        <v>3440</v>
      </c>
      <c r="F212" t="s">
        <v>3428</v>
      </c>
      <c r="G212" s="3">
        <v>35.517686142223504</v>
      </c>
      <c r="H212" s="3">
        <v>129.33241019393401</v>
      </c>
      <c r="I212" t="s">
        <v>3978</v>
      </c>
      <c r="J212" t="s">
        <v>7337</v>
      </c>
      <c r="K212" t="s">
        <v>10648</v>
      </c>
      <c r="L212" t="s">
        <v>3366</v>
      </c>
      <c r="M212" t="s">
        <v>11890</v>
      </c>
      <c r="N212" t="s">
        <v>3362</v>
      </c>
      <c r="O212" t="s">
        <v>3363</v>
      </c>
      <c r="P212" t="s">
        <v>15211</v>
      </c>
      <c r="Q212" t="s">
        <v>15211</v>
      </c>
      <c r="R212" t="s">
        <v>15211</v>
      </c>
      <c r="S212" t="s">
        <v>15211</v>
      </c>
      <c r="T212" t="s">
        <v>3369</v>
      </c>
      <c r="U212" t="s">
        <v>12128</v>
      </c>
      <c r="V212" t="s">
        <v>15212</v>
      </c>
    </row>
    <row r="213" spans="1:22" ht="17.399999999999999" hidden="1">
      <c r="A213" t="s">
        <v>15351</v>
      </c>
      <c r="B213" t="s">
        <v>15441</v>
      </c>
      <c r="C213" t="s">
        <v>15445</v>
      </c>
      <c r="D213" t="s">
        <v>212</v>
      </c>
      <c r="E213" t="s">
        <v>3440</v>
      </c>
      <c r="F213" t="s">
        <v>3436</v>
      </c>
      <c r="G213" s="3">
        <v>35.517686121648197</v>
      </c>
      <c r="H213" s="3">
        <v>129.33241020631201</v>
      </c>
      <c r="I213" t="s">
        <v>3979</v>
      </c>
      <c r="J213" t="s">
        <v>7338</v>
      </c>
      <c r="K213" t="s">
        <v>10649</v>
      </c>
      <c r="L213" t="s">
        <v>3366</v>
      </c>
      <c r="M213" t="s">
        <v>11890</v>
      </c>
      <c r="N213" t="s">
        <v>3362</v>
      </c>
      <c r="O213" t="s">
        <v>3363</v>
      </c>
      <c r="P213" t="s">
        <v>15211</v>
      </c>
      <c r="Q213" t="s">
        <v>15211</v>
      </c>
      <c r="R213" t="s">
        <v>15211</v>
      </c>
      <c r="S213" t="s">
        <v>15211</v>
      </c>
      <c r="T213" t="s">
        <v>3369</v>
      </c>
      <c r="U213" t="s">
        <v>12129</v>
      </c>
      <c r="V213" t="s">
        <v>15212</v>
      </c>
    </row>
    <row r="214" spans="1:22" ht="17.399999999999999" hidden="1">
      <c r="A214" t="s">
        <v>15351</v>
      </c>
      <c r="B214" t="s">
        <v>15441</v>
      </c>
      <c r="C214" t="s">
        <v>15446</v>
      </c>
      <c r="D214" t="s">
        <v>213</v>
      </c>
      <c r="E214" t="s">
        <v>3437</v>
      </c>
      <c r="F214" t="s">
        <v>3427</v>
      </c>
      <c r="G214" s="3">
        <v>35.517686167262099</v>
      </c>
      <c r="H214" s="3">
        <v>129.33241024829201</v>
      </c>
      <c r="I214" t="s">
        <v>3980</v>
      </c>
      <c r="J214" t="s">
        <v>7339</v>
      </c>
      <c r="K214" t="s">
        <v>10650</v>
      </c>
      <c r="L214" t="s">
        <v>3380</v>
      </c>
      <c r="M214" t="s">
        <v>11885</v>
      </c>
      <c r="N214" t="s">
        <v>3362</v>
      </c>
      <c r="O214" t="s">
        <v>3362</v>
      </c>
      <c r="P214" t="s">
        <v>15211</v>
      </c>
      <c r="Q214" t="s">
        <v>15211</v>
      </c>
      <c r="R214" t="s">
        <v>15211</v>
      </c>
      <c r="S214" t="s">
        <v>15211</v>
      </c>
      <c r="T214" t="s">
        <v>3368</v>
      </c>
      <c r="U214" t="s">
        <v>12130</v>
      </c>
      <c r="V214" t="s">
        <v>15213</v>
      </c>
    </row>
    <row r="215" spans="1:22" ht="17.399999999999999" hidden="1">
      <c r="A215" t="s">
        <v>15351</v>
      </c>
      <c r="B215" t="s">
        <v>15441</v>
      </c>
      <c r="C215" t="s">
        <v>15446</v>
      </c>
      <c r="D215" t="s">
        <v>214</v>
      </c>
      <c r="E215" t="s">
        <v>3439</v>
      </c>
      <c r="F215" t="s">
        <v>3438</v>
      </c>
      <c r="G215" s="3">
        <v>35.5176861992977</v>
      </c>
      <c r="H215" s="3">
        <v>129.332410201128</v>
      </c>
      <c r="I215" t="s">
        <v>3981</v>
      </c>
      <c r="J215" t="s">
        <v>7340</v>
      </c>
      <c r="K215" t="s">
        <v>10651</v>
      </c>
      <c r="L215" t="s">
        <v>3366</v>
      </c>
      <c r="M215" t="s">
        <v>11890</v>
      </c>
      <c r="N215" t="s">
        <v>3363</v>
      </c>
      <c r="O215" t="s">
        <v>3362</v>
      </c>
      <c r="P215" t="s">
        <v>15211</v>
      </c>
      <c r="Q215" t="s">
        <v>15211</v>
      </c>
      <c r="R215" t="s">
        <v>15211</v>
      </c>
      <c r="S215" t="s">
        <v>15211</v>
      </c>
      <c r="T215" t="s">
        <v>3369</v>
      </c>
      <c r="U215" t="s">
        <v>12131</v>
      </c>
      <c r="V215" t="s">
        <v>15213</v>
      </c>
    </row>
    <row r="216" spans="1:22" ht="17.399999999999999" hidden="1">
      <c r="A216" t="s">
        <v>15351</v>
      </c>
      <c r="B216" t="s">
        <v>15441</v>
      </c>
      <c r="C216" t="s">
        <v>15446</v>
      </c>
      <c r="D216" t="s">
        <v>215</v>
      </c>
      <c r="E216" t="s">
        <v>3439</v>
      </c>
      <c r="F216" t="s">
        <v>3438</v>
      </c>
      <c r="G216" s="3">
        <v>35.517686180064501</v>
      </c>
      <c r="H216" s="3">
        <v>129.33241022491799</v>
      </c>
      <c r="I216" t="s">
        <v>3982</v>
      </c>
      <c r="J216" t="s">
        <v>7341</v>
      </c>
      <c r="K216" t="s">
        <v>10603</v>
      </c>
      <c r="L216" t="s">
        <v>3366</v>
      </c>
      <c r="M216" t="s">
        <v>11890</v>
      </c>
      <c r="N216" t="s">
        <v>3363</v>
      </c>
      <c r="O216" t="s">
        <v>3363</v>
      </c>
      <c r="P216" t="s">
        <v>15211</v>
      </c>
      <c r="Q216" t="s">
        <v>15211</v>
      </c>
      <c r="R216" t="s">
        <v>15211</v>
      </c>
      <c r="S216" t="s">
        <v>15211</v>
      </c>
      <c r="T216" t="s">
        <v>3370</v>
      </c>
      <c r="U216" t="s">
        <v>12132</v>
      </c>
      <c r="V216" t="s">
        <v>15213</v>
      </c>
    </row>
    <row r="217" spans="1:22" ht="17.399999999999999" hidden="1">
      <c r="A217" t="s">
        <v>15351</v>
      </c>
      <c r="B217" t="s">
        <v>15441</v>
      </c>
      <c r="C217" t="s">
        <v>15447</v>
      </c>
      <c r="D217" t="s">
        <v>216</v>
      </c>
      <c r="E217" t="s">
        <v>3437</v>
      </c>
      <c r="F217" t="s">
        <v>3427</v>
      </c>
      <c r="G217" s="3">
        <v>35.517686172301801</v>
      </c>
      <c r="H217" s="3">
        <v>129.33241024481401</v>
      </c>
      <c r="I217" t="s">
        <v>3983</v>
      </c>
      <c r="J217" t="s">
        <v>7342</v>
      </c>
      <c r="K217" t="s">
        <v>10652</v>
      </c>
      <c r="L217" t="s">
        <v>3379</v>
      </c>
      <c r="M217" t="s">
        <v>11887</v>
      </c>
      <c r="N217" t="s">
        <v>3363</v>
      </c>
      <c r="O217" t="s">
        <v>15211</v>
      </c>
      <c r="P217" t="s">
        <v>15211</v>
      </c>
      <c r="Q217" t="s">
        <v>15211</v>
      </c>
      <c r="R217" t="s">
        <v>15211</v>
      </c>
      <c r="S217" t="s">
        <v>15211</v>
      </c>
      <c r="T217" t="s">
        <v>3363</v>
      </c>
      <c r="U217" t="s">
        <v>12133</v>
      </c>
      <c r="V217" t="s">
        <v>15214</v>
      </c>
    </row>
    <row r="218" spans="1:22" ht="17.399999999999999" hidden="1">
      <c r="A218" t="s">
        <v>15351</v>
      </c>
      <c r="B218" t="s">
        <v>15441</v>
      </c>
      <c r="C218" t="s">
        <v>15447</v>
      </c>
      <c r="D218" t="s">
        <v>217</v>
      </c>
      <c r="E218" t="s">
        <v>3438</v>
      </c>
      <c r="F218" t="s">
        <v>3436</v>
      </c>
      <c r="G218" s="3">
        <v>35.517686150677797</v>
      </c>
      <c r="H218" s="3">
        <v>129.33241024662999</v>
      </c>
      <c r="I218" t="s">
        <v>3984</v>
      </c>
      <c r="J218" t="s">
        <v>7343</v>
      </c>
      <c r="K218" t="s">
        <v>10653</v>
      </c>
      <c r="L218" t="s">
        <v>3366</v>
      </c>
      <c r="M218" t="s">
        <v>11887</v>
      </c>
      <c r="N218" t="s">
        <v>3363</v>
      </c>
      <c r="O218" t="s">
        <v>15211</v>
      </c>
      <c r="P218" t="s">
        <v>15211</v>
      </c>
      <c r="Q218" t="s">
        <v>15211</v>
      </c>
      <c r="R218" t="s">
        <v>15211</v>
      </c>
      <c r="S218" t="s">
        <v>15211</v>
      </c>
      <c r="T218" t="s">
        <v>3363</v>
      </c>
      <c r="U218" t="s">
        <v>12134</v>
      </c>
      <c r="V218" t="s">
        <v>15214</v>
      </c>
    </row>
    <row r="219" spans="1:22" ht="17.399999999999999" hidden="1">
      <c r="A219" t="s">
        <v>15351</v>
      </c>
      <c r="B219" t="s">
        <v>15441</v>
      </c>
      <c r="C219" t="s">
        <v>15447</v>
      </c>
      <c r="D219" t="s">
        <v>218</v>
      </c>
      <c r="E219" t="s">
        <v>3438</v>
      </c>
      <c r="F219" t="s">
        <v>3436</v>
      </c>
      <c r="G219" s="3">
        <v>35.517686194277502</v>
      </c>
      <c r="H219" s="3">
        <v>129.332410223643</v>
      </c>
      <c r="I219" t="s">
        <v>3985</v>
      </c>
      <c r="J219" t="s">
        <v>7344</v>
      </c>
      <c r="K219" t="s">
        <v>10654</v>
      </c>
      <c r="L219" t="s">
        <v>3366</v>
      </c>
      <c r="M219" t="s">
        <v>11887</v>
      </c>
      <c r="N219" t="s">
        <v>3363</v>
      </c>
      <c r="O219" t="s">
        <v>15211</v>
      </c>
      <c r="P219" t="s">
        <v>15211</v>
      </c>
      <c r="Q219" t="s">
        <v>15211</v>
      </c>
      <c r="R219" t="s">
        <v>15211</v>
      </c>
      <c r="S219" t="s">
        <v>15211</v>
      </c>
      <c r="T219" t="s">
        <v>3363</v>
      </c>
      <c r="U219" t="s">
        <v>12135</v>
      </c>
      <c r="V219" t="s">
        <v>15214</v>
      </c>
    </row>
    <row r="220" spans="1:22" ht="17.399999999999999" hidden="1">
      <c r="A220" t="s">
        <v>15351</v>
      </c>
      <c r="B220" t="s">
        <v>15441</v>
      </c>
      <c r="C220" t="s">
        <v>15448</v>
      </c>
      <c r="D220" t="s">
        <v>219</v>
      </c>
      <c r="E220" t="s">
        <v>3440</v>
      </c>
      <c r="F220" t="s">
        <v>3431</v>
      </c>
      <c r="G220" s="3">
        <v>35.517686304622103</v>
      </c>
      <c r="H220" s="3">
        <v>129.33241053734901</v>
      </c>
      <c r="I220" t="s">
        <v>3986</v>
      </c>
      <c r="J220" t="s">
        <v>7345</v>
      </c>
      <c r="K220" t="s">
        <v>10655</v>
      </c>
      <c r="L220" t="s">
        <v>3379</v>
      </c>
      <c r="M220" t="s">
        <v>11905</v>
      </c>
      <c r="N220" t="s">
        <v>3363</v>
      </c>
      <c r="O220" t="s">
        <v>3362</v>
      </c>
      <c r="P220" t="s">
        <v>3364</v>
      </c>
      <c r="Q220" t="s">
        <v>3363</v>
      </c>
      <c r="R220" t="s">
        <v>3357</v>
      </c>
      <c r="S220" t="s">
        <v>15211</v>
      </c>
      <c r="T220" t="s">
        <v>3385</v>
      </c>
      <c r="U220" t="s">
        <v>12136</v>
      </c>
      <c r="V220" t="s">
        <v>15215</v>
      </c>
    </row>
    <row r="221" spans="1:22" ht="17.399999999999999" hidden="1">
      <c r="A221" t="s">
        <v>15351</v>
      </c>
      <c r="B221" t="s">
        <v>15441</v>
      </c>
      <c r="C221" t="s">
        <v>15448</v>
      </c>
      <c r="D221" t="s">
        <v>220</v>
      </c>
      <c r="E221" t="s">
        <v>3438</v>
      </c>
      <c r="F221" t="s">
        <v>3435</v>
      </c>
      <c r="G221" s="3">
        <v>35.517686318234503</v>
      </c>
      <c r="H221" s="3">
        <v>129.33241055066699</v>
      </c>
      <c r="I221" t="s">
        <v>3987</v>
      </c>
      <c r="J221" t="s">
        <v>7346</v>
      </c>
      <c r="K221" t="s">
        <v>3680</v>
      </c>
      <c r="L221" t="s">
        <v>3366</v>
      </c>
      <c r="M221" t="s">
        <v>11905</v>
      </c>
      <c r="N221" t="s">
        <v>3363</v>
      </c>
      <c r="O221" t="s">
        <v>3363</v>
      </c>
      <c r="P221" t="s">
        <v>3365</v>
      </c>
      <c r="Q221" t="s">
        <v>3365</v>
      </c>
      <c r="R221" t="s">
        <v>3358</v>
      </c>
      <c r="S221" t="s">
        <v>15211</v>
      </c>
      <c r="T221" t="s">
        <v>3390</v>
      </c>
      <c r="U221" t="s">
        <v>12137</v>
      </c>
      <c r="V221" t="s">
        <v>15215</v>
      </c>
    </row>
    <row r="222" spans="1:22" ht="17.399999999999999" hidden="1">
      <c r="A222" t="s">
        <v>15351</v>
      </c>
      <c r="B222" t="s">
        <v>15441</v>
      </c>
      <c r="C222" t="s">
        <v>15448</v>
      </c>
      <c r="D222" t="s">
        <v>221</v>
      </c>
      <c r="E222" t="s">
        <v>3427</v>
      </c>
      <c r="F222" t="s">
        <v>3429</v>
      </c>
      <c r="G222" s="3">
        <v>35.517686313596798</v>
      </c>
      <c r="H222" s="3">
        <v>129.332410551561</v>
      </c>
      <c r="I222" t="s">
        <v>3988</v>
      </c>
      <c r="J222" t="s">
        <v>7347</v>
      </c>
      <c r="K222" t="s">
        <v>10656</v>
      </c>
      <c r="L222" t="s">
        <v>3366</v>
      </c>
      <c r="M222" t="s">
        <v>11905</v>
      </c>
      <c r="N222" t="s">
        <v>3363</v>
      </c>
      <c r="O222" t="s">
        <v>3363</v>
      </c>
      <c r="P222" t="s">
        <v>3366</v>
      </c>
      <c r="Q222" t="s">
        <v>3365</v>
      </c>
      <c r="R222" t="s">
        <v>3358</v>
      </c>
      <c r="S222" t="s">
        <v>15211</v>
      </c>
      <c r="T222" t="s">
        <v>3391</v>
      </c>
      <c r="U222" t="s">
        <v>12138</v>
      </c>
      <c r="V222" t="s">
        <v>15215</v>
      </c>
    </row>
    <row r="223" spans="1:22" ht="17.399999999999999" hidden="1">
      <c r="A223" t="s">
        <v>15351</v>
      </c>
      <c r="B223" t="s">
        <v>15441</v>
      </c>
      <c r="C223" t="s">
        <v>15449</v>
      </c>
      <c r="D223" t="s">
        <v>222</v>
      </c>
      <c r="E223" t="s">
        <v>3457</v>
      </c>
      <c r="F223" t="s">
        <v>3437</v>
      </c>
      <c r="G223" s="3">
        <v>35.517686339061498</v>
      </c>
      <c r="H223" s="3">
        <v>129.33241052739001</v>
      </c>
      <c r="I223" t="s">
        <v>3989</v>
      </c>
      <c r="J223" t="s">
        <v>7348</v>
      </c>
      <c r="K223" t="s">
        <v>10657</v>
      </c>
      <c r="L223" t="s">
        <v>3375</v>
      </c>
      <c r="M223" t="s">
        <v>11907</v>
      </c>
      <c r="N223" t="s">
        <v>3363</v>
      </c>
      <c r="O223" t="s">
        <v>3361</v>
      </c>
      <c r="P223" t="s">
        <v>3365</v>
      </c>
      <c r="Q223" t="s">
        <v>3365</v>
      </c>
      <c r="R223" t="s">
        <v>15211</v>
      </c>
      <c r="S223" t="s">
        <v>15211</v>
      </c>
      <c r="T223" t="s">
        <v>3386</v>
      </c>
      <c r="U223" t="s">
        <v>12139</v>
      </c>
      <c r="V223" t="s">
        <v>15216</v>
      </c>
    </row>
    <row r="224" spans="1:22" ht="17.399999999999999" hidden="1">
      <c r="A224" t="s">
        <v>15351</v>
      </c>
      <c r="B224" t="s">
        <v>15441</v>
      </c>
      <c r="C224" t="s">
        <v>15449</v>
      </c>
      <c r="D224" t="s">
        <v>223</v>
      </c>
      <c r="E224" t="s">
        <v>3457</v>
      </c>
      <c r="F224" t="s">
        <v>3437</v>
      </c>
      <c r="G224" s="3">
        <v>35.517686345136497</v>
      </c>
      <c r="H224" s="3">
        <v>129.33241052563901</v>
      </c>
      <c r="I224" t="s">
        <v>3990</v>
      </c>
      <c r="J224" t="s">
        <v>7349</v>
      </c>
      <c r="K224" t="s">
        <v>10658</v>
      </c>
      <c r="L224" t="s">
        <v>3366</v>
      </c>
      <c r="M224" t="s">
        <v>11913</v>
      </c>
      <c r="N224" t="s">
        <v>3363</v>
      </c>
      <c r="O224" t="s">
        <v>3361</v>
      </c>
      <c r="P224" t="s">
        <v>3366</v>
      </c>
      <c r="Q224" t="s">
        <v>3365</v>
      </c>
      <c r="R224" t="s">
        <v>15211</v>
      </c>
      <c r="S224" t="s">
        <v>15211</v>
      </c>
      <c r="T224" t="s">
        <v>3387</v>
      </c>
      <c r="U224" t="s">
        <v>12140</v>
      </c>
      <c r="V224" t="s">
        <v>15216</v>
      </c>
    </row>
    <row r="225" spans="1:22" ht="17.399999999999999" hidden="1">
      <c r="A225" t="s">
        <v>15351</v>
      </c>
      <c r="B225" t="s">
        <v>15441</v>
      </c>
      <c r="C225" t="s">
        <v>15449</v>
      </c>
      <c r="D225" t="s">
        <v>224</v>
      </c>
      <c r="E225" t="s">
        <v>3457</v>
      </c>
      <c r="F225" t="s">
        <v>3437</v>
      </c>
      <c r="G225" s="3">
        <v>35.517686346134496</v>
      </c>
      <c r="H225" s="3">
        <v>129.33241050765</v>
      </c>
      <c r="I225" t="s">
        <v>3991</v>
      </c>
      <c r="J225" t="s">
        <v>7350</v>
      </c>
      <c r="K225" t="s">
        <v>10659</v>
      </c>
      <c r="L225" t="s">
        <v>3366</v>
      </c>
      <c r="M225" t="s">
        <v>11911</v>
      </c>
      <c r="N225" t="s">
        <v>3363</v>
      </c>
      <c r="O225" t="s">
        <v>3361</v>
      </c>
      <c r="P225" t="s">
        <v>3365</v>
      </c>
      <c r="Q225" t="s">
        <v>3365</v>
      </c>
      <c r="R225" t="s">
        <v>15211</v>
      </c>
      <c r="S225" t="s">
        <v>15211</v>
      </c>
      <c r="T225" t="s">
        <v>3386</v>
      </c>
      <c r="U225" t="s">
        <v>12141</v>
      </c>
      <c r="V225" t="s">
        <v>15216</v>
      </c>
    </row>
    <row r="226" spans="1:22" ht="17.399999999999999" hidden="1">
      <c r="A226" t="s">
        <v>15351</v>
      </c>
      <c r="B226" t="s">
        <v>15442</v>
      </c>
      <c r="C226" t="s">
        <v>15450</v>
      </c>
      <c r="D226" t="s">
        <v>225</v>
      </c>
      <c r="E226" t="s">
        <v>3427</v>
      </c>
      <c r="F226" t="s">
        <v>3425</v>
      </c>
      <c r="G226" s="3">
        <v>35.517686365587302</v>
      </c>
      <c r="H226" s="3">
        <v>129.332410614781</v>
      </c>
      <c r="I226" t="s">
        <v>3992</v>
      </c>
      <c r="J226" t="s">
        <v>7351</v>
      </c>
      <c r="K226" t="s">
        <v>10660</v>
      </c>
      <c r="L226" t="s">
        <v>3376</v>
      </c>
      <c r="M226" t="s">
        <v>11885</v>
      </c>
      <c r="N226" t="s">
        <v>3363</v>
      </c>
      <c r="O226" t="s">
        <v>3362</v>
      </c>
      <c r="P226" t="s">
        <v>15211</v>
      </c>
      <c r="Q226" t="s">
        <v>15211</v>
      </c>
      <c r="R226" t="s">
        <v>15211</v>
      </c>
      <c r="S226" t="s">
        <v>15211</v>
      </c>
      <c r="T226" t="s">
        <v>3369</v>
      </c>
      <c r="U226" t="s">
        <v>12142</v>
      </c>
      <c r="V226" t="s">
        <v>15217</v>
      </c>
    </row>
    <row r="227" spans="1:22" ht="17.399999999999999" hidden="1">
      <c r="A227" t="s">
        <v>15351</v>
      </c>
      <c r="B227" t="s">
        <v>15442</v>
      </c>
      <c r="C227" t="s">
        <v>15450</v>
      </c>
      <c r="D227" t="s">
        <v>226</v>
      </c>
      <c r="E227" t="s">
        <v>3427</v>
      </c>
      <c r="F227" t="s">
        <v>3425</v>
      </c>
      <c r="G227" s="3">
        <v>35.517686362352102</v>
      </c>
      <c r="H227" s="3">
        <v>129.33241060800799</v>
      </c>
      <c r="I227" t="s">
        <v>3993</v>
      </c>
      <c r="J227" t="s">
        <v>7352</v>
      </c>
      <c r="K227" t="s">
        <v>10661</v>
      </c>
      <c r="L227" t="s">
        <v>3366</v>
      </c>
      <c r="M227" t="s">
        <v>11890</v>
      </c>
      <c r="N227" t="s">
        <v>3363</v>
      </c>
      <c r="O227" t="s">
        <v>3362</v>
      </c>
      <c r="P227" t="s">
        <v>15211</v>
      </c>
      <c r="Q227" t="s">
        <v>15211</v>
      </c>
      <c r="R227" t="s">
        <v>15211</v>
      </c>
      <c r="S227" t="s">
        <v>15211</v>
      </c>
      <c r="T227" t="s">
        <v>3369</v>
      </c>
      <c r="U227" t="s">
        <v>12143</v>
      </c>
      <c r="V227" t="s">
        <v>15217</v>
      </c>
    </row>
    <row r="228" spans="1:22" ht="17.399999999999999" hidden="1">
      <c r="A228" t="s">
        <v>15351</v>
      </c>
      <c r="B228" t="s">
        <v>15442</v>
      </c>
      <c r="C228" t="s">
        <v>15450</v>
      </c>
      <c r="D228" t="s">
        <v>227</v>
      </c>
      <c r="E228" t="s">
        <v>3427</v>
      </c>
      <c r="F228" t="s">
        <v>3425</v>
      </c>
      <c r="G228" s="3">
        <v>35.517686369783199</v>
      </c>
      <c r="H228" s="3">
        <v>129.33241059264</v>
      </c>
      <c r="I228" t="s">
        <v>3994</v>
      </c>
      <c r="J228" t="s">
        <v>7353</v>
      </c>
      <c r="K228" t="s">
        <v>10660</v>
      </c>
      <c r="L228" t="s">
        <v>3366</v>
      </c>
      <c r="M228" t="s">
        <v>11885</v>
      </c>
      <c r="N228" t="s">
        <v>3363</v>
      </c>
      <c r="O228" t="s">
        <v>3362</v>
      </c>
      <c r="P228" t="s">
        <v>15211</v>
      </c>
      <c r="Q228" t="s">
        <v>15211</v>
      </c>
      <c r="R228" t="s">
        <v>15211</v>
      </c>
      <c r="S228" t="s">
        <v>15211</v>
      </c>
      <c r="T228" t="s">
        <v>3369</v>
      </c>
      <c r="U228" t="s">
        <v>12144</v>
      </c>
      <c r="V228" t="s">
        <v>15217</v>
      </c>
    </row>
    <row r="229" spans="1:22" ht="17.399999999999999" hidden="1">
      <c r="A229" t="s">
        <v>15351</v>
      </c>
      <c r="B229" t="s">
        <v>15442</v>
      </c>
      <c r="C229" t="s">
        <v>15445</v>
      </c>
      <c r="D229" t="s">
        <v>228</v>
      </c>
      <c r="E229" t="s">
        <v>3439</v>
      </c>
      <c r="F229" t="s">
        <v>3440</v>
      </c>
      <c r="G229" s="3">
        <v>35.517686324836703</v>
      </c>
      <c r="H229" s="3">
        <v>129.33241057604801</v>
      </c>
      <c r="I229" t="s">
        <v>3995</v>
      </c>
      <c r="J229" t="s">
        <v>7354</v>
      </c>
      <c r="K229" t="s">
        <v>10662</v>
      </c>
      <c r="L229" t="s">
        <v>3381</v>
      </c>
      <c r="M229" t="s">
        <v>11890</v>
      </c>
      <c r="N229" t="s">
        <v>3363</v>
      </c>
      <c r="O229" t="s">
        <v>3362</v>
      </c>
      <c r="P229" t="s">
        <v>15211</v>
      </c>
      <c r="Q229" t="s">
        <v>15211</v>
      </c>
      <c r="R229" t="s">
        <v>15211</v>
      </c>
      <c r="S229" t="s">
        <v>15211</v>
      </c>
      <c r="T229" t="s">
        <v>3369</v>
      </c>
      <c r="U229" t="s">
        <v>12145</v>
      </c>
      <c r="V229" t="s">
        <v>15218</v>
      </c>
    </row>
    <row r="230" spans="1:22" ht="17.399999999999999" hidden="1">
      <c r="A230" t="s">
        <v>15351</v>
      </c>
      <c r="B230" t="s">
        <v>15442</v>
      </c>
      <c r="C230" t="s">
        <v>15445</v>
      </c>
      <c r="D230" t="s">
        <v>229</v>
      </c>
      <c r="E230" t="s">
        <v>3439</v>
      </c>
      <c r="F230" t="s">
        <v>3440</v>
      </c>
      <c r="G230" s="3">
        <v>35.517686341652301</v>
      </c>
      <c r="H230" s="3">
        <v>129.332410569811</v>
      </c>
      <c r="I230" t="s">
        <v>3996</v>
      </c>
      <c r="J230" t="s">
        <v>7355</v>
      </c>
      <c r="K230" t="s">
        <v>10663</v>
      </c>
      <c r="L230" t="s">
        <v>3366</v>
      </c>
      <c r="M230" t="s">
        <v>11890</v>
      </c>
      <c r="N230" t="s">
        <v>3363</v>
      </c>
      <c r="O230" t="s">
        <v>3362</v>
      </c>
      <c r="P230" t="s">
        <v>15211</v>
      </c>
      <c r="Q230" t="s">
        <v>15211</v>
      </c>
      <c r="R230" t="s">
        <v>15211</v>
      </c>
      <c r="S230" t="s">
        <v>15211</v>
      </c>
      <c r="T230" t="s">
        <v>3369</v>
      </c>
      <c r="U230" t="s">
        <v>12146</v>
      </c>
      <c r="V230" t="s">
        <v>15218</v>
      </c>
    </row>
    <row r="231" spans="1:22" ht="17.399999999999999" hidden="1">
      <c r="A231" t="s">
        <v>15351</v>
      </c>
      <c r="B231" t="s">
        <v>15442</v>
      </c>
      <c r="C231" t="s">
        <v>15445</v>
      </c>
      <c r="D231" t="s">
        <v>230</v>
      </c>
      <c r="E231" t="s">
        <v>3439</v>
      </c>
      <c r="F231" t="s">
        <v>3440</v>
      </c>
      <c r="G231" s="3">
        <v>35.517686346430501</v>
      </c>
      <c r="H231" s="3">
        <v>129.332410540274</v>
      </c>
      <c r="I231" t="s">
        <v>3997</v>
      </c>
      <c r="J231" t="s">
        <v>7356</v>
      </c>
      <c r="K231" t="s">
        <v>10664</v>
      </c>
      <c r="L231" t="s">
        <v>3366</v>
      </c>
      <c r="M231" t="s">
        <v>11890</v>
      </c>
      <c r="N231" t="s">
        <v>3363</v>
      </c>
      <c r="O231" t="s">
        <v>3362</v>
      </c>
      <c r="P231" t="s">
        <v>15211</v>
      </c>
      <c r="Q231" t="s">
        <v>15211</v>
      </c>
      <c r="R231" t="s">
        <v>15211</v>
      </c>
      <c r="S231" t="s">
        <v>15211</v>
      </c>
      <c r="T231" t="s">
        <v>3369</v>
      </c>
      <c r="U231" t="s">
        <v>12145</v>
      </c>
      <c r="V231" t="s">
        <v>15218</v>
      </c>
    </row>
    <row r="232" spans="1:22" ht="17.399999999999999" hidden="1">
      <c r="A232" t="s">
        <v>15351</v>
      </c>
      <c r="B232" t="s">
        <v>15442</v>
      </c>
      <c r="C232" t="s">
        <v>15451</v>
      </c>
      <c r="D232" t="s">
        <v>231</v>
      </c>
      <c r="E232" t="s">
        <v>3457</v>
      </c>
      <c r="F232" t="s">
        <v>3440</v>
      </c>
      <c r="G232" s="3">
        <v>35.517686351450799</v>
      </c>
      <c r="H232" s="3">
        <v>129.332410451096</v>
      </c>
      <c r="I232" t="s">
        <v>3998</v>
      </c>
      <c r="J232" t="s">
        <v>7357</v>
      </c>
      <c r="K232" t="s">
        <v>10665</v>
      </c>
      <c r="L232" t="s">
        <v>3381</v>
      </c>
      <c r="M232" t="s">
        <v>11914</v>
      </c>
      <c r="N232" t="s">
        <v>3363</v>
      </c>
      <c r="O232" t="s">
        <v>3362</v>
      </c>
      <c r="P232" t="s">
        <v>3362</v>
      </c>
      <c r="Q232" t="s">
        <v>3359</v>
      </c>
      <c r="R232" t="s">
        <v>15211</v>
      </c>
      <c r="S232" t="s">
        <v>15211</v>
      </c>
      <c r="T232" t="s">
        <v>3378</v>
      </c>
      <c r="U232" t="s">
        <v>12147</v>
      </c>
      <c r="V232" t="s">
        <v>15219</v>
      </c>
    </row>
    <row r="233" spans="1:22" ht="17.399999999999999" hidden="1">
      <c r="A233" t="s">
        <v>15351</v>
      </c>
      <c r="B233" t="s">
        <v>15442</v>
      </c>
      <c r="C233" t="s">
        <v>15451</v>
      </c>
      <c r="D233" t="s">
        <v>232</v>
      </c>
      <c r="E233" t="s">
        <v>3457</v>
      </c>
      <c r="F233" t="s">
        <v>3440</v>
      </c>
      <c r="G233" s="3">
        <v>35.517686358649499</v>
      </c>
      <c r="H233" s="3">
        <v>129.33241046742401</v>
      </c>
      <c r="I233" t="s">
        <v>3999</v>
      </c>
      <c r="J233" t="s">
        <v>7358</v>
      </c>
      <c r="K233" t="s">
        <v>10666</v>
      </c>
      <c r="L233" t="s">
        <v>3366</v>
      </c>
      <c r="M233" t="s">
        <v>11914</v>
      </c>
      <c r="N233" t="s">
        <v>3363</v>
      </c>
      <c r="O233" t="s">
        <v>3362</v>
      </c>
      <c r="P233" t="s">
        <v>3365</v>
      </c>
      <c r="Q233" t="s">
        <v>3361</v>
      </c>
      <c r="R233" t="s">
        <v>15211</v>
      </c>
      <c r="S233" t="s">
        <v>15211</v>
      </c>
      <c r="T233" t="s">
        <v>3383</v>
      </c>
      <c r="U233" t="s">
        <v>12148</v>
      </c>
      <c r="V233" t="s">
        <v>15219</v>
      </c>
    </row>
    <row r="234" spans="1:22" ht="17.399999999999999" hidden="1">
      <c r="A234" t="s">
        <v>15351</v>
      </c>
      <c r="B234" t="s">
        <v>15442</v>
      </c>
      <c r="C234" t="s">
        <v>15451</v>
      </c>
      <c r="D234" t="s">
        <v>233</v>
      </c>
      <c r="E234" t="s">
        <v>3457</v>
      </c>
      <c r="F234" t="s">
        <v>3440</v>
      </c>
      <c r="G234" s="3">
        <v>35.517686367960501</v>
      </c>
      <c r="H234" s="3">
        <v>129.332410470871</v>
      </c>
      <c r="I234" t="s">
        <v>4000</v>
      </c>
      <c r="J234" t="s">
        <v>7359</v>
      </c>
      <c r="K234" t="s">
        <v>10667</v>
      </c>
      <c r="L234" t="s">
        <v>3366</v>
      </c>
      <c r="M234" t="s">
        <v>11914</v>
      </c>
      <c r="N234" t="s">
        <v>3363</v>
      </c>
      <c r="O234" t="s">
        <v>3362</v>
      </c>
      <c r="P234" t="s">
        <v>3365</v>
      </c>
      <c r="Q234" t="s">
        <v>3361</v>
      </c>
      <c r="R234" t="s">
        <v>15211</v>
      </c>
      <c r="S234" t="s">
        <v>15211</v>
      </c>
      <c r="T234" t="s">
        <v>3383</v>
      </c>
      <c r="U234" t="s">
        <v>12149</v>
      </c>
      <c r="V234" t="s">
        <v>15219</v>
      </c>
    </row>
    <row r="235" spans="1:22" ht="17.399999999999999">
      <c r="A235" t="s">
        <v>15351</v>
      </c>
      <c r="B235" t="s">
        <v>15443</v>
      </c>
      <c r="C235" t="s">
        <v>15452</v>
      </c>
      <c r="D235" t="s">
        <v>234</v>
      </c>
      <c r="E235" t="s">
        <v>3436</v>
      </c>
      <c r="F235" t="s">
        <v>3453</v>
      </c>
      <c r="G235" s="3">
        <v>35.5176862042414</v>
      </c>
      <c r="H235" s="3">
        <v>129.33241020233001</v>
      </c>
      <c r="I235" t="s">
        <v>4001</v>
      </c>
      <c r="J235" t="s">
        <v>7360</v>
      </c>
      <c r="K235" t="s">
        <v>3715</v>
      </c>
      <c r="L235" t="s">
        <v>3376</v>
      </c>
      <c r="M235" t="s">
        <v>11901</v>
      </c>
      <c r="N235" t="s">
        <v>3362</v>
      </c>
      <c r="O235" t="s">
        <v>15211</v>
      </c>
      <c r="P235" t="s">
        <v>3363</v>
      </c>
      <c r="Q235" t="s">
        <v>3360</v>
      </c>
      <c r="R235" t="s">
        <v>15211</v>
      </c>
      <c r="S235" t="s">
        <v>15211</v>
      </c>
      <c r="T235" t="s">
        <v>3373</v>
      </c>
      <c r="U235" t="s">
        <v>12150</v>
      </c>
      <c r="V235" t="s">
        <v>15220</v>
      </c>
    </row>
    <row r="236" spans="1:22" ht="17.399999999999999">
      <c r="A236" t="s">
        <v>15351</v>
      </c>
      <c r="B236" t="s">
        <v>15443</v>
      </c>
      <c r="C236" t="s">
        <v>15452</v>
      </c>
      <c r="D236" t="s">
        <v>235</v>
      </c>
      <c r="E236" t="s">
        <v>3425</v>
      </c>
      <c r="F236" t="s">
        <v>3452</v>
      </c>
      <c r="G236" s="3">
        <v>35.517686219252603</v>
      </c>
      <c r="H236" s="3">
        <v>129.33241021852601</v>
      </c>
      <c r="I236" t="s">
        <v>4002</v>
      </c>
      <c r="J236" t="s">
        <v>7361</v>
      </c>
      <c r="K236" t="s">
        <v>3718</v>
      </c>
      <c r="L236" t="s">
        <v>3366</v>
      </c>
      <c r="M236" t="s">
        <v>11901</v>
      </c>
      <c r="N236" t="s">
        <v>3362</v>
      </c>
      <c r="O236" t="s">
        <v>15211</v>
      </c>
      <c r="P236" t="s">
        <v>3363</v>
      </c>
      <c r="Q236" t="s">
        <v>3360</v>
      </c>
      <c r="R236" t="s">
        <v>15211</v>
      </c>
      <c r="S236" t="s">
        <v>15211</v>
      </c>
      <c r="T236" t="s">
        <v>3373</v>
      </c>
      <c r="U236" t="s">
        <v>12151</v>
      </c>
      <c r="V236" t="s">
        <v>15220</v>
      </c>
    </row>
    <row r="237" spans="1:22" ht="17.399999999999999">
      <c r="A237" t="s">
        <v>15351</v>
      </c>
      <c r="B237" t="s">
        <v>15443</v>
      </c>
      <c r="C237" t="s">
        <v>15452</v>
      </c>
      <c r="D237" t="s">
        <v>236</v>
      </c>
      <c r="E237" t="s">
        <v>3425</v>
      </c>
      <c r="F237" t="s">
        <v>3452</v>
      </c>
      <c r="G237" s="3">
        <v>35.517686228726198</v>
      </c>
      <c r="H237" s="3">
        <v>129.33241021446199</v>
      </c>
      <c r="I237" t="s">
        <v>4003</v>
      </c>
      <c r="J237" t="s">
        <v>7362</v>
      </c>
      <c r="K237" t="s">
        <v>10668</v>
      </c>
      <c r="L237" t="s">
        <v>3366</v>
      </c>
      <c r="M237" t="s">
        <v>11901</v>
      </c>
      <c r="N237" t="s">
        <v>3362</v>
      </c>
      <c r="O237" t="s">
        <v>15211</v>
      </c>
      <c r="P237" t="s">
        <v>3363</v>
      </c>
      <c r="Q237" t="s">
        <v>3360</v>
      </c>
      <c r="R237" t="s">
        <v>15211</v>
      </c>
      <c r="S237" t="s">
        <v>15211</v>
      </c>
      <c r="T237" t="s">
        <v>3373</v>
      </c>
      <c r="U237" t="s">
        <v>12152</v>
      </c>
      <c r="V237" t="s">
        <v>15220</v>
      </c>
    </row>
    <row r="238" spans="1:22" ht="17.399999999999999" hidden="1">
      <c r="A238" t="s">
        <v>15351</v>
      </c>
      <c r="B238" t="s">
        <v>15443</v>
      </c>
      <c r="C238" t="s">
        <v>15459</v>
      </c>
      <c r="D238" t="s">
        <v>237</v>
      </c>
      <c r="E238" t="s">
        <v>3434</v>
      </c>
      <c r="F238" t="s">
        <v>3465</v>
      </c>
      <c r="G238" s="3">
        <v>35.517686216568499</v>
      </c>
      <c r="H238" s="3">
        <v>129.33241018889001</v>
      </c>
      <c r="I238" t="s">
        <v>4004</v>
      </c>
      <c r="J238" t="s">
        <v>7363</v>
      </c>
      <c r="K238" t="s">
        <v>10554</v>
      </c>
      <c r="L238" t="s">
        <v>3379</v>
      </c>
      <c r="M238" t="s">
        <v>11901</v>
      </c>
      <c r="N238" t="s">
        <v>3362</v>
      </c>
      <c r="O238" t="s">
        <v>15211</v>
      </c>
      <c r="P238" t="s">
        <v>3364</v>
      </c>
      <c r="Q238" t="s">
        <v>3360</v>
      </c>
      <c r="R238" t="s">
        <v>15211</v>
      </c>
      <c r="S238" t="s">
        <v>15211</v>
      </c>
      <c r="T238" t="s">
        <v>3374</v>
      </c>
      <c r="U238" t="s">
        <v>12153</v>
      </c>
      <c r="V238" t="s">
        <v>15227</v>
      </c>
    </row>
    <row r="239" spans="1:22" ht="17.399999999999999" hidden="1">
      <c r="A239" t="s">
        <v>15351</v>
      </c>
      <c r="B239" t="s">
        <v>15443</v>
      </c>
      <c r="C239" t="s">
        <v>15459</v>
      </c>
      <c r="D239" t="s">
        <v>238</v>
      </c>
      <c r="E239" t="s">
        <v>3429</v>
      </c>
      <c r="F239" t="s">
        <v>3460</v>
      </c>
      <c r="G239" s="3">
        <v>35.517686202552099</v>
      </c>
      <c r="H239" s="3">
        <v>129.332410187395</v>
      </c>
      <c r="I239" t="s">
        <v>4005</v>
      </c>
      <c r="J239" t="s">
        <v>7364</v>
      </c>
      <c r="K239" t="s">
        <v>10669</v>
      </c>
      <c r="L239" t="s">
        <v>3366</v>
      </c>
      <c r="M239" t="s">
        <v>11898</v>
      </c>
      <c r="N239" t="s">
        <v>3362</v>
      </c>
      <c r="O239" t="s">
        <v>15211</v>
      </c>
      <c r="P239" t="s">
        <v>3364</v>
      </c>
      <c r="Q239" t="s">
        <v>3360</v>
      </c>
      <c r="R239" t="s">
        <v>15211</v>
      </c>
      <c r="S239" t="s">
        <v>15211</v>
      </c>
      <c r="T239" t="s">
        <v>3374</v>
      </c>
      <c r="U239" t="s">
        <v>12154</v>
      </c>
      <c r="V239" t="s">
        <v>15227</v>
      </c>
    </row>
    <row r="240" spans="1:22" ht="17.399999999999999" hidden="1">
      <c r="A240" t="s">
        <v>15351</v>
      </c>
      <c r="B240" t="s">
        <v>15443</v>
      </c>
      <c r="C240" t="s">
        <v>15459</v>
      </c>
      <c r="D240" t="s">
        <v>239</v>
      </c>
      <c r="E240" t="s">
        <v>3430</v>
      </c>
      <c r="F240" t="s">
        <v>3511</v>
      </c>
      <c r="G240" s="3">
        <v>35.5176862018929</v>
      </c>
      <c r="H240" s="3">
        <v>129.33241020205901</v>
      </c>
      <c r="I240" t="s">
        <v>4006</v>
      </c>
      <c r="J240" t="s">
        <v>7365</v>
      </c>
      <c r="K240" t="s">
        <v>10670</v>
      </c>
      <c r="L240" t="s">
        <v>3366</v>
      </c>
      <c r="M240" t="s">
        <v>11901</v>
      </c>
      <c r="N240" t="s">
        <v>3362</v>
      </c>
      <c r="O240" t="s">
        <v>15211</v>
      </c>
      <c r="P240" t="s">
        <v>3364</v>
      </c>
      <c r="Q240" t="s">
        <v>3360</v>
      </c>
      <c r="R240" t="s">
        <v>15211</v>
      </c>
      <c r="S240" t="s">
        <v>15211</v>
      </c>
      <c r="T240" t="s">
        <v>3374</v>
      </c>
      <c r="U240" t="s">
        <v>12155</v>
      </c>
      <c r="V240" t="s">
        <v>15227</v>
      </c>
    </row>
    <row r="241" spans="1:22" hidden="1">
      <c r="A241" t="s">
        <v>15410</v>
      </c>
      <c r="B241" t="s">
        <v>15441</v>
      </c>
      <c r="C241" t="s">
        <v>15445</v>
      </c>
      <c r="D241" t="s">
        <v>240</v>
      </c>
      <c r="E241" t="s">
        <v>3439</v>
      </c>
      <c r="F241" t="s">
        <v>3425</v>
      </c>
      <c r="G241" s="3">
        <v>37.270378532859397</v>
      </c>
      <c r="H241" s="3">
        <v>127.63373518450599</v>
      </c>
      <c r="I241" t="s">
        <v>4007</v>
      </c>
      <c r="J241" t="s">
        <v>7366</v>
      </c>
      <c r="K241" t="s">
        <v>10671</v>
      </c>
      <c r="L241" t="s">
        <v>3366</v>
      </c>
      <c r="M241" t="s">
        <v>11902</v>
      </c>
      <c r="N241" t="s">
        <v>3362</v>
      </c>
      <c r="O241" t="s">
        <v>3360</v>
      </c>
      <c r="P241" t="s">
        <v>15211</v>
      </c>
      <c r="Q241" t="s">
        <v>15211</v>
      </c>
      <c r="R241" t="s">
        <v>15211</v>
      </c>
      <c r="S241" t="s">
        <v>15211</v>
      </c>
      <c r="T241" t="s">
        <v>3366</v>
      </c>
      <c r="U241" t="s">
        <v>12156</v>
      </c>
      <c r="V241" t="s">
        <v>15228</v>
      </c>
    </row>
    <row r="242" spans="1:22" hidden="1">
      <c r="A242" t="s">
        <v>15410</v>
      </c>
      <c r="B242" t="s">
        <v>15441</v>
      </c>
      <c r="C242" t="s">
        <v>15445</v>
      </c>
      <c r="D242" t="s">
        <v>241</v>
      </c>
      <c r="E242" t="s">
        <v>3439</v>
      </c>
      <c r="F242" t="s">
        <v>3425</v>
      </c>
      <c r="G242" s="3">
        <v>37.270378552175103</v>
      </c>
      <c r="H242" s="3">
        <v>127.633735180627</v>
      </c>
      <c r="I242" t="s">
        <v>4008</v>
      </c>
      <c r="J242" t="s">
        <v>7367</v>
      </c>
      <c r="K242" t="s">
        <v>10672</v>
      </c>
      <c r="L242" t="s">
        <v>3366</v>
      </c>
      <c r="M242" t="s">
        <v>11902</v>
      </c>
      <c r="N242" t="s">
        <v>3362</v>
      </c>
      <c r="O242" t="s">
        <v>3360</v>
      </c>
      <c r="P242" t="s">
        <v>15211</v>
      </c>
      <c r="Q242" t="s">
        <v>15211</v>
      </c>
      <c r="R242" t="s">
        <v>15211</v>
      </c>
      <c r="S242" t="s">
        <v>15211</v>
      </c>
      <c r="T242" t="s">
        <v>3366</v>
      </c>
      <c r="U242" t="s">
        <v>12157</v>
      </c>
      <c r="V242" t="s">
        <v>15228</v>
      </c>
    </row>
    <row r="243" spans="1:22" hidden="1">
      <c r="A243" t="s">
        <v>15410</v>
      </c>
      <c r="B243" t="s">
        <v>15441</v>
      </c>
      <c r="C243" t="s">
        <v>15445</v>
      </c>
      <c r="D243" t="s">
        <v>242</v>
      </c>
      <c r="E243" t="s">
        <v>3439</v>
      </c>
      <c r="F243" t="s">
        <v>3425</v>
      </c>
      <c r="G243" s="3">
        <v>37.270378568592697</v>
      </c>
      <c r="H243" s="3">
        <v>127.633735167442</v>
      </c>
      <c r="I243" t="s">
        <v>4009</v>
      </c>
      <c r="J243" t="s">
        <v>7368</v>
      </c>
      <c r="K243" t="s">
        <v>10673</v>
      </c>
      <c r="L243" t="s">
        <v>3366</v>
      </c>
      <c r="M243" t="s">
        <v>11902</v>
      </c>
      <c r="N243" t="s">
        <v>3362</v>
      </c>
      <c r="O243" t="s">
        <v>3360</v>
      </c>
      <c r="P243" t="s">
        <v>15211</v>
      </c>
      <c r="Q243" t="s">
        <v>15211</v>
      </c>
      <c r="R243" t="s">
        <v>15211</v>
      </c>
      <c r="S243" t="s">
        <v>15211</v>
      </c>
      <c r="T243" t="s">
        <v>3366</v>
      </c>
      <c r="U243" t="s">
        <v>12158</v>
      </c>
      <c r="V243" t="s">
        <v>15228</v>
      </c>
    </row>
    <row r="244" spans="1:22" hidden="1">
      <c r="A244" t="s">
        <v>15410</v>
      </c>
      <c r="B244" t="s">
        <v>15441</v>
      </c>
      <c r="C244" t="s">
        <v>15446</v>
      </c>
      <c r="D244" t="s">
        <v>243</v>
      </c>
      <c r="E244" t="s">
        <v>3437</v>
      </c>
      <c r="F244" t="s">
        <v>3435</v>
      </c>
      <c r="G244" s="3">
        <v>37.270378602249103</v>
      </c>
      <c r="H244" s="3">
        <v>127.63373518352</v>
      </c>
      <c r="I244" t="s">
        <v>4010</v>
      </c>
      <c r="J244" t="s">
        <v>7369</v>
      </c>
      <c r="K244" t="s">
        <v>10674</v>
      </c>
      <c r="L244" t="s">
        <v>3368</v>
      </c>
      <c r="M244" t="s">
        <v>11900</v>
      </c>
      <c r="N244" t="s">
        <v>3362</v>
      </c>
      <c r="O244" t="s">
        <v>3360</v>
      </c>
      <c r="P244" t="s">
        <v>15211</v>
      </c>
      <c r="Q244" t="s">
        <v>15211</v>
      </c>
      <c r="R244" t="s">
        <v>15211</v>
      </c>
      <c r="S244" t="s">
        <v>15211</v>
      </c>
      <c r="T244" t="s">
        <v>3366</v>
      </c>
      <c r="U244" t="s">
        <v>12159</v>
      </c>
      <c r="V244" t="s">
        <v>15229</v>
      </c>
    </row>
    <row r="245" spans="1:22" hidden="1">
      <c r="A245" t="s">
        <v>15410</v>
      </c>
      <c r="B245" t="s">
        <v>15441</v>
      </c>
      <c r="C245" t="s">
        <v>15446</v>
      </c>
      <c r="D245" t="s">
        <v>244</v>
      </c>
      <c r="E245" t="s">
        <v>3440</v>
      </c>
      <c r="F245" t="s">
        <v>3430</v>
      </c>
      <c r="G245" s="3">
        <v>37.2703786124248</v>
      </c>
      <c r="H245" s="3">
        <v>127.63373518157501</v>
      </c>
      <c r="I245" t="s">
        <v>4011</v>
      </c>
      <c r="J245" t="s">
        <v>7370</v>
      </c>
      <c r="K245" t="s">
        <v>10675</v>
      </c>
      <c r="L245" t="s">
        <v>3366</v>
      </c>
      <c r="M245" t="s">
        <v>11902</v>
      </c>
      <c r="N245" t="s">
        <v>3362</v>
      </c>
      <c r="O245" t="s">
        <v>3360</v>
      </c>
      <c r="P245" t="s">
        <v>15211</v>
      </c>
      <c r="Q245" t="s">
        <v>15211</v>
      </c>
      <c r="R245" t="s">
        <v>15211</v>
      </c>
      <c r="S245" t="s">
        <v>15211</v>
      </c>
      <c r="T245" t="s">
        <v>3366</v>
      </c>
      <c r="U245" t="s">
        <v>12160</v>
      </c>
      <c r="V245" t="s">
        <v>15229</v>
      </c>
    </row>
    <row r="246" spans="1:22" hidden="1">
      <c r="A246" t="s">
        <v>15410</v>
      </c>
      <c r="B246" t="s">
        <v>15441</v>
      </c>
      <c r="C246" t="s">
        <v>15446</v>
      </c>
      <c r="D246" t="s">
        <v>245</v>
      </c>
      <c r="E246" t="s">
        <v>3438</v>
      </c>
      <c r="F246" t="s">
        <v>3441</v>
      </c>
      <c r="G246" s="3">
        <v>37.270378613853502</v>
      </c>
      <c r="H246" s="3">
        <v>127.63373519576</v>
      </c>
      <c r="I246" t="s">
        <v>4012</v>
      </c>
      <c r="J246" t="s">
        <v>7371</v>
      </c>
      <c r="K246" t="s">
        <v>10676</v>
      </c>
      <c r="L246" t="s">
        <v>3368</v>
      </c>
      <c r="M246" t="s">
        <v>11900</v>
      </c>
      <c r="N246" t="s">
        <v>3362</v>
      </c>
      <c r="O246" t="s">
        <v>3360</v>
      </c>
      <c r="P246" t="s">
        <v>15211</v>
      </c>
      <c r="Q246" t="s">
        <v>15211</v>
      </c>
      <c r="R246" t="s">
        <v>15211</v>
      </c>
      <c r="S246" t="s">
        <v>15211</v>
      </c>
      <c r="T246" t="s">
        <v>3366</v>
      </c>
      <c r="U246" t="s">
        <v>12161</v>
      </c>
      <c r="V246" t="s">
        <v>15229</v>
      </c>
    </row>
    <row r="247" spans="1:22" hidden="1">
      <c r="A247" t="s">
        <v>15410</v>
      </c>
      <c r="B247" t="s">
        <v>15441</v>
      </c>
      <c r="C247" t="s">
        <v>15448</v>
      </c>
      <c r="D247" t="s">
        <v>246</v>
      </c>
      <c r="E247" t="s">
        <v>3435</v>
      </c>
      <c r="F247" t="s">
        <v>3511</v>
      </c>
      <c r="G247" s="3">
        <v>37.2703785994741</v>
      </c>
      <c r="H247" s="3">
        <v>127.633735305535</v>
      </c>
      <c r="I247" t="s">
        <v>4013</v>
      </c>
      <c r="J247" t="s">
        <v>7372</v>
      </c>
      <c r="K247" t="s">
        <v>10677</v>
      </c>
      <c r="L247" t="s">
        <v>3366</v>
      </c>
      <c r="M247" t="s">
        <v>11899</v>
      </c>
      <c r="N247" t="s">
        <v>3362</v>
      </c>
      <c r="O247" t="s">
        <v>3359</v>
      </c>
      <c r="P247" t="s">
        <v>3362</v>
      </c>
      <c r="Q247" t="s">
        <v>3359</v>
      </c>
      <c r="R247" t="s">
        <v>3358</v>
      </c>
      <c r="S247" t="s">
        <v>15211</v>
      </c>
      <c r="T247" t="s">
        <v>3376</v>
      </c>
      <c r="U247" t="s">
        <v>12162</v>
      </c>
      <c r="V247" t="s">
        <v>15230</v>
      </c>
    </row>
    <row r="248" spans="1:22" hidden="1">
      <c r="A248" t="s">
        <v>15410</v>
      </c>
      <c r="B248" t="s">
        <v>15441</v>
      </c>
      <c r="C248" t="s">
        <v>15448</v>
      </c>
      <c r="D248" t="s">
        <v>247</v>
      </c>
      <c r="E248" t="s">
        <v>3435</v>
      </c>
      <c r="F248" t="s">
        <v>3449</v>
      </c>
      <c r="G248" s="3">
        <v>37.2703785794521</v>
      </c>
      <c r="H248" s="3">
        <v>127.633735273881</v>
      </c>
      <c r="I248" t="s">
        <v>4014</v>
      </c>
      <c r="J248" t="s">
        <v>7373</v>
      </c>
      <c r="K248" t="s">
        <v>10678</v>
      </c>
      <c r="L248" t="s">
        <v>3366</v>
      </c>
      <c r="M248" t="s">
        <v>11889</v>
      </c>
      <c r="N248" t="s">
        <v>3362</v>
      </c>
      <c r="O248" t="s">
        <v>3359</v>
      </c>
      <c r="P248" t="s">
        <v>3363</v>
      </c>
      <c r="Q248" t="s">
        <v>3359</v>
      </c>
      <c r="R248" t="s">
        <v>3358</v>
      </c>
      <c r="S248" t="s">
        <v>15211</v>
      </c>
      <c r="T248" t="s">
        <v>3377</v>
      </c>
      <c r="U248" t="s">
        <v>12163</v>
      </c>
      <c r="V248" t="s">
        <v>15230</v>
      </c>
    </row>
    <row r="249" spans="1:22" hidden="1">
      <c r="A249" t="s">
        <v>15410</v>
      </c>
      <c r="B249" t="s">
        <v>15441</v>
      </c>
      <c r="C249" t="s">
        <v>15448</v>
      </c>
      <c r="D249" t="s">
        <v>248</v>
      </c>
      <c r="E249" t="s">
        <v>3435</v>
      </c>
      <c r="F249" t="s">
        <v>3449</v>
      </c>
      <c r="G249" s="3">
        <v>37.270378570205203</v>
      </c>
      <c r="H249" s="3">
        <v>127.633735259822</v>
      </c>
      <c r="I249" t="s">
        <v>4015</v>
      </c>
      <c r="J249" t="s">
        <v>7374</v>
      </c>
      <c r="K249" t="s">
        <v>3717</v>
      </c>
      <c r="L249" t="s">
        <v>3366</v>
      </c>
      <c r="M249" t="s">
        <v>11888</v>
      </c>
      <c r="N249" t="s">
        <v>3362</v>
      </c>
      <c r="O249" t="s">
        <v>3359</v>
      </c>
      <c r="P249" t="s">
        <v>3363</v>
      </c>
      <c r="Q249" t="s">
        <v>3359</v>
      </c>
      <c r="R249" t="s">
        <v>3358</v>
      </c>
      <c r="S249" t="s">
        <v>15211</v>
      </c>
      <c r="T249" t="s">
        <v>3377</v>
      </c>
      <c r="U249" t="s">
        <v>12164</v>
      </c>
      <c r="V249" t="s">
        <v>15230</v>
      </c>
    </row>
    <row r="250" spans="1:22" hidden="1">
      <c r="A250" t="s">
        <v>15410</v>
      </c>
      <c r="B250" t="s">
        <v>15441</v>
      </c>
      <c r="C250" t="s">
        <v>15449</v>
      </c>
      <c r="D250" t="s">
        <v>249</v>
      </c>
      <c r="E250" t="s">
        <v>3440</v>
      </c>
      <c r="F250" t="s">
        <v>3434</v>
      </c>
      <c r="G250" s="3">
        <v>37.270378659377698</v>
      </c>
      <c r="H250" s="3">
        <v>127.633735208253</v>
      </c>
      <c r="I250" t="s">
        <v>4016</v>
      </c>
      <c r="J250" t="s">
        <v>7375</v>
      </c>
      <c r="K250" t="s">
        <v>3717</v>
      </c>
      <c r="L250" t="s">
        <v>3366</v>
      </c>
      <c r="M250" t="s">
        <v>11888</v>
      </c>
      <c r="N250" t="s">
        <v>3362</v>
      </c>
      <c r="O250" t="s">
        <v>3360</v>
      </c>
      <c r="P250" t="s">
        <v>3363</v>
      </c>
      <c r="Q250" t="s">
        <v>3359</v>
      </c>
      <c r="R250" t="s">
        <v>3358</v>
      </c>
      <c r="S250" t="s">
        <v>15211</v>
      </c>
      <c r="T250" t="s">
        <v>3378</v>
      </c>
      <c r="U250" t="s">
        <v>12165</v>
      </c>
      <c r="V250" t="s">
        <v>15231</v>
      </c>
    </row>
    <row r="251" spans="1:22" hidden="1">
      <c r="A251" t="s">
        <v>15410</v>
      </c>
      <c r="B251" t="s">
        <v>15441</v>
      </c>
      <c r="C251" t="s">
        <v>15449</v>
      </c>
      <c r="D251" t="s">
        <v>250</v>
      </c>
      <c r="E251" t="s">
        <v>3440</v>
      </c>
      <c r="F251" t="s">
        <v>3434</v>
      </c>
      <c r="G251" s="3">
        <v>37.270378671758401</v>
      </c>
      <c r="H251" s="3">
        <v>127.633735196529</v>
      </c>
      <c r="I251" t="s">
        <v>4017</v>
      </c>
      <c r="J251" t="s">
        <v>7376</v>
      </c>
      <c r="K251" t="s">
        <v>3717</v>
      </c>
      <c r="L251" t="s">
        <v>3366</v>
      </c>
      <c r="M251" t="s">
        <v>11888</v>
      </c>
      <c r="N251" t="s">
        <v>3362</v>
      </c>
      <c r="O251" t="s">
        <v>3360</v>
      </c>
      <c r="P251" t="s">
        <v>3363</v>
      </c>
      <c r="Q251" t="s">
        <v>3359</v>
      </c>
      <c r="R251" t="s">
        <v>3358</v>
      </c>
      <c r="S251" t="s">
        <v>15211</v>
      </c>
      <c r="T251" t="s">
        <v>3378</v>
      </c>
      <c r="U251" t="s">
        <v>12166</v>
      </c>
      <c r="V251" t="s">
        <v>15231</v>
      </c>
    </row>
    <row r="252" spans="1:22" hidden="1">
      <c r="A252" t="s">
        <v>15410</v>
      </c>
      <c r="B252" t="s">
        <v>15441</v>
      </c>
      <c r="C252" t="s">
        <v>15449</v>
      </c>
      <c r="D252" t="s">
        <v>251</v>
      </c>
      <c r="E252" t="s">
        <v>3440</v>
      </c>
      <c r="F252" t="s">
        <v>3434</v>
      </c>
      <c r="G252" s="3">
        <v>37.270378677748603</v>
      </c>
      <c r="H252" s="3">
        <v>127.63373518076899</v>
      </c>
      <c r="I252" t="s">
        <v>4018</v>
      </c>
      <c r="J252" t="s">
        <v>7377</v>
      </c>
      <c r="K252" t="s">
        <v>3717</v>
      </c>
      <c r="L252" t="s">
        <v>3366</v>
      </c>
      <c r="M252" t="s">
        <v>11888</v>
      </c>
      <c r="N252" t="s">
        <v>3362</v>
      </c>
      <c r="O252" t="s">
        <v>3360</v>
      </c>
      <c r="P252" t="s">
        <v>3363</v>
      </c>
      <c r="Q252" t="s">
        <v>3359</v>
      </c>
      <c r="R252" t="s">
        <v>3358</v>
      </c>
      <c r="S252" t="s">
        <v>15211</v>
      </c>
      <c r="T252" t="s">
        <v>3378</v>
      </c>
      <c r="U252" t="s">
        <v>12167</v>
      </c>
      <c r="V252" t="s">
        <v>15231</v>
      </c>
    </row>
    <row r="253" spans="1:22" hidden="1">
      <c r="A253" t="s">
        <v>15410</v>
      </c>
      <c r="B253" t="s">
        <v>15442</v>
      </c>
      <c r="C253" t="s">
        <v>15450</v>
      </c>
      <c r="D253" t="s">
        <v>252</v>
      </c>
      <c r="E253" t="s">
        <v>3438</v>
      </c>
      <c r="F253" t="s">
        <v>3432</v>
      </c>
      <c r="G253" s="3">
        <v>37.270378477866103</v>
      </c>
      <c r="H253" s="3">
        <v>127.633735232948</v>
      </c>
      <c r="I253" t="s">
        <v>4019</v>
      </c>
      <c r="J253" t="s">
        <v>7378</v>
      </c>
      <c r="K253" t="s">
        <v>10679</v>
      </c>
      <c r="L253" t="s">
        <v>3366</v>
      </c>
      <c r="M253" t="s">
        <v>11902</v>
      </c>
      <c r="N253" t="s">
        <v>3362</v>
      </c>
      <c r="O253" t="s">
        <v>3360</v>
      </c>
      <c r="P253" t="s">
        <v>15211</v>
      </c>
      <c r="Q253" t="s">
        <v>15211</v>
      </c>
      <c r="R253" t="s">
        <v>15211</v>
      </c>
      <c r="S253" t="s">
        <v>15211</v>
      </c>
      <c r="T253" t="s">
        <v>3366</v>
      </c>
      <c r="U253" t="s">
        <v>12168</v>
      </c>
      <c r="V253" t="s">
        <v>15232</v>
      </c>
    </row>
    <row r="254" spans="1:22" hidden="1">
      <c r="A254" t="s">
        <v>15410</v>
      </c>
      <c r="B254" t="s">
        <v>15442</v>
      </c>
      <c r="C254" t="s">
        <v>15450</v>
      </c>
      <c r="D254" t="s">
        <v>253</v>
      </c>
      <c r="E254" t="s">
        <v>3438</v>
      </c>
      <c r="F254" t="s">
        <v>3432</v>
      </c>
      <c r="G254" s="3">
        <v>37.270378491775297</v>
      </c>
      <c r="H254" s="3">
        <v>127.633735256145</v>
      </c>
      <c r="I254" t="s">
        <v>4020</v>
      </c>
      <c r="J254" t="s">
        <v>7379</v>
      </c>
      <c r="K254" t="s">
        <v>10680</v>
      </c>
      <c r="L254" t="s">
        <v>3366</v>
      </c>
      <c r="M254" t="s">
        <v>11902</v>
      </c>
      <c r="N254" t="s">
        <v>3362</v>
      </c>
      <c r="O254" t="s">
        <v>3360</v>
      </c>
      <c r="P254" t="s">
        <v>15211</v>
      </c>
      <c r="Q254" t="s">
        <v>15211</v>
      </c>
      <c r="R254" t="s">
        <v>15211</v>
      </c>
      <c r="S254" t="s">
        <v>15211</v>
      </c>
      <c r="T254" t="s">
        <v>3366</v>
      </c>
      <c r="U254" t="s">
        <v>12169</v>
      </c>
      <c r="V254" t="s">
        <v>15232</v>
      </c>
    </row>
    <row r="255" spans="1:22" hidden="1">
      <c r="A255" t="s">
        <v>15410</v>
      </c>
      <c r="B255" t="s">
        <v>15442</v>
      </c>
      <c r="C255" t="s">
        <v>15450</v>
      </c>
      <c r="D255" t="s">
        <v>254</v>
      </c>
      <c r="E255" t="s">
        <v>3438</v>
      </c>
      <c r="F255" t="s">
        <v>3432</v>
      </c>
      <c r="G255" s="3">
        <v>37.270378493380399</v>
      </c>
      <c r="H255" s="3">
        <v>127.63373525863101</v>
      </c>
      <c r="I255" t="s">
        <v>4021</v>
      </c>
      <c r="J255" t="s">
        <v>7380</v>
      </c>
      <c r="K255" t="s">
        <v>10681</v>
      </c>
      <c r="L255" t="s">
        <v>3366</v>
      </c>
      <c r="M255" t="s">
        <v>11902</v>
      </c>
      <c r="N255" t="s">
        <v>3362</v>
      </c>
      <c r="O255" t="s">
        <v>3360</v>
      </c>
      <c r="P255" t="s">
        <v>15211</v>
      </c>
      <c r="Q255" t="s">
        <v>15211</v>
      </c>
      <c r="R255" t="s">
        <v>15211</v>
      </c>
      <c r="S255" t="s">
        <v>15211</v>
      </c>
      <c r="T255" t="s">
        <v>3366</v>
      </c>
      <c r="U255" t="s">
        <v>12169</v>
      </c>
      <c r="V255" t="s">
        <v>15232</v>
      </c>
    </row>
    <row r="256" spans="1:22" hidden="1">
      <c r="A256" t="s">
        <v>15410</v>
      </c>
      <c r="B256" t="s">
        <v>15442</v>
      </c>
      <c r="C256" t="s">
        <v>15445</v>
      </c>
      <c r="D256" t="s">
        <v>255</v>
      </c>
      <c r="E256" t="s">
        <v>3439</v>
      </c>
      <c r="F256" t="s">
        <v>3431</v>
      </c>
      <c r="G256" s="3">
        <v>37.270378527736703</v>
      </c>
      <c r="H256" s="3">
        <v>127.63373524591201</v>
      </c>
      <c r="I256" t="s">
        <v>4022</v>
      </c>
      <c r="J256" t="s">
        <v>7381</v>
      </c>
      <c r="K256" t="s">
        <v>10682</v>
      </c>
      <c r="L256" t="s">
        <v>3366</v>
      </c>
      <c r="M256" t="s">
        <v>11902</v>
      </c>
      <c r="N256" t="s">
        <v>3362</v>
      </c>
      <c r="O256" t="s">
        <v>3360</v>
      </c>
      <c r="P256" t="s">
        <v>15211</v>
      </c>
      <c r="Q256" t="s">
        <v>15211</v>
      </c>
      <c r="R256" t="s">
        <v>15211</v>
      </c>
      <c r="S256" t="s">
        <v>15211</v>
      </c>
      <c r="T256" t="s">
        <v>3366</v>
      </c>
      <c r="U256" t="s">
        <v>12170</v>
      </c>
      <c r="V256" t="s">
        <v>15233</v>
      </c>
    </row>
    <row r="257" spans="1:22" hidden="1">
      <c r="A257" t="s">
        <v>15410</v>
      </c>
      <c r="B257" t="s">
        <v>15442</v>
      </c>
      <c r="C257" t="s">
        <v>15445</v>
      </c>
      <c r="D257" t="s">
        <v>256</v>
      </c>
      <c r="E257" t="s">
        <v>3439</v>
      </c>
      <c r="F257" t="s">
        <v>3431</v>
      </c>
      <c r="G257" s="3">
        <v>37.270378515380102</v>
      </c>
      <c r="H257" s="3">
        <v>127.63373525517</v>
      </c>
      <c r="I257" t="s">
        <v>4023</v>
      </c>
      <c r="J257" t="s">
        <v>7382</v>
      </c>
      <c r="K257" t="s">
        <v>10683</v>
      </c>
      <c r="L257" t="s">
        <v>3366</v>
      </c>
      <c r="M257" t="s">
        <v>11902</v>
      </c>
      <c r="N257" t="s">
        <v>3362</v>
      </c>
      <c r="O257" t="s">
        <v>3360</v>
      </c>
      <c r="P257" t="s">
        <v>15211</v>
      </c>
      <c r="Q257" t="s">
        <v>15211</v>
      </c>
      <c r="R257" t="s">
        <v>15211</v>
      </c>
      <c r="S257" t="s">
        <v>15211</v>
      </c>
      <c r="T257" t="s">
        <v>3366</v>
      </c>
      <c r="U257" t="s">
        <v>12171</v>
      </c>
      <c r="V257" t="s">
        <v>15233</v>
      </c>
    </row>
    <row r="258" spans="1:22" hidden="1">
      <c r="A258" t="s">
        <v>15410</v>
      </c>
      <c r="B258" t="s">
        <v>15442</v>
      </c>
      <c r="C258" t="s">
        <v>15445</v>
      </c>
      <c r="D258" t="s">
        <v>257</v>
      </c>
      <c r="E258" t="s">
        <v>3439</v>
      </c>
      <c r="F258" t="s">
        <v>3431</v>
      </c>
      <c r="G258" s="3">
        <v>37.270378519557198</v>
      </c>
      <c r="H258" s="3">
        <v>127.633735234957</v>
      </c>
      <c r="I258" t="s">
        <v>4024</v>
      </c>
      <c r="J258" t="s">
        <v>7383</v>
      </c>
      <c r="K258" t="s">
        <v>10684</v>
      </c>
      <c r="L258" t="s">
        <v>3366</v>
      </c>
      <c r="M258" t="s">
        <v>11902</v>
      </c>
      <c r="N258" t="s">
        <v>3362</v>
      </c>
      <c r="O258" t="s">
        <v>3360</v>
      </c>
      <c r="P258" t="s">
        <v>15211</v>
      </c>
      <c r="Q258" t="s">
        <v>15211</v>
      </c>
      <c r="R258" t="s">
        <v>15211</v>
      </c>
      <c r="S258" t="s">
        <v>15211</v>
      </c>
      <c r="T258" t="s">
        <v>3366</v>
      </c>
      <c r="U258" t="s">
        <v>12172</v>
      </c>
      <c r="V258" t="s">
        <v>15233</v>
      </c>
    </row>
    <row r="259" spans="1:22" hidden="1">
      <c r="A259" t="s">
        <v>15410</v>
      </c>
      <c r="B259" t="s">
        <v>15442</v>
      </c>
      <c r="C259" t="s">
        <v>15451</v>
      </c>
      <c r="D259" t="s">
        <v>258</v>
      </c>
      <c r="E259" t="s">
        <v>3438</v>
      </c>
      <c r="F259" t="s">
        <v>3429</v>
      </c>
      <c r="G259" s="3">
        <v>37.270378589846501</v>
      </c>
      <c r="H259" s="3">
        <v>127.633735178065</v>
      </c>
      <c r="I259" t="s">
        <v>4025</v>
      </c>
      <c r="J259" t="s">
        <v>7384</v>
      </c>
      <c r="K259" t="s">
        <v>10565</v>
      </c>
      <c r="L259" t="s">
        <v>3368</v>
      </c>
      <c r="M259" t="s">
        <v>11889</v>
      </c>
      <c r="N259" t="s">
        <v>3362</v>
      </c>
      <c r="O259" t="s">
        <v>3361</v>
      </c>
      <c r="P259" t="s">
        <v>3360</v>
      </c>
      <c r="Q259" t="s">
        <v>3358</v>
      </c>
      <c r="R259" t="s">
        <v>15211</v>
      </c>
      <c r="S259" t="s">
        <v>15211</v>
      </c>
      <c r="T259" t="s">
        <v>3373</v>
      </c>
      <c r="U259" t="s">
        <v>12173</v>
      </c>
      <c r="V259" t="s">
        <v>15234</v>
      </c>
    </row>
    <row r="260" spans="1:22" hidden="1">
      <c r="A260" t="s">
        <v>15410</v>
      </c>
      <c r="B260" t="s">
        <v>15442</v>
      </c>
      <c r="C260" t="s">
        <v>15451</v>
      </c>
      <c r="D260" t="s">
        <v>259</v>
      </c>
      <c r="E260" t="s">
        <v>3427</v>
      </c>
      <c r="F260" t="s">
        <v>3441</v>
      </c>
      <c r="G260" s="3">
        <v>37.270378573673597</v>
      </c>
      <c r="H260" s="3">
        <v>127.633735184502</v>
      </c>
      <c r="I260" t="s">
        <v>4026</v>
      </c>
      <c r="J260" t="s">
        <v>7385</v>
      </c>
      <c r="K260" t="s">
        <v>10685</v>
      </c>
      <c r="L260" t="s">
        <v>3366</v>
      </c>
      <c r="M260" t="s">
        <v>11908</v>
      </c>
      <c r="N260" t="s">
        <v>3362</v>
      </c>
      <c r="O260" t="s">
        <v>3361</v>
      </c>
      <c r="P260" t="s">
        <v>3363</v>
      </c>
      <c r="Q260" t="s">
        <v>3359</v>
      </c>
      <c r="R260" t="s">
        <v>15211</v>
      </c>
      <c r="S260" t="s">
        <v>15211</v>
      </c>
      <c r="T260" t="s">
        <v>3377</v>
      </c>
      <c r="U260" t="s">
        <v>12174</v>
      </c>
      <c r="V260" t="s">
        <v>15234</v>
      </c>
    </row>
    <row r="261" spans="1:22" hidden="1">
      <c r="A261" t="s">
        <v>15410</v>
      </c>
      <c r="B261" t="s">
        <v>15442</v>
      </c>
      <c r="C261" t="s">
        <v>15451</v>
      </c>
      <c r="D261" t="s">
        <v>260</v>
      </c>
      <c r="E261" t="s">
        <v>3427</v>
      </c>
      <c r="F261" t="s">
        <v>3441</v>
      </c>
      <c r="G261" s="3">
        <v>37.270378565444602</v>
      </c>
      <c r="H261" s="3">
        <v>127.633735187751</v>
      </c>
      <c r="I261" t="s">
        <v>4027</v>
      </c>
      <c r="J261" t="s">
        <v>7386</v>
      </c>
      <c r="K261" t="s">
        <v>3715</v>
      </c>
      <c r="L261" t="s">
        <v>3366</v>
      </c>
      <c r="M261" t="s">
        <v>11908</v>
      </c>
      <c r="N261" t="s">
        <v>3362</v>
      </c>
      <c r="O261" t="s">
        <v>3360</v>
      </c>
      <c r="P261" t="s">
        <v>3363</v>
      </c>
      <c r="Q261" t="s">
        <v>3359</v>
      </c>
      <c r="R261" t="s">
        <v>15211</v>
      </c>
      <c r="S261" t="s">
        <v>15211</v>
      </c>
      <c r="T261" t="s">
        <v>3376</v>
      </c>
      <c r="U261" t="s">
        <v>12175</v>
      </c>
      <c r="V261" t="s">
        <v>15234</v>
      </c>
    </row>
    <row r="262" spans="1:22" hidden="1">
      <c r="A262" t="s">
        <v>15410</v>
      </c>
      <c r="B262" t="s">
        <v>15441</v>
      </c>
      <c r="C262" t="s">
        <v>15447</v>
      </c>
      <c r="D262" t="s">
        <v>261</v>
      </c>
      <c r="E262" t="s">
        <v>3427</v>
      </c>
      <c r="F262" t="s">
        <v>3433</v>
      </c>
      <c r="G262" s="3">
        <v>37.270378588603798</v>
      </c>
      <c r="H262" s="3">
        <v>127.633735160312</v>
      </c>
      <c r="I262" t="s">
        <v>4028</v>
      </c>
      <c r="J262" t="s">
        <v>7387</v>
      </c>
      <c r="K262" t="s">
        <v>10686</v>
      </c>
      <c r="L262" t="s">
        <v>3366</v>
      </c>
      <c r="M262" t="s">
        <v>11909</v>
      </c>
      <c r="N262" t="s">
        <v>3362</v>
      </c>
      <c r="O262" t="s">
        <v>15211</v>
      </c>
      <c r="P262" t="s">
        <v>15211</v>
      </c>
      <c r="Q262" t="s">
        <v>15211</v>
      </c>
      <c r="R262" t="s">
        <v>15211</v>
      </c>
      <c r="S262" t="s">
        <v>15211</v>
      </c>
      <c r="T262" t="s">
        <v>3362</v>
      </c>
      <c r="U262" t="s">
        <v>12176</v>
      </c>
      <c r="V262" t="s">
        <v>15235</v>
      </c>
    </row>
    <row r="263" spans="1:22" hidden="1">
      <c r="A263" t="s">
        <v>15410</v>
      </c>
      <c r="B263" t="s">
        <v>15441</v>
      </c>
      <c r="C263" t="s">
        <v>15447</v>
      </c>
      <c r="D263" t="s">
        <v>262</v>
      </c>
      <c r="E263" t="s">
        <v>3427</v>
      </c>
      <c r="F263" t="s">
        <v>3432</v>
      </c>
      <c r="G263" s="3">
        <v>37.270378620869899</v>
      </c>
      <c r="H263" s="3">
        <v>127.633735139267</v>
      </c>
      <c r="I263" t="s">
        <v>4029</v>
      </c>
      <c r="J263" t="s">
        <v>7388</v>
      </c>
      <c r="K263" t="s">
        <v>10687</v>
      </c>
      <c r="L263" t="s">
        <v>3366</v>
      </c>
      <c r="M263" t="s">
        <v>11909</v>
      </c>
      <c r="N263" t="s">
        <v>3362</v>
      </c>
      <c r="O263" t="s">
        <v>15211</v>
      </c>
      <c r="P263" t="s">
        <v>15211</v>
      </c>
      <c r="Q263" t="s">
        <v>15211</v>
      </c>
      <c r="R263" t="s">
        <v>15211</v>
      </c>
      <c r="S263" t="s">
        <v>15211</v>
      </c>
      <c r="T263" t="s">
        <v>3362</v>
      </c>
      <c r="U263" t="s">
        <v>12177</v>
      </c>
      <c r="V263" t="s">
        <v>15235</v>
      </c>
    </row>
    <row r="264" spans="1:22" hidden="1">
      <c r="A264" t="s">
        <v>15410</v>
      </c>
      <c r="B264" t="s">
        <v>15441</v>
      </c>
      <c r="C264" t="s">
        <v>15447</v>
      </c>
      <c r="D264" t="s">
        <v>263</v>
      </c>
      <c r="E264" t="s">
        <v>3438</v>
      </c>
      <c r="F264" t="s">
        <v>3441</v>
      </c>
      <c r="G264" s="3">
        <v>37.270378605128599</v>
      </c>
      <c r="H264" s="3">
        <v>127.633735147883</v>
      </c>
      <c r="I264" t="s">
        <v>4030</v>
      </c>
      <c r="J264" t="s">
        <v>7389</v>
      </c>
      <c r="K264" t="s">
        <v>10688</v>
      </c>
      <c r="L264" t="s">
        <v>3366</v>
      </c>
      <c r="M264" t="s">
        <v>11909</v>
      </c>
      <c r="N264" t="s">
        <v>3362</v>
      </c>
      <c r="O264" t="s">
        <v>15211</v>
      </c>
      <c r="P264" t="s">
        <v>15211</v>
      </c>
      <c r="Q264" t="s">
        <v>15211</v>
      </c>
      <c r="R264" t="s">
        <v>15211</v>
      </c>
      <c r="S264" t="s">
        <v>15211</v>
      </c>
      <c r="T264" t="s">
        <v>3362</v>
      </c>
      <c r="U264" t="s">
        <v>12178</v>
      </c>
      <c r="V264" t="s">
        <v>15235</v>
      </c>
    </row>
    <row r="265" spans="1:22" ht="17.399999999999999" hidden="1">
      <c r="A265" t="s">
        <v>15397</v>
      </c>
      <c r="B265" t="s">
        <v>15441</v>
      </c>
      <c r="C265" t="s">
        <v>15445</v>
      </c>
      <c r="D265" t="s">
        <v>264</v>
      </c>
      <c r="E265" t="s">
        <v>3439</v>
      </c>
      <c r="F265" t="s">
        <v>3440</v>
      </c>
      <c r="G265" s="3">
        <v>37.323634137183198</v>
      </c>
      <c r="H265" s="3">
        <v>127.65030383489599</v>
      </c>
      <c r="I265" t="s">
        <v>4031</v>
      </c>
      <c r="J265" t="s">
        <v>7390</v>
      </c>
      <c r="K265" t="s">
        <v>3760</v>
      </c>
      <c r="L265" t="s">
        <v>3366</v>
      </c>
      <c r="M265" t="s">
        <v>11895</v>
      </c>
      <c r="N265" t="s">
        <v>3366</v>
      </c>
      <c r="O265" t="s">
        <v>3361</v>
      </c>
      <c r="P265" t="s">
        <v>15211</v>
      </c>
      <c r="Q265" t="s">
        <v>15211</v>
      </c>
      <c r="R265" t="s">
        <v>15211</v>
      </c>
      <c r="S265" t="s">
        <v>15211</v>
      </c>
      <c r="T265" t="s">
        <v>3371</v>
      </c>
      <c r="U265" t="s">
        <v>12179</v>
      </c>
      <c r="V265" t="s">
        <v>15228</v>
      </c>
    </row>
    <row r="266" spans="1:22" ht="17.399999999999999" hidden="1">
      <c r="A266" t="s">
        <v>15397</v>
      </c>
      <c r="B266" t="s">
        <v>15441</v>
      </c>
      <c r="C266" t="s">
        <v>15445</v>
      </c>
      <c r="D266" t="s">
        <v>265</v>
      </c>
      <c r="E266" t="s">
        <v>3443</v>
      </c>
      <c r="F266" t="s">
        <v>3440</v>
      </c>
      <c r="G266" s="3">
        <v>37.323634139783898</v>
      </c>
      <c r="H266" s="3">
        <v>127.65030384753901</v>
      </c>
      <c r="I266" t="s">
        <v>4032</v>
      </c>
      <c r="J266" t="s">
        <v>7391</v>
      </c>
      <c r="K266" t="s">
        <v>3760</v>
      </c>
      <c r="L266" t="s">
        <v>3366</v>
      </c>
      <c r="M266" t="s">
        <v>11895</v>
      </c>
      <c r="N266" t="s">
        <v>3366</v>
      </c>
      <c r="O266" t="s">
        <v>3361</v>
      </c>
      <c r="P266" t="s">
        <v>15211</v>
      </c>
      <c r="Q266" t="s">
        <v>15211</v>
      </c>
      <c r="R266" t="s">
        <v>15211</v>
      </c>
      <c r="S266" t="s">
        <v>15211</v>
      </c>
      <c r="T266" t="s">
        <v>3371</v>
      </c>
      <c r="U266" t="s">
        <v>12180</v>
      </c>
      <c r="V266" t="s">
        <v>15228</v>
      </c>
    </row>
    <row r="267" spans="1:22" ht="17.399999999999999" hidden="1">
      <c r="A267" t="s">
        <v>15397</v>
      </c>
      <c r="B267" t="s">
        <v>15441</v>
      </c>
      <c r="C267" t="s">
        <v>15445</v>
      </c>
      <c r="D267" t="s">
        <v>266</v>
      </c>
      <c r="E267" t="s">
        <v>3439</v>
      </c>
      <c r="F267" t="s">
        <v>3440</v>
      </c>
      <c r="G267" s="3">
        <v>37.323634117455697</v>
      </c>
      <c r="H267" s="3">
        <v>127.650303879962</v>
      </c>
      <c r="I267" t="s">
        <v>4033</v>
      </c>
      <c r="J267" t="s">
        <v>7392</v>
      </c>
      <c r="K267" t="s">
        <v>3760</v>
      </c>
      <c r="L267" t="s">
        <v>3366</v>
      </c>
      <c r="M267" t="s">
        <v>11895</v>
      </c>
      <c r="N267" t="s">
        <v>3366</v>
      </c>
      <c r="O267" t="s">
        <v>3361</v>
      </c>
      <c r="P267" t="s">
        <v>15211</v>
      </c>
      <c r="Q267" t="s">
        <v>15211</v>
      </c>
      <c r="R267" t="s">
        <v>15211</v>
      </c>
      <c r="S267" t="s">
        <v>15211</v>
      </c>
      <c r="T267" t="s">
        <v>3371</v>
      </c>
      <c r="U267" t="s">
        <v>12181</v>
      </c>
      <c r="V267" t="s">
        <v>15228</v>
      </c>
    </row>
    <row r="268" spans="1:22" ht="17.399999999999999" hidden="1">
      <c r="A268" t="s">
        <v>15397</v>
      </c>
      <c r="B268" t="s">
        <v>15441</v>
      </c>
      <c r="C268" t="s">
        <v>15446</v>
      </c>
      <c r="D268" t="s">
        <v>267</v>
      </c>
      <c r="E268" t="s">
        <v>3439</v>
      </c>
      <c r="F268" t="s">
        <v>3440</v>
      </c>
      <c r="G268" s="3">
        <v>37.323634158037798</v>
      </c>
      <c r="H268" s="3">
        <v>127.650303920358</v>
      </c>
      <c r="I268" t="s">
        <v>4034</v>
      </c>
      <c r="J268" t="s">
        <v>7393</v>
      </c>
      <c r="K268" t="s">
        <v>10689</v>
      </c>
      <c r="L268" t="s">
        <v>3371</v>
      </c>
      <c r="M268" t="s">
        <v>11895</v>
      </c>
      <c r="N268" t="s">
        <v>3365</v>
      </c>
      <c r="O268" t="s">
        <v>3361</v>
      </c>
      <c r="P268" t="s">
        <v>15211</v>
      </c>
      <c r="Q268" t="s">
        <v>15211</v>
      </c>
      <c r="R268" t="s">
        <v>15211</v>
      </c>
      <c r="S268" t="s">
        <v>15211</v>
      </c>
      <c r="T268" t="s">
        <v>3370</v>
      </c>
      <c r="U268" t="s">
        <v>12182</v>
      </c>
      <c r="V268" t="s">
        <v>15229</v>
      </c>
    </row>
    <row r="269" spans="1:22" ht="17.399999999999999" hidden="1">
      <c r="A269" t="s">
        <v>15397</v>
      </c>
      <c r="B269" t="s">
        <v>15441</v>
      </c>
      <c r="C269" t="s">
        <v>15446</v>
      </c>
      <c r="D269" t="s">
        <v>268</v>
      </c>
      <c r="E269" t="s">
        <v>3443</v>
      </c>
      <c r="F269" t="s">
        <v>3437</v>
      </c>
      <c r="G269" s="3">
        <v>37.323634156462902</v>
      </c>
      <c r="H269" s="3">
        <v>127.65030392873599</v>
      </c>
      <c r="I269" t="s">
        <v>4035</v>
      </c>
      <c r="J269" t="s">
        <v>7394</v>
      </c>
      <c r="K269" t="s">
        <v>10689</v>
      </c>
      <c r="L269" t="s">
        <v>3366</v>
      </c>
      <c r="M269" t="s">
        <v>11895</v>
      </c>
      <c r="N269" t="s">
        <v>3366</v>
      </c>
      <c r="O269" t="s">
        <v>3361</v>
      </c>
      <c r="P269" t="s">
        <v>15211</v>
      </c>
      <c r="Q269" t="s">
        <v>15211</v>
      </c>
      <c r="R269" t="s">
        <v>15211</v>
      </c>
      <c r="S269" t="s">
        <v>15211</v>
      </c>
      <c r="T269" t="s">
        <v>3371</v>
      </c>
      <c r="U269" t="s">
        <v>12183</v>
      </c>
      <c r="V269" t="s">
        <v>15229</v>
      </c>
    </row>
    <row r="270" spans="1:22" ht="17.399999999999999" hidden="1">
      <c r="A270" t="s">
        <v>15397</v>
      </c>
      <c r="B270" t="s">
        <v>15441</v>
      </c>
      <c r="C270" t="s">
        <v>15446</v>
      </c>
      <c r="D270" t="s">
        <v>269</v>
      </c>
      <c r="E270" t="s">
        <v>3443</v>
      </c>
      <c r="F270" t="s">
        <v>3437</v>
      </c>
      <c r="G270" s="3">
        <v>37.323634169790402</v>
      </c>
      <c r="H270" s="3">
        <v>127.650303937313</v>
      </c>
      <c r="I270" t="s">
        <v>4036</v>
      </c>
      <c r="J270" t="s">
        <v>7395</v>
      </c>
      <c r="K270" t="s">
        <v>10689</v>
      </c>
      <c r="L270" t="s">
        <v>3366</v>
      </c>
      <c r="M270" t="s">
        <v>11895</v>
      </c>
      <c r="N270" t="s">
        <v>3366</v>
      </c>
      <c r="O270" t="s">
        <v>3361</v>
      </c>
      <c r="P270" t="s">
        <v>15211</v>
      </c>
      <c r="Q270" t="s">
        <v>15211</v>
      </c>
      <c r="R270" t="s">
        <v>15211</v>
      </c>
      <c r="S270" t="s">
        <v>15211</v>
      </c>
      <c r="T270" t="s">
        <v>3371</v>
      </c>
      <c r="U270" t="s">
        <v>12184</v>
      </c>
      <c r="V270" t="s">
        <v>15229</v>
      </c>
    </row>
    <row r="271" spans="1:22" ht="17.399999999999999" hidden="1">
      <c r="A271" t="s">
        <v>15397</v>
      </c>
      <c r="B271" t="s">
        <v>15441</v>
      </c>
      <c r="C271" t="s">
        <v>15447</v>
      </c>
      <c r="D271" t="s">
        <v>270</v>
      </c>
      <c r="E271" t="s">
        <v>3427</v>
      </c>
      <c r="F271" t="s">
        <v>3425</v>
      </c>
      <c r="G271" s="3">
        <v>37.3236341721136</v>
      </c>
      <c r="H271" s="3">
        <v>127.650303992947</v>
      </c>
      <c r="I271" t="s">
        <v>4037</v>
      </c>
      <c r="J271" t="s">
        <v>7396</v>
      </c>
      <c r="K271" t="s">
        <v>10690</v>
      </c>
      <c r="L271" t="s">
        <v>3368</v>
      </c>
      <c r="M271" t="s">
        <v>11902</v>
      </c>
      <c r="N271" t="s">
        <v>3366</v>
      </c>
      <c r="O271" t="s">
        <v>15211</v>
      </c>
      <c r="P271" t="s">
        <v>15211</v>
      </c>
      <c r="Q271" t="s">
        <v>15211</v>
      </c>
      <c r="R271" t="s">
        <v>15211</v>
      </c>
      <c r="S271" t="s">
        <v>15211</v>
      </c>
      <c r="T271" t="s">
        <v>3366</v>
      </c>
      <c r="U271" t="s">
        <v>12184</v>
      </c>
      <c r="V271" t="s">
        <v>15235</v>
      </c>
    </row>
    <row r="272" spans="1:22" ht="17.399999999999999" hidden="1">
      <c r="A272" t="s">
        <v>15397</v>
      </c>
      <c r="B272" t="s">
        <v>15441</v>
      </c>
      <c r="C272" t="s">
        <v>15447</v>
      </c>
      <c r="D272" t="s">
        <v>271</v>
      </c>
      <c r="E272" t="s">
        <v>3438</v>
      </c>
      <c r="F272" t="s">
        <v>3436</v>
      </c>
      <c r="G272" s="3">
        <v>37.323634152510401</v>
      </c>
      <c r="H272" s="3">
        <v>127.650304001504</v>
      </c>
      <c r="I272" t="s">
        <v>4038</v>
      </c>
      <c r="J272" t="s">
        <v>7397</v>
      </c>
      <c r="K272" t="s">
        <v>10690</v>
      </c>
      <c r="L272" t="s">
        <v>3366</v>
      </c>
      <c r="M272" t="s">
        <v>11902</v>
      </c>
      <c r="N272" t="s">
        <v>3366</v>
      </c>
      <c r="O272" t="s">
        <v>15211</v>
      </c>
      <c r="P272" t="s">
        <v>15211</v>
      </c>
      <c r="Q272" t="s">
        <v>15211</v>
      </c>
      <c r="R272" t="s">
        <v>15211</v>
      </c>
      <c r="S272" t="s">
        <v>15211</v>
      </c>
      <c r="T272" t="s">
        <v>3366</v>
      </c>
      <c r="U272" t="s">
        <v>12185</v>
      </c>
      <c r="V272" t="s">
        <v>15235</v>
      </c>
    </row>
    <row r="273" spans="1:22" ht="17.399999999999999" hidden="1">
      <c r="A273" t="s">
        <v>15397</v>
      </c>
      <c r="B273" t="s">
        <v>15441</v>
      </c>
      <c r="C273" t="s">
        <v>15447</v>
      </c>
      <c r="D273" t="s">
        <v>272</v>
      </c>
      <c r="E273" t="s">
        <v>3440</v>
      </c>
      <c r="F273" t="s">
        <v>3428</v>
      </c>
      <c r="G273" s="3">
        <v>37.323634158939001</v>
      </c>
      <c r="H273" s="3">
        <v>127.65030400095699</v>
      </c>
      <c r="I273" t="s">
        <v>4039</v>
      </c>
      <c r="J273" t="s">
        <v>7398</v>
      </c>
      <c r="K273" t="s">
        <v>10690</v>
      </c>
      <c r="L273" t="s">
        <v>3366</v>
      </c>
      <c r="M273" t="s">
        <v>11902</v>
      </c>
      <c r="N273" t="s">
        <v>3366</v>
      </c>
      <c r="O273" t="s">
        <v>15211</v>
      </c>
      <c r="P273" t="s">
        <v>15211</v>
      </c>
      <c r="Q273" t="s">
        <v>15211</v>
      </c>
      <c r="R273" t="s">
        <v>15211</v>
      </c>
      <c r="S273" t="s">
        <v>15211</v>
      </c>
      <c r="T273" t="s">
        <v>3366</v>
      </c>
      <c r="U273" t="s">
        <v>12186</v>
      </c>
      <c r="V273" t="s">
        <v>15235</v>
      </c>
    </row>
    <row r="274" spans="1:22" ht="17.399999999999999" hidden="1">
      <c r="A274" t="s">
        <v>15397</v>
      </c>
      <c r="B274" t="s">
        <v>15441</v>
      </c>
      <c r="C274" t="s">
        <v>15448</v>
      </c>
      <c r="D274" t="s">
        <v>273</v>
      </c>
      <c r="E274" t="s">
        <v>3436</v>
      </c>
      <c r="F274" t="s">
        <v>3441</v>
      </c>
      <c r="G274" s="3">
        <v>37.323634075055701</v>
      </c>
      <c r="H274" s="3">
        <v>127.650303839919</v>
      </c>
      <c r="I274" t="s">
        <v>4040</v>
      </c>
      <c r="J274" t="s">
        <v>7399</v>
      </c>
      <c r="K274" t="s">
        <v>10691</v>
      </c>
      <c r="L274" t="s">
        <v>3366</v>
      </c>
      <c r="M274" t="s">
        <v>11913</v>
      </c>
      <c r="N274" t="s">
        <v>3366</v>
      </c>
      <c r="O274" t="s">
        <v>3360</v>
      </c>
      <c r="P274" t="s">
        <v>3366</v>
      </c>
      <c r="Q274" t="s">
        <v>3361</v>
      </c>
      <c r="R274" t="s">
        <v>3358</v>
      </c>
      <c r="S274" t="s">
        <v>15211</v>
      </c>
      <c r="T274" t="s">
        <v>3387</v>
      </c>
      <c r="U274" t="s">
        <v>12187</v>
      </c>
      <c r="V274" t="s">
        <v>15230</v>
      </c>
    </row>
    <row r="275" spans="1:22" ht="17.399999999999999" hidden="1">
      <c r="A275" t="s">
        <v>15397</v>
      </c>
      <c r="B275" t="s">
        <v>15441</v>
      </c>
      <c r="C275" t="s">
        <v>15448</v>
      </c>
      <c r="D275" t="s">
        <v>274</v>
      </c>
      <c r="E275" t="s">
        <v>3436</v>
      </c>
      <c r="F275" t="s">
        <v>3441</v>
      </c>
      <c r="G275" s="3">
        <v>37.323634098971503</v>
      </c>
      <c r="H275" s="3">
        <v>127.650303837552</v>
      </c>
      <c r="I275" t="s">
        <v>4041</v>
      </c>
      <c r="J275" t="s">
        <v>7400</v>
      </c>
      <c r="K275" t="s">
        <v>10692</v>
      </c>
      <c r="L275" t="s">
        <v>3366</v>
      </c>
      <c r="M275" t="s">
        <v>11913</v>
      </c>
      <c r="N275" t="s">
        <v>3366</v>
      </c>
      <c r="O275" t="s">
        <v>3361</v>
      </c>
      <c r="P275" t="s">
        <v>3366</v>
      </c>
      <c r="Q275" t="s">
        <v>3361</v>
      </c>
      <c r="R275" t="s">
        <v>3358</v>
      </c>
      <c r="S275" t="s">
        <v>15211</v>
      </c>
      <c r="T275" t="s">
        <v>3388</v>
      </c>
      <c r="U275" t="s">
        <v>12188</v>
      </c>
      <c r="V275" t="s">
        <v>15230</v>
      </c>
    </row>
    <row r="276" spans="1:22" ht="17.399999999999999" hidden="1">
      <c r="A276" t="s">
        <v>15397</v>
      </c>
      <c r="B276" t="s">
        <v>15441</v>
      </c>
      <c r="C276" t="s">
        <v>15448</v>
      </c>
      <c r="D276" t="s">
        <v>275</v>
      </c>
      <c r="E276" t="s">
        <v>3425</v>
      </c>
      <c r="F276" t="s">
        <v>3432</v>
      </c>
      <c r="G276" s="3">
        <v>37.323634114317102</v>
      </c>
      <c r="H276" s="3">
        <v>127.650303843646</v>
      </c>
      <c r="I276" t="s">
        <v>4042</v>
      </c>
      <c r="J276" t="s">
        <v>7401</v>
      </c>
      <c r="K276" t="s">
        <v>10692</v>
      </c>
      <c r="L276" t="s">
        <v>3366</v>
      </c>
      <c r="M276" t="s">
        <v>11913</v>
      </c>
      <c r="N276" t="s">
        <v>3366</v>
      </c>
      <c r="O276" t="s">
        <v>3361</v>
      </c>
      <c r="P276" t="s">
        <v>3366</v>
      </c>
      <c r="Q276" t="s">
        <v>3361</v>
      </c>
      <c r="R276" t="s">
        <v>3358</v>
      </c>
      <c r="S276" t="s">
        <v>15211</v>
      </c>
      <c r="T276" t="s">
        <v>3388</v>
      </c>
      <c r="U276" t="s">
        <v>12189</v>
      </c>
      <c r="V276" t="s">
        <v>15230</v>
      </c>
    </row>
    <row r="277" spans="1:22" ht="17.399999999999999" hidden="1">
      <c r="A277" t="s">
        <v>15397</v>
      </c>
      <c r="B277" t="s">
        <v>15441</v>
      </c>
      <c r="C277" t="s">
        <v>15449</v>
      </c>
      <c r="D277" t="s">
        <v>276</v>
      </c>
      <c r="E277" t="s">
        <v>3437</v>
      </c>
      <c r="F277" t="s">
        <v>3428</v>
      </c>
      <c r="G277" s="3">
        <v>37.323634119082101</v>
      </c>
      <c r="H277" s="3">
        <v>127.65030392808799</v>
      </c>
      <c r="I277" t="s">
        <v>4043</v>
      </c>
      <c r="J277" t="s">
        <v>7402</v>
      </c>
      <c r="K277" t="s">
        <v>10693</v>
      </c>
      <c r="L277" t="s">
        <v>3366</v>
      </c>
      <c r="M277" t="s">
        <v>11906</v>
      </c>
      <c r="N277" t="s">
        <v>3366</v>
      </c>
      <c r="O277" t="s">
        <v>3361</v>
      </c>
      <c r="P277" t="s">
        <v>3366</v>
      </c>
      <c r="Q277" t="s">
        <v>3361</v>
      </c>
      <c r="R277" t="s">
        <v>3358</v>
      </c>
      <c r="S277" t="s">
        <v>15211</v>
      </c>
      <c r="T277" t="s">
        <v>3388</v>
      </c>
      <c r="U277" t="s">
        <v>12190</v>
      </c>
      <c r="V277" t="s">
        <v>15231</v>
      </c>
    </row>
    <row r="278" spans="1:22" ht="17.399999999999999" hidden="1">
      <c r="A278" t="s">
        <v>15397</v>
      </c>
      <c r="B278" t="s">
        <v>15441</v>
      </c>
      <c r="C278" t="s">
        <v>15449</v>
      </c>
      <c r="D278" t="s">
        <v>277</v>
      </c>
      <c r="E278" t="s">
        <v>3438</v>
      </c>
      <c r="F278" t="s">
        <v>3425</v>
      </c>
      <c r="G278" s="3">
        <v>37.323634104333799</v>
      </c>
      <c r="H278" s="3">
        <v>127.650303928912</v>
      </c>
      <c r="I278" t="s">
        <v>4044</v>
      </c>
      <c r="J278" t="s">
        <v>7403</v>
      </c>
      <c r="K278" t="s">
        <v>10692</v>
      </c>
      <c r="L278" t="s">
        <v>3366</v>
      </c>
      <c r="M278" t="s">
        <v>11913</v>
      </c>
      <c r="N278" t="s">
        <v>3366</v>
      </c>
      <c r="O278" t="s">
        <v>3361</v>
      </c>
      <c r="P278" t="s">
        <v>3365</v>
      </c>
      <c r="Q278" t="s">
        <v>3361</v>
      </c>
      <c r="R278" t="s">
        <v>3358</v>
      </c>
      <c r="S278" t="s">
        <v>15211</v>
      </c>
      <c r="T278" t="s">
        <v>3387</v>
      </c>
      <c r="U278" t="s">
        <v>12191</v>
      </c>
      <c r="V278" t="s">
        <v>15231</v>
      </c>
    </row>
    <row r="279" spans="1:22" ht="17.399999999999999" hidden="1">
      <c r="A279" t="s">
        <v>15397</v>
      </c>
      <c r="B279" t="s">
        <v>15441</v>
      </c>
      <c r="C279" t="s">
        <v>15449</v>
      </c>
      <c r="D279" t="s">
        <v>278</v>
      </c>
      <c r="E279" t="s">
        <v>3427</v>
      </c>
      <c r="F279" t="s">
        <v>3434</v>
      </c>
      <c r="G279" s="3">
        <v>37.3236341058753</v>
      </c>
      <c r="H279" s="3">
        <v>127.65030390627599</v>
      </c>
      <c r="I279" t="s">
        <v>4045</v>
      </c>
      <c r="J279" t="s">
        <v>7404</v>
      </c>
      <c r="K279" t="s">
        <v>10693</v>
      </c>
      <c r="L279" t="s">
        <v>3366</v>
      </c>
      <c r="M279" t="s">
        <v>11906</v>
      </c>
      <c r="N279" t="s">
        <v>3366</v>
      </c>
      <c r="O279" t="s">
        <v>3361</v>
      </c>
      <c r="P279" t="s">
        <v>3366</v>
      </c>
      <c r="Q279" t="s">
        <v>3361</v>
      </c>
      <c r="R279" t="s">
        <v>3358</v>
      </c>
      <c r="S279" t="s">
        <v>15211</v>
      </c>
      <c r="T279" t="s">
        <v>3388</v>
      </c>
      <c r="U279" t="s">
        <v>12192</v>
      </c>
      <c r="V279" t="s">
        <v>15231</v>
      </c>
    </row>
    <row r="280" spans="1:22" ht="17.399999999999999" hidden="1">
      <c r="A280" t="s">
        <v>15397</v>
      </c>
      <c r="B280" t="s">
        <v>15442</v>
      </c>
      <c r="C280" t="s">
        <v>15450</v>
      </c>
      <c r="D280" t="s">
        <v>279</v>
      </c>
      <c r="E280" t="s">
        <v>3429</v>
      </c>
      <c r="F280" t="s">
        <v>3460</v>
      </c>
      <c r="G280" s="3">
        <v>37.323634101298403</v>
      </c>
      <c r="H280" s="3">
        <v>127.650303891962</v>
      </c>
      <c r="I280" t="s">
        <v>4046</v>
      </c>
      <c r="J280" t="s">
        <v>7405</v>
      </c>
      <c r="K280" t="s">
        <v>10694</v>
      </c>
      <c r="L280" t="s">
        <v>3368</v>
      </c>
      <c r="M280" t="s">
        <v>11895</v>
      </c>
      <c r="N280" t="s">
        <v>3366</v>
      </c>
      <c r="O280" t="s">
        <v>3361</v>
      </c>
      <c r="P280" t="s">
        <v>15211</v>
      </c>
      <c r="Q280" t="s">
        <v>15211</v>
      </c>
      <c r="R280" t="s">
        <v>15211</v>
      </c>
      <c r="S280" t="s">
        <v>15211</v>
      </c>
      <c r="T280" t="s">
        <v>3371</v>
      </c>
      <c r="U280" t="s">
        <v>12193</v>
      </c>
      <c r="V280" t="s">
        <v>15232</v>
      </c>
    </row>
    <row r="281" spans="1:22" ht="17.399999999999999" hidden="1">
      <c r="A281" t="s">
        <v>15397</v>
      </c>
      <c r="B281" t="s">
        <v>15442</v>
      </c>
      <c r="C281" t="s">
        <v>15450</v>
      </c>
      <c r="D281" t="s">
        <v>280</v>
      </c>
      <c r="E281" t="s">
        <v>3427</v>
      </c>
      <c r="F281" t="s">
        <v>3431</v>
      </c>
      <c r="G281" s="3">
        <v>37.323634099017902</v>
      </c>
      <c r="H281" s="3">
        <v>127.650303819125</v>
      </c>
      <c r="I281" t="s">
        <v>4047</v>
      </c>
      <c r="J281" t="s">
        <v>7406</v>
      </c>
      <c r="K281" t="s">
        <v>10695</v>
      </c>
      <c r="L281" t="s">
        <v>3366</v>
      </c>
      <c r="M281" t="s">
        <v>11895</v>
      </c>
      <c r="N281" t="s">
        <v>3366</v>
      </c>
      <c r="O281" t="s">
        <v>3361</v>
      </c>
      <c r="P281" t="s">
        <v>15211</v>
      </c>
      <c r="Q281" t="s">
        <v>15211</v>
      </c>
      <c r="R281" t="s">
        <v>15211</v>
      </c>
      <c r="S281" t="s">
        <v>15211</v>
      </c>
      <c r="T281" t="s">
        <v>3371</v>
      </c>
      <c r="U281" t="s">
        <v>12194</v>
      </c>
      <c r="V281" t="s">
        <v>15232</v>
      </c>
    </row>
    <row r="282" spans="1:22" ht="17.399999999999999" hidden="1">
      <c r="A282" t="s">
        <v>15397</v>
      </c>
      <c r="B282" t="s">
        <v>15442</v>
      </c>
      <c r="C282" t="s">
        <v>15450</v>
      </c>
      <c r="D282" t="s">
        <v>281</v>
      </c>
      <c r="E282" t="s">
        <v>3438</v>
      </c>
      <c r="F282" t="s">
        <v>3425</v>
      </c>
      <c r="G282" s="3">
        <v>37.323634158581697</v>
      </c>
      <c r="H282" s="3">
        <v>127.65030385369</v>
      </c>
      <c r="I282" t="s">
        <v>4048</v>
      </c>
      <c r="J282" t="s">
        <v>7407</v>
      </c>
      <c r="K282" t="s">
        <v>10695</v>
      </c>
      <c r="L282" t="s">
        <v>3366</v>
      </c>
      <c r="M282" t="s">
        <v>11895</v>
      </c>
      <c r="N282" t="s">
        <v>3366</v>
      </c>
      <c r="O282" t="s">
        <v>3361</v>
      </c>
      <c r="P282" t="s">
        <v>15211</v>
      </c>
      <c r="Q282" t="s">
        <v>15211</v>
      </c>
      <c r="R282" t="s">
        <v>15211</v>
      </c>
      <c r="S282" t="s">
        <v>15211</v>
      </c>
      <c r="T282" t="s">
        <v>3371</v>
      </c>
      <c r="U282" t="s">
        <v>12195</v>
      </c>
      <c r="V282" t="s">
        <v>15232</v>
      </c>
    </row>
    <row r="283" spans="1:22" ht="17.399999999999999" hidden="1">
      <c r="A283" t="s">
        <v>15397</v>
      </c>
      <c r="B283" t="s">
        <v>15442</v>
      </c>
      <c r="C283" t="s">
        <v>15445</v>
      </c>
      <c r="D283" t="s">
        <v>282</v>
      </c>
      <c r="E283" t="s">
        <v>3439</v>
      </c>
      <c r="F283" t="s">
        <v>3437</v>
      </c>
      <c r="G283" s="3">
        <v>37.323634148882903</v>
      </c>
      <c r="H283" s="3">
        <v>127.650303966455</v>
      </c>
      <c r="I283" t="s">
        <v>4049</v>
      </c>
      <c r="J283" t="s">
        <v>7408</v>
      </c>
      <c r="K283" t="s">
        <v>3637</v>
      </c>
      <c r="L283" t="s">
        <v>3366</v>
      </c>
      <c r="M283" t="s">
        <v>11895</v>
      </c>
      <c r="N283" t="s">
        <v>3366</v>
      </c>
      <c r="O283" t="s">
        <v>3361</v>
      </c>
      <c r="P283" t="s">
        <v>15211</v>
      </c>
      <c r="Q283" t="s">
        <v>15211</v>
      </c>
      <c r="R283" t="s">
        <v>15211</v>
      </c>
      <c r="S283" t="s">
        <v>15211</v>
      </c>
      <c r="T283" t="s">
        <v>3371</v>
      </c>
      <c r="U283" t="s">
        <v>12196</v>
      </c>
      <c r="V283" t="s">
        <v>15233</v>
      </c>
    </row>
    <row r="284" spans="1:22" ht="17.399999999999999" hidden="1">
      <c r="A284" t="s">
        <v>15397</v>
      </c>
      <c r="B284" t="s">
        <v>15442</v>
      </c>
      <c r="C284" t="s">
        <v>15445</v>
      </c>
      <c r="D284" t="s">
        <v>283</v>
      </c>
      <c r="E284" t="s">
        <v>3439</v>
      </c>
      <c r="F284" t="s">
        <v>3437</v>
      </c>
      <c r="G284" s="3">
        <v>37.323634121383598</v>
      </c>
      <c r="H284" s="3">
        <v>127.650303933217</v>
      </c>
      <c r="I284" t="s">
        <v>4050</v>
      </c>
      <c r="J284" t="s">
        <v>7409</v>
      </c>
      <c r="K284" t="s">
        <v>10694</v>
      </c>
      <c r="L284" t="s">
        <v>3366</v>
      </c>
      <c r="M284" t="s">
        <v>11894</v>
      </c>
      <c r="N284" t="s">
        <v>3366</v>
      </c>
      <c r="O284" t="s">
        <v>3361</v>
      </c>
      <c r="P284" t="s">
        <v>15211</v>
      </c>
      <c r="Q284" t="s">
        <v>15211</v>
      </c>
      <c r="R284" t="s">
        <v>15211</v>
      </c>
      <c r="S284" t="s">
        <v>15211</v>
      </c>
      <c r="T284" t="s">
        <v>3371</v>
      </c>
      <c r="U284" t="s">
        <v>12197</v>
      </c>
      <c r="V284" t="s">
        <v>15233</v>
      </c>
    </row>
    <row r="285" spans="1:22" ht="17.399999999999999" hidden="1">
      <c r="A285" t="s">
        <v>15397</v>
      </c>
      <c r="B285" t="s">
        <v>15442</v>
      </c>
      <c r="C285" t="s">
        <v>15445</v>
      </c>
      <c r="D285" t="s">
        <v>284</v>
      </c>
      <c r="E285" t="s">
        <v>3439</v>
      </c>
      <c r="F285" t="s">
        <v>3437</v>
      </c>
      <c r="G285" s="3">
        <v>37.323634136559299</v>
      </c>
      <c r="H285" s="3">
        <v>127.65030392982</v>
      </c>
      <c r="I285" t="s">
        <v>4051</v>
      </c>
      <c r="J285" t="s">
        <v>7410</v>
      </c>
      <c r="K285" t="s">
        <v>10696</v>
      </c>
      <c r="L285" t="s">
        <v>3366</v>
      </c>
      <c r="M285" t="s">
        <v>11895</v>
      </c>
      <c r="N285" t="s">
        <v>3366</v>
      </c>
      <c r="O285" t="s">
        <v>3361</v>
      </c>
      <c r="P285" t="s">
        <v>15211</v>
      </c>
      <c r="Q285" t="s">
        <v>15211</v>
      </c>
      <c r="R285" t="s">
        <v>15211</v>
      </c>
      <c r="S285" t="s">
        <v>15211</v>
      </c>
      <c r="T285" t="s">
        <v>3371</v>
      </c>
      <c r="U285" t="s">
        <v>12198</v>
      </c>
      <c r="V285" t="s">
        <v>15233</v>
      </c>
    </row>
    <row r="286" spans="1:22" ht="17.399999999999999" hidden="1">
      <c r="A286" t="s">
        <v>15397</v>
      </c>
      <c r="B286" t="s">
        <v>15442</v>
      </c>
      <c r="C286" t="s">
        <v>15451</v>
      </c>
      <c r="D286" t="s">
        <v>285</v>
      </c>
      <c r="E286" t="s">
        <v>3443</v>
      </c>
      <c r="F286" t="s">
        <v>3437</v>
      </c>
      <c r="G286" s="3">
        <v>37.323634139584499</v>
      </c>
      <c r="H286" s="3">
        <v>127.650303875136</v>
      </c>
      <c r="I286" t="s">
        <v>4052</v>
      </c>
      <c r="J286" t="s">
        <v>7411</v>
      </c>
      <c r="K286" t="s">
        <v>10697</v>
      </c>
      <c r="L286" t="s">
        <v>3369</v>
      </c>
      <c r="M286" t="s">
        <v>11907</v>
      </c>
      <c r="N286" t="s">
        <v>3366</v>
      </c>
      <c r="O286" t="s">
        <v>3361</v>
      </c>
      <c r="P286" t="s">
        <v>3364</v>
      </c>
      <c r="Q286" t="s">
        <v>3360</v>
      </c>
      <c r="R286" t="s">
        <v>15211</v>
      </c>
      <c r="S286" t="s">
        <v>15211</v>
      </c>
      <c r="T286" t="s">
        <v>3383</v>
      </c>
      <c r="U286" t="s">
        <v>12199</v>
      </c>
      <c r="V286" t="s">
        <v>15234</v>
      </c>
    </row>
    <row r="287" spans="1:22" ht="17.399999999999999" hidden="1">
      <c r="A287" t="s">
        <v>15397</v>
      </c>
      <c r="B287" t="s">
        <v>15442</v>
      </c>
      <c r="C287" t="s">
        <v>15451</v>
      </c>
      <c r="D287" t="s">
        <v>286</v>
      </c>
      <c r="E287" t="s">
        <v>3443</v>
      </c>
      <c r="F287" t="s">
        <v>3440</v>
      </c>
      <c r="G287" s="3">
        <v>37.323634140130601</v>
      </c>
      <c r="H287" s="3">
        <v>127.650303882881</v>
      </c>
      <c r="I287" t="s">
        <v>4053</v>
      </c>
      <c r="J287" t="s">
        <v>7412</v>
      </c>
      <c r="K287" t="s">
        <v>10698</v>
      </c>
      <c r="L287" t="s">
        <v>3366</v>
      </c>
      <c r="M287" t="s">
        <v>11911</v>
      </c>
      <c r="N287" t="s">
        <v>3366</v>
      </c>
      <c r="O287" t="s">
        <v>3361</v>
      </c>
      <c r="P287" t="s">
        <v>3366</v>
      </c>
      <c r="Q287" t="s">
        <v>3361</v>
      </c>
      <c r="R287" t="s">
        <v>15211</v>
      </c>
      <c r="S287" t="s">
        <v>15211</v>
      </c>
      <c r="T287" t="s">
        <v>3386</v>
      </c>
      <c r="U287" t="s">
        <v>12199</v>
      </c>
      <c r="V287" t="s">
        <v>15234</v>
      </c>
    </row>
    <row r="288" spans="1:22" ht="17.399999999999999" hidden="1">
      <c r="A288" t="s">
        <v>15397</v>
      </c>
      <c r="B288" t="s">
        <v>15442</v>
      </c>
      <c r="C288" t="s">
        <v>15451</v>
      </c>
      <c r="D288" t="s">
        <v>287</v>
      </c>
      <c r="E288" t="s">
        <v>3443</v>
      </c>
      <c r="F288" t="s">
        <v>3438</v>
      </c>
      <c r="G288" s="3">
        <v>37.323634107691703</v>
      </c>
      <c r="H288" s="3">
        <v>127.650303897085</v>
      </c>
      <c r="I288" t="s">
        <v>4054</v>
      </c>
      <c r="J288" t="s">
        <v>7413</v>
      </c>
      <c r="K288" t="s">
        <v>10699</v>
      </c>
      <c r="L288" t="s">
        <v>3366</v>
      </c>
      <c r="M288" t="s">
        <v>11907</v>
      </c>
      <c r="N288" t="s">
        <v>3366</v>
      </c>
      <c r="O288" t="s">
        <v>3361</v>
      </c>
      <c r="P288" t="s">
        <v>3366</v>
      </c>
      <c r="Q288" t="s">
        <v>3361</v>
      </c>
      <c r="R288" t="s">
        <v>15211</v>
      </c>
      <c r="S288" t="s">
        <v>15211</v>
      </c>
      <c r="T288" t="s">
        <v>3386</v>
      </c>
      <c r="U288" t="s">
        <v>12200</v>
      </c>
      <c r="V288" t="s">
        <v>15234</v>
      </c>
    </row>
    <row r="289" spans="1:22" ht="17.399999999999999">
      <c r="A289" t="s">
        <v>15397</v>
      </c>
      <c r="B289" t="s">
        <v>15443</v>
      </c>
      <c r="C289" t="s">
        <v>15452</v>
      </c>
      <c r="D289" t="s">
        <v>288</v>
      </c>
      <c r="E289" t="s">
        <v>3438</v>
      </c>
      <c r="F289" t="s">
        <v>3434</v>
      </c>
      <c r="G289" s="3">
        <v>37.3236344450047</v>
      </c>
      <c r="H289" s="3">
        <v>127.65030372538099</v>
      </c>
      <c r="I289" t="s">
        <v>4055</v>
      </c>
      <c r="J289" t="s">
        <v>7414</v>
      </c>
      <c r="K289" t="s">
        <v>10700</v>
      </c>
      <c r="L289" t="s">
        <v>3366</v>
      </c>
      <c r="M289" t="s">
        <v>11889</v>
      </c>
      <c r="N289" t="s">
        <v>3364</v>
      </c>
      <c r="O289" t="s">
        <v>15211</v>
      </c>
      <c r="P289" t="s">
        <v>3362</v>
      </c>
      <c r="Q289" t="s">
        <v>3360</v>
      </c>
      <c r="R289" t="s">
        <v>15211</v>
      </c>
      <c r="S289" t="s">
        <v>15211</v>
      </c>
      <c r="T289" t="s">
        <v>3374</v>
      </c>
      <c r="U289" t="s">
        <v>12201</v>
      </c>
      <c r="V289" t="s">
        <v>15220</v>
      </c>
    </row>
    <row r="290" spans="1:22" ht="17.399999999999999">
      <c r="A290" t="s">
        <v>15397</v>
      </c>
      <c r="B290" t="s">
        <v>15443</v>
      </c>
      <c r="C290" t="s">
        <v>15452</v>
      </c>
      <c r="D290" t="s">
        <v>289</v>
      </c>
      <c r="E290" t="s">
        <v>3427</v>
      </c>
      <c r="F290" t="s">
        <v>3434</v>
      </c>
      <c r="G290" s="3">
        <v>37.323634425217101</v>
      </c>
      <c r="H290" s="3">
        <v>127.65030372604301</v>
      </c>
      <c r="I290" t="s">
        <v>4056</v>
      </c>
      <c r="J290" t="s">
        <v>7415</v>
      </c>
      <c r="K290" t="s">
        <v>10700</v>
      </c>
      <c r="L290" t="s">
        <v>3366</v>
      </c>
      <c r="M290" t="s">
        <v>11889</v>
      </c>
      <c r="N290" t="s">
        <v>3364</v>
      </c>
      <c r="O290" t="s">
        <v>15211</v>
      </c>
      <c r="P290" t="s">
        <v>3364</v>
      </c>
      <c r="Q290" t="s">
        <v>3361</v>
      </c>
      <c r="R290" t="s">
        <v>15211</v>
      </c>
      <c r="S290" t="s">
        <v>15211</v>
      </c>
      <c r="T290" t="s">
        <v>3377</v>
      </c>
      <c r="U290" t="s">
        <v>12202</v>
      </c>
      <c r="V290" t="s">
        <v>15220</v>
      </c>
    </row>
    <row r="291" spans="1:22" ht="17.399999999999999">
      <c r="A291" t="s">
        <v>15397</v>
      </c>
      <c r="B291" t="s">
        <v>15443</v>
      </c>
      <c r="C291" t="s">
        <v>15452</v>
      </c>
      <c r="D291" t="s">
        <v>290</v>
      </c>
      <c r="E291" t="s">
        <v>3427</v>
      </c>
      <c r="F291" t="s">
        <v>3435</v>
      </c>
      <c r="G291" s="3">
        <v>37.323634453654002</v>
      </c>
      <c r="H291" s="3">
        <v>127.650303754139</v>
      </c>
      <c r="I291" t="s">
        <v>4057</v>
      </c>
      <c r="J291" t="s">
        <v>7416</v>
      </c>
      <c r="K291" t="s">
        <v>10700</v>
      </c>
      <c r="L291" t="s">
        <v>3366</v>
      </c>
      <c r="M291" t="s">
        <v>11889</v>
      </c>
      <c r="N291" t="s">
        <v>3364</v>
      </c>
      <c r="O291" t="s">
        <v>15211</v>
      </c>
      <c r="P291" t="s">
        <v>3364</v>
      </c>
      <c r="Q291" t="s">
        <v>3361</v>
      </c>
      <c r="R291" t="s">
        <v>15211</v>
      </c>
      <c r="S291" t="s">
        <v>15211</v>
      </c>
      <c r="T291" t="s">
        <v>3377</v>
      </c>
      <c r="U291" t="s">
        <v>12203</v>
      </c>
      <c r="V291" t="s">
        <v>15220</v>
      </c>
    </row>
    <row r="292" spans="1:22" ht="17.399999999999999">
      <c r="A292" t="s">
        <v>15397</v>
      </c>
      <c r="B292" t="s">
        <v>15443</v>
      </c>
      <c r="C292" t="s">
        <v>15452</v>
      </c>
      <c r="D292" t="s">
        <v>291</v>
      </c>
      <c r="E292" t="s">
        <v>3427</v>
      </c>
      <c r="F292" t="s">
        <v>3434</v>
      </c>
      <c r="G292" s="3">
        <v>37.323634480875</v>
      </c>
      <c r="H292" s="3">
        <v>127.65030374215</v>
      </c>
      <c r="I292" t="s">
        <v>4058</v>
      </c>
      <c r="J292" t="s">
        <v>7417</v>
      </c>
      <c r="K292" t="s">
        <v>10544</v>
      </c>
      <c r="L292" t="s">
        <v>3366</v>
      </c>
      <c r="M292" t="s">
        <v>11908</v>
      </c>
      <c r="N292" t="s">
        <v>3364</v>
      </c>
      <c r="O292" t="s">
        <v>15211</v>
      </c>
      <c r="P292" t="s">
        <v>3364</v>
      </c>
      <c r="Q292" t="s">
        <v>3361</v>
      </c>
      <c r="R292" t="s">
        <v>15211</v>
      </c>
      <c r="S292" t="s">
        <v>15211</v>
      </c>
      <c r="T292" t="s">
        <v>3377</v>
      </c>
      <c r="U292" t="s">
        <v>12204</v>
      </c>
      <c r="V292" t="s">
        <v>15220</v>
      </c>
    </row>
    <row r="293" spans="1:22" ht="17.399999999999999">
      <c r="A293" t="s">
        <v>15397</v>
      </c>
      <c r="B293" t="s">
        <v>15443</v>
      </c>
      <c r="C293" t="s">
        <v>15452</v>
      </c>
      <c r="D293" t="s">
        <v>292</v>
      </c>
      <c r="E293" t="s">
        <v>3427</v>
      </c>
      <c r="F293" t="s">
        <v>3435</v>
      </c>
      <c r="G293" s="3">
        <v>37.323634546282399</v>
      </c>
      <c r="H293" s="3">
        <v>127.650303749971</v>
      </c>
      <c r="I293" t="s">
        <v>4059</v>
      </c>
      <c r="J293" t="s">
        <v>7418</v>
      </c>
      <c r="K293" t="s">
        <v>10701</v>
      </c>
      <c r="L293" t="s">
        <v>3366</v>
      </c>
      <c r="M293" t="s">
        <v>11889</v>
      </c>
      <c r="N293" t="s">
        <v>3364</v>
      </c>
      <c r="O293" t="s">
        <v>15211</v>
      </c>
      <c r="P293" t="s">
        <v>3364</v>
      </c>
      <c r="Q293" t="s">
        <v>3361</v>
      </c>
      <c r="R293" t="s">
        <v>15211</v>
      </c>
      <c r="S293" t="s">
        <v>15211</v>
      </c>
      <c r="T293" t="s">
        <v>3377</v>
      </c>
      <c r="U293" t="s">
        <v>12205</v>
      </c>
      <c r="V293" t="s">
        <v>15220</v>
      </c>
    </row>
    <row r="294" spans="1:22" ht="17.399999999999999" hidden="1">
      <c r="A294" t="s">
        <v>15397</v>
      </c>
      <c r="B294" t="s">
        <v>15443</v>
      </c>
      <c r="C294" t="s">
        <v>15460</v>
      </c>
      <c r="D294" t="s">
        <v>293</v>
      </c>
      <c r="E294" t="s">
        <v>3425</v>
      </c>
      <c r="F294" t="s">
        <v>3453</v>
      </c>
      <c r="G294" s="3">
        <v>37.323634452450598</v>
      </c>
      <c r="H294" s="3">
        <v>127.65030368700999</v>
      </c>
      <c r="I294" t="s">
        <v>4060</v>
      </c>
      <c r="J294" t="s">
        <v>7419</v>
      </c>
      <c r="K294" t="s">
        <v>10702</v>
      </c>
      <c r="L294" t="s">
        <v>3366</v>
      </c>
      <c r="M294" t="s">
        <v>11889</v>
      </c>
      <c r="N294" t="s">
        <v>3364</v>
      </c>
      <c r="O294" t="s">
        <v>15211</v>
      </c>
      <c r="P294" t="s">
        <v>3364</v>
      </c>
      <c r="Q294" t="s">
        <v>3361</v>
      </c>
      <c r="R294" t="s">
        <v>15211</v>
      </c>
      <c r="S294" t="s">
        <v>15211</v>
      </c>
      <c r="T294" t="s">
        <v>3377</v>
      </c>
      <c r="U294" t="s">
        <v>12194</v>
      </c>
      <c r="V294" t="s">
        <v>15236</v>
      </c>
    </row>
    <row r="295" spans="1:22" ht="17.399999999999999" hidden="1">
      <c r="A295" t="s">
        <v>15397</v>
      </c>
      <c r="B295" t="s">
        <v>15443</v>
      </c>
      <c r="C295" t="s">
        <v>15460</v>
      </c>
      <c r="D295" t="s">
        <v>294</v>
      </c>
      <c r="E295" t="s">
        <v>3431</v>
      </c>
      <c r="F295" t="s">
        <v>3433</v>
      </c>
      <c r="G295" s="3">
        <v>37.323634419692702</v>
      </c>
      <c r="H295" s="3">
        <v>127.650303636815</v>
      </c>
      <c r="I295" t="s">
        <v>4061</v>
      </c>
      <c r="J295" t="s">
        <v>7420</v>
      </c>
      <c r="K295" t="s">
        <v>10703</v>
      </c>
      <c r="L295" t="s">
        <v>3366</v>
      </c>
      <c r="M295" t="s">
        <v>11889</v>
      </c>
      <c r="N295" t="s">
        <v>3364</v>
      </c>
      <c r="O295" t="s">
        <v>15211</v>
      </c>
      <c r="P295" t="s">
        <v>3364</v>
      </c>
      <c r="Q295" t="s">
        <v>3361</v>
      </c>
      <c r="R295" t="s">
        <v>15211</v>
      </c>
      <c r="S295" t="s">
        <v>15211</v>
      </c>
      <c r="T295" t="s">
        <v>3377</v>
      </c>
      <c r="U295" t="s">
        <v>12199</v>
      </c>
      <c r="V295" t="s">
        <v>15236</v>
      </c>
    </row>
    <row r="296" spans="1:22" ht="17.399999999999999" hidden="1">
      <c r="A296" t="s">
        <v>15397</v>
      </c>
      <c r="B296" t="s">
        <v>15443</v>
      </c>
      <c r="C296" t="s">
        <v>15460</v>
      </c>
      <c r="D296" t="s">
        <v>295</v>
      </c>
      <c r="E296" t="s">
        <v>3434</v>
      </c>
      <c r="F296" t="s">
        <v>3452</v>
      </c>
      <c r="G296" s="3">
        <v>37.323634436113302</v>
      </c>
      <c r="H296" s="3">
        <v>127.65030364351701</v>
      </c>
      <c r="I296" t="s">
        <v>4062</v>
      </c>
      <c r="J296" t="s">
        <v>7421</v>
      </c>
      <c r="K296" t="s">
        <v>10704</v>
      </c>
      <c r="L296" t="s">
        <v>3366</v>
      </c>
      <c r="M296" t="s">
        <v>11908</v>
      </c>
      <c r="N296" t="s">
        <v>3364</v>
      </c>
      <c r="O296" t="s">
        <v>15211</v>
      </c>
      <c r="P296" t="s">
        <v>3363</v>
      </c>
      <c r="Q296" t="s">
        <v>3361</v>
      </c>
      <c r="R296" t="s">
        <v>15211</v>
      </c>
      <c r="S296" t="s">
        <v>15211</v>
      </c>
      <c r="T296" t="s">
        <v>3376</v>
      </c>
      <c r="U296" t="s">
        <v>12179</v>
      </c>
      <c r="V296" t="s">
        <v>15236</v>
      </c>
    </row>
    <row r="297" spans="1:22" ht="17.399999999999999" hidden="1">
      <c r="A297" t="s">
        <v>15397</v>
      </c>
      <c r="B297" t="s">
        <v>15443</v>
      </c>
      <c r="C297" t="s">
        <v>15460</v>
      </c>
      <c r="D297" t="s">
        <v>296</v>
      </c>
      <c r="E297" t="s">
        <v>3434</v>
      </c>
      <c r="F297" t="s">
        <v>3433</v>
      </c>
      <c r="G297" s="3">
        <v>37.3236344261664</v>
      </c>
      <c r="H297" s="3">
        <v>127.650303637821</v>
      </c>
      <c r="I297" t="s">
        <v>4063</v>
      </c>
      <c r="J297" t="s">
        <v>7422</v>
      </c>
      <c r="K297" t="s">
        <v>10705</v>
      </c>
      <c r="L297" t="s">
        <v>3366</v>
      </c>
      <c r="M297" t="s">
        <v>11908</v>
      </c>
      <c r="N297" t="s">
        <v>3363</v>
      </c>
      <c r="O297" t="s">
        <v>15211</v>
      </c>
      <c r="P297" t="s">
        <v>3364</v>
      </c>
      <c r="Q297" t="s">
        <v>3360</v>
      </c>
      <c r="R297" t="s">
        <v>15211</v>
      </c>
      <c r="S297" t="s">
        <v>15211</v>
      </c>
      <c r="T297" t="s">
        <v>3375</v>
      </c>
      <c r="U297" t="s">
        <v>12206</v>
      </c>
      <c r="V297" t="s">
        <v>15236</v>
      </c>
    </row>
    <row r="298" spans="1:22" ht="17.399999999999999" hidden="1">
      <c r="A298" t="s">
        <v>15397</v>
      </c>
      <c r="B298" t="s">
        <v>15443</v>
      </c>
      <c r="C298" t="s">
        <v>15460</v>
      </c>
      <c r="D298" t="s">
        <v>297</v>
      </c>
      <c r="E298" t="s">
        <v>3434</v>
      </c>
      <c r="F298" t="s">
        <v>3452</v>
      </c>
      <c r="G298" s="3">
        <v>37.3236344247209</v>
      </c>
      <c r="H298" s="3">
        <v>127.650303630202</v>
      </c>
      <c r="I298" t="s">
        <v>4064</v>
      </c>
      <c r="J298" t="s">
        <v>7423</v>
      </c>
      <c r="K298" t="s">
        <v>10706</v>
      </c>
      <c r="L298" t="s">
        <v>3366</v>
      </c>
      <c r="M298" t="s">
        <v>11908</v>
      </c>
      <c r="N298" t="s">
        <v>3364</v>
      </c>
      <c r="O298" t="s">
        <v>15211</v>
      </c>
      <c r="P298" t="s">
        <v>3363</v>
      </c>
      <c r="Q298" t="s">
        <v>3360</v>
      </c>
      <c r="R298" t="s">
        <v>15211</v>
      </c>
      <c r="S298" t="s">
        <v>15211</v>
      </c>
      <c r="T298" t="s">
        <v>3375</v>
      </c>
      <c r="U298" t="s">
        <v>12207</v>
      </c>
      <c r="V298" t="s">
        <v>15236</v>
      </c>
    </row>
    <row r="299" spans="1:22" ht="17.399999999999999" hidden="1">
      <c r="A299" t="s">
        <v>15404</v>
      </c>
      <c r="B299" t="s">
        <v>15441</v>
      </c>
      <c r="C299" t="s">
        <v>15445</v>
      </c>
      <c r="D299" t="s">
        <v>298</v>
      </c>
      <c r="E299" t="s">
        <v>3437</v>
      </c>
      <c r="F299" t="s">
        <v>3428</v>
      </c>
      <c r="G299" s="3">
        <v>37.201513126475298</v>
      </c>
      <c r="H299" s="3">
        <v>127.621032264128</v>
      </c>
      <c r="I299" t="s">
        <v>4065</v>
      </c>
      <c r="J299" t="s">
        <v>7424</v>
      </c>
      <c r="K299" t="s">
        <v>10707</v>
      </c>
      <c r="L299" t="s">
        <v>3366</v>
      </c>
      <c r="M299" t="s">
        <v>11885</v>
      </c>
      <c r="N299" t="s">
        <v>3364</v>
      </c>
      <c r="O299" t="s">
        <v>3360</v>
      </c>
      <c r="P299" t="s">
        <v>15211</v>
      </c>
      <c r="Q299" t="s">
        <v>15211</v>
      </c>
      <c r="R299" t="s">
        <v>15211</v>
      </c>
      <c r="S299" t="s">
        <v>15211</v>
      </c>
      <c r="T299" t="s">
        <v>3368</v>
      </c>
      <c r="U299" t="s">
        <v>12208</v>
      </c>
      <c r="V299" t="s">
        <v>15228</v>
      </c>
    </row>
    <row r="300" spans="1:22" ht="17.399999999999999" hidden="1">
      <c r="A300" t="s">
        <v>15404</v>
      </c>
      <c r="B300" t="s">
        <v>15441</v>
      </c>
      <c r="C300" t="s">
        <v>15445</v>
      </c>
      <c r="D300" t="s">
        <v>299</v>
      </c>
      <c r="E300" t="s">
        <v>3437</v>
      </c>
      <c r="F300" t="s">
        <v>3436</v>
      </c>
      <c r="G300" s="3">
        <v>37.201513135880802</v>
      </c>
      <c r="H300" s="3">
        <v>127.62103225950899</v>
      </c>
      <c r="I300" t="s">
        <v>4066</v>
      </c>
      <c r="J300" t="s">
        <v>7425</v>
      </c>
      <c r="K300" t="s">
        <v>10533</v>
      </c>
      <c r="L300" t="s">
        <v>3366</v>
      </c>
      <c r="M300" t="s">
        <v>11885</v>
      </c>
      <c r="N300" t="s">
        <v>3364</v>
      </c>
      <c r="O300" t="s">
        <v>3360</v>
      </c>
      <c r="P300" t="s">
        <v>15211</v>
      </c>
      <c r="Q300" t="s">
        <v>15211</v>
      </c>
      <c r="R300" t="s">
        <v>15211</v>
      </c>
      <c r="S300" t="s">
        <v>15211</v>
      </c>
      <c r="T300" t="s">
        <v>3368</v>
      </c>
      <c r="U300" t="s">
        <v>12209</v>
      </c>
      <c r="V300" t="s">
        <v>15228</v>
      </c>
    </row>
    <row r="301" spans="1:22" ht="17.399999999999999" hidden="1">
      <c r="A301" t="s">
        <v>15404</v>
      </c>
      <c r="B301" t="s">
        <v>15441</v>
      </c>
      <c r="C301" t="s">
        <v>15445</v>
      </c>
      <c r="D301" t="s">
        <v>300</v>
      </c>
      <c r="E301" t="s">
        <v>3437</v>
      </c>
      <c r="F301" t="s">
        <v>3428</v>
      </c>
      <c r="G301" s="3">
        <v>37.201513159776503</v>
      </c>
      <c r="H301" s="3">
        <v>127.62103226241101</v>
      </c>
      <c r="I301" t="s">
        <v>4067</v>
      </c>
      <c r="J301" t="s">
        <v>7426</v>
      </c>
      <c r="K301" t="s">
        <v>10708</v>
      </c>
      <c r="L301" t="s">
        <v>3366</v>
      </c>
      <c r="M301" t="s">
        <v>11885</v>
      </c>
      <c r="N301" t="s">
        <v>3364</v>
      </c>
      <c r="O301" t="s">
        <v>3360</v>
      </c>
      <c r="P301" t="s">
        <v>15211</v>
      </c>
      <c r="Q301" t="s">
        <v>15211</v>
      </c>
      <c r="R301" t="s">
        <v>15211</v>
      </c>
      <c r="S301" t="s">
        <v>15211</v>
      </c>
      <c r="T301" t="s">
        <v>3368</v>
      </c>
      <c r="U301" t="s">
        <v>12210</v>
      </c>
      <c r="V301" t="s">
        <v>15228</v>
      </c>
    </row>
    <row r="302" spans="1:22" ht="17.399999999999999" hidden="1">
      <c r="A302" t="s">
        <v>15404</v>
      </c>
      <c r="B302" t="s">
        <v>15441</v>
      </c>
      <c r="C302" t="s">
        <v>15446</v>
      </c>
      <c r="D302" t="s">
        <v>301</v>
      </c>
      <c r="E302" t="s">
        <v>3437</v>
      </c>
      <c r="F302" t="s">
        <v>3428</v>
      </c>
      <c r="G302" s="3">
        <v>37.201513279445898</v>
      </c>
      <c r="H302" s="3">
        <v>127.621032189179</v>
      </c>
      <c r="I302" t="s">
        <v>4068</v>
      </c>
      <c r="J302" t="s">
        <v>7427</v>
      </c>
      <c r="K302" t="s">
        <v>10709</v>
      </c>
      <c r="L302" t="s">
        <v>3366</v>
      </c>
      <c r="M302" t="s">
        <v>11886</v>
      </c>
      <c r="N302" t="s">
        <v>3363</v>
      </c>
      <c r="O302" t="s">
        <v>3360</v>
      </c>
      <c r="P302" t="s">
        <v>15211</v>
      </c>
      <c r="Q302" t="s">
        <v>15211</v>
      </c>
      <c r="R302" t="s">
        <v>15211</v>
      </c>
      <c r="S302" t="s">
        <v>15211</v>
      </c>
      <c r="T302" t="s">
        <v>3367</v>
      </c>
      <c r="U302" t="s">
        <v>12211</v>
      </c>
      <c r="V302" t="s">
        <v>15229</v>
      </c>
    </row>
    <row r="303" spans="1:22" ht="17.399999999999999" hidden="1">
      <c r="A303" t="s">
        <v>15404</v>
      </c>
      <c r="B303" t="s">
        <v>15441</v>
      </c>
      <c r="C303" t="s">
        <v>15446</v>
      </c>
      <c r="D303" t="s">
        <v>302</v>
      </c>
      <c r="E303" t="s">
        <v>3439</v>
      </c>
      <c r="F303" t="s">
        <v>3427</v>
      </c>
      <c r="G303" s="3">
        <v>37.201513268171297</v>
      </c>
      <c r="H303" s="3">
        <v>127.62103220693299</v>
      </c>
      <c r="I303" t="s">
        <v>4069</v>
      </c>
      <c r="J303" t="s">
        <v>7428</v>
      </c>
      <c r="K303" t="s">
        <v>10710</v>
      </c>
      <c r="L303" t="s">
        <v>3366</v>
      </c>
      <c r="M303" t="s">
        <v>11886</v>
      </c>
      <c r="N303" t="s">
        <v>3363</v>
      </c>
      <c r="O303" t="s">
        <v>3360</v>
      </c>
      <c r="P303" t="s">
        <v>15211</v>
      </c>
      <c r="Q303" t="s">
        <v>15211</v>
      </c>
      <c r="R303" t="s">
        <v>15211</v>
      </c>
      <c r="S303" t="s">
        <v>15211</v>
      </c>
      <c r="T303" t="s">
        <v>3367</v>
      </c>
      <c r="U303" t="s">
        <v>12212</v>
      </c>
      <c r="V303" t="s">
        <v>15229</v>
      </c>
    </row>
    <row r="304" spans="1:22" ht="17.399999999999999" hidden="1">
      <c r="A304" t="s">
        <v>15404</v>
      </c>
      <c r="B304" t="s">
        <v>15441</v>
      </c>
      <c r="C304" t="s">
        <v>15446</v>
      </c>
      <c r="D304" t="s">
        <v>303</v>
      </c>
      <c r="E304" t="s">
        <v>3437</v>
      </c>
      <c r="F304" t="s">
        <v>3428</v>
      </c>
      <c r="G304" s="3">
        <v>37.201513269521598</v>
      </c>
      <c r="H304" s="3">
        <v>127.621032240541</v>
      </c>
      <c r="I304" t="s">
        <v>4070</v>
      </c>
      <c r="J304" t="s">
        <v>7429</v>
      </c>
      <c r="K304" t="s">
        <v>10711</v>
      </c>
      <c r="L304" t="s">
        <v>3366</v>
      </c>
      <c r="M304" t="s">
        <v>11886</v>
      </c>
      <c r="N304" t="s">
        <v>3363</v>
      </c>
      <c r="O304" t="s">
        <v>3360</v>
      </c>
      <c r="P304" t="s">
        <v>15211</v>
      </c>
      <c r="Q304" t="s">
        <v>15211</v>
      </c>
      <c r="R304" t="s">
        <v>15211</v>
      </c>
      <c r="S304" t="s">
        <v>15211</v>
      </c>
      <c r="T304" t="s">
        <v>3367</v>
      </c>
      <c r="U304" t="s">
        <v>12213</v>
      </c>
      <c r="V304" t="s">
        <v>15229</v>
      </c>
    </row>
    <row r="305" spans="1:22" ht="17.399999999999999" hidden="1">
      <c r="A305" t="s">
        <v>15404</v>
      </c>
      <c r="B305" t="s">
        <v>15441</v>
      </c>
      <c r="C305" t="s">
        <v>15447</v>
      </c>
      <c r="D305" t="s">
        <v>304</v>
      </c>
      <c r="E305" t="s">
        <v>3440</v>
      </c>
      <c r="F305" t="s">
        <v>3436</v>
      </c>
      <c r="G305" s="3">
        <v>37.201513280957997</v>
      </c>
      <c r="H305" s="3">
        <v>127.621032234613</v>
      </c>
      <c r="I305" t="s">
        <v>4071</v>
      </c>
      <c r="J305" t="s">
        <v>7430</v>
      </c>
      <c r="K305" t="s">
        <v>10712</v>
      </c>
      <c r="L305" t="s">
        <v>3368</v>
      </c>
      <c r="M305" t="s">
        <v>11887</v>
      </c>
      <c r="N305" t="s">
        <v>3363</v>
      </c>
      <c r="O305" t="s">
        <v>15211</v>
      </c>
      <c r="P305" t="s">
        <v>15211</v>
      </c>
      <c r="Q305" t="s">
        <v>15211</v>
      </c>
      <c r="R305" t="s">
        <v>15211</v>
      </c>
      <c r="S305" t="s">
        <v>15211</v>
      </c>
      <c r="T305" t="s">
        <v>3363</v>
      </c>
      <c r="U305" t="s">
        <v>12214</v>
      </c>
      <c r="V305" t="s">
        <v>15235</v>
      </c>
    </row>
    <row r="306" spans="1:22" ht="17.399999999999999" hidden="1">
      <c r="A306" t="s">
        <v>15404</v>
      </c>
      <c r="B306" t="s">
        <v>15441</v>
      </c>
      <c r="C306" t="s">
        <v>15447</v>
      </c>
      <c r="D306" t="s">
        <v>305</v>
      </c>
      <c r="E306" t="s">
        <v>3437</v>
      </c>
      <c r="F306" t="s">
        <v>3436</v>
      </c>
      <c r="G306" s="3">
        <v>37.201513250164098</v>
      </c>
      <c r="H306" s="3">
        <v>127.621032251839</v>
      </c>
      <c r="I306" t="s">
        <v>4072</v>
      </c>
      <c r="J306" t="s">
        <v>7431</v>
      </c>
      <c r="K306" t="s">
        <v>10713</v>
      </c>
      <c r="L306" t="s">
        <v>3366</v>
      </c>
      <c r="M306" t="s">
        <v>11887</v>
      </c>
      <c r="N306" t="s">
        <v>3363</v>
      </c>
      <c r="O306" t="s">
        <v>15211</v>
      </c>
      <c r="P306" t="s">
        <v>15211</v>
      </c>
      <c r="Q306" t="s">
        <v>15211</v>
      </c>
      <c r="R306" t="s">
        <v>15211</v>
      </c>
      <c r="S306" t="s">
        <v>15211</v>
      </c>
      <c r="T306" t="s">
        <v>3363</v>
      </c>
      <c r="U306" t="s">
        <v>12215</v>
      </c>
      <c r="V306" t="s">
        <v>15235</v>
      </c>
    </row>
    <row r="307" spans="1:22" ht="17.399999999999999" hidden="1">
      <c r="A307" t="s">
        <v>15404</v>
      </c>
      <c r="B307" t="s">
        <v>15441</v>
      </c>
      <c r="C307" t="s">
        <v>15447</v>
      </c>
      <c r="D307" t="s">
        <v>306</v>
      </c>
      <c r="E307" t="s">
        <v>3437</v>
      </c>
      <c r="F307" t="s">
        <v>3436</v>
      </c>
      <c r="G307" s="3">
        <v>37.201513232298097</v>
      </c>
      <c r="H307" s="3">
        <v>127.621032265593</v>
      </c>
      <c r="I307" t="s">
        <v>4073</v>
      </c>
      <c r="J307" t="s">
        <v>7432</v>
      </c>
      <c r="K307" t="s">
        <v>10714</v>
      </c>
      <c r="L307" t="s">
        <v>3366</v>
      </c>
      <c r="M307" t="s">
        <v>11909</v>
      </c>
      <c r="N307" t="s">
        <v>3362</v>
      </c>
      <c r="O307" t="s">
        <v>15211</v>
      </c>
      <c r="P307" t="s">
        <v>15211</v>
      </c>
      <c r="Q307" t="s">
        <v>15211</v>
      </c>
      <c r="R307" t="s">
        <v>15211</v>
      </c>
      <c r="S307" t="s">
        <v>15211</v>
      </c>
      <c r="T307" t="s">
        <v>3362</v>
      </c>
      <c r="U307" t="s">
        <v>12216</v>
      </c>
      <c r="V307" t="s">
        <v>15235</v>
      </c>
    </row>
    <row r="308" spans="1:22" ht="17.399999999999999" hidden="1">
      <c r="A308" t="s">
        <v>15404</v>
      </c>
      <c r="B308" t="s">
        <v>15441</v>
      </c>
      <c r="C308" t="s">
        <v>15448</v>
      </c>
      <c r="D308" t="s">
        <v>307</v>
      </c>
      <c r="E308" t="s">
        <v>3442</v>
      </c>
      <c r="F308" t="s">
        <v>3478</v>
      </c>
      <c r="G308" s="3">
        <v>37.201513249907897</v>
      </c>
      <c r="H308" s="3">
        <v>127.621032282714</v>
      </c>
      <c r="I308" t="s">
        <v>4074</v>
      </c>
      <c r="J308" t="s">
        <v>7433</v>
      </c>
      <c r="K308" t="s">
        <v>10604</v>
      </c>
      <c r="L308" t="s">
        <v>3366</v>
      </c>
      <c r="M308" t="s">
        <v>11888</v>
      </c>
      <c r="N308" t="s">
        <v>3362</v>
      </c>
      <c r="O308" t="s">
        <v>3360</v>
      </c>
      <c r="P308" t="s">
        <v>3361</v>
      </c>
      <c r="Q308" t="s">
        <v>3361</v>
      </c>
      <c r="R308" t="s">
        <v>3358</v>
      </c>
      <c r="S308" t="s">
        <v>15211</v>
      </c>
      <c r="T308" t="s">
        <v>3378</v>
      </c>
      <c r="U308" t="s">
        <v>12217</v>
      </c>
      <c r="V308" t="s">
        <v>15230</v>
      </c>
    </row>
    <row r="309" spans="1:22" ht="17.399999999999999" hidden="1">
      <c r="A309" t="s">
        <v>15404</v>
      </c>
      <c r="B309" t="s">
        <v>15441</v>
      </c>
      <c r="C309" t="s">
        <v>15448</v>
      </c>
      <c r="D309" t="s">
        <v>308</v>
      </c>
      <c r="E309" t="s">
        <v>3442</v>
      </c>
      <c r="F309" t="s">
        <v>3579</v>
      </c>
      <c r="G309" s="3">
        <v>37.201513268984002</v>
      </c>
      <c r="H309" s="3">
        <v>127.621032272676</v>
      </c>
      <c r="I309" t="s">
        <v>4075</v>
      </c>
      <c r="J309" t="s">
        <v>7434</v>
      </c>
      <c r="K309" t="s">
        <v>10715</v>
      </c>
      <c r="L309" t="s">
        <v>3366</v>
      </c>
      <c r="M309" t="s">
        <v>11889</v>
      </c>
      <c r="N309" t="s">
        <v>3361</v>
      </c>
      <c r="O309" t="s">
        <v>3360</v>
      </c>
      <c r="P309" t="s">
        <v>3361</v>
      </c>
      <c r="Q309" t="s">
        <v>3361</v>
      </c>
      <c r="R309" t="s">
        <v>3358</v>
      </c>
      <c r="S309" t="s">
        <v>15211</v>
      </c>
      <c r="T309" t="s">
        <v>3377</v>
      </c>
      <c r="U309" t="s">
        <v>12218</v>
      </c>
      <c r="V309" t="s">
        <v>15230</v>
      </c>
    </row>
    <row r="310" spans="1:22" ht="17.399999999999999" hidden="1">
      <c r="A310" t="s">
        <v>15404</v>
      </c>
      <c r="B310" t="s">
        <v>15441</v>
      </c>
      <c r="C310" t="s">
        <v>15448</v>
      </c>
      <c r="D310" t="s">
        <v>309</v>
      </c>
      <c r="E310" t="s">
        <v>3441</v>
      </c>
      <c r="F310" t="s">
        <v>3515</v>
      </c>
      <c r="G310" s="3">
        <v>37.201513281555101</v>
      </c>
      <c r="H310" s="3">
        <v>127.621032263974</v>
      </c>
      <c r="I310" t="s">
        <v>4076</v>
      </c>
      <c r="J310" t="s">
        <v>7435</v>
      </c>
      <c r="K310" t="s">
        <v>10664</v>
      </c>
      <c r="L310" t="s">
        <v>3366</v>
      </c>
      <c r="M310" t="s">
        <v>11889</v>
      </c>
      <c r="N310" t="s">
        <v>3361</v>
      </c>
      <c r="O310" t="s">
        <v>3360</v>
      </c>
      <c r="P310" t="s">
        <v>3361</v>
      </c>
      <c r="Q310" t="s">
        <v>3361</v>
      </c>
      <c r="R310" t="s">
        <v>3358</v>
      </c>
      <c r="S310" t="s">
        <v>15211</v>
      </c>
      <c r="T310" t="s">
        <v>3377</v>
      </c>
      <c r="U310" t="s">
        <v>12219</v>
      </c>
      <c r="V310" t="s">
        <v>15230</v>
      </c>
    </row>
    <row r="311" spans="1:22" ht="17.399999999999999" hidden="1">
      <c r="A311" t="s">
        <v>15404</v>
      </c>
      <c r="B311" t="s">
        <v>15441</v>
      </c>
      <c r="C311" t="s">
        <v>15449</v>
      </c>
      <c r="D311" t="s">
        <v>310</v>
      </c>
      <c r="E311" t="s">
        <v>3436</v>
      </c>
      <c r="F311" t="s">
        <v>3453</v>
      </c>
      <c r="G311" s="3">
        <v>37.201513213295399</v>
      </c>
      <c r="H311" s="3">
        <v>127.621032301911</v>
      </c>
      <c r="I311" t="s">
        <v>4077</v>
      </c>
      <c r="J311" t="s">
        <v>7436</v>
      </c>
      <c r="K311" t="s">
        <v>10716</v>
      </c>
      <c r="L311" t="s">
        <v>3366</v>
      </c>
      <c r="M311" t="s">
        <v>11889</v>
      </c>
      <c r="N311" t="s">
        <v>3361</v>
      </c>
      <c r="O311" t="s">
        <v>3360</v>
      </c>
      <c r="P311" t="s">
        <v>3361</v>
      </c>
      <c r="Q311" t="s">
        <v>3361</v>
      </c>
      <c r="R311" t="s">
        <v>3358</v>
      </c>
      <c r="S311" t="s">
        <v>15211</v>
      </c>
      <c r="T311" t="s">
        <v>3377</v>
      </c>
      <c r="U311" t="s">
        <v>12220</v>
      </c>
      <c r="V311" t="s">
        <v>15231</v>
      </c>
    </row>
    <row r="312" spans="1:22" ht="17.399999999999999" hidden="1">
      <c r="A312" t="s">
        <v>15404</v>
      </c>
      <c r="B312" t="s">
        <v>15441</v>
      </c>
      <c r="C312" t="s">
        <v>15449</v>
      </c>
      <c r="D312" t="s">
        <v>311</v>
      </c>
      <c r="E312" t="s">
        <v>3428</v>
      </c>
      <c r="F312" t="s">
        <v>3441</v>
      </c>
      <c r="G312" s="3">
        <v>37.201513171085601</v>
      </c>
      <c r="H312" s="3">
        <v>127.62103230825601</v>
      </c>
      <c r="I312" t="s">
        <v>4078</v>
      </c>
      <c r="J312" t="s">
        <v>7437</v>
      </c>
      <c r="K312" t="s">
        <v>10717</v>
      </c>
      <c r="L312" t="s">
        <v>3366</v>
      </c>
      <c r="M312" t="s">
        <v>11889</v>
      </c>
      <c r="N312" t="s">
        <v>3362</v>
      </c>
      <c r="O312" t="s">
        <v>3360</v>
      </c>
      <c r="P312" t="s">
        <v>3361</v>
      </c>
      <c r="Q312" t="s">
        <v>3361</v>
      </c>
      <c r="R312" t="s">
        <v>3358</v>
      </c>
      <c r="S312" t="s">
        <v>15211</v>
      </c>
      <c r="T312" t="s">
        <v>3378</v>
      </c>
      <c r="U312" t="s">
        <v>12221</v>
      </c>
      <c r="V312" t="s">
        <v>15231</v>
      </c>
    </row>
    <row r="313" spans="1:22" ht="17.399999999999999" hidden="1">
      <c r="A313" t="s">
        <v>15404</v>
      </c>
      <c r="B313" t="s">
        <v>15441</v>
      </c>
      <c r="C313" t="s">
        <v>15449</v>
      </c>
      <c r="D313" t="s">
        <v>312</v>
      </c>
      <c r="E313" t="s">
        <v>3428</v>
      </c>
      <c r="F313" t="s">
        <v>3442</v>
      </c>
      <c r="G313" s="3">
        <v>37.201513150422898</v>
      </c>
      <c r="H313" s="3">
        <v>127.621032286663</v>
      </c>
      <c r="I313" t="s">
        <v>4079</v>
      </c>
      <c r="J313" t="s">
        <v>7438</v>
      </c>
      <c r="K313" t="s">
        <v>10718</v>
      </c>
      <c r="L313" t="s">
        <v>3366</v>
      </c>
      <c r="M313" t="s">
        <v>11888</v>
      </c>
      <c r="N313" t="s">
        <v>3362</v>
      </c>
      <c r="O313" t="s">
        <v>3360</v>
      </c>
      <c r="P313" t="s">
        <v>3361</v>
      </c>
      <c r="Q313" t="s">
        <v>3361</v>
      </c>
      <c r="R313" t="s">
        <v>3358</v>
      </c>
      <c r="S313" t="s">
        <v>15211</v>
      </c>
      <c r="T313" t="s">
        <v>3378</v>
      </c>
      <c r="U313" t="s">
        <v>12222</v>
      </c>
      <c r="V313" t="s">
        <v>15231</v>
      </c>
    </row>
    <row r="314" spans="1:22" ht="17.399999999999999" hidden="1">
      <c r="A314" t="s">
        <v>15404</v>
      </c>
      <c r="B314" t="s">
        <v>15442</v>
      </c>
      <c r="C314" t="s">
        <v>15450</v>
      </c>
      <c r="D314" t="s">
        <v>313</v>
      </c>
      <c r="E314" t="s">
        <v>3427</v>
      </c>
      <c r="F314" t="s">
        <v>3430</v>
      </c>
      <c r="G314" s="3">
        <v>37.201513192471097</v>
      </c>
      <c r="H314" s="3">
        <v>127.62103216468699</v>
      </c>
      <c r="I314" t="s">
        <v>4080</v>
      </c>
      <c r="J314" t="s">
        <v>7439</v>
      </c>
      <c r="K314" t="s">
        <v>10719</v>
      </c>
      <c r="L314" t="s">
        <v>3366</v>
      </c>
      <c r="M314" t="s">
        <v>11886</v>
      </c>
      <c r="N314" t="s">
        <v>3363</v>
      </c>
      <c r="O314" t="s">
        <v>3360</v>
      </c>
      <c r="P314" t="s">
        <v>15211</v>
      </c>
      <c r="Q314" t="s">
        <v>15211</v>
      </c>
      <c r="R314" t="s">
        <v>15211</v>
      </c>
      <c r="S314" t="s">
        <v>15211</v>
      </c>
      <c r="T314" t="s">
        <v>3367</v>
      </c>
      <c r="U314" t="s">
        <v>12223</v>
      </c>
      <c r="V314" t="s">
        <v>15232</v>
      </c>
    </row>
    <row r="315" spans="1:22" ht="17.399999999999999" hidden="1">
      <c r="A315" t="s">
        <v>15404</v>
      </c>
      <c r="B315" t="s">
        <v>15442</v>
      </c>
      <c r="C315" t="s">
        <v>15450</v>
      </c>
      <c r="D315" t="s">
        <v>314</v>
      </c>
      <c r="E315" t="s">
        <v>3427</v>
      </c>
      <c r="F315" t="s">
        <v>3430</v>
      </c>
      <c r="G315" s="3">
        <v>37.201513161704703</v>
      </c>
      <c r="H315" s="3">
        <v>127.621032158768</v>
      </c>
      <c r="I315" t="s">
        <v>4081</v>
      </c>
      <c r="J315" t="s">
        <v>7440</v>
      </c>
      <c r="K315" t="s">
        <v>10720</v>
      </c>
      <c r="L315" t="s">
        <v>3366</v>
      </c>
      <c r="M315" t="s">
        <v>11886</v>
      </c>
      <c r="N315" t="s">
        <v>3363</v>
      </c>
      <c r="O315" t="s">
        <v>3360</v>
      </c>
      <c r="P315" t="s">
        <v>15211</v>
      </c>
      <c r="Q315" t="s">
        <v>15211</v>
      </c>
      <c r="R315" t="s">
        <v>15211</v>
      </c>
      <c r="S315" t="s">
        <v>15211</v>
      </c>
      <c r="T315" t="s">
        <v>3367</v>
      </c>
      <c r="U315" t="s">
        <v>12224</v>
      </c>
      <c r="V315" t="s">
        <v>15232</v>
      </c>
    </row>
    <row r="316" spans="1:22" ht="17.399999999999999" hidden="1">
      <c r="A316" t="s">
        <v>15404</v>
      </c>
      <c r="B316" t="s">
        <v>15442</v>
      </c>
      <c r="C316" t="s">
        <v>15450</v>
      </c>
      <c r="D316" t="s">
        <v>315</v>
      </c>
      <c r="E316" t="s">
        <v>3427</v>
      </c>
      <c r="F316" t="s">
        <v>3430</v>
      </c>
      <c r="G316" s="3">
        <v>37.201513107206203</v>
      </c>
      <c r="H316" s="3">
        <v>127.621032155767</v>
      </c>
      <c r="I316" t="s">
        <v>4082</v>
      </c>
      <c r="J316" t="s">
        <v>7441</v>
      </c>
      <c r="K316" t="s">
        <v>10721</v>
      </c>
      <c r="L316" t="s">
        <v>3366</v>
      </c>
      <c r="M316" t="s">
        <v>11886</v>
      </c>
      <c r="N316" t="s">
        <v>3363</v>
      </c>
      <c r="O316" t="s">
        <v>3360</v>
      </c>
      <c r="P316" t="s">
        <v>15211</v>
      </c>
      <c r="Q316" t="s">
        <v>15211</v>
      </c>
      <c r="R316" t="s">
        <v>15211</v>
      </c>
      <c r="S316" t="s">
        <v>15211</v>
      </c>
      <c r="T316" t="s">
        <v>3367</v>
      </c>
      <c r="U316" t="s">
        <v>12225</v>
      </c>
      <c r="V316" t="s">
        <v>15232</v>
      </c>
    </row>
    <row r="317" spans="1:22" ht="17.399999999999999" hidden="1">
      <c r="A317" t="s">
        <v>15404</v>
      </c>
      <c r="B317" t="s">
        <v>15442</v>
      </c>
      <c r="C317" t="s">
        <v>15445</v>
      </c>
      <c r="D317" t="s">
        <v>316</v>
      </c>
      <c r="E317" t="s">
        <v>3439</v>
      </c>
      <c r="F317" t="s">
        <v>3427</v>
      </c>
      <c r="G317" s="3">
        <v>37.201513192721002</v>
      </c>
      <c r="H317" s="3">
        <v>127.621032158413</v>
      </c>
      <c r="I317" t="s">
        <v>4083</v>
      </c>
      <c r="J317" t="s">
        <v>7442</v>
      </c>
      <c r="K317" t="s">
        <v>10580</v>
      </c>
      <c r="L317" t="s">
        <v>3366</v>
      </c>
      <c r="M317" t="s">
        <v>11885</v>
      </c>
      <c r="N317" t="s">
        <v>3364</v>
      </c>
      <c r="O317" t="s">
        <v>3360</v>
      </c>
      <c r="P317" t="s">
        <v>15211</v>
      </c>
      <c r="Q317" t="s">
        <v>15211</v>
      </c>
      <c r="R317" t="s">
        <v>15211</v>
      </c>
      <c r="S317" t="s">
        <v>15211</v>
      </c>
      <c r="T317" t="s">
        <v>3368</v>
      </c>
      <c r="U317" t="s">
        <v>12226</v>
      </c>
      <c r="V317" t="s">
        <v>15233</v>
      </c>
    </row>
    <row r="318" spans="1:22" ht="17.399999999999999" hidden="1">
      <c r="A318" t="s">
        <v>15404</v>
      </c>
      <c r="B318" t="s">
        <v>15442</v>
      </c>
      <c r="C318" t="s">
        <v>15445</v>
      </c>
      <c r="D318" t="s">
        <v>317</v>
      </c>
      <c r="E318" t="s">
        <v>3439</v>
      </c>
      <c r="F318" t="s">
        <v>3427</v>
      </c>
      <c r="G318" s="3">
        <v>37.201513205273599</v>
      </c>
      <c r="H318" s="3">
        <v>127.621032164479</v>
      </c>
      <c r="I318" t="s">
        <v>4084</v>
      </c>
      <c r="J318" t="s">
        <v>7443</v>
      </c>
      <c r="K318" t="s">
        <v>10722</v>
      </c>
      <c r="L318" t="s">
        <v>3366</v>
      </c>
      <c r="M318" t="s">
        <v>11885</v>
      </c>
      <c r="N318" t="s">
        <v>3364</v>
      </c>
      <c r="O318" t="s">
        <v>3360</v>
      </c>
      <c r="P318" t="s">
        <v>15211</v>
      </c>
      <c r="Q318" t="s">
        <v>15211</v>
      </c>
      <c r="R318" t="s">
        <v>15211</v>
      </c>
      <c r="S318" t="s">
        <v>15211</v>
      </c>
      <c r="T318" t="s">
        <v>3368</v>
      </c>
      <c r="U318" t="s">
        <v>12227</v>
      </c>
      <c r="V318" t="s">
        <v>15233</v>
      </c>
    </row>
    <row r="319" spans="1:22" ht="17.399999999999999" hidden="1">
      <c r="A319" t="s">
        <v>15404</v>
      </c>
      <c r="B319" t="s">
        <v>15442</v>
      </c>
      <c r="C319" t="s">
        <v>15445</v>
      </c>
      <c r="D319" t="s">
        <v>318</v>
      </c>
      <c r="E319" t="s">
        <v>3439</v>
      </c>
      <c r="F319" t="s">
        <v>3427</v>
      </c>
      <c r="G319" s="3">
        <v>37.201513199184198</v>
      </c>
      <c r="H319" s="3">
        <v>127.621032183108</v>
      </c>
      <c r="I319" t="s">
        <v>4085</v>
      </c>
      <c r="J319" t="s">
        <v>7444</v>
      </c>
      <c r="K319" t="s">
        <v>10723</v>
      </c>
      <c r="L319" t="s">
        <v>3366</v>
      </c>
      <c r="M319" t="s">
        <v>11885</v>
      </c>
      <c r="N319" t="s">
        <v>3364</v>
      </c>
      <c r="O319" t="s">
        <v>3360</v>
      </c>
      <c r="P319" t="s">
        <v>15211</v>
      </c>
      <c r="Q319" t="s">
        <v>15211</v>
      </c>
      <c r="R319" t="s">
        <v>15211</v>
      </c>
      <c r="S319" t="s">
        <v>15211</v>
      </c>
      <c r="T319" t="s">
        <v>3368</v>
      </c>
      <c r="U319" t="s">
        <v>12228</v>
      </c>
      <c r="V319" t="s">
        <v>15233</v>
      </c>
    </row>
    <row r="320" spans="1:22" ht="17.399999999999999" hidden="1">
      <c r="A320" t="s">
        <v>15404</v>
      </c>
      <c r="B320" t="s">
        <v>15442</v>
      </c>
      <c r="C320" t="s">
        <v>15451</v>
      </c>
      <c r="D320" t="s">
        <v>319</v>
      </c>
      <c r="E320" t="s">
        <v>3437</v>
      </c>
      <c r="F320" t="s">
        <v>3436</v>
      </c>
      <c r="G320" s="3">
        <v>37.201513213479799</v>
      </c>
      <c r="H320" s="3">
        <v>127.62103229530101</v>
      </c>
      <c r="I320" t="s">
        <v>4086</v>
      </c>
      <c r="J320" t="s">
        <v>7445</v>
      </c>
      <c r="K320" t="s">
        <v>10555</v>
      </c>
      <c r="L320" t="s">
        <v>3366</v>
      </c>
      <c r="M320" t="s">
        <v>11888</v>
      </c>
      <c r="N320" t="s">
        <v>3364</v>
      </c>
      <c r="O320" t="s">
        <v>3360</v>
      </c>
      <c r="P320" t="s">
        <v>3361</v>
      </c>
      <c r="Q320" t="s">
        <v>3361</v>
      </c>
      <c r="R320" t="s">
        <v>15211</v>
      </c>
      <c r="S320" t="s">
        <v>15211</v>
      </c>
      <c r="T320" t="s">
        <v>3378</v>
      </c>
      <c r="U320" t="s">
        <v>12229</v>
      </c>
      <c r="V320" t="s">
        <v>15234</v>
      </c>
    </row>
    <row r="321" spans="1:22" ht="17.399999999999999" hidden="1">
      <c r="A321" t="s">
        <v>15404</v>
      </c>
      <c r="B321" t="s">
        <v>15442</v>
      </c>
      <c r="C321" t="s">
        <v>15451</v>
      </c>
      <c r="D321" t="s">
        <v>320</v>
      </c>
      <c r="E321" t="s">
        <v>3440</v>
      </c>
      <c r="F321" t="s">
        <v>3425</v>
      </c>
      <c r="G321" s="3">
        <v>37.201513208295097</v>
      </c>
      <c r="H321" s="3">
        <v>127.621032262542</v>
      </c>
      <c r="I321" t="s">
        <v>4087</v>
      </c>
      <c r="J321" t="s">
        <v>7446</v>
      </c>
      <c r="K321" t="s">
        <v>10724</v>
      </c>
      <c r="L321" t="s">
        <v>3366</v>
      </c>
      <c r="M321" t="s">
        <v>11889</v>
      </c>
      <c r="N321" t="s">
        <v>3364</v>
      </c>
      <c r="O321" t="s">
        <v>3360</v>
      </c>
      <c r="P321" t="s">
        <v>3361</v>
      </c>
      <c r="Q321" t="s">
        <v>3361</v>
      </c>
      <c r="R321" t="s">
        <v>15211</v>
      </c>
      <c r="S321" t="s">
        <v>15211</v>
      </c>
      <c r="T321" t="s">
        <v>3378</v>
      </c>
      <c r="U321" t="s">
        <v>12230</v>
      </c>
      <c r="V321" t="s">
        <v>15234</v>
      </c>
    </row>
    <row r="322" spans="1:22" ht="17.399999999999999" hidden="1">
      <c r="A322" t="s">
        <v>15404</v>
      </c>
      <c r="B322" t="s">
        <v>15442</v>
      </c>
      <c r="C322" t="s">
        <v>15451</v>
      </c>
      <c r="D322" t="s">
        <v>321</v>
      </c>
      <c r="E322" t="s">
        <v>3440</v>
      </c>
      <c r="F322" t="s">
        <v>3431</v>
      </c>
      <c r="G322" s="3">
        <v>37.201513193150397</v>
      </c>
      <c r="H322" s="3">
        <v>127.621032256531</v>
      </c>
      <c r="I322" t="s">
        <v>4088</v>
      </c>
      <c r="J322" t="s">
        <v>7447</v>
      </c>
      <c r="K322" t="s">
        <v>10725</v>
      </c>
      <c r="L322" t="s">
        <v>3366</v>
      </c>
      <c r="M322" t="s">
        <v>11889</v>
      </c>
      <c r="N322" t="s">
        <v>3364</v>
      </c>
      <c r="O322" t="s">
        <v>3360</v>
      </c>
      <c r="P322" t="s">
        <v>3361</v>
      </c>
      <c r="Q322" t="s">
        <v>3361</v>
      </c>
      <c r="R322" t="s">
        <v>15211</v>
      </c>
      <c r="S322" t="s">
        <v>15211</v>
      </c>
      <c r="T322" t="s">
        <v>3378</v>
      </c>
      <c r="U322" t="s">
        <v>12231</v>
      </c>
      <c r="V322" t="s">
        <v>15234</v>
      </c>
    </row>
    <row r="323" spans="1:22" ht="17.399999999999999">
      <c r="A323" t="s">
        <v>15404</v>
      </c>
      <c r="B323" t="s">
        <v>15443</v>
      </c>
      <c r="C323" t="s">
        <v>15452</v>
      </c>
      <c r="D323" t="s">
        <v>322</v>
      </c>
      <c r="E323" t="s">
        <v>3439</v>
      </c>
      <c r="F323" t="s">
        <v>3427</v>
      </c>
      <c r="G323" s="3">
        <v>37.201513148418996</v>
      </c>
      <c r="H323" s="3">
        <v>127.621032281784</v>
      </c>
      <c r="I323" t="s">
        <v>4089</v>
      </c>
      <c r="J323" t="s">
        <v>7448</v>
      </c>
      <c r="K323" t="s">
        <v>10726</v>
      </c>
      <c r="L323" t="s">
        <v>3366</v>
      </c>
      <c r="M323" t="s">
        <v>11903</v>
      </c>
      <c r="N323" t="s">
        <v>3363</v>
      </c>
      <c r="O323" t="s">
        <v>15211</v>
      </c>
      <c r="P323" t="s">
        <v>3361</v>
      </c>
      <c r="Q323" t="s">
        <v>3361</v>
      </c>
      <c r="R323" t="s">
        <v>15211</v>
      </c>
      <c r="S323" t="s">
        <v>15211</v>
      </c>
      <c r="T323" t="s">
        <v>3373</v>
      </c>
      <c r="U323" t="s">
        <v>12232</v>
      </c>
      <c r="V323" t="s">
        <v>15220</v>
      </c>
    </row>
    <row r="324" spans="1:22" ht="17.399999999999999">
      <c r="A324" t="s">
        <v>15404</v>
      </c>
      <c r="B324" t="s">
        <v>15443</v>
      </c>
      <c r="C324" t="s">
        <v>15452</v>
      </c>
      <c r="D324" t="s">
        <v>323</v>
      </c>
      <c r="E324" t="s">
        <v>3437</v>
      </c>
      <c r="F324" t="s">
        <v>3428</v>
      </c>
      <c r="G324" s="3">
        <v>37.201513150055597</v>
      </c>
      <c r="H324" s="3">
        <v>127.621032274852</v>
      </c>
      <c r="I324" t="s">
        <v>4090</v>
      </c>
      <c r="J324" t="s">
        <v>7449</v>
      </c>
      <c r="K324" t="s">
        <v>10727</v>
      </c>
      <c r="L324" t="s">
        <v>3366</v>
      </c>
      <c r="M324" t="s">
        <v>11901</v>
      </c>
      <c r="N324" t="s">
        <v>3363</v>
      </c>
      <c r="O324" t="s">
        <v>15211</v>
      </c>
      <c r="P324" t="s">
        <v>3361</v>
      </c>
      <c r="Q324" t="s">
        <v>3361</v>
      </c>
      <c r="R324" t="s">
        <v>15211</v>
      </c>
      <c r="S324" t="s">
        <v>15211</v>
      </c>
      <c r="T324" t="s">
        <v>3373</v>
      </c>
      <c r="U324" t="s">
        <v>12233</v>
      </c>
      <c r="V324" t="s">
        <v>15220</v>
      </c>
    </row>
    <row r="325" spans="1:22" ht="17.399999999999999">
      <c r="A325" t="s">
        <v>15404</v>
      </c>
      <c r="B325" t="s">
        <v>15443</v>
      </c>
      <c r="C325" t="s">
        <v>15452</v>
      </c>
      <c r="D325" t="s">
        <v>324</v>
      </c>
      <c r="E325" t="s">
        <v>3437</v>
      </c>
      <c r="F325" t="s">
        <v>3428</v>
      </c>
      <c r="G325" s="3">
        <v>37.2015131694898</v>
      </c>
      <c r="H325" s="3">
        <v>127.621032272823</v>
      </c>
      <c r="I325" t="s">
        <v>4091</v>
      </c>
      <c r="J325" t="s">
        <v>7450</v>
      </c>
      <c r="K325" t="s">
        <v>10728</v>
      </c>
      <c r="L325" t="s">
        <v>3366</v>
      </c>
      <c r="M325" t="s">
        <v>11903</v>
      </c>
      <c r="N325" t="s">
        <v>3363</v>
      </c>
      <c r="O325" t="s">
        <v>15211</v>
      </c>
      <c r="P325" t="s">
        <v>3361</v>
      </c>
      <c r="Q325" t="s">
        <v>3361</v>
      </c>
      <c r="R325" t="s">
        <v>15211</v>
      </c>
      <c r="S325" t="s">
        <v>15211</v>
      </c>
      <c r="T325" t="s">
        <v>3373</v>
      </c>
      <c r="U325" t="s">
        <v>12234</v>
      </c>
      <c r="V325" t="s">
        <v>15220</v>
      </c>
    </row>
    <row r="326" spans="1:22" ht="17.399999999999999" hidden="1">
      <c r="A326" t="s">
        <v>15404</v>
      </c>
      <c r="B326" t="s">
        <v>15443</v>
      </c>
      <c r="C326" t="s">
        <v>15461</v>
      </c>
      <c r="D326" t="s">
        <v>325</v>
      </c>
      <c r="E326" t="s">
        <v>3431</v>
      </c>
      <c r="F326" t="s">
        <v>3426</v>
      </c>
      <c r="G326" s="3">
        <v>37.201513156389296</v>
      </c>
      <c r="H326" s="3">
        <v>127.621032339157</v>
      </c>
      <c r="I326" t="s">
        <v>4092</v>
      </c>
      <c r="J326" t="s">
        <v>7451</v>
      </c>
      <c r="K326" t="s">
        <v>10729</v>
      </c>
      <c r="L326" t="s">
        <v>3366</v>
      </c>
      <c r="M326" t="s">
        <v>11901</v>
      </c>
      <c r="N326" t="s">
        <v>3364</v>
      </c>
      <c r="O326" t="s">
        <v>15211</v>
      </c>
      <c r="P326" t="s">
        <v>3360</v>
      </c>
      <c r="Q326" t="s">
        <v>3361</v>
      </c>
      <c r="R326" t="s">
        <v>15211</v>
      </c>
      <c r="S326" t="s">
        <v>15211</v>
      </c>
      <c r="T326" t="s">
        <v>3373</v>
      </c>
      <c r="U326" t="s">
        <v>12235</v>
      </c>
      <c r="V326" t="s">
        <v>15237</v>
      </c>
    </row>
    <row r="327" spans="1:22" ht="17.399999999999999" hidden="1">
      <c r="A327" t="s">
        <v>15404</v>
      </c>
      <c r="B327" t="s">
        <v>15443</v>
      </c>
      <c r="C327" t="s">
        <v>15461</v>
      </c>
      <c r="D327" t="s">
        <v>326</v>
      </c>
      <c r="E327" t="s">
        <v>3434</v>
      </c>
      <c r="F327" t="s">
        <v>3465</v>
      </c>
      <c r="G327" s="3">
        <v>37.201513185241403</v>
      </c>
      <c r="H327" s="3">
        <v>127.621032325703</v>
      </c>
      <c r="I327" t="s">
        <v>4093</v>
      </c>
      <c r="J327" t="s">
        <v>7452</v>
      </c>
      <c r="K327" t="s">
        <v>10729</v>
      </c>
      <c r="L327" t="s">
        <v>3366</v>
      </c>
      <c r="M327" t="s">
        <v>11901</v>
      </c>
      <c r="N327" t="s">
        <v>3364</v>
      </c>
      <c r="O327" t="s">
        <v>15211</v>
      </c>
      <c r="P327" t="s">
        <v>3360</v>
      </c>
      <c r="Q327" t="s">
        <v>3361</v>
      </c>
      <c r="R327" t="s">
        <v>15211</v>
      </c>
      <c r="S327" t="s">
        <v>15211</v>
      </c>
      <c r="T327" t="s">
        <v>3373</v>
      </c>
      <c r="U327" t="s">
        <v>12236</v>
      </c>
      <c r="V327" t="s">
        <v>15237</v>
      </c>
    </row>
    <row r="328" spans="1:22" ht="17.399999999999999" hidden="1">
      <c r="A328" t="s">
        <v>15404</v>
      </c>
      <c r="B328" t="s">
        <v>15443</v>
      </c>
      <c r="C328" t="s">
        <v>15461</v>
      </c>
      <c r="D328" t="s">
        <v>327</v>
      </c>
      <c r="E328" t="s">
        <v>3435</v>
      </c>
      <c r="F328" t="s">
        <v>3465</v>
      </c>
      <c r="G328" s="3">
        <v>37.201513181503898</v>
      </c>
      <c r="H328" s="3">
        <v>127.62103233334101</v>
      </c>
      <c r="I328" t="s">
        <v>4094</v>
      </c>
      <c r="J328" t="s">
        <v>7453</v>
      </c>
      <c r="K328" t="s">
        <v>10730</v>
      </c>
      <c r="L328" t="s">
        <v>3366</v>
      </c>
      <c r="M328" t="s">
        <v>11901</v>
      </c>
      <c r="N328" t="s">
        <v>3364</v>
      </c>
      <c r="O328" t="s">
        <v>15211</v>
      </c>
      <c r="P328" t="s">
        <v>3360</v>
      </c>
      <c r="Q328" t="s">
        <v>3361</v>
      </c>
      <c r="R328" t="s">
        <v>15211</v>
      </c>
      <c r="S328" t="s">
        <v>15211</v>
      </c>
      <c r="T328" t="s">
        <v>3373</v>
      </c>
      <c r="U328" t="s">
        <v>12237</v>
      </c>
      <c r="V328" t="s">
        <v>15237</v>
      </c>
    </row>
    <row r="329" spans="1:22" hidden="1">
      <c r="A329" t="s">
        <v>15359</v>
      </c>
      <c r="B329" t="s">
        <v>15441</v>
      </c>
      <c r="C329" t="s">
        <v>15445</v>
      </c>
      <c r="D329" t="s">
        <v>328</v>
      </c>
      <c r="E329" t="s">
        <v>3427</v>
      </c>
      <c r="F329" t="s">
        <v>3430</v>
      </c>
      <c r="G329" s="3">
        <v>36.451136392678301</v>
      </c>
      <c r="H329" s="3">
        <v>126.59166419357599</v>
      </c>
      <c r="I329" t="s">
        <v>4095</v>
      </c>
      <c r="J329" t="s">
        <v>7454</v>
      </c>
      <c r="K329" t="s">
        <v>10560</v>
      </c>
      <c r="L329" t="s">
        <v>3366</v>
      </c>
      <c r="M329" t="s">
        <v>11885</v>
      </c>
      <c r="N329" t="s">
        <v>3363</v>
      </c>
      <c r="O329" t="s">
        <v>3361</v>
      </c>
      <c r="P329" t="s">
        <v>15211</v>
      </c>
      <c r="Q329" t="s">
        <v>15211</v>
      </c>
      <c r="R329" t="s">
        <v>15211</v>
      </c>
      <c r="S329" t="s">
        <v>15211</v>
      </c>
      <c r="T329" t="s">
        <v>3368</v>
      </c>
      <c r="U329" t="s">
        <v>12238</v>
      </c>
      <c r="V329" t="s">
        <v>15228</v>
      </c>
    </row>
    <row r="330" spans="1:22" hidden="1">
      <c r="A330" t="s">
        <v>15359</v>
      </c>
      <c r="B330" t="s">
        <v>15441</v>
      </c>
      <c r="C330" t="s">
        <v>15446</v>
      </c>
      <c r="D330" t="s">
        <v>329</v>
      </c>
      <c r="E330" t="s">
        <v>3457</v>
      </c>
      <c r="F330" t="s">
        <v>3437</v>
      </c>
      <c r="G330" s="3">
        <v>36.451136354709199</v>
      </c>
      <c r="H330" s="3">
        <v>126.59166426793399</v>
      </c>
      <c r="I330" t="s">
        <v>4096</v>
      </c>
      <c r="J330" t="s">
        <v>7455</v>
      </c>
      <c r="K330" t="s">
        <v>10731</v>
      </c>
      <c r="L330" t="s">
        <v>3366</v>
      </c>
      <c r="M330" t="s">
        <v>11890</v>
      </c>
      <c r="N330" t="s">
        <v>3363</v>
      </c>
      <c r="O330" t="s">
        <v>3362</v>
      </c>
      <c r="P330" t="s">
        <v>15211</v>
      </c>
      <c r="Q330" t="s">
        <v>15211</v>
      </c>
      <c r="R330" t="s">
        <v>15211</v>
      </c>
      <c r="S330" t="s">
        <v>15211</v>
      </c>
      <c r="T330" t="s">
        <v>3369</v>
      </c>
      <c r="U330" t="s">
        <v>12239</v>
      </c>
      <c r="V330" t="s">
        <v>15229</v>
      </c>
    </row>
    <row r="331" spans="1:22" hidden="1">
      <c r="A331" t="s">
        <v>15359</v>
      </c>
      <c r="B331" t="s">
        <v>15441</v>
      </c>
      <c r="C331" t="s">
        <v>15447</v>
      </c>
      <c r="D331" t="s">
        <v>330</v>
      </c>
      <c r="E331" t="s">
        <v>3427</v>
      </c>
      <c r="F331" t="s">
        <v>3429</v>
      </c>
      <c r="G331" s="3">
        <v>36.451136376900998</v>
      </c>
      <c r="H331" s="3">
        <v>126.591664309314</v>
      </c>
      <c r="I331" t="s">
        <v>4097</v>
      </c>
      <c r="J331" t="s">
        <v>7456</v>
      </c>
      <c r="K331" t="s">
        <v>10732</v>
      </c>
      <c r="L331" t="s">
        <v>3366</v>
      </c>
      <c r="M331" t="s">
        <v>11892</v>
      </c>
      <c r="N331" t="s">
        <v>3364</v>
      </c>
      <c r="O331" t="s">
        <v>15211</v>
      </c>
      <c r="P331" t="s">
        <v>15211</v>
      </c>
      <c r="Q331" t="s">
        <v>15211</v>
      </c>
      <c r="R331" t="s">
        <v>15211</v>
      </c>
      <c r="S331" t="s">
        <v>15211</v>
      </c>
      <c r="T331" t="s">
        <v>3364</v>
      </c>
      <c r="U331" t="s">
        <v>12240</v>
      </c>
      <c r="V331" t="s">
        <v>15235</v>
      </c>
    </row>
    <row r="332" spans="1:22" hidden="1">
      <c r="A332" t="s">
        <v>15359</v>
      </c>
      <c r="B332" t="s">
        <v>15441</v>
      </c>
      <c r="C332" t="s">
        <v>15448</v>
      </c>
      <c r="D332" t="s">
        <v>331</v>
      </c>
      <c r="E332" t="s">
        <v>3438</v>
      </c>
      <c r="F332" t="s">
        <v>3441</v>
      </c>
      <c r="G332" s="3">
        <v>36.451136304714503</v>
      </c>
      <c r="H332" s="3">
        <v>126.59166432525301</v>
      </c>
      <c r="I332" t="s">
        <v>4098</v>
      </c>
      <c r="J332" t="s">
        <v>7457</v>
      </c>
      <c r="K332" t="s">
        <v>10733</v>
      </c>
      <c r="L332" t="s">
        <v>3366</v>
      </c>
      <c r="M332" t="s">
        <v>11893</v>
      </c>
      <c r="N332" t="s">
        <v>3364</v>
      </c>
      <c r="O332" t="s">
        <v>3363</v>
      </c>
      <c r="P332" t="s">
        <v>3360</v>
      </c>
      <c r="Q332" t="s">
        <v>3362</v>
      </c>
      <c r="R332" t="s">
        <v>15211</v>
      </c>
      <c r="S332" t="s">
        <v>15211</v>
      </c>
      <c r="T332" t="s">
        <v>3381</v>
      </c>
      <c r="U332" t="s">
        <v>12241</v>
      </c>
      <c r="V332" t="s">
        <v>15230</v>
      </c>
    </row>
    <row r="333" spans="1:22" hidden="1">
      <c r="A333" t="s">
        <v>15359</v>
      </c>
      <c r="B333" t="s">
        <v>15441</v>
      </c>
      <c r="C333" t="s">
        <v>15449</v>
      </c>
      <c r="D333" t="s">
        <v>332</v>
      </c>
      <c r="E333" t="s">
        <v>3425</v>
      </c>
      <c r="F333" t="s">
        <v>3426</v>
      </c>
      <c r="G333" s="3">
        <v>36.451136243755798</v>
      </c>
      <c r="H333" s="3">
        <v>126.591664353466</v>
      </c>
      <c r="I333" t="s">
        <v>4099</v>
      </c>
      <c r="J333" t="s">
        <v>7458</v>
      </c>
      <c r="K333" t="s">
        <v>10706</v>
      </c>
      <c r="L333" t="s">
        <v>3366</v>
      </c>
      <c r="M333" t="s">
        <v>11912</v>
      </c>
      <c r="N333" t="s">
        <v>3364</v>
      </c>
      <c r="O333" t="s">
        <v>3362</v>
      </c>
      <c r="P333" t="s">
        <v>3360</v>
      </c>
      <c r="Q333" t="s">
        <v>3362</v>
      </c>
      <c r="R333" t="s">
        <v>3358</v>
      </c>
      <c r="S333" t="s">
        <v>15211</v>
      </c>
      <c r="T333" t="s">
        <v>3382</v>
      </c>
      <c r="U333" t="s">
        <v>12242</v>
      </c>
      <c r="V333" t="s">
        <v>15231</v>
      </c>
    </row>
    <row r="334" spans="1:22" hidden="1">
      <c r="A334" t="s">
        <v>15359</v>
      </c>
      <c r="B334" t="s">
        <v>15442</v>
      </c>
      <c r="C334" t="s">
        <v>15450</v>
      </c>
      <c r="D334" t="s">
        <v>333</v>
      </c>
      <c r="E334" t="s">
        <v>3425</v>
      </c>
      <c r="F334" t="s">
        <v>3476</v>
      </c>
      <c r="G334" s="3">
        <v>36.451136354311501</v>
      </c>
      <c r="H334" s="3">
        <v>126.591664094495</v>
      </c>
      <c r="I334" t="s">
        <v>4100</v>
      </c>
      <c r="J334" t="s">
        <v>7459</v>
      </c>
      <c r="K334" t="s">
        <v>10536</v>
      </c>
      <c r="L334" t="s">
        <v>3366</v>
      </c>
      <c r="M334" t="s">
        <v>11894</v>
      </c>
      <c r="N334" t="s">
        <v>3364</v>
      </c>
      <c r="O334" t="s">
        <v>3362</v>
      </c>
      <c r="P334" t="s">
        <v>15211</v>
      </c>
      <c r="Q334" t="s">
        <v>15211</v>
      </c>
      <c r="R334" t="s">
        <v>15211</v>
      </c>
      <c r="S334" t="s">
        <v>15211</v>
      </c>
      <c r="T334" t="s">
        <v>3370</v>
      </c>
      <c r="U334" t="s">
        <v>12243</v>
      </c>
      <c r="V334" t="s">
        <v>15232</v>
      </c>
    </row>
    <row r="335" spans="1:22" hidden="1">
      <c r="A335" t="s">
        <v>15359</v>
      </c>
      <c r="B335" t="s">
        <v>15442</v>
      </c>
      <c r="C335" t="s">
        <v>15451</v>
      </c>
      <c r="D335" t="s">
        <v>334</v>
      </c>
      <c r="E335" t="s">
        <v>3439</v>
      </c>
      <c r="F335" t="s">
        <v>3427</v>
      </c>
      <c r="G335" s="3">
        <v>36.451136294248599</v>
      </c>
      <c r="H335" s="3">
        <v>126.59166418077299</v>
      </c>
      <c r="I335" t="s">
        <v>4101</v>
      </c>
      <c r="J335" t="s">
        <v>7460</v>
      </c>
      <c r="K335" t="s">
        <v>10734</v>
      </c>
      <c r="L335" t="s">
        <v>3366</v>
      </c>
      <c r="M335" t="s">
        <v>11907</v>
      </c>
      <c r="N335" t="s">
        <v>3366</v>
      </c>
      <c r="O335" t="s">
        <v>3363</v>
      </c>
      <c r="P335" t="s">
        <v>3363</v>
      </c>
      <c r="Q335" t="s">
        <v>3363</v>
      </c>
      <c r="R335" t="s">
        <v>15211</v>
      </c>
      <c r="S335" t="s">
        <v>15211</v>
      </c>
      <c r="T335" t="s">
        <v>3387</v>
      </c>
      <c r="U335" t="s">
        <v>12244</v>
      </c>
      <c r="V335" t="s">
        <v>15234</v>
      </c>
    </row>
    <row r="336" spans="1:22" hidden="1">
      <c r="A336" t="s">
        <v>15359</v>
      </c>
      <c r="B336" t="s">
        <v>15443</v>
      </c>
      <c r="C336" t="s">
        <v>15462</v>
      </c>
      <c r="D336" t="s">
        <v>335</v>
      </c>
      <c r="E336" t="s">
        <v>3433</v>
      </c>
      <c r="F336" t="s">
        <v>3564</v>
      </c>
      <c r="G336" s="3">
        <v>36.451136299031504</v>
      </c>
      <c r="H336" s="3">
        <v>126.591664077052</v>
      </c>
      <c r="I336" t="s">
        <v>4102</v>
      </c>
      <c r="J336" t="s">
        <v>7461</v>
      </c>
      <c r="K336" t="s">
        <v>3623</v>
      </c>
      <c r="L336" t="s">
        <v>3424</v>
      </c>
      <c r="M336" t="s">
        <v>11888</v>
      </c>
      <c r="N336" t="s">
        <v>3364</v>
      </c>
      <c r="O336" t="s">
        <v>15211</v>
      </c>
      <c r="P336" t="s">
        <v>3363</v>
      </c>
      <c r="Q336" t="s">
        <v>3362</v>
      </c>
      <c r="R336" t="s">
        <v>15211</v>
      </c>
      <c r="S336" t="s">
        <v>15211</v>
      </c>
      <c r="T336" t="s">
        <v>3377</v>
      </c>
      <c r="U336" t="s">
        <v>12245</v>
      </c>
      <c r="V336" t="s">
        <v>15238</v>
      </c>
    </row>
    <row r="337" spans="1:22" hidden="1">
      <c r="A337" t="s">
        <v>15359</v>
      </c>
      <c r="B337" t="s">
        <v>15442</v>
      </c>
      <c r="C337" t="s">
        <v>15445</v>
      </c>
      <c r="D337" t="s">
        <v>336</v>
      </c>
      <c r="E337" t="s">
        <v>3438</v>
      </c>
      <c r="F337" t="s">
        <v>3434</v>
      </c>
      <c r="G337" s="3">
        <v>36.451136279050097</v>
      </c>
      <c r="H337" s="3">
        <v>126.59166415078499</v>
      </c>
      <c r="I337" t="s">
        <v>4103</v>
      </c>
      <c r="J337" t="s">
        <v>7462</v>
      </c>
      <c r="K337" t="s">
        <v>10735</v>
      </c>
      <c r="L337" t="s">
        <v>3366</v>
      </c>
      <c r="M337" t="s">
        <v>11895</v>
      </c>
      <c r="N337" t="s">
        <v>3365</v>
      </c>
      <c r="O337" t="s">
        <v>3362</v>
      </c>
      <c r="P337" t="s">
        <v>15211</v>
      </c>
      <c r="Q337" t="s">
        <v>15211</v>
      </c>
      <c r="R337" t="s">
        <v>15211</v>
      </c>
      <c r="S337" t="s">
        <v>15211</v>
      </c>
      <c r="T337" t="s">
        <v>3371</v>
      </c>
      <c r="U337" t="s">
        <v>12246</v>
      </c>
      <c r="V337" t="s">
        <v>15233</v>
      </c>
    </row>
    <row r="338" spans="1:22" hidden="1">
      <c r="A338" t="s">
        <v>15360</v>
      </c>
      <c r="B338" t="s">
        <v>15441</v>
      </c>
      <c r="C338" t="s">
        <v>15445</v>
      </c>
      <c r="D338" t="s">
        <v>337</v>
      </c>
      <c r="E338" t="s">
        <v>3428</v>
      </c>
      <c r="F338" t="s">
        <v>3429</v>
      </c>
      <c r="G338" s="3">
        <v>36.172760603274497</v>
      </c>
      <c r="H338" s="3">
        <v>126.613736353588</v>
      </c>
      <c r="I338" t="s">
        <v>4104</v>
      </c>
      <c r="J338" t="s">
        <v>7463</v>
      </c>
      <c r="K338" t="s">
        <v>10554</v>
      </c>
      <c r="L338" t="s">
        <v>3366</v>
      </c>
      <c r="M338" t="s">
        <v>11895</v>
      </c>
      <c r="N338" t="s">
        <v>3365</v>
      </c>
      <c r="O338" t="s">
        <v>3362</v>
      </c>
      <c r="P338" t="s">
        <v>15211</v>
      </c>
      <c r="Q338" t="s">
        <v>15211</v>
      </c>
      <c r="R338" t="s">
        <v>15211</v>
      </c>
      <c r="S338" t="s">
        <v>15211</v>
      </c>
      <c r="T338" t="s">
        <v>3371</v>
      </c>
      <c r="U338" t="s">
        <v>12247</v>
      </c>
      <c r="V338" t="s">
        <v>15228</v>
      </c>
    </row>
    <row r="339" spans="1:22" hidden="1">
      <c r="A339" t="s">
        <v>15360</v>
      </c>
      <c r="B339" t="s">
        <v>15441</v>
      </c>
      <c r="C339" t="s">
        <v>15446</v>
      </c>
      <c r="D339" t="s">
        <v>338</v>
      </c>
      <c r="E339" t="s">
        <v>3428</v>
      </c>
      <c r="F339" t="s">
        <v>3435</v>
      </c>
      <c r="G339" s="3">
        <v>36.172760608195198</v>
      </c>
      <c r="H339" s="3">
        <v>126.613736387551</v>
      </c>
      <c r="I339" t="s">
        <v>4105</v>
      </c>
      <c r="J339" t="s">
        <v>7464</v>
      </c>
      <c r="K339" t="s">
        <v>10736</v>
      </c>
      <c r="L339" t="s">
        <v>3366</v>
      </c>
      <c r="M339" t="s">
        <v>11895</v>
      </c>
      <c r="N339" t="s">
        <v>3365</v>
      </c>
      <c r="O339" t="s">
        <v>3362</v>
      </c>
      <c r="P339" t="s">
        <v>15211</v>
      </c>
      <c r="Q339" t="s">
        <v>15211</v>
      </c>
      <c r="R339" t="s">
        <v>15211</v>
      </c>
      <c r="S339" t="s">
        <v>15211</v>
      </c>
      <c r="T339" t="s">
        <v>3371</v>
      </c>
      <c r="U339" t="s">
        <v>12248</v>
      </c>
      <c r="V339" t="s">
        <v>15229</v>
      </c>
    </row>
    <row r="340" spans="1:22" hidden="1">
      <c r="A340" t="s">
        <v>15360</v>
      </c>
      <c r="B340" t="s">
        <v>15441</v>
      </c>
      <c r="C340" t="s">
        <v>15447</v>
      </c>
      <c r="D340" t="s">
        <v>339</v>
      </c>
      <c r="E340" t="s">
        <v>3425</v>
      </c>
      <c r="F340" t="s">
        <v>3442</v>
      </c>
      <c r="G340" s="3">
        <v>36.172760637164899</v>
      </c>
      <c r="H340" s="3">
        <v>126.61373638194701</v>
      </c>
      <c r="I340" t="s">
        <v>4106</v>
      </c>
      <c r="J340" t="s">
        <v>7465</v>
      </c>
      <c r="K340" t="s">
        <v>10737</v>
      </c>
      <c r="L340" t="s">
        <v>3366</v>
      </c>
      <c r="M340" t="s">
        <v>11900</v>
      </c>
      <c r="N340" t="s">
        <v>3365</v>
      </c>
      <c r="O340" t="s">
        <v>15211</v>
      </c>
      <c r="P340" t="s">
        <v>15211</v>
      </c>
      <c r="Q340" t="s">
        <v>15211</v>
      </c>
      <c r="R340" t="s">
        <v>15211</v>
      </c>
      <c r="S340" t="s">
        <v>15211</v>
      </c>
      <c r="T340" t="s">
        <v>3365</v>
      </c>
      <c r="U340" t="s">
        <v>12249</v>
      </c>
      <c r="V340" t="s">
        <v>15235</v>
      </c>
    </row>
    <row r="341" spans="1:22" hidden="1">
      <c r="A341" t="s">
        <v>15360</v>
      </c>
      <c r="B341" t="s">
        <v>15441</v>
      </c>
      <c r="C341" t="s">
        <v>15448</v>
      </c>
      <c r="D341" t="s">
        <v>340</v>
      </c>
      <c r="E341" t="s">
        <v>3429</v>
      </c>
      <c r="F341" t="s">
        <v>3484</v>
      </c>
      <c r="G341" s="3">
        <v>36.172760618594602</v>
      </c>
      <c r="H341" s="3">
        <v>126.613736415814</v>
      </c>
      <c r="I341" t="s">
        <v>4107</v>
      </c>
      <c r="J341" t="s">
        <v>7466</v>
      </c>
      <c r="K341" t="s">
        <v>10655</v>
      </c>
      <c r="L341" t="s">
        <v>3366</v>
      </c>
      <c r="M341" t="s">
        <v>11906</v>
      </c>
      <c r="N341" t="s">
        <v>3365</v>
      </c>
      <c r="O341" t="s">
        <v>3362</v>
      </c>
      <c r="P341" t="s">
        <v>3366</v>
      </c>
      <c r="Q341" t="s">
        <v>3361</v>
      </c>
      <c r="R341" t="s">
        <v>3358</v>
      </c>
      <c r="S341" t="s">
        <v>15211</v>
      </c>
      <c r="T341" t="s">
        <v>3388</v>
      </c>
      <c r="U341" t="s">
        <v>12250</v>
      </c>
      <c r="V341" t="s">
        <v>15230</v>
      </c>
    </row>
    <row r="342" spans="1:22" hidden="1">
      <c r="A342" t="s">
        <v>15360</v>
      </c>
      <c r="B342" t="s">
        <v>15441</v>
      </c>
      <c r="C342" t="s">
        <v>15449</v>
      </c>
      <c r="D342" t="s">
        <v>341</v>
      </c>
      <c r="E342" t="s">
        <v>3425</v>
      </c>
      <c r="F342" t="s">
        <v>3461</v>
      </c>
      <c r="G342" s="3">
        <v>36.172760645373799</v>
      </c>
      <c r="H342" s="3">
        <v>126.613736372948</v>
      </c>
      <c r="I342" t="s">
        <v>4108</v>
      </c>
      <c r="J342" t="s">
        <v>7467</v>
      </c>
      <c r="K342" t="s">
        <v>10738</v>
      </c>
      <c r="L342" t="s">
        <v>3366</v>
      </c>
      <c r="M342" t="s">
        <v>11893</v>
      </c>
      <c r="N342" t="s">
        <v>3364</v>
      </c>
      <c r="O342" t="s">
        <v>15211</v>
      </c>
      <c r="P342" t="s">
        <v>3366</v>
      </c>
      <c r="Q342" t="s">
        <v>3361</v>
      </c>
      <c r="R342" t="s">
        <v>3358</v>
      </c>
      <c r="S342" t="s">
        <v>15211</v>
      </c>
      <c r="T342" t="s">
        <v>3381</v>
      </c>
      <c r="U342" t="s">
        <v>12251</v>
      </c>
      <c r="V342" t="s">
        <v>15231</v>
      </c>
    </row>
    <row r="343" spans="1:22" hidden="1">
      <c r="A343" t="s">
        <v>15360</v>
      </c>
      <c r="B343" t="s">
        <v>15442</v>
      </c>
      <c r="C343" t="s">
        <v>15450</v>
      </c>
      <c r="D343" t="s">
        <v>342</v>
      </c>
      <c r="E343" t="s">
        <v>3450</v>
      </c>
      <c r="F343" t="s">
        <v>3484</v>
      </c>
      <c r="G343" s="3">
        <v>36.172760683793598</v>
      </c>
      <c r="H343" s="3">
        <v>126.613735590525</v>
      </c>
      <c r="I343" t="s">
        <v>4109</v>
      </c>
      <c r="J343" t="s">
        <v>7468</v>
      </c>
      <c r="K343" t="s">
        <v>10739</v>
      </c>
      <c r="L343" t="s">
        <v>3415</v>
      </c>
      <c r="M343" t="s">
        <v>11895</v>
      </c>
      <c r="N343" t="s">
        <v>3365</v>
      </c>
      <c r="O343" t="s">
        <v>3362</v>
      </c>
      <c r="P343" t="s">
        <v>15211</v>
      </c>
      <c r="Q343" t="s">
        <v>15211</v>
      </c>
      <c r="R343" t="s">
        <v>15211</v>
      </c>
      <c r="S343" t="s">
        <v>15211</v>
      </c>
      <c r="T343" t="s">
        <v>3371</v>
      </c>
      <c r="U343" t="s">
        <v>12252</v>
      </c>
      <c r="V343" t="s">
        <v>15232</v>
      </c>
    </row>
    <row r="344" spans="1:22" hidden="1">
      <c r="A344" t="s">
        <v>15360</v>
      </c>
      <c r="B344" t="s">
        <v>15442</v>
      </c>
      <c r="C344" t="s">
        <v>15445</v>
      </c>
      <c r="D344" t="s">
        <v>343</v>
      </c>
      <c r="E344" t="s">
        <v>3438</v>
      </c>
      <c r="F344" t="s">
        <v>3434</v>
      </c>
      <c r="G344" s="3">
        <v>36.172760646588799</v>
      </c>
      <c r="H344" s="3">
        <v>126.613736363466</v>
      </c>
      <c r="I344" t="s">
        <v>4110</v>
      </c>
      <c r="J344" t="s">
        <v>7469</v>
      </c>
      <c r="K344" t="s">
        <v>10740</v>
      </c>
      <c r="L344" t="s">
        <v>3366</v>
      </c>
      <c r="M344" t="s">
        <v>11895</v>
      </c>
      <c r="N344" t="s">
        <v>3365</v>
      </c>
      <c r="O344" t="s">
        <v>3362</v>
      </c>
      <c r="P344" t="s">
        <v>15211</v>
      </c>
      <c r="Q344" t="s">
        <v>15211</v>
      </c>
      <c r="R344" t="s">
        <v>15211</v>
      </c>
      <c r="S344" t="s">
        <v>15211</v>
      </c>
      <c r="T344" t="s">
        <v>3371</v>
      </c>
      <c r="U344" t="s">
        <v>12253</v>
      </c>
      <c r="V344" t="s">
        <v>15233</v>
      </c>
    </row>
    <row r="345" spans="1:22" hidden="1">
      <c r="A345" t="s">
        <v>15360</v>
      </c>
      <c r="B345" t="s">
        <v>15442</v>
      </c>
      <c r="C345" t="s">
        <v>15451</v>
      </c>
      <c r="D345" t="s">
        <v>344</v>
      </c>
      <c r="E345" t="s">
        <v>3440</v>
      </c>
      <c r="F345" t="s">
        <v>3434</v>
      </c>
      <c r="G345" s="3">
        <v>36.1727606311836</v>
      </c>
      <c r="H345" s="3">
        <v>126.61373642018199</v>
      </c>
      <c r="I345" t="s">
        <v>4111</v>
      </c>
      <c r="J345" t="s">
        <v>7470</v>
      </c>
      <c r="K345" t="s">
        <v>10741</v>
      </c>
      <c r="L345" t="s">
        <v>3366</v>
      </c>
      <c r="M345" t="s">
        <v>11910</v>
      </c>
      <c r="N345" t="s">
        <v>3365</v>
      </c>
      <c r="O345" t="s">
        <v>3362</v>
      </c>
      <c r="P345" t="s">
        <v>3366</v>
      </c>
      <c r="Q345" t="s">
        <v>3359</v>
      </c>
      <c r="R345" t="s">
        <v>15211</v>
      </c>
      <c r="S345" t="s">
        <v>15211</v>
      </c>
      <c r="T345" t="s">
        <v>3384</v>
      </c>
      <c r="U345" t="s">
        <v>12254</v>
      </c>
      <c r="V345" t="s">
        <v>15234</v>
      </c>
    </row>
    <row r="346" spans="1:22">
      <c r="A346" t="s">
        <v>15360</v>
      </c>
      <c r="B346" t="s">
        <v>15443</v>
      </c>
      <c r="C346" t="s">
        <v>15452</v>
      </c>
      <c r="D346" t="s">
        <v>345</v>
      </c>
      <c r="E346" t="s">
        <v>3427</v>
      </c>
      <c r="F346" t="s">
        <v>3465</v>
      </c>
      <c r="G346" s="3">
        <v>36.172760456261997</v>
      </c>
      <c r="H346" s="3">
        <v>126.61373673199201</v>
      </c>
      <c r="I346" t="s">
        <v>4112</v>
      </c>
      <c r="J346" t="s">
        <v>7471</v>
      </c>
      <c r="K346" t="s">
        <v>10735</v>
      </c>
      <c r="L346" t="s">
        <v>3366</v>
      </c>
      <c r="M346" t="s">
        <v>11889</v>
      </c>
      <c r="N346" t="s">
        <v>3364</v>
      </c>
      <c r="O346" t="s">
        <v>15211</v>
      </c>
      <c r="P346" t="s">
        <v>3364</v>
      </c>
      <c r="Q346" t="s">
        <v>3361</v>
      </c>
      <c r="R346" t="s">
        <v>15211</v>
      </c>
      <c r="S346" t="s">
        <v>15211</v>
      </c>
      <c r="T346" t="s">
        <v>3377</v>
      </c>
      <c r="U346" t="s">
        <v>12255</v>
      </c>
      <c r="V346" t="s">
        <v>15220</v>
      </c>
    </row>
    <row r="347" spans="1:22" hidden="1">
      <c r="A347" t="s">
        <v>15361</v>
      </c>
      <c r="B347" t="s">
        <v>15441</v>
      </c>
      <c r="C347" t="s">
        <v>15445</v>
      </c>
      <c r="D347" t="s">
        <v>346</v>
      </c>
      <c r="E347" t="s">
        <v>3428</v>
      </c>
      <c r="F347" t="s">
        <v>3453</v>
      </c>
      <c r="G347" s="3">
        <v>35.701510012076</v>
      </c>
      <c r="H347" s="3">
        <v>126.788694280781</v>
      </c>
      <c r="I347" t="s">
        <v>4113</v>
      </c>
      <c r="J347" t="s">
        <v>7472</v>
      </c>
      <c r="K347" t="s">
        <v>10742</v>
      </c>
      <c r="L347" t="s">
        <v>3366</v>
      </c>
      <c r="M347" t="s">
        <v>11885</v>
      </c>
      <c r="N347" t="s">
        <v>3363</v>
      </c>
      <c r="O347" t="s">
        <v>3361</v>
      </c>
      <c r="P347" t="s">
        <v>15211</v>
      </c>
      <c r="Q347" t="s">
        <v>15211</v>
      </c>
      <c r="R347" t="s">
        <v>15211</v>
      </c>
      <c r="S347" t="s">
        <v>15211</v>
      </c>
      <c r="T347" t="s">
        <v>3368</v>
      </c>
      <c r="U347" t="s">
        <v>12256</v>
      </c>
      <c r="V347" t="s">
        <v>15228</v>
      </c>
    </row>
    <row r="348" spans="1:22" hidden="1">
      <c r="A348" t="s">
        <v>15361</v>
      </c>
      <c r="B348" t="s">
        <v>15441</v>
      </c>
      <c r="C348" t="s">
        <v>15446</v>
      </c>
      <c r="D348" t="s">
        <v>347</v>
      </c>
      <c r="E348" t="s">
        <v>3429</v>
      </c>
      <c r="F348" t="s">
        <v>3511</v>
      </c>
      <c r="G348" s="3">
        <v>35.701510062873602</v>
      </c>
      <c r="H348" s="3">
        <v>126.78869423539599</v>
      </c>
      <c r="I348" t="s">
        <v>4114</v>
      </c>
      <c r="J348" t="s">
        <v>7473</v>
      </c>
      <c r="K348" t="s">
        <v>10743</v>
      </c>
      <c r="L348" t="s">
        <v>3366</v>
      </c>
      <c r="M348" t="s">
        <v>11885</v>
      </c>
      <c r="N348" t="s">
        <v>3363</v>
      </c>
      <c r="O348" t="s">
        <v>3361</v>
      </c>
      <c r="P348" t="s">
        <v>15211</v>
      </c>
      <c r="Q348" t="s">
        <v>15211</v>
      </c>
      <c r="R348" t="s">
        <v>15211</v>
      </c>
      <c r="S348" t="s">
        <v>15211</v>
      </c>
      <c r="T348" t="s">
        <v>3368</v>
      </c>
      <c r="U348" t="s">
        <v>12257</v>
      </c>
      <c r="V348" t="s">
        <v>15229</v>
      </c>
    </row>
    <row r="349" spans="1:22" hidden="1">
      <c r="A349" t="s">
        <v>15361</v>
      </c>
      <c r="B349" t="s">
        <v>15441</v>
      </c>
      <c r="C349" t="s">
        <v>15447</v>
      </c>
      <c r="D349" t="s">
        <v>348</v>
      </c>
      <c r="E349" t="s">
        <v>3428</v>
      </c>
      <c r="F349" t="s">
        <v>3433</v>
      </c>
      <c r="G349" s="3">
        <v>35.701510096401201</v>
      </c>
      <c r="H349" s="3">
        <v>126.788694170016</v>
      </c>
      <c r="I349" t="s">
        <v>4115</v>
      </c>
      <c r="J349" t="s">
        <v>7474</v>
      </c>
      <c r="K349" t="s">
        <v>10744</v>
      </c>
      <c r="L349" t="s">
        <v>3366</v>
      </c>
      <c r="M349" t="s">
        <v>11887</v>
      </c>
      <c r="N349" t="s">
        <v>3363</v>
      </c>
      <c r="O349" t="s">
        <v>15211</v>
      </c>
      <c r="P349" t="s">
        <v>15211</v>
      </c>
      <c r="Q349" t="s">
        <v>15211</v>
      </c>
      <c r="R349" t="s">
        <v>15211</v>
      </c>
      <c r="S349" t="s">
        <v>15211</v>
      </c>
      <c r="T349" t="s">
        <v>3363</v>
      </c>
      <c r="U349" t="s">
        <v>12258</v>
      </c>
      <c r="V349" t="s">
        <v>15235</v>
      </c>
    </row>
    <row r="350" spans="1:22" hidden="1">
      <c r="A350" t="s">
        <v>15361</v>
      </c>
      <c r="B350" t="s">
        <v>15441</v>
      </c>
      <c r="C350" t="s">
        <v>15448</v>
      </c>
      <c r="D350" t="s">
        <v>349</v>
      </c>
      <c r="E350" t="s">
        <v>3441</v>
      </c>
      <c r="F350" t="s">
        <v>3515</v>
      </c>
      <c r="G350" s="3">
        <v>35.701510105779001</v>
      </c>
      <c r="H350" s="3">
        <v>126.78869420607199</v>
      </c>
      <c r="I350" t="s">
        <v>4116</v>
      </c>
      <c r="J350" t="s">
        <v>7475</v>
      </c>
      <c r="K350" t="s">
        <v>10745</v>
      </c>
      <c r="L350" t="s">
        <v>3366</v>
      </c>
      <c r="M350" t="s">
        <v>11914</v>
      </c>
      <c r="N350" t="s">
        <v>3364</v>
      </c>
      <c r="O350" t="s">
        <v>3362</v>
      </c>
      <c r="P350" t="s">
        <v>3363</v>
      </c>
      <c r="Q350" t="s">
        <v>3360</v>
      </c>
      <c r="R350" t="s">
        <v>3358</v>
      </c>
      <c r="S350" t="s">
        <v>15211</v>
      </c>
      <c r="T350" t="s">
        <v>3383</v>
      </c>
      <c r="U350" t="s">
        <v>12259</v>
      </c>
      <c r="V350" t="s">
        <v>15230</v>
      </c>
    </row>
    <row r="351" spans="1:22" hidden="1">
      <c r="A351" t="s">
        <v>15361</v>
      </c>
      <c r="B351" t="s">
        <v>15441</v>
      </c>
      <c r="C351" t="s">
        <v>15449</v>
      </c>
      <c r="D351" t="s">
        <v>350</v>
      </c>
      <c r="E351" t="s">
        <v>3434</v>
      </c>
      <c r="F351" t="s">
        <v>3426</v>
      </c>
      <c r="G351" s="3">
        <v>35.701510237793997</v>
      </c>
      <c r="H351" s="3">
        <v>126.788694212962</v>
      </c>
      <c r="I351" t="s">
        <v>4117</v>
      </c>
      <c r="J351" t="s">
        <v>7476</v>
      </c>
      <c r="K351" t="s">
        <v>10746</v>
      </c>
      <c r="L351" t="s">
        <v>3366</v>
      </c>
      <c r="M351" t="s">
        <v>11893</v>
      </c>
      <c r="N351" t="s">
        <v>3364</v>
      </c>
      <c r="O351" t="s">
        <v>3360</v>
      </c>
      <c r="P351" t="s">
        <v>3363</v>
      </c>
      <c r="Q351" t="s">
        <v>3360</v>
      </c>
      <c r="R351" t="s">
        <v>3358</v>
      </c>
      <c r="S351" t="s">
        <v>15211</v>
      </c>
      <c r="T351" t="s">
        <v>3381</v>
      </c>
      <c r="U351" t="s">
        <v>12260</v>
      </c>
      <c r="V351" t="s">
        <v>15231</v>
      </c>
    </row>
    <row r="352" spans="1:22" hidden="1">
      <c r="A352" t="s">
        <v>15361</v>
      </c>
      <c r="B352" t="s">
        <v>15442</v>
      </c>
      <c r="C352" t="s">
        <v>15445</v>
      </c>
      <c r="D352" t="s">
        <v>351</v>
      </c>
      <c r="E352" t="s">
        <v>3428</v>
      </c>
      <c r="F352" t="s">
        <v>3432</v>
      </c>
      <c r="G352" s="3">
        <v>35.701510337111102</v>
      </c>
      <c r="H352" s="3">
        <v>126.788694350873</v>
      </c>
      <c r="I352" t="s">
        <v>4118</v>
      </c>
      <c r="J352" t="s">
        <v>7477</v>
      </c>
      <c r="K352" t="s">
        <v>10747</v>
      </c>
      <c r="L352" t="s">
        <v>3366</v>
      </c>
      <c r="M352" t="s">
        <v>11890</v>
      </c>
      <c r="N352" t="s">
        <v>3364</v>
      </c>
      <c r="O352" t="s">
        <v>3361</v>
      </c>
      <c r="P352" t="s">
        <v>15211</v>
      </c>
      <c r="Q352" t="s">
        <v>15211</v>
      </c>
      <c r="R352" t="s">
        <v>15211</v>
      </c>
      <c r="S352" t="s">
        <v>15211</v>
      </c>
      <c r="T352" t="s">
        <v>3369</v>
      </c>
      <c r="U352" t="s">
        <v>12261</v>
      </c>
      <c r="V352" t="s">
        <v>15233</v>
      </c>
    </row>
    <row r="353" spans="1:22" hidden="1">
      <c r="A353" t="s">
        <v>15361</v>
      </c>
      <c r="B353" t="s">
        <v>15442</v>
      </c>
      <c r="C353" t="s">
        <v>15451</v>
      </c>
      <c r="D353" t="s">
        <v>352</v>
      </c>
      <c r="E353" t="s">
        <v>3438</v>
      </c>
      <c r="F353" t="s">
        <v>3429</v>
      </c>
      <c r="G353" s="3">
        <v>35.701510311615003</v>
      </c>
      <c r="H353" s="3">
        <v>126.788694452679</v>
      </c>
      <c r="I353" t="s">
        <v>4119</v>
      </c>
      <c r="J353" t="s">
        <v>7478</v>
      </c>
      <c r="K353" t="s">
        <v>10748</v>
      </c>
      <c r="L353" t="s">
        <v>3366</v>
      </c>
      <c r="M353" t="s">
        <v>11891</v>
      </c>
      <c r="N353" t="s">
        <v>3364</v>
      </c>
      <c r="O353" t="s">
        <v>3362</v>
      </c>
      <c r="P353" t="s">
        <v>3364</v>
      </c>
      <c r="Q353" t="s">
        <v>3358</v>
      </c>
      <c r="R353" t="s">
        <v>15211</v>
      </c>
      <c r="S353" t="s">
        <v>15211</v>
      </c>
      <c r="T353" t="s">
        <v>3380</v>
      </c>
      <c r="U353" t="s">
        <v>12262</v>
      </c>
      <c r="V353" t="s">
        <v>15234</v>
      </c>
    </row>
    <row r="354" spans="1:22">
      <c r="A354" t="s">
        <v>15361</v>
      </c>
      <c r="B354" t="s">
        <v>15443</v>
      </c>
      <c r="C354" t="s">
        <v>15452</v>
      </c>
      <c r="D354" t="s">
        <v>353</v>
      </c>
      <c r="E354" t="s">
        <v>3435</v>
      </c>
      <c r="F354" t="s">
        <v>3476</v>
      </c>
      <c r="G354" s="3">
        <v>35.7015103173784</v>
      </c>
      <c r="H354" s="3">
        <v>126.788694007114</v>
      </c>
      <c r="I354" t="s">
        <v>4120</v>
      </c>
      <c r="J354" t="s">
        <v>7479</v>
      </c>
      <c r="K354" t="s">
        <v>10749</v>
      </c>
      <c r="L354" t="s">
        <v>3371</v>
      </c>
      <c r="M354" t="s">
        <v>11898</v>
      </c>
      <c r="N354" t="s">
        <v>3363</v>
      </c>
      <c r="O354" t="s">
        <v>15211</v>
      </c>
      <c r="P354" t="s">
        <v>3363</v>
      </c>
      <c r="Q354" t="s">
        <v>3359</v>
      </c>
      <c r="R354" t="s">
        <v>15211</v>
      </c>
      <c r="S354" t="s">
        <v>15211</v>
      </c>
      <c r="T354" t="s">
        <v>3373</v>
      </c>
      <c r="U354" t="s">
        <v>12263</v>
      </c>
      <c r="V354" t="s">
        <v>15220</v>
      </c>
    </row>
    <row r="355" spans="1:22" hidden="1">
      <c r="A355" t="s">
        <v>15362</v>
      </c>
      <c r="B355" t="s">
        <v>15441</v>
      </c>
      <c r="C355" t="s">
        <v>15445</v>
      </c>
      <c r="D355" t="s">
        <v>354</v>
      </c>
      <c r="E355" t="s">
        <v>3440</v>
      </c>
      <c r="F355" t="s">
        <v>3436</v>
      </c>
      <c r="G355" s="3">
        <v>35.669863412492298</v>
      </c>
      <c r="H355" s="3">
        <v>126.679280907471</v>
      </c>
      <c r="I355" t="s">
        <v>4121</v>
      </c>
      <c r="J355" t="s">
        <v>7480</v>
      </c>
      <c r="K355" t="s">
        <v>10694</v>
      </c>
      <c r="L355" t="s">
        <v>3366</v>
      </c>
      <c r="M355" t="s">
        <v>11895</v>
      </c>
      <c r="N355" t="s">
        <v>3365</v>
      </c>
      <c r="O355" t="s">
        <v>3362</v>
      </c>
      <c r="P355" t="s">
        <v>15211</v>
      </c>
      <c r="Q355" t="s">
        <v>15211</v>
      </c>
      <c r="R355" t="s">
        <v>15211</v>
      </c>
      <c r="S355" t="s">
        <v>15211</v>
      </c>
      <c r="T355" t="s">
        <v>3371</v>
      </c>
      <c r="U355" t="s">
        <v>12264</v>
      </c>
      <c r="V355" t="s">
        <v>15228</v>
      </c>
    </row>
    <row r="356" spans="1:22" hidden="1">
      <c r="A356" t="s">
        <v>15362</v>
      </c>
      <c r="B356" t="s">
        <v>15441</v>
      </c>
      <c r="C356" t="s">
        <v>15446</v>
      </c>
      <c r="D356" t="s">
        <v>355</v>
      </c>
      <c r="E356" t="s">
        <v>3440</v>
      </c>
      <c r="F356" t="s">
        <v>3436</v>
      </c>
      <c r="G356" s="3">
        <v>35.669863332151998</v>
      </c>
      <c r="H356" s="3">
        <v>126.679280913699</v>
      </c>
      <c r="I356" t="s">
        <v>4122</v>
      </c>
      <c r="J356" t="s">
        <v>7481</v>
      </c>
      <c r="K356" t="s">
        <v>10694</v>
      </c>
      <c r="L356" t="s">
        <v>3366</v>
      </c>
      <c r="M356" t="s">
        <v>11895</v>
      </c>
      <c r="N356" t="s">
        <v>3365</v>
      </c>
      <c r="O356" t="s">
        <v>3362</v>
      </c>
      <c r="P356" t="s">
        <v>15211</v>
      </c>
      <c r="Q356" t="s">
        <v>15211</v>
      </c>
      <c r="R356" t="s">
        <v>15211</v>
      </c>
      <c r="S356" t="s">
        <v>15211</v>
      </c>
      <c r="T356" t="s">
        <v>3371</v>
      </c>
      <c r="U356" t="s">
        <v>12265</v>
      </c>
      <c r="V356" t="s">
        <v>15229</v>
      </c>
    </row>
    <row r="357" spans="1:22" hidden="1">
      <c r="A357" t="s">
        <v>15362</v>
      </c>
      <c r="B357" t="s">
        <v>15441</v>
      </c>
      <c r="C357" t="s">
        <v>15447</v>
      </c>
      <c r="D357" t="s">
        <v>356</v>
      </c>
      <c r="E357" t="s">
        <v>3438</v>
      </c>
      <c r="F357" t="s">
        <v>3425</v>
      </c>
      <c r="G357" s="3">
        <v>35.6698633903885</v>
      </c>
      <c r="H357" s="3">
        <v>126.679280914147</v>
      </c>
      <c r="I357" t="s">
        <v>4123</v>
      </c>
      <c r="J357" t="s">
        <v>7482</v>
      </c>
      <c r="K357" t="s">
        <v>10661</v>
      </c>
      <c r="L357" t="s">
        <v>3366</v>
      </c>
      <c r="M357" t="s">
        <v>11900</v>
      </c>
      <c r="N357" t="s">
        <v>3365</v>
      </c>
      <c r="O357" t="s">
        <v>15211</v>
      </c>
      <c r="P357" t="s">
        <v>15211</v>
      </c>
      <c r="Q357" t="s">
        <v>15211</v>
      </c>
      <c r="R357" t="s">
        <v>15211</v>
      </c>
      <c r="S357" t="s">
        <v>15211</v>
      </c>
      <c r="T357" t="s">
        <v>3365</v>
      </c>
      <c r="U357" t="s">
        <v>12266</v>
      </c>
      <c r="V357" t="s">
        <v>15235</v>
      </c>
    </row>
    <row r="358" spans="1:22" hidden="1">
      <c r="A358" t="s">
        <v>15362</v>
      </c>
      <c r="B358" t="s">
        <v>15441</v>
      </c>
      <c r="C358" t="s">
        <v>15448</v>
      </c>
      <c r="D358" t="s">
        <v>357</v>
      </c>
      <c r="E358" t="s">
        <v>3432</v>
      </c>
      <c r="F358" t="s">
        <v>3476</v>
      </c>
      <c r="G358" s="3">
        <v>35.669863424192698</v>
      </c>
      <c r="H358" s="3">
        <v>126.67928087670199</v>
      </c>
      <c r="I358" t="s">
        <v>4124</v>
      </c>
      <c r="J358" t="s">
        <v>7483</v>
      </c>
      <c r="K358" t="s">
        <v>10750</v>
      </c>
      <c r="L358" t="s">
        <v>3366</v>
      </c>
      <c r="M358" t="s">
        <v>11893</v>
      </c>
      <c r="N358" t="s">
        <v>3365</v>
      </c>
      <c r="O358" t="s">
        <v>3362</v>
      </c>
      <c r="P358" t="s">
        <v>3360</v>
      </c>
      <c r="Q358" t="s">
        <v>3361</v>
      </c>
      <c r="R358" t="s">
        <v>3357</v>
      </c>
      <c r="S358" t="s">
        <v>15211</v>
      </c>
      <c r="T358" t="s">
        <v>3381</v>
      </c>
      <c r="U358" t="s">
        <v>12267</v>
      </c>
      <c r="V358" t="s">
        <v>15230</v>
      </c>
    </row>
    <row r="359" spans="1:22" hidden="1">
      <c r="A359" t="s">
        <v>15362</v>
      </c>
      <c r="B359" t="s">
        <v>15441</v>
      </c>
      <c r="C359" t="s">
        <v>15449</v>
      </c>
      <c r="D359" t="s">
        <v>358</v>
      </c>
      <c r="E359" t="s">
        <v>3441</v>
      </c>
      <c r="F359" t="s">
        <v>3450</v>
      </c>
      <c r="G359" s="3">
        <v>35.6698633380473</v>
      </c>
      <c r="H359" s="3">
        <v>126.67928080298501</v>
      </c>
      <c r="I359" t="s">
        <v>4125</v>
      </c>
      <c r="J359" t="s">
        <v>7484</v>
      </c>
      <c r="K359" t="s">
        <v>10751</v>
      </c>
      <c r="L359" t="s">
        <v>3366</v>
      </c>
      <c r="M359" t="s">
        <v>11896</v>
      </c>
      <c r="N359" t="s">
        <v>3365</v>
      </c>
      <c r="O359" t="s">
        <v>3361</v>
      </c>
      <c r="P359" t="s">
        <v>3359</v>
      </c>
      <c r="Q359" t="s">
        <v>3361</v>
      </c>
      <c r="R359" t="s">
        <v>3357</v>
      </c>
      <c r="S359" t="s">
        <v>15211</v>
      </c>
      <c r="T359" t="s">
        <v>3379</v>
      </c>
      <c r="U359" t="s">
        <v>12268</v>
      </c>
      <c r="V359" t="s">
        <v>15231</v>
      </c>
    </row>
    <row r="360" spans="1:22" hidden="1">
      <c r="A360" t="s">
        <v>15362</v>
      </c>
      <c r="B360" t="s">
        <v>15442</v>
      </c>
      <c r="C360" t="s">
        <v>15450</v>
      </c>
      <c r="D360" t="s">
        <v>359</v>
      </c>
      <c r="E360" t="s">
        <v>3460</v>
      </c>
      <c r="F360" t="s">
        <v>3590</v>
      </c>
      <c r="G360" s="3">
        <v>35.669863233774301</v>
      </c>
      <c r="H360" s="3">
        <v>126.679281122289</v>
      </c>
      <c r="I360" t="s">
        <v>4126</v>
      </c>
      <c r="J360" t="s">
        <v>7485</v>
      </c>
      <c r="K360" t="s">
        <v>3685</v>
      </c>
      <c r="L360" t="s">
        <v>3417</v>
      </c>
      <c r="M360" t="s">
        <v>11903</v>
      </c>
      <c r="N360" t="s">
        <v>3366</v>
      </c>
      <c r="O360" t="s">
        <v>3362</v>
      </c>
      <c r="P360" t="s">
        <v>15211</v>
      </c>
      <c r="Q360" t="s">
        <v>15211</v>
      </c>
      <c r="R360" t="s">
        <v>15211</v>
      </c>
      <c r="S360" t="s">
        <v>15211</v>
      </c>
      <c r="T360" t="s">
        <v>3372</v>
      </c>
      <c r="U360" t="s">
        <v>12269</v>
      </c>
      <c r="V360" t="s">
        <v>15232</v>
      </c>
    </row>
    <row r="361" spans="1:22" hidden="1">
      <c r="A361" t="s">
        <v>15362</v>
      </c>
      <c r="B361" t="s">
        <v>15442</v>
      </c>
      <c r="C361" t="s">
        <v>15445</v>
      </c>
      <c r="D361" t="s">
        <v>360</v>
      </c>
      <c r="E361" t="s">
        <v>3440</v>
      </c>
      <c r="F361" t="s">
        <v>3428</v>
      </c>
      <c r="G361" s="3">
        <v>35.669863352428798</v>
      </c>
      <c r="H361" s="3">
        <v>126.67928094433699</v>
      </c>
      <c r="I361" t="s">
        <v>4127</v>
      </c>
      <c r="J361" t="s">
        <v>7486</v>
      </c>
      <c r="K361" t="s">
        <v>10542</v>
      </c>
      <c r="L361" t="s">
        <v>3366</v>
      </c>
      <c r="M361" t="s">
        <v>11895</v>
      </c>
      <c r="N361" t="s">
        <v>3365</v>
      </c>
      <c r="O361" t="s">
        <v>3362</v>
      </c>
      <c r="P361" t="s">
        <v>15211</v>
      </c>
      <c r="Q361" t="s">
        <v>15211</v>
      </c>
      <c r="R361" t="s">
        <v>15211</v>
      </c>
      <c r="S361" t="s">
        <v>15211</v>
      </c>
      <c r="T361" t="s">
        <v>3371</v>
      </c>
      <c r="U361" t="s">
        <v>12270</v>
      </c>
      <c r="V361" t="s">
        <v>15233</v>
      </c>
    </row>
    <row r="362" spans="1:22" hidden="1">
      <c r="A362" t="s">
        <v>15362</v>
      </c>
      <c r="B362" t="s">
        <v>15442</v>
      </c>
      <c r="C362" t="s">
        <v>15451</v>
      </c>
      <c r="D362" t="s">
        <v>361</v>
      </c>
      <c r="E362" t="s">
        <v>3439</v>
      </c>
      <c r="F362" t="s">
        <v>3427</v>
      </c>
      <c r="G362" s="3">
        <v>35.6698633525262</v>
      </c>
      <c r="H362" s="3">
        <v>126.67928098273801</v>
      </c>
      <c r="I362" t="s">
        <v>4128</v>
      </c>
      <c r="J362" t="s">
        <v>7487</v>
      </c>
      <c r="K362" t="s">
        <v>10752</v>
      </c>
      <c r="L362" t="s">
        <v>3366</v>
      </c>
      <c r="M362" t="s">
        <v>11893</v>
      </c>
      <c r="N362" t="s">
        <v>3366</v>
      </c>
      <c r="O362" t="s">
        <v>3362</v>
      </c>
      <c r="P362" t="s">
        <v>3360</v>
      </c>
      <c r="Q362" t="s">
        <v>3361</v>
      </c>
      <c r="R362" t="s">
        <v>15211</v>
      </c>
      <c r="S362" t="s">
        <v>15211</v>
      </c>
      <c r="T362" t="s">
        <v>3381</v>
      </c>
      <c r="U362" t="s">
        <v>12271</v>
      </c>
      <c r="V362" t="s">
        <v>15234</v>
      </c>
    </row>
    <row r="363" spans="1:22">
      <c r="A363" t="s">
        <v>15362</v>
      </c>
      <c r="B363" t="s">
        <v>15443</v>
      </c>
      <c r="C363" t="s">
        <v>15452</v>
      </c>
      <c r="D363" t="s">
        <v>362</v>
      </c>
      <c r="E363" t="s">
        <v>3436</v>
      </c>
      <c r="F363" t="s">
        <v>3453</v>
      </c>
      <c r="G363" s="3">
        <v>35.669863278806801</v>
      </c>
      <c r="H363" s="3">
        <v>126.679280835868</v>
      </c>
      <c r="I363" t="s">
        <v>4129</v>
      </c>
      <c r="J363" t="s">
        <v>7488</v>
      </c>
      <c r="K363" t="s">
        <v>10753</v>
      </c>
      <c r="L363" t="s">
        <v>3366</v>
      </c>
      <c r="M363" t="s">
        <v>11901</v>
      </c>
      <c r="N363" t="s">
        <v>3364</v>
      </c>
      <c r="O363" t="s">
        <v>15211</v>
      </c>
      <c r="P363" t="s">
        <v>3360</v>
      </c>
      <c r="Q363" t="s">
        <v>3361</v>
      </c>
      <c r="R363" t="s">
        <v>15211</v>
      </c>
      <c r="S363" t="s">
        <v>15211</v>
      </c>
      <c r="T363" t="s">
        <v>3373</v>
      </c>
      <c r="U363" t="s">
        <v>12272</v>
      </c>
      <c r="V363" t="s">
        <v>15220</v>
      </c>
    </row>
    <row r="364" spans="1:22" hidden="1">
      <c r="A364" t="s">
        <v>15400</v>
      </c>
      <c r="B364" t="s">
        <v>15441</v>
      </c>
      <c r="C364" t="s">
        <v>15448</v>
      </c>
      <c r="D364" t="s">
        <v>2957</v>
      </c>
      <c r="E364" t="s">
        <v>3452</v>
      </c>
      <c r="F364" t="s">
        <v>3476</v>
      </c>
      <c r="G364" s="3">
        <v>37.347086264351397</v>
      </c>
      <c r="H364" s="3">
        <v>127.84597238127201</v>
      </c>
      <c r="I364" t="s">
        <v>6727</v>
      </c>
      <c r="J364" t="s">
        <v>10083</v>
      </c>
      <c r="K364" t="s">
        <v>11665</v>
      </c>
      <c r="L364" t="s">
        <v>3366</v>
      </c>
      <c r="M364" t="s">
        <v>11908</v>
      </c>
      <c r="N364" t="s">
        <v>3363</v>
      </c>
      <c r="O364" t="s">
        <v>3360</v>
      </c>
      <c r="P364" t="s">
        <v>3362</v>
      </c>
      <c r="Q364" t="s">
        <v>3358</v>
      </c>
      <c r="R364" t="s">
        <v>3357</v>
      </c>
      <c r="S364" t="s">
        <v>15211</v>
      </c>
      <c r="T364" t="s">
        <v>3376</v>
      </c>
      <c r="U364" t="s">
        <v>14821</v>
      </c>
      <c r="V364" t="s">
        <v>15230</v>
      </c>
    </row>
    <row r="365" spans="1:22" hidden="1">
      <c r="A365" t="s">
        <v>15400</v>
      </c>
      <c r="B365" t="s">
        <v>15441</v>
      </c>
      <c r="C365" t="s">
        <v>15448</v>
      </c>
      <c r="D365" t="s">
        <v>2958</v>
      </c>
      <c r="E365" t="s">
        <v>3426</v>
      </c>
      <c r="F365" t="s">
        <v>3590</v>
      </c>
      <c r="G365" s="3">
        <v>37.347086219375697</v>
      </c>
      <c r="H365" s="3">
        <v>127.845972309959</v>
      </c>
      <c r="I365" t="s">
        <v>6728</v>
      </c>
      <c r="J365" t="s">
        <v>10084</v>
      </c>
      <c r="K365" t="s">
        <v>10776</v>
      </c>
      <c r="L365" t="s">
        <v>3366</v>
      </c>
      <c r="M365" t="s">
        <v>11889</v>
      </c>
      <c r="N365" t="s">
        <v>3363</v>
      </c>
      <c r="O365" t="s">
        <v>3360</v>
      </c>
      <c r="P365" t="s">
        <v>3362</v>
      </c>
      <c r="Q365" t="s">
        <v>3359</v>
      </c>
      <c r="R365" t="s">
        <v>3357</v>
      </c>
      <c r="S365" t="s">
        <v>15211</v>
      </c>
      <c r="T365" t="s">
        <v>3377</v>
      </c>
      <c r="U365" t="s">
        <v>14822</v>
      </c>
      <c r="V365" t="s">
        <v>15230</v>
      </c>
    </row>
    <row r="366" spans="1:22" hidden="1">
      <c r="A366" t="s">
        <v>15400</v>
      </c>
      <c r="B366" t="s">
        <v>15441</v>
      </c>
      <c r="C366" t="s">
        <v>15448</v>
      </c>
      <c r="D366" t="s">
        <v>2959</v>
      </c>
      <c r="E366" t="s">
        <v>3449</v>
      </c>
      <c r="F366" t="s">
        <v>3544</v>
      </c>
      <c r="G366" s="3">
        <v>37.3470861482553</v>
      </c>
      <c r="H366" s="3">
        <v>127.845972308768</v>
      </c>
      <c r="I366" t="s">
        <v>6729</v>
      </c>
      <c r="J366" t="s">
        <v>10085</v>
      </c>
      <c r="K366" t="s">
        <v>3634</v>
      </c>
      <c r="L366" t="s">
        <v>3366</v>
      </c>
      <c r="M366" t="s">
        <v>11889</v>
      </c>
      <c r="N366" t="s">
        <v>3363</v>
      </c>
      <c r="O366" t="s">
        <v>3360</v>
      </c>
      <c r="P366" t="s">
        <v>3362</v>
      </c>
      <c r="Q366" t="s">
        <v>3359</v>
      </c>
      <c r="R366" t="s">
        <v>3357</v>
      </c>
      <c r="S366" t="s">
        <v>15211</v>
      </c>
      <c r="T366" t="s">
        <v>3377</v>
      </c>
      <c r="U366" t="s">
        <v>14823</v>
      </c>
      <c r="V366" t="s">
        <v>15230</v>
      </c>
    </row>
    <row r="367" spans="1:22" hidden="1">
      <c r="A367" t="s">
        <v>15400</v>
      </c>
      <c r="B367" t="s">
        <v>15441</v>
      </c>
      <c r="C367" t="s">
        <v>15449</v>
      </c>
      <c r="D367" t="s">
        <v>2960</v>
      </c>
      <c r="E367" t="s">
        <v>3429</v>
      </c>
      <c r="F367" t="s">
        <v>3465</v>
      </c>
      <c r="G367" s="3">
        <v>37.347086059250799</v>
      </c>
      <c r="H367" s="3">
        <v>127.845972169777</v>
      </c>
      <c r="I367" t="s">
        <v>6730</v>
      </c>
      <c r="J367" t="s">
        <v>10086</v>
      </c>
      <c r="K367" t="s">
        <v>11367</v>
      </c>
      <c r="L367" t="s">
        <v>3366</v>
      </c>
      <c r="M367" t="s">
        <v>11899</v>
      </c>
      <c r="N367" t="s">
        <v>3362</v>
      </c>
      <c r="O367" t="s">
        <v>3360</v>
      </c>
      <c r="P367" t="s">
        <v>3361</v>
      </c>
      <c r="Q367" t="s">
        <v>3358</v>
      </c>
      <c r="R367" t="s">
        <v>3357</v>
      </c>
      <c r="S367" t="s">
        <v>15211</v>
      </c>
      <c r="T367" t="s">
        <v>3374</v>
      </c>
      <c r="U367" t="s">
        <v>14824</v>
      </c>
      <c r="V367" t="s">
        <v>15231</v>
      </c>
    </row>
    <row r="368" spans="1:22" hidden="1">
      <c r="A368" t="s">
        <v>15400</v>
      </c>
      <c r="B368" t="s">
        <v>15441</v>
      </c>
      <c r="C368" t="s">
        <v>15449</v>
      </c>
      <c r="D368" t="s">
        <v>2961</v>
      </c>
      <c r="E368" t="s">
        <v>3429</v>
      </c>
      <c r="F368" t="s">
        <v>3426</v>
      </c>
      <c r="G368" s="3">
        <v>37.347086082081702</v>
      </c>
      <c r="H368" s="3">
        <v>127.84597219174699</v>
      </c>
      <c r="I368" t="s">
        <v>6731</v>
      </c>
      <c r="J368" t="s">
        <v>10087</v>
      </c>
      <c r="K368" t="s">
        <v>11686</v>
      </c>
      <c r="L368" t="s">
        <v>3366</v>
      </c>
      <c r="M368" t="s">
        <v>11898</v>
      </c>
      <c r="N368" t="s">
        <v>3362</v>
      </c>
      <c r="O368" t="s">
        <v>3360</v>
      </c>
      <c r="P368" t="s">
        <v>3362</v>
      </c>
      <c r="Q368" t="s">
        <v>3358</v>
      </c>
      <c r="R368" t="s">
        <v>3357</v>
      </c>
      <c r="S368" t="s">
        <v>15211</v>
      </c>
      <c r="T368" t="s">
        <v>3375</v>
      </c>
      <c r="U368" t="s">
        <v>14825</v>
      </c>
      <c r="V368" t="s">
        <v>15231</v>
      </c>
    </row>
    <row r="369" spans="1:22" hidden="1">
      <c r="A369" t="s">
        <v>15400</v>
      </c>
      <c r="B369" t="s">
        <v>15441</v>
      </c>
      <c r="C369" t="s">
        <v>15449</v>
      </c>
      <c r="D369" t="s">
        <v>2962</v>
      </c>
      <c r="E369" t="s">
        <v>3429</v>
      </c>
      <c r="F369" t="s">
        <v>3426</v>
      </c>
      <c r="G369" s="3">
        <v>37.347086149633</v>
      </c>
      <c r="H369" s="3">
        <v>127.845972216831</v>
      </c>
      <c r="I369" t="s">
        <v>6732</v>
      </c>
      <c r="J369" t="s">
        <v>10088</v>
      </c>
      <c r="K369" t="s">
        <v>10911</v>
      </c>
      <c r="L369" t="s">
        <v>3366</v>
      </c>
      <c r="M369" t="s">
        <v>11898</v>
      </c>
      <c r="N369" t="s">
        <v>3362</v>
      </c>
      <c r="O369" t="s">
        <v>3360</v>
      </c>
      <c r="P369" t="s">
        <v>3362</v>
      </c>
      <c r="Q369" t="s">
        <v>3358</v>
      </c>
      <c r="R369" t="s">
        <v>3357</v>
      </c>
      <c r="S369" t="s">
        <v>15211</v>
      </c>
      <c r="T369" t="s">
        <v>3375</v>
      </c>
      <c r="U369" t="s">
        <v>14826</v>
      </c>
      <c r="V369" t="s">
        <v>15231</v>
      </c>
    </row>
    <row r="370" spans="1:22" hidden="1">
      <c r="A370" t="s">
        <v>15400</v>
      </c>
      <c r="B370" t="s">
        <v>15442</v>
      </c>
      <c r="C370" t="s">
        <v>15450</v>
      </c>
      <c r="D370" t="s">
        <v>2963</v>
      </c>
      <c r="E370" t="s">
        <v>3431</v>
      </c>
      <c r="F370" t="s">
        <v>3452</v>
      </c>
      <c r="G370" s="3">
        <v>37.347086293081396</v>
      </c>
      <c r="H370" s="3">
        <v>127.845972179146</v>
      </c>
      <c r="I370" t="s">
        <v>6733</v>
      </c>
      <c r="J370" t="s">
        <v>10089</v>
      </c>
      <c r="K370" t="s">
        <v>11175</v>
      </c>
      <c r="L370" t="s">
        <v>3366</v>
      </c>
      <c r="M370" t="s">
        <v>11886</v>
      </c>
      <c r="N370" t="s">
        <v>3363</v>
      </c>
      <c r="O370" t="s">
        <v>3361</v>
      </c>
      <c r="P370" t="s">
        <v>15211</v>
      </c>
      <c r="Q370" t="s">
        <v>15211</v>
      </c>
      <c r="R370" t="s">
        <v>15211</v>
      </c>
      <c r="S370" t="s">
        <v>15211</v>
      </c>
      <c r="T370" t="s">
        <v>3368</v>
      </c>
      <c r="U370" t="s">
        <v>14827</v>
      </c>
      <c r="V370" t="s">
        <v>15232</v>
      </c>
    </row>
    <row r="371" spans="1:22" hidden="1">
      <c r="A371" t="s">
        <v>15400</v>
      </c>
      <c r="B371" t="s">
        <v>15442</v>
      </c>
      <c r="C371" t="s">
        <v>15450</v>
      </c>
      <c r="D371" t="s">
        <v>2964</v>
      </c>
      <c r="E371" t="s">
        <v>3433</v>
      </c>
      <c r="F371" t="s">
        <v>3543</v>
      </c>
      <c r="G371" s="3">
        <v>37.347086362994602</v>
      </c>
      <c r="H371" s="3">
        <v>127.845972055909</v>
      </c>
      <c r="I371" t="s">
        <v>6734</v>
      </c>
      <c r="J371" t="s">
        <v>10090</v>
      </c>
      <c r="K371" t="s">
        <v>11805</v>
      </c>
      <c r="L371" t="s">
        <v>3366</v>
      </c>
      <c r="M371" t="s">
        <v>11886</v>
      </c>
      <c r="N371" t="s">
        <v>3362</v>
      </c>
      <c r="O371" t="s">
        <v>3361</v>
      </c>
      <c r="P371" t="s">
        <v>15211</v>
      </c>
      <c r="Q371" t="s">
        <v>15211</v>
      </c>
      <c r="R371" t="s">
        <v>15211</v>
      </c>
      <c r="S371" t="s">
        <v>15211</v>
      </c>
      <c r="T371" t="s">
        <v>3367</v>
      </c>
      <c r="U371" t="s">
        <v>14828</v>
      </c>
      <c r="V371" t="s">
        <v>15232</v>
      </c>
    </row>
    <row r="372" spans="1:22" hidden="1">
      <c r="A372" t="s">
        <v>15400</v>
      </c>
      <c r="B372" t="s">
        <v>15442</v>
      </c>
      <c r="C372" t="s">
        <v>15450</v>
      </c>
      <c r="D372" t="s">
        <v>2965</v>
      </c>
      <c r="E372" t="s">
        <v>3442</v>
      </c>
      <c r="F372" t="s">
        <v>3478</v>
      </c>
      <c r="G372" s="3">
        <v>37.347086300502099</v>
      </c>
      <c r="H372" s="3">
        <v>127.845972084656</v>
      </c>
      <c r="I372" t="s">
        <v>6735</v>
      </c>
      <c r="J372" t="s">
        <v>10091</v>
      </c>
      <c r="K372" t="s">
        <v>10812</v>
      </c>
      <c r="L372" t="s">
        <v>3366</v>
      </c>
      <c r="M372" t="s">
        <v>11886</v>
      </c>
      <c r="N372" t="s">
        <v>3362</v>
      </c>
      <c r="O372" t="s">
        <v>3361</v>
      </c>
      <c r="P372" t="s">
        <v>15211</v>
      </c>
      <c r="Q372" t="s">
        <v>15211</v>
      </c>
      <c r="R372" t="s">
        <v>15211</v>
      </c>
      <c r="S372" t="s">
        <v>15211</v>
      </c>
      <c r="T372" t="s">
        <v>3367</v>
      </c>
      <c r="U372" t="s">
        <v>14829</v>
      </c>
      <c r="V372" t="s">
        <v>15232</v>
      </c>
    </row>
    <row r="373" spans="1:22" hidden="1">
      <c r="A373" t="s">
        <v>15363</v>
      </c>
      <c r="B373" t="s">
        <v>15441</v>
      </c>
      <c r="C373" t="s">
        <v>15445</v>
      </c>
      <c r="D373" t="s">
        <v>372</v>
      </c>
      <c r="E373" t="s">
        <v>3442</v>
      </c>
      <c r="F373" t="s">
        <v>3484</v>
      </c>
      <c r="G373" s="3">
        <v>35.359244623147397</v>
      </c>
      <c r="H373" s="3">
        <v>126.75467099284199</v>
      </c>
      <c r="I373" t="s">
        <v>4139</v>
      </c>
      <c r="J373" t="s">
        <v>7498</v>
      </c>
      <c r="K373" t="s">
        <v>10760</v>
      </c>
      <c r="L373" t="s">
        <v>3402</v>
      </c>
      <c r="M373" t="s">
        <v>11915</v>
      </c>
      <c r="N373" t="s">
        <v>15211</v>
      </c>
      <c r="O373" t="s">
        <v>15211</v>
      </c>
      <c r="P373" t="s">
        <v>15211</v>
      </c>
      <c r="Q373" t="s">
        <v>15211</v>
      </c>
      <c r="R373" t="s">
        <v>15211</v>
      </c>
      <c r="S373" t="s">
        <v>15211</v>
      </c>
      <c r="T373" t="s">
        <v>15211</v>
      </c>
      <c r="U373" t="s">
        <v>12282</v>
      </c>
      <c r="V373" t="s">
        <v>15228</v>
      </c>
    </row>
    <row r="374" spans="1:22" hidden="1">
      <c r="A374" t="s">
        <v>15363</v>
      </c>
      <c r="B374" t="s">
        <v>15441</v>
      </c>
      <c r="C374" t="s">
        <v>15446</v>
      </c>
      <c r="D374" t="s">
        <v>373</v>
      </c>
      <c r="E374" t="s">
        <v>3425</v>
      </c>
      <c r="F374" t="s">
        <v>3461</v>
      </c>
      <c r="G374" s="3">
        <v>35.3592447120065</v>
      </c>
      <c r="H374" s="3">
        <v>126.75467082742701</v>
      </c>
      <c r="I374" t="s">
        <v>4140</v>
      </c>
      <c r="J374" t="s">
        <v>7499</v>
      </c>
      <c r="K374" t="s">
        <v>10761</v>
      </c>
      <c r="L374" t="s">
        <v>3366</v>
      </c>
      <c r="M374" t="s">
        <v>11909</v>
      </c>
      <c r="N374" t="s">
        <v>15211</v>
      </c>
      <c r="O374" t="s">
        <v>15211</v>
      </c>
      <c r="P374" t="s">
        <v>15211</v>
      </c>
      <c r="Q374" t="s">
        <v>15211</v>
      </c>
      <c r="R374" t="s">
        <v>15211</v>
      </c>
      <c r="S374" t="s">
        <v>15211</v>
      </c>
      <c r="T374" t="s">
        <v>15211</v>
      </c>
      <c r="U374" t="s">
        <v>12283</v>
      </c>
      <c r="V374" t="s">
        <v>15229</v>
      </c>
    </row>
    <row r="375" spans="1:22" hidden="1">
      <c r="A375" t="s">
        <v>15363</v>
      </c>
      <c r="B375" t="s">
        <v>15441</v>
      </c>
      <c r="C375" t="s">
        <v>15448</v>
      </c>
      <c r="D375" t="s">
        <v>374</v>
      </c>
      <c r="E375" t="s">
        <v>3461</v>
      </c>
      <c r="F375" t="s">
        <v>3540</v>
      </c>
      <c r="G375" s="3">
        <v>35.359244636842398</v>
      </c>
      <c r="H375" s="3">
        <v>126.754671017173</v>
      </c>
      <c r="I375" t="s">
        <v>4141</v>
      </c>
      <c r="J375" t="s">
        <v>7500</v>
      </c>
      <c r="K375" t="s">
        <v>10762</v>
      </c>
      <c r="L375" t="s">
        <v>3366</v>
      </c>
      <c r="M375" t="s">
        <v>11908</v>
      </c>
      <c r="N375" t="s">
        <v>3362</v>
      </c>
      <c r="O375" t="s">
        <v>3358</v>
      </c>
      <c r="P375" t="s">
        <v>3361</v>
      </c>
      <c r="Q375" t="s">
        <v>3361</v>
      </c>
      <c r="R375" t="s">
        <v>3358</v>
      </c>
      <c r="S375" t="s">
        <v>15211</v>
      </c>
      <c r="T375" t="s">
        <v>3376</v>
      </c>
      <c r="U375" t="s">
        <v>12284</v>
      </c>
      <c r="V375" t="s">
        <v>15230</v>
      </c>
    </row>
    <row r="376" spans="1:22" hidden="1">
      <c r="A376" t="s">
        <v>15363</v>
      </c>
      <c r="B376" t="s">
        <v>15441</v>
      </c>
      <c r="C376" t="s">
        <v>15449</v>
      </c>
      <c r="D376" t="s">
        <v>375</v>
      </c>
      <c r="E376" t="s">
        <v>3442</v>
      </c>
      <c r="F376" t="s">
        <v>3449</v>
      </c>
      <c r="G376" s="3">
        <v>35.359244661554499</v>
      </c>
      <c r="H376" s="3">
        <v>126.754670937527</v>
      </c>
      <c r="I376" t="s">
        <v>4142</v>
      </c>
      <c r="J376" t="s">
        <v>7501</v>
      </c>
      <c r="K376" t="s">
        <v>10763</v>
      </c>
      <c r="L376" t="s">
        <v>3366</v>
      </c>
      <c r="M376" t="s">
        <v>11898</v>
      </c>
      <c r="N376" t="s">
        <v>3362</v>
      </c>
      <c r="O376" t="s">
        <v>15211</v>
      </c>
      <c r="P376" t="s">
        <v>3361</v>
      </c>
      <c r="Q376" t="s">
        <v>3361</v>
      </c>
      <c r="R376" t="s">
        <v>3358</v>
      </c>
      <c r="S376" t="s">
        <v>15211</v>
      </c>
      <c r="T376" t="s">
        <v>3374</v>
      </c>
      <c r="U376" t="s">
        <v>12285</v>
      </c>
      <c r="V376" t="s">
        <v>15231</v>
      </c>
    </row>
    <row r="377" spans="1:22" hidden="1">
      <c r="A377" t="s">
        <v>15363</v>
      </c>
      <c r="B377" t="s">
        <v>15442</v>
      </c>
      <c r="C377" t="s">
        <v>15451</v>
      </c>
      <c r="D377" t="s">
        <v>376</v>
      </c>
      <c r="E377" t="s">
        <v>3438</v>
      </c>
      <c r="F377" t="s">
        <v>3434</v>
      </c>
      <c r="G377" s="3">
        <v>35.359244773095703</v>
      </c>
      <c r="H377" s="3">
        <v>126.75467103422901</v>
      </c>
      <c r="I377" t="s">
        <v>4143</v>
      </c>
      <c r="J377" t="s">
        <v>7502</v>
      </c>
      <c r="K377" t="s">
        <v>10650</v>
      </c>
      <c r="L377" t="s">
        <v>3366</v>
      </c>
      <c r="M377" t="s">
        <v>11903</v>
      </c>
      <c r="N377" t="s">
        <v>3362</v>
      </c>
      <c r="O377" t="s">
        <v>15211</v>
      </c>
      <c r="P377" t="s">
        <v>3362</v>
      </c>
      <c r="Q377" t="s">
        <v>3360</v>
      </c>
      <c r="R377" t="s">
        <v>15211</v>
      </c>
      <c r="S377" t="s">
        <v>15211</v>
      </c>
      <c r="T377" t="s">
        <v>3372</v>
      </c>
      <c r="U377" t="s">
        <v>12286</v>
      </c>
      <c r="V377" t="s">
        <v>15234</v>
      </c>
    </row>
    <row r="378" spans="1:22">
      <c r="A378" t="s">
        <v>15363</v>
      </c>
      <c r="B378" t="s">
        <v>15443</v>
      </c>
      <c r="C378" t="s">
        <v>15452</v>
      </c>
      <c r="D378" t="s">
        <v>377</v>
      </c>
      <c r="E378" t="s">
        <v>3436</v>
      </c>
      <c r="F378" t="s">
        <v>3442</v>
      </c>
      <c r="G378" s="3">
        <v>35.359244454831703</v>
      </c>
      <c r="H378" s="3">
        <v>126.754670817513</v>
      </c>
      <c r="I378" t="s">
        <v>4144</v>
      </c>
      <c r="J378" t="s">
        <v>7503</v>
      </c>
      <c r="K378" t="s">
        <v>3631</v>
      </c>
      <c r="L378" t="s">
        <v>3366</v>
      </c>
      <c r="M378" t="s">
        <v>11901</v>
      </c>
      <c r="N378" t="s">
        <v>3362</v>
      </c>
      <c r="O378" t="s">
        <v>15211</v>
      </c>
      <c r="P378" t="s">
        <v>3362</v>
      </c>
      <c r="Q378" t="s">
        <v>3361</v>
      </c>
      <c r="R378" t="s">
        <v>15211</v>
      </c>
      <c r="S378" t="s">
        <v>15211</v>
      </c>
      <c r="T378" t="s">
        <v>3373</v>
      </c>
      <c r="U378" t="s">
        <v>12287</v>
      </c>
      <c r="V378" t="s">
        <v>15220</v>
      </c>
    </row>
    <row r="379" spans="1:22" hidden="1">
      <c r="A379" t="s">
        <v>15364</v>
      </c>
      <c r="B379" t="s">
        <v>15441</v>
      </c>
      <c r="C379" t="s">
        <v>15445</v>
      </c>
      <c r="D379" t="s">
        <v>378</v>
      </c>
      <c r="E379" t="s">
        <v>3437</v>
      </c>
      <c r="F379" t="s">
        <v>3436</v>
      </c>
      <c r="G379" s="3">
        <v>35.5633342876786</v>
      </c>
      <c r="H379" s="3">
        <v>126.83742402730699</v>
      </c>
      <c r="I379" t="s">
        <v>4145</v>
      </c>
      <c r="J379" t="s">
        <v>7504</v>
      </c>
      <c r="K379" t="s">
        <v>10764</v>
      </c>
      <c r="L379" t="s">
        <v>3366</v>
      </c>
      <c r="M379" t="s">
        <v>11885</v>
      </c>
      <c r="N379" t="s">
        <v>3364</v>
      </c>
      <c r="O379" t="s">
        <v>3360</v>
      </c>
      <c r="P379" t="s">
        <v>15211</v>
      </c>
      <c r="Q379" t="s">
        <v>15211</v>
      </c>
      <c r="R379" t="s">
        <v>15211</v>
      </c>
      <c r="S379" t="s">
        <v>15211</v>
      </c>
      <c r="T379" t="s">
        <v>3368</v>
      </c>
      <c r="U379" t="s">
        <v>12288</v>
      </c>
      <c r="V379" t="s">
        <v>15228</v>
      </c>
    </row>
    <row r="380" spans="1:22" hidden="1">
      <c r="A380" t="s">
        <v>15364</v>
      </c>
      <c r="B380" t="s">
        <v>15441</v>
      </c>
      <c r="C380" t="s">
        <v>15446</v>
      </c>
      <c r="D380" t="s">
        <v>379</v>
      </c>
      <c r="E380" t="s">
        <v>3438</v>
      </c>
      <c r="F380" t="s">
        <v>3434</v>
      </c>
      <c r="G380" s="3">
        <v>35.563334271100203</v>
      </c>
      <c r="H380" s="3">
        <v>126.837423962206</v>
      </c>
      <c r="I380" t="s">
        <v>4146</v>
      </c>
      <c r="J380" t="s">
        <v>7505</v>
      </c>
      <c r="K380" t="s">
        <v>10765</v>
      </c>
      <c r="L380" t="s">
        <v>3366</v>
      </c>
      <c r="M380" t="s">
        <v>11885</v>
      </c>
      <c r="N380" t="s">
        <v>3364</v>
      </c>
      <c r="O380" t="s">
        <v>3360</v>
      </c>
      <c r="P380" t="s">
        <v>15211</v>
      </c>
      <c r="Q380" t="s">
        <v>15211</v>
      </c>
      <c r="R380" t="s">
        <v>15211</v>
      </c>
      <c r="S380" t="s">
        <v>15211</v>
      </c>
      <c r="T380" t="s">
        <v>3368</v>
      </c>
      <c r="U380" t="s">
        <v>12289</v>
      </c>
      <c r="V380" t="s">
        <v>15229</v>
      </c>
    </row>
    <row r="381" spans="1:22" hidden="1">
      <c r="A381" t="s">
        <v>15364</v>
      </c>
      <c r="B381" t="s">
        <v>15441</v>
      </c>
      <c r="C381" t="s">
        <v>15447</v>
      </c>
      <c r="D381" t="s">
        <v>380</v>
      </c>
      <c r="E381" t="s">
        <v>3438</v>
      </c>
      <c r="F381" t="s">
        <v>3434</v>
      </c>
      <c r="G381" s="3">
        <v>35.563334258435297</v>
      </c>
      <c r="H381" s="3">
        <v>126.837423983748</v>
      </c>
      <c r="I381" t="s">
        <v>4147</v>
      </c>
      <c r="J381" t="s">
        <v>7506</v>
      </c>
      <c r="K381" t="s">
        <v>10766</v>
      </c>
      <c r="L381" t="s">
        <v>3366</v>
      </c>
      <c r="M381" t="s">
        <v>11892</v>
      </c>
      <c r="N381" t="s">
        <v>3364</v>
      </c>
      <c r="O381" t="s">
        <v>15211</v>
      </c>
      <c r="P381" t="s">
        <v>15211</v>
      </c>
      <c r="Q381" t="s">
        <v>15211</v>
      </c>
      <c r="R381" t="s">
        <v>15211</v>
      </c>
      <c r="S381" t="s">
        <v>15211</v>
      </c>
      <c r="T381" t="s">
        <v>3364</v>
      </c>
      <c r="U381" t="s">
        <v>12290</v>
      </c>
      <c r="V381" t="s">
        <v>15235</v>
      </c>
    </row>
    <row r="382" spans="1:22" hidden="1">
      <c r="A382" t="s">
        <v>15364</v>
      </c>
      <c r="B382" t="s">
        <v>15441</v>
      </c>
      <c r="C382" t="s">
        <v>15448</v>
      </c>
      <c r="D382" t="s">
        <v>381</v>
      </c>
      <c r="E382" t="s">
        <v>3442</v>
      </c>
      <c r="F382" t="s">
        <v>3463</v>
      </c>
      <c r="G382" s="3">
        <v>35.563334202227502</v>
      </c>
      <c r="H382" s="3">
        <v>126.83742402825899</v>
      </c>
      <c r="I382" t="s">
        <v>4148</v>
      </c>
      <c r="J382" t="s">
        <v>7507</v>
      </c>
      <c r="K382" t="s">
        <v>10767</v>
      </c>
      <c r="L382" t="s">
        <v>3366</v>
      </c>
      <c r="M382" t="s">
        <v>11891</v>
      </c>
      <c r="N382" t="s">
        <v>3364</v>
      </c>
      <c r="O382" t="s">
        <v>3360</v>
      </c>
      <c r="P382" t="s">
        <v>3361</v>
      </c>
      <c r="Q382" t="s">
        <v>3361</v>
      </c>
      <c r="R382" t="s">
        <v>3358</v>
      </c>
      <c r="S382" t="s">
        <v>15211</v>
      </c>
      <c r="T382" t="s">
        <v>3380</v>
      </c>
      <c r="U382" t="s">
        <v>12291</v>
      </c>
      <c r="V382" t="s">
        <v>15230</v>
      </c>
    </row>
    <row r="383" spans="1:22" hidden="1">
      <c r="A383" t="s">
        <v>15364</v>
      </c>
      <c r="B383" t="s">
        <v>15441</v>
      </c>
      <c r="C383" t="s">
        <v>15449</v>
      </c>
      <c r="D383" t="s">
        <v>382</v>
      </c>
      <c r="E383" t="s">
        <v>3431</v>
      </c>
      <c r="F383" t="s">
        <v>3432</v>
      </c>
      <c r="G383" s="3">
        <v>35.563334228248799</v>
      </c>
      <c r="H383" s="3">
        <v>126.837424067366</v>
      </c>
      <c r="I383" t="s">
        <v>4149</v>
      </c>
      <c r="J383" t="s">
        <v>7508</v>
      </c>
      <c r="K383" t="s">
        <v>10668</v>
      </c>
      <c r="L383" t="s">
        <v>3366</v>
      </c>
      <c r="M383" t="s">
        <v>11889</v>
      </c>
      <c r="N383" t="s">
        <v>3364</v>
      </c>
      <c r="O383" t="s">
        <v>15211</v>
      </c>
      <c r="P383" t="s">
        <v>3361</v>
      </c>
      <c r="Q383" t="s">
        <v>3362</v>
      </c>
      <c r="R383" t="s">
        <v>3358</v>
      </c>
      <c r="S383" t="s">
        <v>15211</v>
      </c>
      <c r="T383" t="s">
        <v>3377</v>
      </c>
      <c r="U383" t="s">
        <v>12292</v>
      </c>
      <c r="V383" t="s">
        <v>15231</v>
      </c>
    </row>
    <row r="384" spans="1:22" hidden="1">
      <c r="A384" t="s">
        <v>15364</v>
      </c>
      <c r="B384" t="s">
        <v>15442</v>
      </c>
      <c r="C384" t="s">
        <v>15450</v>
      </c>
      <c r="D384" t="s">
        <v>383</v>
      </c>
      <c r="E384" t="s">
        <v>3431</v>
      </c>
      <c r="F384" t="s">
        <v>3461</v>
      </c>
      <c r="G384" s="3">
        <v>35.563334249442001</v>
      </c>
      <c r="H384" s="3">
        <v>126.837423995956</v>
      </c>
      <c r="I384" t="s">
        <v>4150</v>
      </c>
      <c r="J384" t="s">
        <v>7509</v>
      </c>
      <c r="K384" t="s">
        <v>10768</v>
      </c>
      <c r="L384" t="s">
        <v>3366</v>
      </c>
      <c r="M384" t="s">
        <v>11885</v>
      </c>
      <c r="N384" t="s">
        <v>3364</v>
      </c>
      <c r="O384" t="s">
        <v>3360</v>
      </c>
      <c r="P384" t="s">
        <v>15211</v>
      </c>
      <c r="Q384" t="s">
        <v>15211</v>
      </c>
      <c r="R384" t="s">
        <v>15211</v>
      </c>
      <c r="S384" t="s">
        <v>15211</v>
      </c>
      <c r="T384" t="s">
        <v>3368</v>
      </c>
      <c r="U384" t="s">
        <v>12293</v>
      </c>
      <c r="V384" t="s">
        <v>15232</v>
      </c>
    </row>
    <row r="385" spans="1:22" hidden="1">
      <c r="A385" t="s">
        <v>15364</v>
      </c>
      <c r="B385" t="s">
        <v>15442</v>
      </c>
      <c r="C385" t="s">
        <v>15445</v>
      </c>
      <c r="D385" t="s">
        <v>384</v>
      </c>
      <c r="E385" t="s">
        <v>3437</v>
      </c>
      <c r="F385" t="s">
        <v>3436</v>
      </c>
      <c r="G385" s="3">
        <v>35.563334292739</v>
      </c>
      <c r="H385" s="3">
        <v>126.837424011724</v>
      </c>
      <c r="I385" t="s">
        <v>4151</v>
      </c>
      <c r="J385" t="s">
        <v>7510</v>
      </c>
      <c r="K385" t="s">
        <v>10769</v>
      </c>
      <c r="L385" t="s">
        <v>3366</v>
      </c>
      <c r="M385" t="s">
        <v>11885</v>
      </c>
      <c r="N385" t="s">
        <v>3364</v>
      </c>
      <c r="O385" t="s">
        <v>3360</v>
      </c>
      <c r="P385" t="s">
        <v>15211</v>
      </c>
      <c r="Q385" t="s">
        <v>15211</v>
      </c>
      <c r="R385" t="s">
        <v>15211</v>
      </c>
      <c r="S385" t="s">
        <v>15211</v>
      </c>
      <c r="T385" t="s">
        <v>3368</v>
      </c>
      <c r="U385" t="s">
        <v>12294</v>
      </c>
      <c r="V385" t="s">
        <v>15233</v>
      </c>
    </row>
    <row r="386" spans="1:22" hidden="1">
      <c r="A386" t="s">
        <v>15364</v>
      </c>
      <c r="B386" t="s">
        <v>15442</v>
      </c>
      <c r="C386" t="s">
        <v>15451</v>
      </c>
      <c r="D386" t="s">
        <v>385</v>
      </c>
      <c r="E386" t="s">
        <v>3437</v>
      </c>
      <c r="F386" t="s">
        <v>3436</v>
      </c>
      <c r="G386" s="3">
        <v>35.56333421363</v>
      </c>
      <c r="H386" s="3">
        <v>126.83742403383</v>
      </c>
      <c r="I386" t="s">
        <v>4152</v>
      </c>
      <c r="J386" t="s">
        <v>7511</v>
      </c>
      <c r="K386" t="s">
        <v>10770</v>
      </c>
      <c r="L386" t="s">
        <v>3366</v>
      </c>
      <c r="M386" t="s">
        <v>11908</v>
      </c>
      <c r="N386" t="s">
        <v>3364</v>
      </c>
      <c r="O386" t="s">
        <v>3360</v>
      </c>
      <c r="P386" t="s">
        <v>3361</v>
      </c>
      <c r="Q386" t="s">
        <v>3359</v>
      </c>
      <c r="R386" t="s">
        <v>15211</v>
      </c>
      <c r="S386" t="s">
        <v>15211</v>
      </c>
      <c r="T386" t="s">
        <v>3376</v>
      </c>
      <c r="U386" t="s">
        <v>12295</v>
      </c>
      <c r="V386" t="s">
        <v>15234</v>
      </c>
    </row>
    <row r="387" spans="1:22">
      <c r="A387" t="s">
        <v>15364</v>
      </c>
      <c r="B387" t="s">
        <v>15443</v>
      </c>
      <c r="C387" t="s">
        <v>15452</v>
      </c>
      <c r="D387" t="s">
        <v>386</v>
      </c>
      <c r="E387" t="s">
        <v>3428</v>
      </c>
      <c r="F387" t="s">
        <v>3430</v>
      </c>
      <c r="G387" s="3">
        <v>35.563334232435302</v>
      </c>
      <c r="H387" s="3">
        <v>126.83742421067601</v>
      </c>
      <c r="I387" t="s">
        <v>4153</v>
      </c>
      <c r="J387" t="s">
        <v>7512</v>
      </c>
      <c r="K387" t="s">
        <v>10771</v>
      </c>
      <c r="L387" t="s">
        <v>3366</v>
      </c>
      <c r="M387" t="s">
        <v>11903</v>
      </c>
      <c r="N387" t="s">
        <v>3363</v>
      </c>
      <c r="O387" t="s">
        <v>15211</v>
      </c>
      <c r="P387" t="s">
        <v>3361</v>
      </c>
      <c r="Q387" t="s">
        <v>3360</v>
      </c>
      <c r="R387" t="s">
        <v>15211</v>
      </c>
      <c r="S387" t="s">
        <v>15211</v>
      </c>
      <c r="T387" t="s">
        <v>3372</v>
      </c>
      <c r="U387" t="s">
        <v>12296</v>
      </c>
      <c r="V387" t="s">
        <v>15220</v>
      </c>
    </row>
    <row r="388" spans="1:22" hidden="1">
      <c r="A388" t="s">
        <v>15365</v>
      </c>
      <c r="B388" t="s">
        <v>15441</v>
      </c>
      <c r="C388" t="s">
        <v>15445</v>
      </c>
      <c r="D388" t="s">
        <v>387</v>
      </c>
      <c r="E388" t="s">
        <v>3439</v>
      </c>
      <c r="F388" t="s">
        <v>3427</v>
      </c>
      <c r="G388" s="3">
        <v>35.6504089352675</v>
      </c>
      <c r="H388" s="3">
        <v>126.932988190869</v>
      </c>
      <c r="I388" t="s">
        <v>4154</v>
      </c>
      <c r="J388" t="s">
        <v>7513</v>
      </c>
      <c r="K388" t="s">
        <v>10772</v>
      </c>
      <c r="L388" t="s">
        <v>3366</v>
      </c>
      <c r="M388" t="s">
        <v>11890</v>
      </c>
      <c r="N388" t="s">
        <v>3364</v>
      </c>
      <c r="O388" t="s">
        <v>3361</v>
      </c>
      <c r="P388" t="s">
        <v>15211</v>
      </c>
      <c r="Q388" t="s">
        <v>15211</v>
      </c>
      <c r="R388" t="s">
        <v>15211</v>
      </c>
      <c r="S388" t="s">
        <v>15211</v>
      </c>
      <c r="T388" t="s">
        <v>3369</v>
      </c>
      <c r="U388" t="s">
        <v>12297</v>
      </c>
      <c r="V388" t="s">
        <v>15228</v>
      </c>
    </row>
    <row r="389" spans="1:22" hidden="1">
      <c r="A389" t="s">
        <v>15365</v>
      </c>
      <c r="B389" t="s">
        <v>15441</v>
      </c>
      <c r="C389" t="s">
        <v>15446</v>
      </c>
      <c r="D389" t="s">
        <v>388</v>
      </c>
      <c r="E389" t="s">
        <v>3439</v>
      </c>
      <c r="F389" t="s">
        <v>3427</v>
      </c>
      <c r="G389" s="3">
        <v>35.650408915867601</v>
      </c>
      <c r="H389" s="3">
        <v>126.932988177928</v>
      </c>
      <c r="I389" t="s">
        <v>4155</v>
      </c>
      <c r="J389" t="s">
        <v>7514</v>
      </c>
      <c r="K389" t="s">
        <v>10773</v>
      </c>
      <c r="L389" t="s">
        <v>3366</v>
      </c>
      <c r="M389" t="s">
        <v>11890</v>
      </c>
      <c r="N389" t="s">
        <v>3364</v>
      </c>
      <c r="O389" t="s">
        <v>3361</v>
      </c>
      <c r="P389" t="s">
        <v>15211</v>
      </c>
      <c r="Q389" t="s">
        <v>15211</v>
      </c>
      <c r="R389" t="s">
        <v>15211</v>
      </c>
      <c r="S389" t="s">
        <v>15211</v>
      </c>
      <c r="T389" t="s">
        <v>3369</v>
      </c>
      <c r="U389" t="s">
        <v>12298</v>
      </c>
      <c r="V389" t="s">
        <v>15229</v>
      </c>
    </row>
    <row r="390" spans="1:22" hidden="1">
      <c r="A390" t="s">
        <v>15365</v>
      </c>
      <c r="B390" t="s">
        <v>15441</v>
      </c>
      <c r="C390" t="s">
        <v>15447</v>
      </c>
      <c r="D390" t="s">
        <v>389</v>
      </c>
      <c r="E390" t="s">
        <v>3440</v>
      </c>
      <c r="F390" t="s">
        <v>3425</v>
      </c>
      <c r="G390" s="3">
        <v>35.6504088910024</v>
      </c>
      <c r="H390" s="3">
        <v>126.93298827584501</v>
      </c>
      <c r="I390" t="s">
        <v>4156</v>
      </c>
      <c r="J390" t="s">
        <v>7515</v>
      </c>
      <c r="K390" t="s">
        <v>10774</v>
      </c>
      <c r="L390" t="s">
        <v>3366</v>
      </c>
      <c r="M390" t="s">
        <v>11892</v>
      </c>
      <c r="N390" t="s">
        <v>3364</v>
      </c>
      <c r="O390" t="s">
        <v>15211</v>
      </c>
      <c r="P390" t="s">
        <v>15211</v>
      </c>
      <c r="Q390" t="s">
        <v>15211</v>
      </c>
      <c r="R390" t="s">
        <v>15211</v>
      </c>
      <c r="S390" t="s">
        <v>15211</v>
      </c>
      <c r="T390" t="s">
        <v>3364</v>
      </c>
      <c r="U390" t="s">
        <v>12299</v>
      </c>
      <c r="V390" t="s">
        <v>15235</v>
      </c>
    </row>
    <row r="391" spans="1:22" hidden="1">
      <c r="A391" t="s">
        <v>15365</v>
      </c>
      <c r="B391" t="s">
        <v>15441</v>
      </c>
      <c r="C391" t="s">
        <v>15448</v>
      </c>
      <c r="D391" t="s">
        <v>390</v>
      </c>
      <c r="E391" t="s">
        <v>3434</v>
      </c>
      <c r="F391" t="s">
        <v>3433</v>
      </c>
      <c r="G391" s="3">
        <v>35.650408941629998</v>
      </c>
      <c r="H391" s="3">
        <v>126.93298821304199</v>
      </c>
      <c r="I391" t="s">
        <v>4157</v>
      </c>
      <c r="J391" t="s">
        <v>7516</v>
      </c>
      <c r="K391" t="s">
        <v>10775</v>
      </c>
      <c r="L391" t="s">
        <v>3366</v>
      </c>
      <c r="M391" t="s">
        <v>11912</v>
      </c>
      <c r="N391" t="s">
        <v>3365</v>
      </c>
      <c r="O391" t="s">
        <v>3361</v>
      </c>
      <c r="P391" t="s">
        <v>3362</v>
      </c>
      <c r="Q391" t="s">
        <v>3360</v>
      </c>
      <c r="R391" t="s">
        <v>3358</v>
      </c>
      <c r="S391" t="s">
        <v>15211</v>
      </c>
      <c r="T391" t="s">
        <v>3382</v>
      </c>
      <c r="U391" t="s">
        <v>12300</v>
      </c>
      <c r="V391" t="s">
        <v>15230</v>
      </c>
    </row>
    <row r="392" spans="1:22" hidden="1">
      <c r="A392" t="s">
        <v>15365</v>
      </c>
      <c r="B392" t="s">
        <v>15441</v>
      </c>
      <c r="C392" t="s">
        <v>15449</v>
      </c>
      <c r="D392" t="s">
        <v>391</v>
      </c>
      <c r="E392" t="s">
        <v>3438</v>
      </c>
      <c r="F392" t="s">
        <v>3425</v>
      </c>
      <c r="G392" s="3">
        <v>35.650408930573199</v>
      </c>
      <c r="H392" s="3">
        <v>126.932988196379</v>
      </c>
      <c r="I392" t="s">
        <v>4158</v>
      </c>
      <c r="J392" t="s">
        <v>7517</v>
      </c>
      <c r="K392" t="s">
        <v>10776</v>
      </c>
      <c r="L392" t="s">
        <v>3366</v>
      </c>
      <c r="M392" t="s">
        <v>11891</v>
      </c>
      <c r="N392" t="s">
        <v>3364</v>
      </c>
      <c r="O392" t="s">
        <v>3360</v>
      </c>
      <c r="P392" t="s">
        <v>3362</v>
      </c>
      <c r="Q392" t="s">
        <v>3360</v>
      </c>
      <c r="R392" t="s">
        <v>3358</v>
      </c>
      <c r="S392" t="s">
        <v>15211</v>
      </c>
      <c r="T392" t="s">
        <v>3380</v>
      </c>
      <c r="U392" t="s">
        <v>12301</v>
      </c>
      <c r="V392" t="s">
        <v>15231</v>
      </c>
    </row>
    <row r="393" spans="1:22" hidden="1">
      <c r="A393" t="s">
        <v>15365</v>
      </c>
      <c r="B393" t="s">
        <v>15442</v>
      </c>
      <c r="C393" t="s">
        <v>15450</v>
      </c>
      <c r="D393" t="s">
        <v>392</v>
      </c>
      <c r="E393" t="s">
        <v>3438</v>
      </c>
      <c r="F393" t="s">
        <v>3434</v>
      </c>
      <c r="G393" s="3">
        <v>35.6504089098554</v>
      </c>
      <c r="H393" s="3">
        <v>126.93298826371699</v>
      </c>
      <c r="I393" t="s">
        <v>4159</v>
      </c>
      <c r="J393" t="s">
        <v>7518</v>
      </c>
      <c r="K393" t="s">
        <v>10777</v>
      </c>
      <c r="L393" t="s">
        <v>3366</v>
      </c>
      <c r="M393" t="s">
        <v>11890</v>
      </c>
      <c r="N393" t="s">
        <v>3364</v>
      </c>
      <c r="O393" t="s">
        <v>3361</v>
      </c>
      <c r="P393" t="s">
        <v>15211</v>
      </c>
      <c r="Q393" t="s">
        <v>15211</v>
      </c>
      <c r="R393" t="s">
        <v>15211</v>
      </c>
      <c r="S393" t="s">
        <v>15211</v>
      </c>
      <c r="T393" t="s">
        <v>3369</v>
      </c>
      <c r="U393" t="s">
        <v>12302</v>
      </c>
      <c r="V393" t="s">
        <v>15232</v>
      </c>
    </row>
    <row r="394" spans="1:22" hidden="1">
      <c r="A394" t="s">
        <v>15365</v>
      </c>
      <c r="B394" t="s">
        <v>15442</v>
      </c>
      <c r="C394" t="s">
        <v>15445</v>
      </c>
      <c r="D394" t="s">
        <v>393</v>
      </c>
      <c r="E394" t="s">
        <v>3443</v>
      </c>
      <c r="F394" t="s">
        <v>3440</v>
      </c>
      <c r="G394" s="3">
        <v>35.650408928569597</v>
      </c>
      <c r="H394" s="3">
        <v>126.93298819963699</v>
      </c>
      <c r="I394" t="s">
        <v>4160</v>
      </c>
      <c r="J394" t="s">
        <v>7519</v>
      </c>
      <c r="K394" t="s">
        <v>10577</v>
      </c>
      <c r="L394" t="s">
        <v>3366</v>
      </c>
      <c r="M394" t="s">
        <v>11890</v>
      </c>
      <c r="N394" t="s">
        <v>3364</v>
      </c>
      <c r="O394" t="s">
        <v>3361</v>
      </c>
      <c r="P394" t="s">
        <v>15211</v>
      </c>
      <c r="Q394" t="s">
        <v>15211</v>
      </c>
      <c r="R394" t="s">
        <v>15211</v>
      </c>
      <c r="S394" t="s">
        <v>15211</v>
      </c>
      <c r="T394" t="s">
        <v>3369</v>
      </c>
      <c r="U394" t="s">
        <v>12303</v>
      </c>
      <c r="V394" t="s">
        <v>15233</v>
      </c>
    </row>
    <row r="395" spans="1:22" hidden="1">
      <c r="A395" t="s">
        <v>15365</v>
      </c>
      <c r="B395" t="s">
        <v>15442</v>
      </c>
      <c r="C395" t="s">
        <v>15451</v>
      </c>
      <c r="D395" t="s">
        <v>394</v>
      </c>
      <c r="E395" t="s">
        <v>3457</v>
      </c>
      <c r="F395" t="s">
        <v>3437</v>
      </c>
      <c r="G395" s="3">
        <v>35.650408901381702</v>
      </c>
      <c r="H395" s="3">
        <v>126.93298818082</v>
      </c>
      <c r="I395" t="s">
        <v>4161</v>
      </c>
      <c r="J395" t="s">
        <v>7520</v>
      </c>
      <c r="K395" t="s">
        <v>10778</v>
      </c>
      <c r="L395" t="s">
        <v>3366</v>
      </c>
      <c r="M395" t="s">
        <v>11896</v>
      </c>
      <c r="N395" t="s">
        <v>3365</v>
      </c>
      <c r="O395" t="s">
        <v>3361</v>
      </c>
      <c r="P395" t="s">
        <v>3362</v>
      </c>
      <c r="Q395" t="s">
        <v>3359</v>
      </c>
      <c r="R395" t="s">
        <v>15211</v>
      </c>
      <c r="S395" t="s">
        <v>15211</v>
      </c>
      <c r="T395" t="s">
        <v>3379</v>
      </c>
      <c r="U395" t="s">
        <v>12304</v>
      </c>
      <c r="V395" t="s">
        <v>15234</v>
      </c>
    </row>
    <row r="396" spans="1:22">
      <c r="A396" t="s">
        <v>15365</v>
      </c>
      <c r="B396" t="s">
        <v>15443</v>
      </c>
      <c r="C396" t="s">
        <v>15452</v>
      </c>
      <c r="D396" t="s">
        <v>395</v>
      </c>
      <c r="E396" t="s">
        <v>3428</v>
      </c>
      <c r="F396" t="s">
        <v>3442</v>
      </c>
      <c r="G396" s="3">
        <v>35.650409075080503</v>
      </c>
      <c r="H396" s="3">
        <v>126.93298812045199</v>
      </c>
      <c r="I396" t="s">
        <v>4162</v>
      </c>
      <c r="J396" t="s">
        <v>7521</v>
      </c>
      <c r="K396" t="s">
        <v>10762</v>
      </c>
      <c r="L396" t="s">
        <v>3366</v>
      </c>
      <c r="M396" t="s">
        <v>11901</v>
      </c>
      <c r="N396" t="s">
        <v>3363</v>
      </c>
      <c r="O396" t="s">
        <v>15211</v>
      </c>
      <c r="P396" t="s">
        <v>3362</v>
      </c>
      <c r="Q396" t="s">
        <v>3360</v>
      </c>
      <c r="R396" t="s">
        <v>15211</v>
      </c>
      <c r="S396" t="s">
        <v>15211</v>
      </c>
      <c r="T396" t="s">
        <v>3373</v>
      </c>
      <c r="U396" t="s">
        <v>12305</v>
      </c>
      <c r="V396" t="s">
        <v>15220</v>
      </c>
    </row>
    <row r="397" spans="1:22" hidden="1">
      <c r="A397" t="s">
        <v>15366</v>
      </c>
      <c r="B397" t="s">
        <v>15441</v>
      </c>
      <c r="C397" t="s">
        <v>15445</v>
      </c>
      <c r="D397" t="s">
        <v>396</v>
      </c>
      <c r="E397" t="s">
        <v>3440</v>
      </c>
      <c r="F397" t="s">
        <v>3425</v>
      </c>
      <c r="G397" s="3">
        <v>35.822644318588303</v>
      </c>
      <c r="H397" s="3">
        <v>127.033406754981</v>
      </c>
      <c r="I397" t="s">
        <v>4163</v>
      </c>
      <c r="J397" t="s">
        <v>7522</v>
      </c>
      <c r="K397" t="s">
        <v>10779</v>
      </c>
      <c r="L397" t="s">
        <v>3366</v>
      </c>
      <c r="M397" t="s">
        <v>11890</v>
      </c>
      <c r="N397" t="s">
        <v>3363</v>
      </c>
      <c r="O397" t="s">
        <v>3362</v>
      </c>
      <c r="P397" t="s">
        <v>15211</v>
      </c>
      <c r="Q397" t="s">
        <v>15211</v>
      </c>
      <c r="R397" t="s">
        <v>15211</v>
      </c>
      <c r="S397" t="s">
        <v>15211</v>
      </c>
      <c r="T397" t="s">
        <v>3369</v>
      </c>
      <c r="U397" t="s">
        <v>12306</v>
      </c>
      <c r="V397" t="s">
        <v>15228</v>
      </c>
    </row>
    <row r="398" spans="1:22" hidden="1">
      <c r="A398" t="s">
        <v>15366</v>
      </c>
      <c r="B398" t="s">
        <v>15441</v>
      </c>
      <c r="C398" t="s">
        <v>15446</v>
      </c>
      <c r="D398" t="s">
        <v>397</v>
      </c>
      <c r="E398" t="s">
        <v>3440</v>
      </c>
      <c r="F398" t="s">
        <v>3425</v>
      </c>
      <c r="G398" s="3">
        <v>35.822644377143199</v>
      </c>
      <c r="H398" s="3">
        <v>127.03340676089501</v>
      </c>
      <c r="I398" t="s">
        <v>4164</v>
      </c>
      <c r="J398" t="s">
        <v>7523</v>
      </c>
      <c r="K398" t="s">
        <v>10780</v>
      </c>
      <c r="L398" t="s">
        <v>3366</v>
      </c>
      <c r="M398" t="s">
        <v>11890</v>
      </c>
      <c r="N398" t="s">
        <v>3363</v>
      </c>
      <c r="O398" t="s">
        <v>3362</v>
      </c>
      <c r="P398" t="s">
        <v>15211</v>
      </c>
      <c r="Q398" t="s">
        <v>15211</v>
      </c>
      <c r="R398" t="s">
        <v>15211</v>
      </c>
      <c r="S398" t="s">
        <v>15211</v>
      </c>
      <c r="T398" t="s">
        <v>3369</v>
      </c>
      <c r="U398" t="s">
        <v>12307</v>
      </c>
      <c r="V398" t="s">
        <v>15229</v>
      </c>
    </row>
    <row r="399" spans="1:22" hidden="1">
      <c r="A399" t="s">
        <v>15366</v>
      </c>
      <c r="B399" t="s">
        <v>15441</v>
      </c>
      <c r="C399" t="s">
        <v>15447</v>
      </c>
      <c r="D399" t="s">
        <v>398</v>
      </c>
      <c r="E399" t="s">
        <v>3427</v>
      </c>
      <c r="F399" t="s">
        <v>3429</v>
      </c>
      <c r="G399" s="3">
        <v>35.822644336416097</v>
      </c>
      <c r="H399" s="3">
        <v>127.033406741421</v>
      </c>
      <c r="I399" t="s">
        <v>4165</v>
      </c>
      <c r="J399" t="s">
        <v>7524</v>
      </c>
      <c r="K399" t="s">
        <v>10781</v>
      </c>
      <c r="L399" t="s">
        <v>3366</v>
      </c>
      <c r="M399" t="s">
        <v>11887</v>
      </c>
      <c r="N399" t="s">
        <v>3363</v>
      </c>
      <c r="O399" t="s">
        <v>15211</v>
      </c>
      <c r="P399" t="s">
        <v>15211</v>
      </c>
      <c r="Q399" t="s">
        <v>15211</v>
      </c>
      <c r="R399" t="s">
        <v>15211</v>
      </c>
      <c r="S399" t="s">
        <v>15211</v>
      </c>
      <c r="T399" t="s">
        <v>3363</v>
      </c>
      <c r="U399" t="s">
        <v>12308</v>
      </c>
      <c r="V399" t="s">
        <v>15235</v>
      </c>
    </row>
    <row r="400" spans="1:22" hidden="1">
      <c r="A400" t="s">
        <v>15366</v>
      </c>
      <c r="B400" t="s">
        <v>15441</v>
      </c>
      <c r="C400" t="s">
        <v>15448</v>
      </c>
      <c r="D400" t="s">
        <v>399</v>
      </c>
      <c r="E400" t="s">
        <v>3430</v>
      </c>
      <c r="F400" t="s">
        <v>3450</v>
      </c>
      <c r="G400" s="3">
        <v>35.822644330630098</v>
      </c>
      <c r="H400" s="3">
        <v>127.033406733832</v>
      </c>
      <c r="I400" t="s">
        <v>4166</v>
      </c>
      <c r="J400" t="s">
        <v>7525</v>
      </c>
      <c r="K400" t="s">
        <v>10782</v>
      </c>
      <c r="L400" t="s">
        <v>3366</v>
      </c>
      <c r="M400" t="s">
        <v>11914</v>
      </c>
      <c r="N400" t="s">
        <v>3363</v>
      </c>
      <c r="O400" t="s">
        <v>3362</v>
      </c>
      <c r="P400" t="s">
        <v>3362</v>
      </c>
      <c r="Q400" t="s">
        <v>3361</v>
      </c>
      <c r="R400" t="s">
        <v>3358</v>
      </c>
      <c r="S400" t="s">
        <v>15211</v>
      </c>
      <c r="T400" t="s">
        <v>3382</v>
      </c>
      <c r="U400" t="s">
        <v>12309</v>
      </c>
      <c r="V400" t="s">
        <v>15230</v>
      </c>
    </row>
    <row r="401" spans="1:22" hidden="1">
      <c r="A401" t="s">
        <v>15366</v>
      </c>
      <c r="B401" t="s">
        <v>15441</v>
      </c>
      <c r="C401" t="s">
        <v>15449</v>
      </c>
      <c r="D401" t="s">
        <v>400</v>
      </c>
      <c r="E401" t="s">
        <v>3425</v>
      </c>
      <c r="F401" t="s">
        <v>3441</v>
      </c>
      <c r="G401" s="3">
        <v>35.822644342731401</v>
      </c>
      <c r="H401" s="3">
        <v>127.03340670893201</v>
      </c>
      <c r="I401" t="s">
        <v>4167</v>
      </c>
      <c r="J401" t="s">
        <v>7526</v>
      </c>
      <c r="K401" t="s">
        <v>10783</v>
      </c>
      <c r="L401" t="s">
        <v>3366</v>
      </c>
      <c r="M401" t="s">
        <v>11896</v>
      </c>
      <c r="N401" t="s">
        <v>3363</v>
      </c>
      <c r="O401" t="s">
        <v>3360</v>
      </c>
      <c r="P401" t="s">
        <v>3362</v>
      </c>
      <c r="Q401" t="s">
        <v>3360</v>
      </c>
      <c r="R401" t="s">
        <v>3358</v>
      </c>
      <c r="S401" t="s">
        <v>15211</v>
      </c>
      <c r="T401" t="s">
        <v>3379</v>
      </c>
      <c r="U401" t="s">
        <v>12310</v>
      </c>
      <c r="V401" t="s">
        <v>15231</v>
      </c>
    </row>
    <row r="402" spans="1:22" hidden="1">
      <c r="A402" t="s">
        <v>15366</v>
      </c>
      <c r="B402" t="s">
        <v>15442</v>
      </c>
      <c r="C402" t="s">
        <v>15450</v>
      </c>
      <c r="D402" t="s">
        <v>401</v>
      </c>
      <c r="E402" t="s">
        <v>3428</v>
      </c>
      <c r="F402" t="s">
        <v>3429</v>
      </c>
      <c r="G402" s="3">
        <v>35.822644413471203</v>
      </c>
      <c r="H402" s="3">
        <v>127.03340668546799</v>
      </c>
      <c r="I402" t="s">
        <v>4168</v>
      </c>
      <c r="J402" t="s">
        <v>7527</v>
      </c>
      <c r="K402" t="s">
        <v>10565</v>
      </c>
      <c r="L402" t="s">
        <v>3366</v>
      </c>
      <c r="M402" t="s">
        <v>11894</v>
      </c>
      <c r="N402" t="s">
        <v>3364</v>
      </c>
      <c r="O402" t="s">
        <v>3362</v>
      </c>
      <c r="P402" t="s">
        <v>15211</v>
      </c>
      <c r="Q402" t="s">
        <v>15211</v>
      </c>
      <c r="R402" t="s">
        <v>15211</v>
      </c>
      <c r="S402" t="s">
        <v>15211</v>
      </c>
      <c r="T402" t="s">
        <v>3370</v>
      </c>
      <c r="U402" t="s">
        <v>12311</v>
      </c>
      <c r="V402" t="s">
        <v>15232</v>
      </c>
    </row>
    <row r="403" spans="1:22" hidden="1">
      <c r="A403" t="s">
        <v>15366</v>
      </c>
      <c r="B403" t="s">
        <v>15442</v>
      </c>
      <c r="C403" t="s">
        <v>15445</v>
      </c>
      <c r="D403" t="s">
        <v>402</v>
      </c>
      <c r="E403" t="s">
        <v>3437</v>
      </c>
      <c r="F403" t="s">
        <v>3436</v>
      </c>
      <c r="G403" s="3">
        <v>35.822644339447102</v>
      </c>
      <c r="H403" s="3">
        <v>127.033406703159</v>
      </c>
      <c r="I403" t="s">
        <v>4169</v>
      </c>
      <c r="J403" t="s">
        <v>7528</v>
      </c>
      <c r="K403" t="s">
        <v>10784</v>
      </c>
      <c r="L403" t="s">
        <v>3366</v>
      </c>
      <c r="M403" t="s">
        <v>11894</v>
      </c>
      <c r="N403" t="s">
        <v>3364</v>
      </c>
      <c r="O403" t="s">
        <v>3362</v>
      </c>
      <c r="P403" t="s">
        <v>15211</v>
      </c>
      <c r="Q403" t="s">
        <v>15211</v>
      </c>
      <c r="R403" t="s">
        <v>15211</v>
      </c>
      <c r="S403" t="s">
        <v>15211</v>
      </c>
      <c r="T403" t="s">
        <v>3370</v>
      </c>
      <c r="U403" t="s">
        <v>12312</v>
      </c>
      <c r="V403" t="s">
        <v>15233</v>
      </c>
    </row>
    <row r="404" spans="1:22" hidden="1">
      <c r="A404" t="s">
        <v>15366</v>
      </c>
      <c r="B404" t="s">
        <v>15442</v>
      </c>
      <c r="C404" t="s">
        <v>15451</v>
      </c>
      <c r="D404" t="s">
        <v>403</v>
      </c>
      <c r="E404" t="s">
        <v>3439</v>
      </c>
      <c r="F404" t="s">
        <v>3427</v>
      </c>
      <c r="G404" s="3">
        <v>35.8226443287802</v>
      </c>
      <c r="H404" s="3">
        <v>127.033406784484</v>
      </c>
      <c r="I404" t="s">
        <v>4170</v>
      </c>
      <c r="J404" t="s">
        <v>7529</v>
      </c>
      <c r="K404" t="s">
        <v>10785</v>
      </c>
      <c r="L404" t="s">
        <v>3366</v>
      </c>
      <c r="M404" t="s">
        <v>11896</v>
      </c>
      <c r="N404" t="s">
        <v>3364</v>
      </c>
      <c r="O404" t="s">
        <v>3362</v>
      </c>
      <c r="P404" t="s">
        <v>3362</v>
      </c>
      <c r="Q404" t="s">
        <v>3359</v>
      </c>
      <c r="R404" t="s">
        <v>15211</v>
      </c>
      <c r="S404" t="s">
        <v>15211</v>
      </c>
      <c r="T404" t="s">
        <v>3379</v>
      </c>
      <c r="U404" t="s">
        <v>12313</v>
      </c>
      <c r="V404" t="s">
        <v>15234</v>
      </c>
    </row>
    <row r="405" spans="1:22">
      <c r="A405" t="s">
        <v>15366</v>
      </c>
      <c r="B405" t="s">
        <v>15443</v>
      </c>
      <c r="C405" t="s">
        <v>15452</v>
      </c>
      <c r="D405" t="s">
        <v>404</v>
      </c>
      <c r="E405" t="s">
        <v>3440</v>
      </c>
      <c r="F405" t="s">
        <v>3431</v>
      </c>
      <c r="G405" s="3">
        <v>35.822644376814701</v>
      </c>
      <c r="H405" s="3">
        <v>127.033406824783</v>
      </c>
      <c r="I405" t="s">
        <v>4171</v>
      </c>
      <c r="J405" t="s">
        <v>7530</v>
      </c>
      <c r="K405" t="s">
        <v>10786</v>
      </c>
      <c r="L405" t="s">
        <v>3366</v>
      </c>
      <c r="M405" t="s">
        <v>11903</v>
      </c>
      <c r="N405" t="s">
        <v>3363</v>
      </c>
      <c r="O405" t="s">
        <v>15211</v>
      </c>
      <c r="P405" t="s">
        <v>3362</v>
      </c>
      <c r="Q405" t="s">
        <v>3359</v>
      </c>
      <c r="R405" t="s">
        <v>15211</v>
      </c>
      <c r="S405" t="s">
        <v>15211</v>
      </c>
      <c r="T405" t="s">
        <v>3372</v>
      </c>
      <c r="U405" t="s">
        <v>12314</v>
      </c>
      <c r="V405" t="s">
        <v>15220</v>
      </c>
    </row>
    <row r="406" spans="1:22" hidden="1">
      <c r="A406" t="s">
        <v>15367</v>
      </c>
      <c r="B406" t="s">
        <v>15441</v>
      </c>
      <c r="C406" t="s">
        <v>15445</v>
      </c>
      <c r="D406" t="s">
        <v>405</v>
      </c>
      <c r="E406" t="s">
        <v>3427</v>
      </c>
      <c r="F406" t="s">
        <v>3435</v>
      </c>
      <c r="G406" s="3">
        <v>35.9908089109108</v>
      </c>
      <c r="H406" s="3">
        <v>127.10182108231901</v>
      </c>
      <c r="I406" t="s">
        <v>4172</v>
      </c>
      <c r="J406" t="s">
        <v>7531</v>
      </c>
      <c r="K406" t="s">
        <v>10787</v>
      </c>
      <c r="L406" t="s">
        <v>3366</v>
      </c>
      <c r="M406" t="s">
        <v>11890</v>
      </c>
      <c r="N406" t="s">
        <v>3364</v>
      </c>
      <c r="O406" t="s">
        <v>3361</v>
      </c>
      <c r="P406" t="s">
        <v>15211</v>
      </c>
      <c r="Q406" t="s">
        <v>15211</v>
      </c>
      <c r="R406" t="s">
        <v>15211</v>
      </c>
      <c r="S406" t="s">
        <v>15211</v>
      </c>
      <c r="T406" t="s">
        <v>3369</v>
      </c>
      <c r="U406" t="s">
        <v>12315</v>
      </c>
      <c r="V406" t="s">
        <v>15228</v>
      </c>
    </row>
    <row r="407" spans="1:22" hidden="1">
      <c r="A407" t="s">
        <v>15367</v>
      </c>
      <c r="B407" t="s">
        <v>15441</v>
      </c>
      <c r="C407" t="s">
        <v>15446</v>
      </c>
      <c r="D407" t="s">
        <v>406</v>
      </c>
      <c r="E407" t="s">
        <v>3435</v>
      </c>
      <c r="F407" t="s">
        <v>3462</v>
      </c>
      <c r="G407" s="3">
        <v>35.9908089934031</v>
      </c>
      <c r="H407" s="3">
        <v>127.10182099124501</v>
      </c>
      <c r="I407" t="s">
        <v>4173</v>
      </c>
      <c r="J407" t="s">
        <v>7532</v>
      </c>
      <c r="K407" t="s">
        <v>10788</v>
      </c>
      <c r="L407" t="s">
        <v>3366</v>
      </c>
      <c r="M407" t="s">
        <v>11890</v>
      </c>
      <c r="N407" t="s">
        <v>3364</v>
      </c>
      <c r="O407" t="s">
        <v>3361</v>
      </c>
      <c r="P407" t="s">
        <v>15211</v>
      </c>
      <c r="Q407" t="s">
        <v>15211</v>
      </c>
      <c r="R407" t="s">
        <v>15211</v>
      </c>
      <c r="S407" t="s">
        <v>15211</v>
      </c>
      <c r="T407" t="s">
        <v>3369</v>
      </c>
      <c r="U407" t="s">
        <v>12316</v>
      </c>
      <c r="V407" t="s">
        <v>15229</v>
      </c>
    </row>
    <row r="408" spans="1:22" hidden="1">
      <c r="A408" t="s">
        <v>15367</v>
      </c>
      <c r="B408" t="s">
        <v>15441</v>
      </c>
      <c r="C408" t="s">
        <v>15447</v>
      </c>
      <c r="D408" t="s">
        <v>407</v>
      </c>
      <c r="E408" t="s">
        <v>3428</v>
      </c>
      <c r="F408" t="s">
        <v>3429</v>
      </c>
      <c r="G408" s="3">
        <v>35.990808859276498</v>
      </c>
      <c r="H408" s="3">
        <v>127.10182113122001</v>
      </c>
      <c r="I408" t="s">
        <v>4174</v>
      </c>
      <c r="J408" t="s">
        <v>7533</v>
      </c>
      <c r="K408" t="s">
        <v>10789</v>
      </c>
      <c r="L408" t="s">
        <v>3366</v>
      </c>
      <c r="M408" t="s">
        <v>11892</v>
      </c>
      <c r="N408" t="s">
        <v>3364</v>
      </c>
      <c r="O408" t="s">
        <v>15211</v>
      </c>
      <c r="P408" t="s">
        <v>15211</v>
      </c>
      <c r="Q408" t="s">
        <v>15211</v>
      </c>
      <c r="R408" t="s">
        <v>15211</v>
      </c>
      <c r="S408" t="s">
        <v>15211</v>
      </c>
      <c r="T408" t="s">
        <v>3364</v>
      </c>
      <c r="U408" t="s">
        <v>12317</v>
      </c>
      <c r="V408" t="s">
        <v>15235</v>
      </c>
    </row>
    <row r="409" spans="1:22" hidden="1">
      <c r="A409" t="s">
        <v>15367</v>
      </c>
      <c r="B409" t="s">
        <v>15441</v>
      </c>
      <c r="C409" t="s">
        <v>15448</v>
      </c>
      <c r="D409" t="s">
        <v>408</v>
      </c>
      <c r="E409" t="s">
        <v>3441</v>
      </c>
      <c r="F409" t="s">
        <v>3579</v>
      </c>
      <c r="G409" s="3">
        <v>35.990808820923597</v>
      </c>
      <c r="H409" s="3">
        <v>127.10182110458101</v>
      </c>
      <c r="I409" t="s">
        <v>4175</v>
      </c>
      <c r="J409" t="s">
        <v>7534</v>
      </c>
      <c r="K409" t="s">
        <v>10790</v>
      </c>
      <c r="L409" t="s">
        <v>3366</v>
      </c>
      <c r="M409" t="s">
        <v>11891</v>
      </c>
      <c r="N409" t="s">
        <v>3363</v>
      </c>
      <c r="O409" t="s">
        <v>3362</v>
      </c>
      <c r="P409" t="s">
        <v>3362</v>
      </c>
      <c r="Q409" t="s">
        <v>3359</v>
      </c>
      <c r="R409" t="s">
        <v>3358</v>
      </c>
      <c r="S409" t="s">
        <v>15211</v>
      </c>
      <c r="T409" t="s">
        <v>3380</v>
      </c>
      <c r="U409" t="s">
        <v>12318</v>
      </c>
      <c r="V409" t="s">
        <v>15230</v>
      </c>
    </row>
    <row r="410" spans="1:22" hidden="1">
      <c r="A410" t="s">
        <v>15367</v>
      </c>
      <c r="B410" t="s">
        <v>15441</v>
      </c>
      <c r="C410" t="s">
        <v>15449</v>
      </c>
      <c r="D410" t="s">
        <v>409</v>
      </c>
      <c r="E410" t="s">
        <v>3434</v>
      </c>
      <c r="F410" t="s">
        <v>3426</v>
      </c>
      <c r="G410" s="3">
        <v>35.990808841919502</v>
      </c>
      <c r="H410" s="3">
        <v>127.10182104872401</v>
      </c>
      <c r="I410" t="s">
        <v>4176</v>
      </c>
      <c r="J410" t="s">
        <v>7535</v>
      </c>
      <c r="K410" t="s">
        <v>10791</v>
      </c>
      <c r="L410" t="s">
        <v>3366</v>
      </c>
      <c r="M410" t="s">
        <v>11896</v>
      </c>
      <c r="N410" t="s">
        <v>3363</v>
      </c>
      <c r="O410" t="s">
        <v>3361</v>
      </c>
      <c r="P410" t="s">
        <v>3362</v>
      </c>
      <c r="Q410" t="s">
        <v>3359</v>
      </c>
      <c r="R410" t="s">
        <v>3358</v>
      </c>
      <c r="S410" t="s">
        <v>15211</v>
      </c>
      <c r="T410" t="s">
        <v>3379</v>
      </c>
      <c r="U410" t="s">
        <v>12319</v>
      </c>
      <c r="V410" t="s">
        <v>15231</v>
      </c>
    </row>
    <row r="411" spans="1:22" hidden="1">
      <c r="A411" t="s">
        <v>15367</v>
      </c>
      <c r="B411" t="s">
        <v>15442</v>
      </c>
      <c r="C411" t="s">
        <v>15450</v>
      </c>
      <c r="D411" t="s">
        <v>410</v>
      </c>
      <c r="E411" t="s">
        <v>3425</v>
      </c>
      <c r="F411" t="s">
        <v>3432</v>
      </c>
      <c r="G411" s="3">
        <v>35.990808930062897</v>
      </c>
      <c r="H411" s="3">
        <v>127.101821093336</v>
      </c>
      <c r="I411" t="s">
        <v>4177</v>
      </c>
      <c r="J411" t="s">
        <v>7536</v>
      </c>
      <c r="K411" t="s">
        <v>10792</v>
      </c>
      <c r="L411" t="s">
        <v>3366</v>
      </c>
      <c r="M411" t="s">
        <v>11894</v>
      </c>
      <c r="N411" t="s">
        <v>3363</v>
      </c>
      <c r="O411" t="s">
        <v>3362</v>
      </c>
      <c r="P411" t="s">
        <v>15211</v>
      </c>
      <c r="Q411" t="s">
        <v>15211</v>
      </c>
      <c r="R411" t="s">
        <v>15211</v>
      </c>
      <c r="S411" t="s">
        <v>15211</v>
      </c>
      <c r="T411" t="s">
        <v>3369</v>
      </c>
      <c r="U411" t="s">
        <v>12320</v>
      </c>
      <c r="V411" t="s">
        <v>15232</v>
      </c>
    </row>
    <row r="412" spans="1:22" hidden="1">
      <c r="A412" t="s">
        <v>15367</v>
      </c>
      <c r="B412" t="s">
        <v>15442</v>
      </c>
      <c r="C412" t="s">
        <v>15445</v>
      </c>
      <c r="D412" t="s">
        <v>411</v>
      </c>
      <c r="E412" t="s">
        <v>3438</v>
      </c>
      <c r="F412" t="s">
        <v>3434</v>
      </c>
      <c r="G412" s="3">
        <v>35.990808907841704</v>
      </c>
      <c r="H412" s="3">
        <v>127.101821032009</v>
      </c>
      <c r="I412" t="s">
        <v>4178</v>
      </c>
      <c r="J412" t="s">
        <v>7537</v>
      </c>
      <c r="K412" t="s">
        <v>10793</v>
      </c>
      <c r="L412" t="s">
        <v>3366</v>
      </c>
      <c r="M412" t="s">
        <v>11894</v>
      </c>
      <c r="N412" t="s">
        <v>3364</v>
      </c>
      <c r="O412" t="s">
        <v>3362</v>
      </c>
      <c r="P412" t="s">
        <v>15211</v>
      </c>
      <c r="Q412" t="s">
        <v>15211</v>
      </c>
      <c r="R412" t="s">
        <v>15211</v>
      </c>
      <c r="S412" t="s">
        <v>15211</v>
      </c>
      <c r="T412" t="s">
        <v>3370</v>
      </c>
      <c r="U412" t="s">
        <v>12321</v>
      </c>
      <c r="V412" t="s">
        <v>15233</v>
      </c>
    </row>
    <row r="413" spans="1:22" hidden="1">
      <c r="A413" t="s">
        <v>15367</v>
      </c>
      <c r="B413" t="s">
        <v>15442</v>
      </c>
      <c r="C413" t="s">
        <v>15451</v>
      </c>
      <c r="D413" t="s">
        <v>412</v>
      </c>
      <c r="E413" t="s">
        <v>3440</v>
      </c>
      <c r="F413" t="s">
        <v>3425</v>
      </c>
      <c r="G413" s="3">
        <v>35.990808859971402</v>
      </c>
      <c r="H413" s="3">
        <v>127.101821075283</v>
      </c>
      <c r="I413" t="s">
        <v>4179</v>
      </c>
      <c r="J413" t="s">
        <v>7538</v>
      </c>
      <c r="K413" t="s">
        <v>10794</v>
      </c>
      <c r="L413" t="s">
        <v>3366</v>
      </c>
      <c r="M413" t="s">
        <v>11888</v>
      </c>
      <c r="N413" t="s">
        <v>3363</v>
      </c>
      <c r="O413" t="s">
        <v>3362</v>
      </c>
      <c r="P413" t="s">
        <v>3362</v>
      </c>
      <c r="Q413" t="s">
        <v>3359</v>
      </c>
      <c r="R413" t="s">
        <v>15211</v>
      </c>
      <c r="S413" t="s">
        <v>15211</v>
      </c>
      <c r="T413" t="s">
        <v>3378</v>
      </c>
      <c r="U413" t="s">
        <v>12322</v>
      </c>
      <c r="V413" t="s">
        <v>15234</v>
      </c>
    </row>
    <row r="414" spans="1:22">
      <c r="A414" t="s">
        <v>15367</v>
      </c>
      <c r="B414" t="s">
        <v>15443</v>
      </c>
      <c r="C414" t="s">
        <v>15452</v>
      </c>
      <c r="D414" t="s">
        <v>413</v>
      </c>
      <c r="E414" t="s">
        <v>3431</v>
      </c>
      <c r="F414" t="s">
        <v>3433</v>
      </c>
      <c r="G414" s="3">
        <v>35.990808905489097</v>
      </c>
      <c r="H414" s="3">
        <v>127.101821127563</v>
      </c>
      <c r="I414" t="s">
        <v>4180</v>
      </c>
      <c r="J414" t="s">
        <v>7539</v>
      </c>
      <c r="K414" t="s">
        <v>10795</v>
      </c>
      <c r="L414" t="s">
        <v>3366</v>
      </c>
      <c r="M414" t="s">
        <v>11903</v>
      </c>
      <c r="N414" t="s">
        <v>3363</v>
      </c>
      <c r="O414" t="s">
        <v>15211</v>
      </c>
      <c r="P414" t="s">
        <v>3362</v>
      </c>
      <c r="Q414" t="s">
        <v>3359</v>
      </c>
      <c r="R414" t="s">
        <v>15211</v>
      </c>
      <c r="S414" t="s">
        <v>15211</v>
      </c>
      <c r="T414" t="s">
        <v>3372</v>
      </c>
      <c r="U414" t="s">
        <v>12323</v>
      </c>
      <c r="V414" t="s">
        <v>15220</v>
      </c>
    </row>
    <row r="415" spans="1:22" hidden="1">
      <c r="A415" t="s">
        <v>15400</v>
      </c>
      <c r="B415" t="s">
        <v>15442</v>
      </c>
      <c r="C415" t="s">
        <v>15445</v>
      </c>
      <c r="D415" t="s">
        <v>2966</v>
      </c>
      <c r="E415" t="s">
        <v>3427</v>
      </c>
      <c r="F415" t="s">
        <v>3435</v>
      </c>
      <c r="G415" s="3">
        <v>37.347086251994398</v>
      </c>
      <c r="H415" s="3">
        <v>127.845972012464</v>
      </c>
      <c r="I415" t="s">
        <v>6736</v>
      </c>
      <c r="J415" t="s">
        <v>10092</v>
      </c>
      <c r="K415" t="s">
        <v>3631</v>
      </c>
      <c r="L415" t="s">
        <v>3366</v>
      </c>
      <c r="M415" t="s">
        <v>11885</v>
      </c>
      <c r="N415" t="s">
        <v>3363</v>
      </c>
      <c r="O415" t="s">
        <v>3361</v>
      </c>
      <c r="P415" t="s">
        <v>15211</v>
      </c>
      <c r="Q415" t="s">
        <v>15211</v>
      </c>
      <c r="R415" t="s">
        <v>15211</v>
      </c>
      <c r="S415" t="s">
        <v>15211</v>
      </c>
      <c r="T415" t="s">
        <v>3368</v>
      </c>
      <c r="U415" t="s">
        <v>14830</v>
      </c>
      <c r="V415" t="s">
        <v>15233</v>
      </c>
    </row>
    <row r="416" spans="1:22" hidden="1">
      <c r="A416" t="s">
        <v>15400</v>
      </c>
      <c r="B416" t="s">
        <v>15442</v>
      </c>
      <c r="C416" t="s">
        <v>15445</v>
      </c>
      <c r="D416" t="s">
        <v>2967</v>
      </c>
      <c r="E416" t="s">
        <v>3427</v>
      </c>
      <c r="F416" t="s">
        <v>3435</v>
      </c>
      <c r="G416" s="3">
        <v>37.347086285720003</v>
      </c>
      <c r="H416" s="3">
        <v>127.845972036999</v>
      </c>
      <c r="I416" t="s">
        <v>6737</v>
      </c>
      <c r="J416" t="s">
        <v>10093</v>
      </c>
      <c r="K416" t="s">
        <v>10753</v>
      </c>
      <c r="L416" t="s">
        <v>3366</v>
      </c>
      <c r="M416" t="s">
        <v>11886</v>
      </c>
      <c r="N416" t="s">
        <v>3363</v>
      </c>
      <c r="O416" t="s">
        <v>3361</v>
      </c>
      <c r="P416" t="s">
        <v>15211</v>
      </c>
      <c r="Q416" t="s">
        <v>15211</v>
      </c>
      <c r="R416" t="s">
        <v>15211</v>
      </c>
      <c r="S416" t="s">
        <v>15211</v>
      </c>
      <c r="T416" t="s">
        <v>3368</v>
      </c>
      <c r="U416" t="s">
        <v>14831</v>
      </c>
      <c r="V416" t="s">
        <v>15233</v>
      </c>
    </row>
    <row r="417" spans="1:22" hidden="1">
      <c r="A417" t="s">
        <v>15400</v>
      </c>
      <c r="B417" t="s">
        <v>15442</v>
      </c>
      <c r="C417" t="s">
        <v>15445</v>
      </c>
      <c r="D417" t="s">
        <v>2968</v>
      </c>
      <c r="E417" t="s">
        <v>3427</v>
      </c>
      <c r="F417" t="s">
        <v>3435</v>
      </c>
      <c r="G417" s="3">
        <v>37.347086258865097</v>
      </c>
      <c r="H417" s="3">
        <v>127.84597201883901</v>
      </c>
      <c r="I417" t="s">
        <v>6738</v>
      </c>
      <c r="J417" t="s">
        <v>10094</v>
      </c>
      <c r="K417" t="s">
        <v>10753</v>
      </c>
      <c r="L417" t="s">
        <v>3366</v>
      </c>
      <c r="M417" t="s">
        <v>11886</v>
      </c>
      <c r="N417" t="s">
        <v>3363</v>
      </c>
      <c r="O417" t="s">
        <v>3361</v>
      </c>
      <c r="P417" t="s">
        <v>15211</v>
      </c>
      <c r="Q417" t="s">
        <v>15211</v>
      </c>
      <c r="R417" t="s">
        <v>15211</v>
      </c>
      <c r="S417" t="s">
        <v>15211</v>
      </c>
      <c r="T417" t="s">
        <v>3368</v>
      </c>
      <c r="U417" t="s">
        <v>14832</v>
      </c>
      <c r="V417" t="s">
        <v>15233</v>
      </c>
    </row>
    <row r="418" spans="1:22" hidden="1">
      <c r="A418" t="s">
        <v>15400</v>
      </c>
      <c r="B418" t="s">
        <v>15442</v>
      </c>
      <c r="C418" t="s">
        <v>15451</v>
      </c>
      <c r="D418" t="s">
        <v>2969</v>
      </c>
      <c r="E418" t="s">
        <v>3427</v>
      </c>
      <c r="F418" t="s">
        <v>3435</v>
      </c>
      <c r="G418" s="3">
        <v>37.347086198598902</v>
      </c>
      <c r="H418" s="3">
        <v>127.84597206814099</v>
      </c>
      <c r="I418" t="s">
        <v>6739</v>
      </c>
      <c r="J418" t="s">
        <v>10095</v>
      </c>
      <c r="K418" t="s">
        <v>11404</v>
      </c>
      <c r="L418" t="s">
        <v>3372</v>
      </c>
      <c r="M418" t="s">
        <v>11899</v>
      </c>
      <c r="N418" t="s">
        <v>3362</v>
      </c>
      <c r="O418" t="s">
        <v>3361</v>
      </c>
      <c r="P418" t="s">
        <v>3362</v>
      </c>
      <c r="Q418" t="s">
        <v>3358</v>
      </c>
      <c r="R418" t="s">
        <v>15211</v>
      </c>
      <c r="S418" t="s">
        <v>15211</v>
      </c>
      <c r="T418" t="s">
        <v>3375</v>
      </c>
      <c r="U418" t="s">
        <v>14833</v>
      </c>
      <c r="V418" t="s">
        <v>15234</v>
      </c>
    </row>
    <row r="419" spans="1:22" hidden="1">
      <c r="A419" t="s">
        <v>15400</v>
      </c>
      <c r="B419" t="s">
        <v>15442</v>
      </c>
      <c r="C419" t="s">
        <v>15451</v>
      </c>
      <c r="D419" t="s">
        <v>2970</v>
      </c>
      <c r="E419" t="s">
        <v>3438</v>
      </c>
      <c r="F419" t="s">
        <v>3431</v>
      </c>
      <c r="G419" s="3">
        <v>37.347086218899697</v>
      </c>
      <c r="H419" s="3">
        <v>127.84597208629999</v>
      </c>
      <c r="I419" t="s">
        <v>6740</v>
      </c>
      <c r="J419" t="s">
        <v>10096</v>
      </c>
      <c r="K419" t="s">
        <v>11404</v>
      </c>
      <c r="L419" t="s">
        <v>3366</v>
      </c>
      <c r="M419" t="s">
        <v>11899</v>
      </c>
      <c r="N419" t="s">
        <v>3362</v>
      </c>
      <c r="O419" t="s">
        <v>3361</v>
      </c>
      <c r="P419" t="s">
        <v>3362</v>
      </c>
      <c r="Q419" t="s">
        <v>3358</v>
      </c>
      <c r="R419" t="s">
        <v>15211</v>
      </c>
      <c r="S419" t="s">
        <v>15211</v>
      </c>
      <c r="T419" t="s">
        <v>3375</v>
      </c>
      <c r="U419" t="s">
        <v>14834</v>
      </c>
      <c r="V419" t="s">
        <v>15234</v>
      </c>
    </row>
    <row r="420" spans="1:22" hidden="1">
      <c r="A420" t="s">
        <v>15400</v>
      </c>
      <c r="B420" t="s">
        <v>15442</v>
      </c>
      <c r="C420" t="s">
        <v>15451</v>
      </c>
      <c r="D420" t="s">
        <v>2971</v>
      </c>
      <c r="E420" t="s">
        <v>3427</v>
      </c>
      <c r="F420" t="s">
        <v>3434</v>
      </c>
      <c r="G420" s="3">
        <v>37.347086213910998</v>
      </c>
      <c r="H420" s="3">
        <v>127.845972103466</v>
      </c>
      <c r="I420" t="s">
        <v>6741</v>
      </c>
      <c r="J420" t="s">
        <v>10097</v>
      </c>
      <c r="K420" t="s">
        <v>10841</v>
      </c>
      <c r="L420" t="s">
        <v>3366</v>
      </c>
      <c r="M420" t="s">
        <v>11899</v>
      </c>
      <c r="N420" t="s">
        <v>3362</v>
      </c>
      <c r="O420" t="s">
        <v>3361</v>
      </c>
      <c r="P420" t="s">
        <v>3362</v>
      </c>
      <c r="Q420" t="s">
        <v>3358</v>
      </c>
      <c r="R420" t="s">
        <v>15211</v>
      </c>
      <c r="S420" t="s">
        <v>15211</v>
      </c>
      <c r="T420" t="s">
        <v>3375</v>
      </c>
      <c r="U420" t="s">
        <v>14835</v>
      </c>
      <c r="V420" t="s">
        <v>15234</v>
      </c>
    </row>
    <row r="421" spans="1:22" hidden="1">
      <c r="A421" t="s">
        <v>15400</v>
      </c>
      <c r="B421" t="s">
        <v>15443</v>
      </c>
      <c r="C421" t="s">
        <v>15497</v>
      </c>
      <c r="D421" t="s">
        <v>2972</v>
      </c>
      <c r="E421" t="s">
        <v>3591</v>
      </c>
      <c r="F421" t="s">
        <v>3752</v>
      </c>
      <c r="G421" s="3">
        <v>37.347093563815299</v>
      </c>
      <c r="H421" s="3">
        <v>127.84597024680301</v>
      </c>
      <c r="I421" t="s">
        <v>6742</v>
      </c>
      <c r="J421" t="s">
        <v>10098</v>
      </c>
      <c r="K421" t="s">
        <v>10650</v>
      </c>
      <c r="L421" t="s">
        <v>3366</v>
      </c>
      <c r="M421" t="s">
        <v>11886</v>
      </c>
      <c r="N421" t="s">
        <v>3360</v>
      </c>
      <c r="O421" t="s">
        <v>15211</v>
      </c>
      <c r="P421" t="s">
        <v>3362</v>
      </c>
      <c r="Q421" t="s">
        <v>3358</v>
      </c>
      <c r="R421" t="s">
        <v>15211</v>
      </c>
      <c r="S421" t="s">
        <v>15211</v>
      </c>
      <c r="T421" t="s">
        <v>3368</v>
      </c>
      <c r="U421" t="s">
        <v>14836</v>
      </c>
      <c r="V421" t="s">
        <v>15287</v>
      </c>
    </row>
    <row r="422" spans="1:22" hidden="1">
      <c r="A422" t="s">
        <v>15400</v>
      </c>
      <c r="B422" t="s">
        <v>15443</v>
      </c>
      <c r="C422" t="s">
        <v>15497</v>
      </c>
      <c r="D422" t="s">
        <v>2973</v>
      </c>
      <c r="E422" t="s">
        <v>3592</v>
      </c>
      <c r="F422" t="s">
        <v>3753</v>
      </c>
      <c r="G422" s="3">
        <v>37.347092213055198</v>
      </c>
      <c r="H422" s="3">
        <v>127.845971009601</v>
      </c>
      <c r="I422" t="s">
        <v>6743</v>
      </c>
      <c r="J422" t="s">
        <v>10099</v>
      </c>
      <c r="K422" t="s">
        <v>10892</v>
      </c>
      <c r="L422" t="s">
        <v>3366</v>
      </c>
      <c r="M422" t="s">
        <v>11886</v>
      </c>
      <c r="N422" t="s">
        <v>3359</v>
      </c>
      <c r="O422" t="s">
        <v>15211</v>
      </c>
      <c r="P422" t="s">
        <v>3362</v>
      </c>
      <c r="Q422" t="s">
        <v>3358</v>
      </c>
      <c r="R422" t="s">
        <v>15211</v>
      </c>
      <c r="S422" t="s">
        <v>15211</v>
      </c>
      <c r="T422" t="s">
        <v>3367</v>
      </c>
      <c r="U422" t="s">
        <v>14837</v>
      </c>
      <c r="V422" t="s">
        <v>15287</v>
      </c>
    </row>
    <row r="423" spans="1:22" hidden="1">
      <c r="A423" t="s">
        <v>15400</v>
      </c>
      <c r="B423" t="s">
        <v>15443</v>
      </c>
      <c r="C423" t="s">
        <v>15497</v>
      </c>
      <c r="D423" t="s">
        <v>2974</v>
      </c>
      <c r="E423" t="s">
        <v>3593</v>
      </c>
      <c r="F423" t="s">
        <v>3754</v>
      </c>
      <c r="G423" s="3">
        <v>37.347087523614903</v>
      </c>
      <c r="H423" s="3">
        <v>127.845972083604</v>
      </c>
      <c r="I423" t="s">
        <v>6744</v>
      </c>
      <c r="J423" t="s">
        <v>10100</v>
      </c>
      <c r="K423" t="s">
        <v>11527</v>
      </c>
      <c r="L423" t="s">
        <v>3366</v>
      </c>
      <c r="M423" t="s">
        <v>11902</v>
      </c>
      <c r="N423" t="s">
        <v>3357</v>
      </c>
      <c r="O423" t="s">
        <v>15211</v>
      </c>
      <c r="P423" t="s">
        <v>3362</v>
      </c>
      <c r="Q423" t="s">
        <v>3358</v>
      </c>
      <c r="R423" t="s">
        <v>15211</v>
      </c>
      <c r="S423" t="s">
        <v>15211</v>
      </c>
      <c r="T423" t="s">
        <v>3365</v>
      </c>
      <c r="U423" t="s">
        <v>14838</v>
      </c>
      <c r="V423" t="s">
        <v>15287</v>
      </c>
    </row>
    <row r="424" spans="1:22" hidden="1">
      <c r="A424" t="s">
        <v>15369</v>
      </c>
      <c r="B424" t="s">
        <v>15441</v>
      </c>
      <c r="C424" t="s">
        <v>15445</v>
      </c>
      <c r="D424" t="s">
        <v>423</v>
      </c>
      <c r="E424" t="s">
        <v>3427</v>
      </c>
      <c r="F424" t="s">
        <v>3431</v>
      </c>
      <c r="G424" s="3">
        <v>35.601318188209099</v>
      </c>
      <c r="H424" s="3">
        <v>127.320536584669</v>
      </c>
      <c r="I424" t="s">
        <v>4190</v>
      </c>
      <c r="J424" t="s">
        <v>7549</v>
      </c>
      <c r="K424" t="s">
        <v>10802</v>
      </c>
      <c r="L424" t="s">
        <v>3366</v>
      </c>
      <c r="M424" t="s">
        <v>11898</v>
      </c>
      <c r="N424" t="s">
        <v>3366</v>
      </c>
      <c r="O424" t="s">
        <v>3364</v>
      </c>
      <c r="P424" t="s">
        <v>15211</v>
      </c>
      <c r="Q424" t="s">
        <v>15211</v>
      </c>
      <c r="R424" t="s">
        <v>15211</v>
      </c>
      <c r="S424" t="s">
        <v>15211</v>
      </c>
      <c r="T424" t="s">
        <v>3374</v>
      </c>
      <c r="U424" t="s">
        <v>12333</v>
      </c>
      <c r="V424" t="s">
        <v>15228</v>
      </c>
    </row>
    <row r="425" spans="1:22" hidden="1">
      <c r="A425" t="s">
        <v>15369</v>
      </c>
      <c r="B425" t="s">
        <v>15441</v>
      </c>
      <c r="C425" t="s">
        <v>15446</v>
      </c>
      <c r="D425" t="s">
        <v>424</v>
      </c>
      <c r="E425" t="s">
        <v>3436</v>
      </c>
      <c r="F425" t="s">
        <v>3435</v>
      </c>
      <c r="G425" s="3">
        <v>35.6013181486462</v>
      </c>
      <c r="H425" s="3">
        <v>127.32053657647</v>
      </c>
      <c r="I425" t="s">
        <v>4191</v>
      </c>
      <c r="J425" t="s">
        <v>7550</v>
      </c>
      <c r="K425" t="s">
        <v>10738</v>
      </c>
      <c r="L425" t="s">
        <v>3366</v>
      </c>
      <c r="M425" t="s">
        <v>11898</v>
      </c>
      <c r="N425" t="s">
        <v>3366</v>
      </c>
      <c r="O425" t="s">
        <v>3364</v>
      </c>
      <c r="P425" t="s">
        <v>15211</v>
      </c>
      <c r="Q425" t="s">
        <v>15211</v>
      </c>
      <c r="R425" t="s">
        <v>15211</v>
      </c>
      <c r="S425" t="s">
        <v>15211</v>
      </c>
      <c r="T425" t="s">
        <v>3374</v>
      </c>
      <c r="U425" t="s">
        <v>12334</v>
      </c>
      <c r="V425" t="s">
        <v>15229</v>
      </c>
    </row>
    <row r="426" spans="1:22" hidden="1">
      <c r="A426" t="s">
        <v>15369</v>
      </c>
      <c r="B426" t="s">
        <v>15441</v>
      </c>
      <c r="C426" t="s">
        <v>15447</v>
      </c>
      <c r="D426" t="s">
        <v>425</v>
      </c>
      <c r="E426" t="s">
        <v>3429</v>
      </c>
      <c r="F426" t="s">
        <v>3441</v>
      </c>
      <c r="G426" s="3">
        <v>35.601318231319397</v>
      </c>
      <c r="H426" s="3">
        <v>127.32053670995001</v>
      </c>
      <c r="I426" t="s">
        <v>4192</v>
      </c>
      <c r="J426" t="s">
        <v>7551</v>
      </c>
      <c r="K426" t="s">
        <v>10803</v>
      </c>
      <c r="L426" t="s">
        <v>3366</v>
      </c>
      <c r="M426" t="s">
        <v>11902</v>
      </c>
      <c r="N426" t="s">
        <v>3366</v>
      </c>
      <c r="O426" t="s">
        <v>15211</v>
      </c>
      <c r="P426" t="s">
        <v>15211</v>
      </c>
      <c r="Q426" t="s">
        <v>15211</v>
      </c>
      <c r="R426" t="s">
        <v>15211</v>
      </c>
      <c r="S426" t="s">
        <v>15211</v>
      </c>
      <c r="T426" t="s">
        <v>3366</v>
      </c>
      <c r="U426" t="s">
        <v>12335</v>
      </c>
      <c r="V426" t="s">
        <v>15235</v>
      </c>
    </row>
    <row r="427" spans="1:22" hidden="1">
      <c r="A427" t="s">
        <v>15369</v>
      </c>
      <c r="B427" t="s">
        <v>15441</v>
      </c>
      <c r="C427" t="s">
        <v>15448</v>
      </c>
      <c r="D427" t="s">
        <v>426</v>
      </c>
      <c r="E427" t="s">
        <v>3442</v>
      </c>
      <c r="F427" t="s">
        <v>3478</v>
      </c>
      <c r="G427" s="3">
        <v>35.601318324406201</v>
      </c>
      <c r="H427" s="3">
        <v>127.320536658213</v>
      </c>
      <c r="I427" t="s">
        <v>4193</v>
      </c>
      <c r="J427" t="s">
        <v>7552</v>
      </c>
      <c r="K427" t="s">
        <v>10804</v>
      </c>
      <c r="L427" t="s">
        <v>3366</v>
      </c>
      <c r="M427" t="s">
        <v>11907</v>
      </c>
      <c r="N427" t="s">
        <v>3366</v>
      </c>
      <c r="O427" t="s">
        <v>3363</v>
      </c>
      <c r="P427" t="s">
        <v>3363</v>
      </c>
      <c r="Q427" t="s">
        <v>3360</v>
      </c>
      <c r="R427" t="s">
        <v>3358</v>
      </c>
      <c r="S427" t="s">
        <v>15211</v>
      </c>
      <c r="T427" t="s">
        <v>3386</v>
      </c>
      <c r="U427" t="s">
        <v>12336</v>
      </c>
      <c r="V427" t="s">
        <v>15230</v>
      </c>
    </row>
    <row r="428" spans="1:22" hidden="1">
      <c r="A428" t="s">
        <v>15369</v>
      </c>
      <c r="B428" t="s">
        <v>15441</v>
      </c>
      <c r="C428" t="s">
        <v>15449</v>
      </c>
      <c r="D428" t="s">
        <v>427</v>
      </c>
      <c r="E428" t="s">
        <v>3431</v>
      </c>
      <c r="F428" t="s">
        <v>3461</v>
      </c>
      <c r="G428" s="3">
        <v>35.601318331891697</v>
      </c>
      <c r="H428" s="3">
        <v>127.320536700711</v>
      </c>
      <c r="I428" t="s">
        <v>4194</v>
      </c>
      <c r="J428" t="s">
        <v>7553</v>
      </c>
      <c r="K428" t="s">
        <v>10775</v>
      </c>
      <c r="L428" t="s">
        <v>3366</v>
      </c>
      <c r="M428" t="s">
        <v>11914</v>
      </c>
      <c r="N428" t="s">
        <v>3365</v>
      </c>
      <c r="O428" t="s">
        <v>3360</v>
      </c>
      <c r="P428" t="s">
        <v>3363</v>
      </c>
      <c r="Q428" t="s">
        <v>3361</v>
      </c>
      <c r="R428" t="s">
        <v>3358</v>
      </c>
      <c r="S428" t="s">
        <v>15211</v>
      </c>
      <c r="T428" t="s">
        <v>3383</v>
      </c>
      <c r="U428" t="s">
        <v>12337</v>
      </c>
      <c r="V428" t="s">
        <v>15231</v>
      </c>
    </row>
    <row r="429" spans="1:22" hidden="1">
      <c r="A429" t="s">
        <v>15369</v>
      </c>
      <c r="B429" t="s">
        <v>15442</v>
      </c>
      <c r="C429" t="s">
        <v>15450</v>
      </c>
      <c r="D429" t="s">
        <v>428</v>
      </c>
      <c r="E429" t="s">
        <v>3462</v>
      </c>
      <c r="F429" t="s">
        <v>3484</v>
      </c>
      <c r="G429" s="3">
        <v>35.601318073260302</v>
      </c>
      <c r="H429" s="3">
        <v>127.32053673216799</v>
      </c>
      <c r="I429" t="s">
        <v>4195</v>
      </c>
      <c r="J429" t="s">
        <v>7554</v>
      </c>
      <c r="K429" t="s">
        <v>10609</v>
      </c>
      <c r="L429" t="s">
        <v>3410</v>
      </c>
      <c r="M429" t="s">
        <v>11903</v>
      </c>
      <c r="N429" t="s">
        <v>3365</v>
      </c>
      <c r="O429" t="s">
        <v>3363</v>
      </c>
      <c r="P429" t="s">
        <v>15211</v>
      </c>
      <c r="Q429" t="s">
        <v>15211</v>
      </c>
      <c r="R429" t="s">
        <v>15211</v>
      </c>
      <c r="S429" t="s">
        <v>15211</v>
      </c>
      <c r="T429" t="s">
        <v>3372</v>
      </c>
      <c r="U429" t="s">
        <v>12338</v>
      </c>
      <c r="V429" t="s">
        <v>15232</v>
      </c>
    </row>
    <row r="430" spans="1:22" hidden="1">
      <c r="A430" t="s">
        <v>15369</v>
      </c>
      <c r="B430" t="s">
        <v>15442</v>
      </c>
      <c r="C430" t="s">
        <v>15445</v>
      </c>
      <c r="D430" t="s">
        <v>429</v>
      </c>
      <c r="E430" t="s">
        <v>3428</v>
      </c>
      <c r="F430" t="s">
        <v>3429</v>
      </c>
      <c r="G430" s="3">
        <v>35.6013180669433</v>
      </c>
      <c r="H430" s="3">
        <v>127.320536723343</v>
      </c>
      <c r="I430" t="s">
        <v>4196</v>
      </c>
      <c r="J430" t="s">
        <v>7555</v>
      </c>
      <c r="K430" t="s">
        <v>10805</v>
      </c>
      <c r="L430" t="s">
        <v>3366</v>
      </c>
      <c r="M430" t="s">
        <v>11901</v>
      </c>
      <c r="N430" t="s">
        <v>3365</v>
      </c>
      <c r="O430" t="s">
        <v>3364</v>
      </c>
      <c r="P430" t="s">
        <v>15211</v>
      </c>
      <c r="Q430" t="s">
        <v>15211</v>
      </c>
      <c r="R430" t="s">
        <v>15211</v>
      </c>
      <c r="S430" t="s">
        <v>15211</v>
      </c>
      <c r="T430" t="s">
        <v>3373</v>
      </c>
      <c r="U430" t="s">
        <v>12339</v>
      </c>
      <c r="V430" t="s">
        <v>15233</v>
      </c>
    </row>
    <row r="431" spans="1:22" hidden="1">
      <c r="A431" t="s">
        <v>15369</v>
      </c>
      <c r="B431" t="s">
        <v>15442</v>
      </c>
      <c r="C431" t="s">
        <v>15451</v>
      </c>
      <c r="D431" t="s">
        <v>430</v>
      </c>
      <c r="E431" t="s">
        <v>3438</v>
      </c>
      <c r="F431" t="s">
        <v>3435</v>
      </c>
      <c r="G431" s="3">
        <v>35.601318109211803</v>
      </c>
      <c r="H431" s="3">
        <v>127.320536588933</v>
      </c>
      <c r="I431" t="s">
        <v>4197</v>
      </c>
      <c r="J431" t="s">
        <v>7556</v>
      </c>
      <c r="K431" t="s">
        <v>10806</v>
      </c>
      <c r="L431" t="s">
        <v>3366</v>
      </c>
      <c r="M431" t="s">
        <v>11893</v>
      </c>
      <c r="N431" t="s">
        <v>3363</v>
      </c>
      <c r="O431" t="s">
        <v>3363</v>
      </c>
      <c r="P431" t="s">
        <v>3364</v>
      </c>
      <c r="Q431" t="s">
        <v>3359</v>
      </c>
      <c r="R431" t="s">
        <v>15211</v>
      </c>
      <c r="S431" t="s">
        <v>15211</v>
      </c>
      <c r="T431" t="s">
        <v>3381</v>
      </c>
      <c r="U431" t="s">
        <v>12340</v>
      </c>
      <c r="V431" t="s">
        <v>15234</v>
      </c>
    </row>
    <row r="432" spans="1:22">
      <c r="A432" t="s">
        <v>15400</v>
      </c>
      <c r="B432" t="s">
        <v>15443</v>
      </c>
      <c r="C432" t="s">
        <v>15452</v>
      </c>
      <c r="D432" t="s">
        <v>2975</v>
      </c>
      <c r="E432" t="s">
        <v>3507</v>
      </c>
      <c r="F432" t="s">
        <v>3755</v>
      </c>
      <c r="G432" s="3">
        <v>37.347086174731899</v>
      </c>
      <c r="H432" s="3">
        <v>127.84597247111</v>
      </c>
      <c r="I432" t="s">
        <v>6745</v>
      </c>
      <c r="J432" t="s">
        <v>10101</v>
      </c>
      <c r="K432" t="s">
        <v>10771</v>
      </c>
      <c r="L432" t="s">
        <v>3366</v>
      </c>
      <c r="M432" t="s">
        <v>11902</v>
      </c>
      <c r="N432" t="s">
        <v>3358</v>
      </c>
      <c r="O432" t="s">
        <v>15211</v>
      </c>
      <c r="P432" t="s">
        <v>3361</v>
      </c>
      <c r="Q432" t="s">
        <v>3359</v>
      </c>
      <c r="R432" t="s">
        <v>15211</v>
      </c>
      <c r="S432" t="s">
        <v>15211</v>
      </c>
      <c r="T432" t="s">
        <v>3366</v>
      </c>
      <c r="U432" t="s">
        <v>14839</v>
      </c>
      <c r="V432" t="s">
        <v>15220</v>
      </c>
    </row>
    <row r="433" spans="1:22">
      <c r="A433" t="s">
        <v>15400</v>
      </c>
      <c r="B433" t="s">
        <v>15443</v>
      </c>
      <c r="C433" t="s">
        <v>15452</v>
      </c>
      <c r="D433" t="s">
        <v>2976</v>
      </c>
      <c r="E433" t="s">
        <v>3594</v>
      </c>
      <c r="F433" t="s">
        <v>3756</v>
      </c>
      <c r="G433" s="3">
        <v>37.347088075450301</v>
      </c>
      <c r="H433" s="3">
        <v>127.845971962712</v>
      </c>
      <c r="I433" t="s">
        <v>6746</v>
      </c>
      <c r="J433" t="s">
        <v>10102</v>
      </c>
      <c r="K433" t="s">
        <v>11806</v>
      </c>
      <c r="L433" t="s">
        <v>3366</v>
      </c>
      <c r="M433" t="s">
        <v>11900</v>
      </c>
      <c r="N433" t="s">
        <v>3357</v>
      </c>
      <c r="O433" t="s">
        <v>15211</v>
      </c>
      <c r="P433" t="s">
        <v>3361</v>
      </c>
      <c r="Q433" t="s">
        <v>3359</v>
      </c>
      <c r="R433" t="s">
        <v>15211</v>
      </c>
      <c r="S433" t="s">
        <v>15211</v>
      </c>
      <c r="T433" t="s">
        <v>3365</v>
      </c>
      <c r="U433" t="s">
        <v>14840</v>
      </c>
      <c r="V433" t="s">
        <v>15220</v>
      </c>
    </row>
    <row r="434" spans="1:22">
      <c r="A434" t="s">
        <v>15400</v>
      </c>
      <c r="B434" t="s">
        <v>15443</v>
      </c>
      <c r="C434" t="s">
        <v>15452</v>
      </c>
      <c r="D434" t="s">
        <v>2977</v>
      </c>
      <c r="E434" t="s">
        <v>3595</v>
      </c>
      <c r="F434" t="s">
        <v>3748</v>
      </c>
      <c r="G434" s="3">
        <v>37.347090240196202</v>
      </c>
      <c r="H434" s="3">
        <v>127.84597202674701</v>
      </c>
      <c r="I434" t="s">
        <v>6747</v>
      </c>
      <c r="J434" t="s">
        <v>10103</v>
      </c>
      <c r="K434" t="s">
        <v>11807</v>
      </c>
      <c r="L434" t="s">
        <v>3366</v>
      </c>
      <c r="M434" t="s">
        <v>11900</v>
      </c>
      <c r="N434" t="s">
        <v>3357</v>
      </c>
      <c r="O434" t="s">
        <v>15211</v>
      </c>
      <c r="P434" t="s">
        <v>3361</v>
      </c>
      <c r="Q434" t="s">
        <v>3359</v>
      </c>
      <c r="R434" t="s">
        <v>15211</v>
      </c>
      <c r="S434" t="s">
        <v>15211</v>
      </c>
      <c r="T434" t="s">
        <v>3365</v>
      </c>
      <c r="U434" t="s">
        <v>14841</v>
      </c>
      <c r="V434" t="s">
        <v>15220</v>
      </c>
    </row>
    <row r="435" spans="1:22" hidden="1">
      <c r="A435" t="s">
        <v>15400</v>
      </c>
      <c r="B435" t="s">
        <v>15441</v>
      </c>
      <c r="C435" t="s">
        <v>15447</v>
      </c>
      <c r="D435" t="s">
        <v>2978</v>
      </c>
      <c r="E435" t="s">
        <v>3468</v>
      </c>
      <c r="F435" t="s">
        <v>3670</v>
      </c>
      <c r="G435" s="3">
        <v>37.347086274342601</v>
      </c>
      <c r="H435" s="3">
        <v>127.845974138448</v>
      </c>
      <c r="I435" t="s">
        <v>6748</v>
      </c>
      <c r="J435" t="s">
        <v>10104</v>
      </c>
      <c r="K435" t="s">
        <v>11808</v>
      </c>
      <c r="L435" t="s">
        <v>3359</v>
      </c>
      <c r="M435" t="s">
        <v>11909</v>
      </c>
      <c r="N435" t="s">
        <v>3362</v>
      </c>
      <c r="O435" t="s">
        <v>15211</v>
      </c>
      <c r="P435" t="s">
        <v>15211</v>
      </c>
      <c r="Q435" t="s">
        <v>15211</v>
      </c>
      <c r="R435" t="s">
        <v>15211</v>
      </c>
      <c r="S435" t="s">
        <v>15211</v>
      </c>
      <c r="T435" t="s">
        <v>3362</v>
      </c>
      <c r="U435" t="s">
        <v>14842</v>
      </c>
      <c r="V435" t="s">
        <v>15235</v>
      </c>
    </row>
    <row r="436" spans="1:22" hidden="1">
      <c r="A436" t="s">
        <v>15400</v>
      </c>
      <c r="B436" t="s">
        <v>15441</v>
      </c>
      <c r="C436" t="s">
        <v>15447</v>
      </c>
      <c r="D436" t="s">
        <v>2979</v>
      </c>
      <c r="E436" t="s">
        <v>3596</v>
      </c>
      <c r="F436" t="s">
        <v>3757</v>
      </c>
      <c r="G436" s="3">
        <v>37.347088849187102</v>
      </c>
      <c r="H436" s="3">
        <v>127.84597535114</v>
      </c>
      <c r="I436" t="s">
        <v>6749</v>
      </c>
      <c r="J436" t="s">
        <v>10105</v>
      </c>
      <c r="K436" t="s">
        <v>10485</v>
      </c>
      <c r="L436" t="s">
        <v>3380</v>
      </c>
      <c r="M436" t="s">
        <v>11887</v>
      </c>
      <c r="N436" t="s">
        <v>3363</v>
      </c>
      <c r="O436" t="s">
        <v>15211</v>
      </c>
      <c r="P436" t="s">
        <v>15211</v>
      </c>
      <c r="Q436" t="s">
        <v>15211</v>
      </c>
      <c r="R436" t="s">
        <v>15211</v>
      </c>
      <c r="S436" t="s">
        <v>15211</v>
      </c>
      <c r="T436" t="s">
        <v>3363</v>
      </c>
      <c r="U436" t="s">
        <v>14843</v>
      </c>
      <c r="V436" t="s">
        <v>15235</v>
      </c>
    </row>
    <row r="437" spans="1:22" hidden="1">
      <c r="A437" t="s">
        <v>15400</v>
      </c>
      <c r="B437" t="s">
        <v>15441</v>
      </c>
      <c r="C437" t="s">
        <v>15447</v>
      </c>
      <c r="D437" t="s">
        <v>2980</v>
      </c>
      <c r="E437" t="s">
        <v>3597</v>
      </c>
      <c r="F437" t="s">
        <v>3758</v>
      </c>
      <c r="G437" s="3">
        <v>37.347087560328198</v>
      </c>
      <c r="H437" s="3">
        <v>127.845972415444</v>
      </c>
      <c r="I437" t="s">
        <v>6750</v>
      </c>
      <c r="J437" t="s">
        <v>10106</v>
      </c>
      <c r="K437" t="s">
        <v>10975</v>
      </c>
      <c r="L437" t="s">
        <v>3358</v>
      </c>
      <c r="M437" t="s">
        <v>11887</v>
      </c>
      <c r="N437" t="s">
        <v>3364</v>
      </c>
      <c r="O437" t="s">
        <v>15211</v>
      </c>
      <c r="P437" t="s">
        <v>15211</v>
      </c>
      <c r="Q437" t="s">
        <v>15211</v>
      </c>
      <c r="R437" t="s">
        <v>15211</v>
      </c>
      <c r="S437" t="s">
        <v>15211</v>
      </c>
      <c r="T437" t="s">
        <v>3364</v>
      </c>
      <c r="U437" t="s">
        <v>14844</v>
      </c>
      <c r="V437" t="s">
        <v>15235</v>
      </c>
    </row>
    <row r="438" spans="1:22" hidden="1">
      <c r="A438" t="s">
        <v>15335</v>
      </c>
      <c r="B438" t="s">
        <v>15441</v>
      </c>
      <c r="C438" t="s">
        <v>15445</v>
      </c>
      <c r="D438" t="s">
        <v>1585</v>
      </c>
      <c r="E438" t="s">
        <v>3438</v>
      </c>
      <c r="F438" t="s">
        <v>3435</v>
      </c>
      <c r="G438" s="3">
        <v>36.622071303755902</v>
      </c>
      <c r="H438" s="3">
        <v>126.31125442714099</v>
      </c>
      <c r="I438" t="s">
        <v>5351</v>
      </c>
      <c r="J438" t="s">
        <v>8710</v>
      </c>
      <c r="K438" t="s">
        <v>11402</v>
      </c>
      <c r="L438" t="s">
        <v>3366</v>
      </c>
      <c r="M438" t="s">
        <v>11885</v>
      </c>
      <c r="N438" t="s">
        <v>3364</v>
      </c>
      <c r="O438" t="s">
        <v>3360</v>
      </c>
      <c r="P438" t="s">
        <v>15211</v>
      </c>
      <c r="Q438" t="s">
        <v>15211</v>
      </c>
      <c r="R438" t="s">
        <v>15211</v>
      </c>
      <c r="S438" t="s">
        <v>15211</v>
      </c>
      <c r="T438" t="s">
        <v>3368</v>
      </c>
      <c r="U438" t="s">
        <v>13476</v>
      </c>
      <c r="V438" t="s">
        <v>15228</v>
      </c>
    </row>
    <row r="439" spans="1:22" hidden="1">
      <c r="A439" t="s">
        <v>15335</v>
      </c>
      <c r="B439" t="s">
        <v>15441</v>
      </c>
      <c r="C439" t="s">
        <v>15445</v>
      </c>
      <c r="D439" t="s">
        <v>1586</v>
      </c>
      <c r="E439" t="s">
        <v>3438</v>
      </c>
      <c r="F439" t="s">
        <v>3435</v>
      </c>
      <c r="G439" s="3">
        <v>36.622071287372201</v>
      </c>
      <c r="H439" s="3">
        <v>126.31125442456501</v>
      </c>
      <c r="I439" t="s">
        <v>5352</v>
      </c>
      <c r="J439" t="s">
        <v>8711</v>
      </c>
      <c r="K439" t="s">
        <v>11402</v>
      </c>
      <c r="L439" t="s">
        <v>3366</v>
      </c>
      <c r="M439" t="s">
        <v>11885</v>
      </c>
      <c r="N439" t="s">
        <v>3364</v>
      </c>
      <c r="O439" t="s">
        <v>3360</v>
      </c>
      <c r="P439" t="s">
        <v>15211</v>
      </c>
      <c r="Q439" t="s">
        <v>15211</v>
      </c>
      <c r="R439" t="s">
        <v>15211</v>
      </c>
      <c r="S439" t="s">
        <v>15211</v>
      </c>
      <c r="T439" t="s">
        <v>3368</v>
      </c>
      <c r="U439" t="s">
        <v>13477</v>
      </c>
      <c r="V439" t="s">
        <v>15228</v>
      </c>
    </row>
    <row r="440" spans="1:22" hidden="1">
      <c r="A440" t="s">
        <v>15335</v>
      </c>
      <c r="B440" t="s">
        <v>15441</v>
      </c>
      <c r="C440" t="s">
        <v>15445</v>
      </c>
      <c r="D440" t="s">
        <v>1587</v>
      </c>
      <c r="E440" t="s">
        <v>3438</v>
      </c>
      <c r="F440" t="s">
        <v>3435</v>
      </c>
      <c r="G440" s="3">
        <v>36.622071210131899</v>
      </c>
      <c r="H440" s="3">
        <v>126.31125437514299</v>
      </c>
      <c r="I440" t="s">
        <v>5353</v>
      </c>
      <c r="J440" t="s">
        <v>8712</v>
      </c>
      <c r="K440" t="s">
        <v>11402</v>
      </c>
      <c r="L440" t="s">
        <v>3366</v>
      </c>
      <c r="M440" t="s">
        <v>11885</v>
      </c>
      <c r="N440" t="s">
        <v>3364</v>
      </c>
      <c r="O440" t="s">
        <v>3360</v>
      </c>
      <c r="P440" t="s">
        <v>15211</v>
      </c>
      <c r="Q440" t="s">
        <v>15211</v>
      </c>
      <c r="R440" t="s">
        <v>15211</v>
      </c>
      <c r="S440" t="s">
        <v>15211</v>
      </c>
      <c r="T440" t="s">
        <v>3368</v>
      </c>
      <c r="U440" t="s">
        <v>13478</v>
      </c>
      <c r="V440" t="s">
        <v>15228</v>
      </c>
    </row>
    <row r="441" spans="1:22" hidden="1">
      <c r="A441" t="s">
        <v>15335</v>
      </c>
      <c r="B441" t="s">
        <v>15441</v>
      </c>
      <c r="C441" t="s">
        <v>15446</v>
      </c>
      <c r="D441" t="s">
        <v>1588</v>
      </c>
      <c r="E441" t="s">
        <v>3438</v>
      </c>
      <c r="F441" t="s">
        <v>3435</v>
      </c>
      <c r="G441" s="3">
        <v>36.622071151519201</v>
      </c>
      <c r="H441" s="3">
        <v>126.311254377841</v>
      </c>
      <c r="I441" t="s">
        <v>5354</v>
      </c>
      <c r="J441" t="s">
        <v>8713</v>
      </c>
      <c r="K441" t="s">
        <v>11402</v>
      </c>
      <c r="L441" t="s">
        <v>3366</v>
      </c>
      <c r="M441" t="s">
        <v>11885</v>
      </c>
      <c r="N441" t="s">
        <v>3364</v>
      </c>
      <c r="O441" t="s">
        <v>3360</v>
      </c>
      <c r="P441" t="s">
        <v>15211</v>
      </c>
      <c r="Q441" t="s">
        <v>15211</v>
      </c>
      <c r="R441" t="s">
        <v>15211</v>
      </c>
      <c r="S441" t="s">
        <v>15211</v>
      </c>
      <c r="T441" t="s">
        <v>3368</v>
      </c>
      <c r="U441" t="s">
        <v>13479</v>
      </c>
      <c r="V441" t="s">
        <v>15229</v>
      </c>
    </row>
    <row r="442" spans="1:22" hidden="1">
      <c r="A442" t="s">
        <v>15335</v>
      </c>
      <c r="B442" t="s">
        <v>15441</v>
      </c>
      <c r="C442" t="s">
        <v>15446</v>
      </c>
      <c r="D442" t="s">
        <v>1589</v>
      </c>
      <c r="E442" t="s">
        <v>3438</v>
      </c>
      <c r="F442" t="s">
        <v>3435</v>
      </c>
      <c r="G442" s="3">
        <v>36.622071169975001</v>
      </c>
      <c r="H442" s="3">
        <v>126.311254376623</v>
      </c>
      <c r="I442" t="s">
        <v>5355</v>
      </c>
      <c r="J442" t="s">
        <v>8714</v>
      </c>
      <c r="K442" t="s">
        <v>11402</v>
      </c>
      <c r="L442" t="s">
        <v>3366</v>
      </c>
      <c r="M442" t="s">
        <v>11885</v>
      </c>
      <c r="N442" t="s">
        <v>3364</v>
      </c>
      <c r="O442" t="s">
        <v>3360</v>
      </c>
      <c r="P442" t="s">
        <v>15211</v>
      </c>
      <c r="Q442" t="s">
        <v>15211</v>
      </c>
      <c r="R442" t="s">
        <v>15211</v>
      </c>
      <c r="S442" t="s">
        <v>15211</v>
      </c>
      <c r="T442" t="s">
        <v>3368</v>
      </c>
      <c r="U442" t="s">
        <v>13480</v>
      </c>
      <c r="V442" t="s">
        <v>15229</v>
      </c>
    </row>
    <row r="443" spans="1:22" hidden="1">
      <c r="A443" t="s">
        <v>15335</v>
      </c>
      <c r="B443" t="s">
        <v>15441</v>
      </c>
      <c r="C443" t="s">
        <v>15446</v>
      </c>
      <c r="D443" t="s">
        <v>1590</v>
      </c>
      <c r="E443" t="s">
        <v>3438</v>
      </c>
      <c r="F443" t="s">
        <v>3435</v>
      </c>
      <c r="G443" s="3">
        <v>36.6220712127529</v>
      </c>
      <c r="H443" s="3">
        <v>126.311254419866</v>
      </c>
      <c r="I443" t="s">
        <v>5356</v>
      </c>
      <c r="J443" t="s">
        <v>8715</v>
      </c>
      <c r="K443" t="s">
        <v>11402</v>
      </c>
      <c r="L443" t="s">
        <v>3366</v>
      </c>
      <c r="M443" t="s">
        <v>11885</v>
      </c>
      <c r="N443" t="s">
        <v>3364</v>
      </c>
      <c r="O443" t="s">
        <v>3360</v>
      </c>
      <c r="P443" t="s">
        <v>15211</v>
      </c>
      <c r="Q443" t="s">
        <v>15211</v>
      </c>
      <c r="R443" t="s">
        <v>15211</v>
      </c>
      <c r="S443" t="s">
        <v>15211</v>
      </c>
      <c r="T443" t="s">
        <v>3368</v>
      </c>
      <c r="U443" t="s">
        <v>13481</v>
      </c>
      <c r="V443" t="s">
        <v>15229</v>
      </c>
    </row>
    <row r="444" spans="1:22" hidden="1">
      <c r="A444" t="s">
        <v>15335</v>
      </c>
      <c r="B444" t="s">
        <v>15441</v>
      </c>
      <c r="C444" t="s">
        <v>15447</v>
      </c>
      <c r="D444" t="s">
        <v>1591</v>
      </c>
      <c r="E444" t="s">
        <v>3428</v>
      </c>
      <c r="F444" t="s">
        <v>3441</v>
      </c>
      <c r="G444" s="3">
        <v>36.622071207241099</v>
      </c>
      <c r="H444" s="3">
        <v>126.311254332014</v>
      </c>
      <c r="I444" t="s">
        <v>5357</v>
      </c>
      <c r="J444" t="s">
        <v>8716</v>
      </c>
      <c r="K444" t="s">
        <v>11403</v>
      </c>
      <c r="L444" t="s">
        <v>3366</v>
      </c>
      <c r="M444" t="s">
        <v>11892</v>
      </c>
      <c r="N444" t="s">
        <v>3364</v>
      </c>
      <c r="O444" t="s">
        <v>15211</v>
      </c>
      <c r="P444" t="s">
        <v>15211</v>
      </c>
      <c r="Q444" t="s">
        <v>15211</v>
      </c>
      <c r="R444" t="s">
        <v>15211</v>
      </c>
      <c r="S444" t="s">
        <v>15211</v>
      </c>
      <c r="T444" t="s">
        <v>3364</v>
      </c>
      <c r="U444" t="s">
        <v>13482</v>
      </c>
      <c r="V444" t="s">
        <v>15235</v>
      </c>
    </row>
    <row r="445" spans="1:22" hidden="1">
      <c r="A445" t="s">
        <v>15335</v>
      </c>
      <c r="B445" t="s">
        <v>15441</v>
      </c>
      <c r="C445" t="s">
        <v>15447</v>
      </c>
      <c r="D445" t="s">
        <v>1592</v>
      </c>
      <c r="E445" t="s">
        <v>3436</v>
      </c>
      <c r="F445" t="s">
        <v>3432</v>
      </c>
      <c r="G445" s="3">
        <v>36.622071207958598</v>
      </c>
      <c r="H445" s="3">
        <v>126.311254315784</v>
      </c>
      <c r="I445" t="s">
        <v>5358</v>
      </c>
      <c r="J445" t="s">
        <v>8717</v>
      </c>
      <c r="K445" t="s">
        <v>10607</v>
      </c>
      <c r="L445" t="s">
        <v>3366</v>
      </c>
      <c r="M445" t="s">
        <v>11892</v>
      </c>
      <c r="N445" t="s">
        <v>3364</v>
      </c>
      <c r="O445" t="s">
        <v>15211</v>
      </c>
      <c r="P445" t="s">
        <v>15211</v>
      </c>
      <c r="Q445" t="s">
        <v>15211</v>
      </c>
      <c r="R445" t="s">
        <v>15211</v>
      </c>
      <c r="S445" t="s">
        <v>15211</v>
      </c>
      <c r="T445" t="s">
        <v>3364</v>
      </c>
      <c r="U445" t="s">
        <v>13483</v>
      </c>
      <c r="V445" t="s">
        <v>15235</v>
      </c>
    </row>
    <row r="446" spans="1:22" hidden="1">
      <c r="A446" t="s">
        <v>15335</v>
      </c>
      <c r="B446" t="s">
        <v>15441</v>
      </c>
      <c r="C446" t="s">
        <v>15447</v>
      </c>
      <c r="D446" t="s">
        <v>1593</v>
      </c>
      <c r="E446" t="s">
        <v>3428</v>
      </c>
      <c r="F446" t="s">
        <v>3441</v>
      </c>
      <c r="G446" s="3">
        <v>36.622071182728497</v>
      </c>
      <c r="H446" s="3">
        <v>126.311254306596</v>
      </c>
      <c r="I446" t="s">
        <v>5359</v>
      </c>
      <c r="J446" t="s">
        <v>8718</v>
      </c>
      <c r="K446" t="s">
        <v>11323</v>
      </c>
      <c r="L446" t="s">
        <v>3366</v>
      </c>
      <c r="M446" t="s">
        <v>11892</v>
      </c>
      <c r="N446" t="s">
        <v>3364</v>
      </c>
      <c r="O446" t="s">
        <v>15211</v>
      </c>
      <c r="P446" t="s">
        <v>15211</v>
      </c>
      <c r="Q446" t="s">
        <v>15211</v>
      </c>
      <c r="R446" t="s">
        <v>15211</v>
      </c>
      <c r="S446" t="s">
        <v>15211</v>
      </c>
      <c r="T446" t="s">
        <v>3364</v>
      </c>
      <c r="U446" t="s">
        <v>13484</v>
      </c>
      <c r="V446" t="s">
        <v>15235</v>
      </c>
    </row>
    <row r="447" spans="1:22" hidden="1">
      <c r="A447" t="s">
        <v>15335</v>
      </c>
      <c r="B447" t="s">
        <v>15441</v>
      </c>
      <c r="C447" t="s">
        <v>15448</v>
      </c>
      <c r="D447" t="s">
        <v>1594</v>
      </c>
      <c r="E447" t="s">
        <v>3428</v>
      </c>
      <c r="F447" t="s">
        <v>3432</v>
      </c>
      <c r="G447" s="3">
        <v>36.622071206784</v>
      </c>
      <c r="H447" s="3">
        <v>126.311254316234</v>
      </c>
      <c r="I447" t="s">
        <v>5360</v>
      </c>
      <c r="J447" t="s">
        <v>8719</v>
      </c>
      <c r="K447" t="s">
        <v>11404</v>
      </c>
      <c r="L447" t="s">
        <v>3366</v>
      </c>
      <c r="M447" t="s">
        <v>11907</v>
      </c>
      <c r="N447" t="s">
        <v>3364</v>
      </c>
      <c r="O447" t="s">
        <v>3361</v>
      </c>
      <c r="P447" t="s">
        <v>3363</v>
      </c>
      <c r="Q447" t="s">
        <v>3366</v>
      </c>
      <c r="R447" t="s">
        <v>15211</v>
      </c>
      <c r="S447" t="s">
        <v>15211</v>
      </c>
      <c r="T447" t="s">
        <v>3386</v>
      </c>
      <c r="U447" t="s">
        <v>13485</v>
      </c>
      <c r="V447" t="s">
        <v>15230</v>
      </c>
    </row>
    <row r="448" spans="1:22" hidden="1">
      <c r="A448" t="s">
        <v>15335</v>
      </c>
      <c r="B448" t="s">
        <v>15441</v>
      </c>
      <c r="C448" t="s">
        <v>15448</v>
      </c>
      <c r="D448" t="s">
        <v>1595</v>
      </c>
      <c r="E448" t="s">
        <v>3428</v>
      </c>
      <c r="F448" t="s">
        <v>3433</v>
      </c>
      <c r="G448" s="3">
        <v>36.622071184549597</v>
      </c>
      <c r="H448" s="3">
        <v>126.311254301399</v>
      </c>
      <c r="I448" t="s">
        <v>5361</v>
      </c>
      <c r="J448" t="s">
        <v>8720</v>
      </c>
      <c r="K448" t="s">
        <v>11404</v>
      </c>
      <c r="L448" t="s">
        <v>3366</v>
      </c>
      <c r="M448" t="s">
        <v>11907</v>
      </c>
      <c r="N448" t="s">
        <v>3364</v>
      </c>
      <c r="O448" t="s">
        <v>3361</v>
      </c>
      <c r="P448" t="s">
        <v>3363</v>
      </c>
      <c r="Q448" t="s">
        <v>3366</v>
      </c>
      <c r="R448" t="s">
        <v>15211</v>
      </c>
      <c r="S448" t="s">
        <v>15211</v>
      </c>
      <c r="T448" t="s">
        <v>3386</v>
      </c>
      <c r="U448" t="s">
        <v>13486</v>
      </c>
      <c r="V448" t="s">
        <v>15230</v>
      </c>
    </row>
    <row r="449" spans="1:22" hidden="1">
      <c r="A449" t="s">
        <v>15335</v>
      </c>
      <c r="B449" t="s">
        <v>15441</v>
      </c>
      <c r="C449" t="s">
        <v>15448</v>
      </c>
      <c r="D449" t="s">
        <v>1596</v>
      </c>
      <c r="E449" t="s">
        <v>3436</v>
      </c>
      <c r="F449" t="s">
        <v>3452</v>
      </c>
      <c r="G449" s="3">
        <v>36.622071202840601</v>
      </c>
      <c r="H449" s="3">
        <v>126.31125432104101</v>
      </c>
      <c r="I449" t="s">
        <v>5362</v>
      </c>
      <c r="J449" t="s">
        <v>8721</v>
      </c>
      <c r="K449" t="s">
        <v>11405</v>
      </c>
      <c r="L449" t="s">
        <v>3366</v>
      </c>
      <c r="M449" t="s">
        <v>11911</v>
      </c>
      <c r="N449" t="s">
        <v>3364</v>
      </c>
      <c r="O449" t="s">
        <v>3360</v>
      </c>
      <c r="P449" t="s">
        <v>3363</v>
      </c>
      <c r="Q449" t="s">
        <v>3365</v>
      </c>
      <c r="R449" t="s">
        <v>15211</v>
      </c>
      <c r="S449" t="s">
        <v>15211</v>
      </c>
      <c r="T449" t="s">
        <v>3384</v>
      </c>
      <c r="U449" t="s">
        <v>13487</v>
      </c>
      <c r="V449" t="s">
        <v>15230</v>
      </c>
    </row>
    <row r="450" spans="1:22" hidden="1">
      <c r="A450" t="s">
        <v>15335</v>
      </c>
      <c r="B450" t="s">
        <v>15441</v>
      </c>
      <c r="C450" t="s">
        <v>15449</v>
      </c>
      <c r="D450" t="s">
        <v>1597</v>
      </c>
      <c r="E450" t="s">
        <v>3427</v>
      </c>
      <c r="F450" t="s">
        <v>3433</v>
      </c>
      <c r="G450" s="3">
        <v>36.622071122223801</v>
      </c>
      <c r="H450" s="3">
        <v>126.311254360134</v>
      </c>
      <c r="I450" t="s">
        <v>5363</v>
      </c>
      <c r="J450" t="s">
        <v>8722</v>
      </c>
      <c r="K450" t="s">
        <v>11406</v>
      </c>
      <c r="L450" t="s">
        <v>3366</v>
      </c>
      <c r="M450" t="s">
        <v>11891</v>
      </c>
      <c r="N450" t="s">
        <v>3364</v>
      </c>
      <c r="O450" t="s">
        <v>15211</v>
      </c>
      <c r="P450" t="s">
        <v>3363</v>
      </c>
      <c r="Q450" t="s">
        <v>3365</v>
      </c>
      <c r="R450" t="s">
        <v>15211</v>
      </c>
      <c r="S450" t="s">
        <v>15211</v>
      </c>
      <c r="T450" t="s">
        <v>3380</v>
      </c>
      <c r="U450" t="s">
        <v>13488</v>
      </c>
      <c r="V450" t="s">
        <v>15231</v>
      </c>
    </row>
    <row r="451" spans="1:22" hidden="1">
      <c r="A451" t="s">
        <v>15335</v>
      </c>
      <c r="B451" t="s">
        <v>15441</v>
      </c>
      <c r="C451" t="s">
        <v>15449</v>
      </c>
      <c r="D451" t="s">
        <v>1598</v>
      </c>
      <c r="E451" t="s">
        <v>3427</v>
      </c>
      <c r="F451" t="s">
        <v>3453</v>
      </c>
      <c r="G451" s="3">
        <v>36.622071125306199</v>
      </c>
      <c r="H451" s="3">
        <v>126.31125431670399</v>
      </c>
      <c r="I451" t="s">
        <v>5364</v>
      </c>
      <c r="J451" t="s">
        <v>8723</v>
      </c>
      <c r="K451" t="s">
        <v>11406</v>
      </c>
      <c r="L451" t="s">
        <v>3366</v>
      </c>
      <c r="M451" t="s">
        <v>11891</v>
      </c>
      <c r="N451" t="s">
        <v>3364</v>
      </c>
      <c r="O451" t="s">
        <v>15211</v>
      </c>
      <c r="P451" t="s">
        <v>3363</v>
      </c>
      <c r="Q451" t="s">
        <v>3365</v>
      </c>
      <c r="R451" t="s">
        <v>15211</v>
      </c>
      <c r="S451" t="s">
        <v>15211</v>
      </c>
      <c r="T451" t="s">
        <v>3380</v>
      </c>
      <c r="U451" t="s">
        <v>13489</v>
      </c>
      <c r="V451" t="s">
        <v>15231</v>
      </c>
    </row>
    <row r="452" spans="1:22" hidden="1">
      <c r="A452" t="s">
        <v>15335</v>
      </c>
      <c r="B452" t="s">
        <v>15441</v>
      </c>
      <c r="C452" t="s">
        <v>15449</v>
      </c>
      <c r="D452" t="s">
        <v>1599</v>
      </c>
      <c r="E452" t="s">
        <v>3428</v>
      </c>
      <c r="F452" t="s">
        <v>3433</v>
      </c>
      <c r="G452" s="3">
        <v>36.622071123478101</v>
      </c>
      <c r="H452" s="3">
        <v>126.311254309335</v>
      </c>
      <c r="I452" t="s">
        <v>5365</v>
      </c>
      <c r="J452" t="s">
        <v>8724</v>
      </c>
      <c r="K452" t="s">
        <v>11077</v>
      </c>
      <c r="L452" t="s">
        <v>3366</v>
      </c>
      <c r="M452" t="s">
        <v>11893</v>
      </c>
      <c r="N452" t="s">
        <v>3364</v>
      </c>
      <c r="O452" t="s">
        <v>15211</v>
      </c>
      <c r="P452" t="s">
        <v>3363</v>
      </c>
      <c r="Q452" t="s">
        <v>3366</v>
      </c>
      <c r="R452" t="s">
        <v>15211</v>
      </c>
      <c r="S452" t="s">
        <v>15211</v>
      </c>
      <c r="T452" t="s">
        <v>3381</v>
      </c>
      <c r="U452" t="s">
        <v>13490</v>
      </c>
      <c r="V452" t="s">
        <v>15231</v>
      </c>
    </row>
    <row r="453" spans="1:22" hidden="1">
      <c r="A453" t="s">
        <v>15335</v>
      </c>
      <c r="B453" t="s">
        <v>15442</v>
      </c>
      <c r="C453" t="s">
        <v>15450</v>
      </c>
      <c r="D453" t="s">
        <v>1600</v>
      </c>
      <c r="E453" t="s">
        <v>3425</v>
      </c>
      <c r="F453" t="s">
        <v>3462</v>
      </c>
      <c r="G453" s="3">
        <v>36.622071325325102</v>
      </c>
      <c r="H453" s="3">
        <v>126.311254267913</v>
      </c>
      <c r="I453" t="s">
        <v>5366</v>
      </c>
      <c r="J453" t="s">
        <v>8725</v>
      </c>
      <c r="K453" t="s">
        <v>10579</v>
      </c>
      <c r="L453" t="s">
        <v>3366</v>
      </c>
      <c r="M453" t="s">
        <v>11890</v>
      </c>
      <c r="N453" t="s">
        <v>3364</v>
      </c>
      <c r="O453" t="s">
        <v>3361</v>
      </c>
      <c r="P453" t="s">
        <v>15211</v>
      </c>
      <c r="Q453" t="s">
        <v>15211</v>
      </c>
      <c r="R453" t="s">
        <v>15211</v>
      </c>
      <c r="S453" t="s">
        <v>15211</v>
      </c>
      <c r="T453" t="s">
        <v>3369</v>
      </c>
      <c r="U453" t="s">
        <v>13491</v>
      </c>
      <c r="V453" t="s">
        <v>15232</v>
      </c>
    </row>
    <row r="454" spans="1:22" hidden="1">
      <c r="A454" t="s">
        <v>15335</v>
      </c>
      <c r="B454" t="s">
        <v>15442</v>
      </c>
      <c r="C454" t="s">
        <v>15450</v>
      </c>
      <c r="D454" t="s">
        <v>1601</v>
      </c>
      <c r="E454" t="s">
        <v>3425</v>
      </c>
      <c r="F454" t="s">
        <v>3462</v>
      </c>
      <c r="G454" s="3">
        <v>36.622071336359802</v>
      </c>
      <c r="H454" s="3">
        <v>126.311254304193</v>
      </c>
      <c r="I454" t="s">
        <v>5367</v>
      </c>
      <c r="J454" t="s">
        <v>8726</v>
      </c>
      <c r="K454" t="s">
        <v>3681</v>
      </c>
      <c r="L454" t="s">
        <v>3366</v>
      </c>
      <c r="M454" t="s">
        <v>11890</v>
      </c>
      <c r="N454" t="s">
        <v>3364</v>
      </c>
      <c r="O454" t="s">
        <v>3361</v>
      </c>
      <c r="P454" t="s">
        <v>15211</v>
      </c>
      <c r="Q454" t="s">
        <v>15211</v>
      </c>
      <c r="R454" t="s">
        <v>15211</v>
      </c>
      <c r="S454" t="s">
        <v>15211</v>
      </c>
      <c r="T454" t="s">
        <v>3369</v>
      </c>
      <c r="U454" t="s">
        <v>13492</v>
      </c>
      <c r="V454" t="s">
        <v>15232</v>
      </c>
    </row>
    <row r="455" spans="1:22" hidden="1">
      <c r="A455" t="s">
        <v>15335</v>
      </c>
      <c r="B455" t="s">
        <v>15442</v>
      </c>
      <c r="C455" t="s">
        <v>15450</v>
      </c>
      <c r="D455" t="s">
        <v>1602</v>
      </c>
      <c r="E455" t="s">
        <v>3425</v>
      </c>
      <c r="F455" t="s">
        <v>3462</v>
      </c>
      <c r="G455" s="3">
        <v>36.622071332525103</v>
      </c>
      <c r="H455" s="3">
        <v>126.311254266414</v>
      </c>
      <c r="I455" t="s">
        <v>5368</v>
      </c>
      <c r="J455" t="s">
        <v>8727</v>
      </c>
      <c r="K455" t="s">
        <v>11363</v>
      </c>
      <c r="L455" t="s">
        <v>3366</v>
      </c>
      <c r="M455" t="s">
        <v>11890</v>
      </c>
      <c r="N455" t="s">
        <v>3364</v>
      </c>
      <c r="O455" t="s">
        <v>3361</v>
      </c>
      <c r="P455" t="s">
        <v>15211</v>
      </c>
      <c r="Q455" t="s">
        <v>15211</v>
      </c>
      <c r="R455" t="s">
        <v>15211</v>
      </c>
      <c r="S455" t="s">
        <v>15211</v>
      </c>
      <c r="T455" t="s">
        <v>3369</v>
      </c>
      <c r="U455" t="s">
        <v>13493</v>
      </c>
      <c r="V455" t="s">
        <v>15232</v>
      </c>
    </row>
    <row r="456" spans="1:22" hidden="1">
      <c r="A456" t="s">
        <v>15335</v>
      </c>
      <c r="B456" t="s">
        <v>15442</v>
      </c>
      <c r="C456" t="s">
        <v>15445</v>
      </c>
      <c r="D456" t="s">
        <v>1603</v>
      </c>
      <c r="E456" t="s">
        <v>3428</v>
      </c>
      <c r="F456" t="s">
        <v>3441</v>
      </c>
      <c r="G456" s="3">
        <v>36.622071333147296</v>
      </c>
      <c r="H456" s="3">
        <v>126.311254307007</v>
      </c>
      <c r="I456" t="s">
        <v>5369</v>
      </c>
      <c r="J456" t="s">
        <v>8728</v>
      </c>
      <c r="K456" t="s">
        <v>10860</v>
      </c>
      <c r="L456" t="s">
        <v>3366</v>
      </c>
      <c r="M456" t="s">
        <v>11890</v>
      </c>
      <c r="N456" t="s">
        <v>3364</v>
      </c>
      <c r="O456" t="s">
        <v>3361</v>
      </c>
      <c r="P456" t="s">
        <v>15211</v>
      </c>
      <c r="Q456" t="s">
        <v>15211</v>
      </c>
      <c r="R456" t="s">
        <v>15211</v>
      </c>
      <c r="S456" t="s">
        <v>15211</v>
      </c>
      <c r="T456" t="s">
        <v>3369</v>
      </c>
      <c r="U456" t="s">
        <v>13494</v>
      </c>
      <c r="V456" t="s">
        <v>15233</v>
      </c>
    </row>
    <row r="457" spans="1:22" hidden="1">
      <c r="A457" t="s">
        <v>15335</v>
      </c>
      <c r="B457" t="s">
        <v>15442</v>
      </c>
      <c r="C457" t="s">
        <v>15445</v>
      </c>
      <c r="D457" t="s">
        <v>1604</v>
      </c>
      <c r="E457" t="s">
        <v>3436</v>
      </c>
      <c r="F457" t="s">
        <v>3433</v>
      </c>
      <c r="G457" s="3">
        <v>36.622071367245098</v>
      </c>
      <c r="H457" s="3">
        <v>126.311254311052</v>
      </c>
      <c r="I457" t="s">
        <v>5370</v>
      </c>
      <c r="J457" t="s">
        <v>8729</v>
      </c>
      <c r="K457" t="s">
        <v>10870</v>
      </c>
      <c r="L457" t="s">
        <v>3366</v>
      </c>
      <c r="M457" t="s">
        <v>11890</v>
      </c>
      <c r="N457" t="s">
        <v>3364</v>
      </c>
      <c r="O457" t="s">
        <v>3361</v>
      </c>
      <c r="P457" t="s">
        <v>15211</v>
      </c>
      <c r="Q457" t="s">
        <v>15211</v>
      </c>
      <c r="R457" t="s">
        <v>15211</v>
      </c>
      <c r="S457" t="s">
        <v>15211</v>
      </c>
      <c r="T457" t="s">
        <v>3369</v>
      </c>
      <c r="U457" t="s">
        <v>13495</v>
      </c>
      <c r="V457" t="s">
        <v>15233</v>
      </c>
    </row>
    <row r="458" spans="1:22" hidden="1">
      <c r="A458" t="s">
        <v>15335</v>
      </c>
      <c r="B458" t="s">
        <v>15442</v>
      </c>
      <c r="C458" t="s">
        <v>15445</v>
      </c>
      <c r="D458" t="s">
        <v>1605</v>
      </c>
      <c r="E458" t="s">
        <v>3436</v>
      </c>
      <c r="F458" t="s">
        <v>3433</v>
      </c>
      <c r="G458" s="3">
        <v>36.622071356452899</v>
      </c>
      <c r="H458" s="3">
        <v>126.31125431906</v>
      </c>
      <c r="I458" t="s">
        <v>5371</v>
      </c>
      <c r="J458" t="s">
        <v>8730</v>
      </c>
      <c r="K458" t="s">
        <v>10859</v>
      </c>
      <c r="L458" t="s">
        <v>3366</v>
      </c>
      <c r="M458" t="s">
        <v>11890</v>
      </c>
      <c r="N458" t="s">
        <v>3364</v>
      </c>
      <c r="O458" t="s">
        <v>3361</v>
      </c>
      <c r="P458" t="s">
        <v>15211</v>
      </c>
      <c r="Q458" t="s">
        <v>15211</v>
      </c>
      <c r="R458" t="s">
        <v>15211</v>
      </c>
      <c r="S458" t="s">
        <v>15211</v>
      </c>
      <c r="T458" t="s">
        <v>3369</v>
      </c>
      <c r="U458" t="s">
        <v>13496</v>
      </c>
      <c r="V458" t="s">
        <v>15233</v>
      </c>
    </row>
    <row r="459" spans="1:22" hidden="1">
      <c r="A459" t="s">
        <v>15373</v>
      </c>
      <c r="B459" t="s">
        <v>15441</v>
      </c>
      <c r="C459" t="s">
        <v>15445</v>
      </c>
      <c r="D459" t="s">
        <v>458</v>
      </c>
      <c r="E459" t="s">
        <v>3436</v>
      </c>
      <c r="F459" t="s">
        <v>3453</v>
      </c>
      <c r="G459" s="3">
        <v>35.354619895518802</v>
      </c>
      <c r="H459" s="3">
        <v>127.058320863212</v>
      </c>
      <c r="I459" t="s">
        <v>4225</v>
      </c>
      <c r="J459" t="s">
        <v>7584</v>
      </c>
      <c r="K459" t="s">
        <v>3682</v>
      </c>
      <c r="L459" t="s">
        <v>3366</v>
      </c>
      <c r="M459" t="s">
        <v>11886</v>
      </c>
      <c r="N459" t="s">
        <v>15211</v>
      </c>
      <c r="O459" t="s">
        <v>15211</v>
      </c>
      <c r="P459" t="s">
        <v>15211</v>
      </c>
      <c r="Q459" t="s">
        <v>15211</v>
      </c>
      <c r="R459" t="s">
        <v>15211</v>
      </c>
      <c r="S459" t="s">
        <v>15211</v>
      </c>
      <c r="T459" t="s">
        <v>15211</v>
      </c>
      <c r="U459" t="s">
        <v>12368</v>
      </c>
      <c r="V459" t="s">
        <v>15228</v>
      </c>
    </row>
    <row r="460" spans="1:22" hidden="1">
      <c r="A460" t="s">
        <v>15373</v>
      </c>
      <c r="B460" t="s">
        <v>15441</v>
      </c>
      <c r="C460" t="s">
        <v>15446</v>
      </c>
      <c r="D460" t="s">
        <v>459</v>
      </c>
      <c r="E460" t="s">
        <v>3436</v>
      </c>
      <c r="F460" t="s">
        <v>3453</v>
      </c>
      <c r="G460" s="3">
        <v>35.354619999535302</v>
      </c>
      <c r="H460" s="3">
        <v>127.058320807399</v>
      </c>
      <c r="I460" t="s">
        <v>4226</v>
      </c>
      <c r="J460" t="s">
        <v>7585</v>
      </c>
      <c r="K460" t="s">
        <v>10822</v>
      </c>
      <c r="L460" t="s">
        <v>3366</v>
      </c>
      <c r="M460" t="s">
        <v>11902</v>
      </c>
      <c r="N460" t="s">
        <v>15211</v>
      </c>
      <c r="O460" t="s">
        <v>15211</v>
      </c>
      <c r="P460" t="s">
        <v>15211</v>
      </c>
      <c r="Q460" t="s">
        <v>15211</v>
      </c>
      <c r="R460" t="s">
        <v>15211</v>
      </c>
      <c r="S460" t="s">
        <v>15211</v>
      </c>
      <c r="T460" t="s">
        <v>15211</v>
      </c>
      <c r="U460" t="s">
        <v>12369</v>
      </c>
      <c r="V460" t="s">
        <v>15229</v>
      </c>
    </row>
    <row r="461" spans="1:22" hidden="1">
      <c r="A461" t="s">
        <v>15373</v>
      </c>
      <c r="B461" t="s">
        <v>15441</v>
      </c>
      <c r="C461" t="s">
        <v>15447</v>
      </c>
      <c r="D461" t="s">
        <v>460</v>
      </c>
      <c r="E461" t="s">
        <v>3434</v>
      </c>
      <c r="F461" t="s">
        <v>3449</v>
      </c>
      <c r="G461" s="3">
        <v>35.354619991848502</v>
      </c>
      <c r="H461" s="3">
        <v>127.05832081444299</v>
      </c>
      <c r="I461" t="s">
        <v>4227</v>
      </c>
      <c r="J461" t="s">
        <v>7586</v>
      </c>
      <c r="K461" t="s">
        <v>10823</v>
      </c>
      <c r="L461" t="s">
        <v>3366</v>
      </c>
      <c r="M461" t="s">
        <v>11887</v>
      </c>
      <c r="N461" t="s">
        <v>15211</v>
      </c>
      <c r="O461" t="s">
        <v>15211</v>
      </c>
      <c r="P461" t="s">
        <v>15211</v>
      </c>
      <c r="Q461" t="s">
        <v>15211</v>
      </c>
      <c r="R461" t="s">
        <v>15211</v>
      </c>
      <c r="S461" t="s">
        <v>15211</v>
      </c>
      <c r="T461" t="s">
        <v>15211</v>
      </c>
      <c r="U461" t="s">
        <v>12370</v>
      </c>
      <c r="V461" t="s">
        <v>15235</v>
      </c>
    </row>
    <row r="462" spans="1:22" hidden="1">
      <c r="A462" t="s">
        <v>15373</v>
      </c>
      <c r="B462" t="s">
        <v>15441</v>
      </c>
      <c r="C462" t="s">
        <v>15448</v>
      </c>
      <c r="D462" t="s">
        <v>461</v>
      </c>
      <c r="E462" t="s">
        <v>3442</v>
      </c>
      <c r="F462" t="s">
        <v>3460</v>
      </c>
      <c r="G462" s="3">
        <v>35.354619963185499</v>
      </c>
      <c r="H462" s="3">
        <v>127.05832085254799</v>
      </c>
      <c r="I462" t="s">
        <v>4228</v>
      </c>
      <c r="J462" t="s">
        <v>7587</v>
      </c>
      <c r="K462" t="s">
        <v>10824</v>
      </c>
      <c r="L462" t="s">
        <v>3366</v>
      </c>
      <c r="M462" t="s">
        <v>11911</v>
      </c>
      <c r="N462" t="s">
        <v>15211</v>
      </c>
      <c r="O462" t="s">
        <v>15211</v>
      </c>
      <c r="P462" t="s">
        <v>15211</v>
      </c>
      <c r="Q462" t="s">
        <v>15211</v>
      </c>
      <c r="R462" t="s">
        <v>15211</v>
      </c>
      <c r="S462" t="s">
        <v>15211</v>
      </c>
      <c r="T462" t="s">
        <v>15211</v>
      </c>
      <c r="U462" t="s">
        <v>12371</v>
      </c>
      <c r="V462" t="s">
        <v>15230</v>
      </c>
    </row>
    <row r="463" spans="1:22" hidden="1">
      <c r="A463" t="s">
        <v>15373</v>
      </c>
      <c r="B463" t="s">
        <v>15441</v>
      </c>
      <c r="C463" t="s">
        <v>15449</v>
      </c>
      <c r="D463" t="s">
        <v>462</v>
      </c>
      <c r="E463" t="s">
        <v>3430</v>
      </c>
      <c r="F463" t="s">
        <v>3463</v>
      </c>
      <c r="G463" s="3">
        <v>35.354619991865299</v>
      </c>
      <c r="H463" s="3">
        <v>127.058320858028</v>
      </c>
      <c r="I463" t="s">
        <v>4229</v>
      </c>
      <c r="J463" t="s">
        <v>7588</v>
      </c>
      <c r="K463" t="s">
        <v>10825</v>
      </c>
      <c r="L463" t="s">
        <v>3366</v>
      </c>
      <c r="M463" t="s">
        <v>11896</v>
      </c>
      <c r="N463" t="s">
        <v>15211</v>
      </c>
      <c r="O463" t="s">
        <v>15211</v>
      </c>
      <c r="P463" t="s">
        <v>15211</v>
      </c>
      <c r="Q463" t="s">
        <v>15211</v>
      </c>
      <c r="R463" t="s">
        <v>15211</v>
      </c>
      <c r="S463" t="s">
        <v>15211</v>
      </c>
      <c r="T463" t="s">
        <v>15211</v>
      </c>
      <c r="U463" t="s">
        <v>12372</v>
      </c>
      <c r="V463" t="s">
        <v>15231</v>
      </c>
    </row>
    <row r="464" spans="1:22" hidden="1">
      <c r="A464" t="s">
        <v>15373</v>
      </c>
      <c r="B464" t="s">
        <v>15442</v>
      </c>
      <c r="C464" t="s">
        <v>15450</v>
      </c>
      <c r="D464" t="s">
        <v>463</v>
      </c>
      <c r="E464" t="s">
        <v>3429</v>
      </c>
      <c r="F464" t="s">
        <v>3458</v>
      </c>
      <c r="G464" s="3">
        <v>35.354619935874403</v>
      </c>
      <c r="H464" s="3">
        <v>127.058320868797</v>
      </c>
      <c r="I464" t="s">
        <v>4230</v>
      </c>
      <c r="J464" t="s">
        <v>7589</v>
      </c>
      <c r="K464" t="s">
        <v>10553</v>
      </c>
      <c r="L464" t="s">
        <v>3420</v>
      </c>
      <c r="M464" t="s">
        <v>11890</v>
      </c>
      <c r="N464" t="s">
        <v>15211</v>
      </c>
      <c r="O464" t="s">
        <v>15211</v>
      </c>
      <c r="P464" t="s">
        <v>15211</v>
      </c>
      <c r="Q464" t="s">
        <v>15211</v>
      </c>
      <c r="R464" t="s">
        <v>15211</v>
      </c>
      <c r="S464" t="s">
        <v>15211</v>
      </c>
      <c r="T464" t="s">
        <v>15211</v>
      </c>
      <c r="U464" t="s">
        <v>12373</v>
      </c>
      <c r="V464" t="s">
        <v>15232</v>
      </c>
    </row>
    <row r="465" spans="1:22" hidden="1">
      <c r="A465" t="s">
        <v>15373</v>
      </c>
      <c r="B465" t="s">
        <v>15442</v>
      </c>
      <c r="C465" t="s">
        <v>15445</v>
      </c>
      <c r="D465" t="s">
        <v>464</v>
      </c>
      <c r="E465" t="s">
        <v>3437</v>
      </c>
      <c r="F465" t="s">
        <v>3436</v>
      </c>
      <c r="G465" s="3">
        <v>35.3546198918268</v>
      </c>
      <c r="H465" s="3">
        <v>127.058320818876</v>
      </c>
      <c r="I465" t="s">
        <v>4231</v>
      </c>
      <c r="J465" t="s">
        <v>7590</v>
      </c>
      <c r="K465" t="s">
        <v>10554</v>
      </c>
      <c r="L465" t="s">
        <v>3366</v>
      </c>
      <c r="M465" t="s">
        <v>11890</v>
      </c>
      <c r="N465" t="s">
        <v>15211</v>
      </c>
      <c r="O465" t="s">
        <v>15211</v>
      </c>
      <c r="P465" t="s">
        <v>15211</v>
      </c>
      <c r="Q465" t="s">
        <v>15211</v>
      </c>
      <c r="R465" t="s">
        <v>15211</v>
      </c>
      <c r="S465" t="s">
        <v>15211</v>
      </c>
      <c r="T465" t="s">
        <v>15211</v>
      </c>
      <c r="U465" t="s">
        <v>12374</v>
      </c>
      <c r="V465" t="s">
        <v>15233</v>
      </c>
    </row>
    <row r="466" spans="1:22" hidden="1">
      <c r="A466" t="s">
        <v>15373</v>
      </c>
      <c r="B466" t="s">
        <v>15442</v>
      </c>
      <c r="C466" t="s">
        <v>15451</v>
      </c>
      <c r="D466" t="s">
        <v>465</v>
      </c>
      <c r="E466" t="s">
        <v>3439</v>
      </c>
      <c r="F466" t="s">
        <v>3438</v>
      </c>
      <c r="G466" s="3">
        <v>35.354619913270803</v>
      </c>
      <c r="H466" s="3">
        <v>127.058320855427</v>
      </c>
      <c r="I466" t="s">
        <v>4232</v>
      </c>
      <c r="J466" t="s">
        <v>7591</v>
      </c>
      <c r="K466" t="s">
        <v>10826</v>
      </c>
      <c r="L466" t="s">
        <v>3366</v>
      </c>
      <c r="M466" t="s">
        <v>11891</v>
      </c>
      <c r="N466" t="s">
        <v>15211</v>
      </c>
      <c r="O466" t="s">
        <v>15211</v>
      </c>
      <c r="P466" t="s">
        <v>15211</v>
      </c>
      <c r="Q466" t="s">
        <v>15211</v>
      </c>
      <c r="R466" t="s">
        <v>15211</v>
      </c>
      <c r="S466" t="s">
        <v>15211</v>
      </c>
      <c r="T466" t="s">
        <v>15211</v>
      </c>
      <c r="U466" t="s">
        <v>12375</v>
      </c>
      <c r="V466" t="s">
        <v>15234</v>
      </c>
    </row>
    <row r="467" spans="1:22">
      <c r="A467" t="s">
        <v>15373</v>
      </c>
      <c r="B467" t="s">
        <v>15443</v>
      </c>
      <c r="C467" t="s">
        <v>15452</v>
      </c>
      <c r="D467" t="s">
        <v>466</v>
      </c>
      <c r="E467" t="s">
        <v>3438</v>
      </c>
      <c r="F467" t="s">
        <v>3425</v>
      </c>
      <c r="G467" s="3">
        <v>35.354619936665202</v>
      </c>
      <c r="H467" s="3">
        <v>127.05832090473599</v>
      </c>
      <c r="I467" t="s">
        <v>4233</v>
      </c>
      <c r="J467" t="s">
        <v>7592</v>
      </c>
      <c r="K467" t="s">
        <v>10827</v>
      </c>
      <c r="L467" t="s">
        <v>3366</v>
      </c>
      <c r="M467" t="s">
        <v>11901</v>
      </c>
      <c r="N467" t="s">
        <v>15211</v>
      </c>
      <c r="O467" t="s">
        <v>15211</v>
      </c>
      <c r="P467" t="s">
        <v>15211</v>
      </c>
      <c r="Q467" t="s">
        <v>15211</v>
      </c>
      <c r="R467" t="s">
        <v>15211</v>
      </c>
      <c r="S467" t="s">
        <v>15211</v>
      </c>
      <c r="T467" t="s">
        <v>15211</v>
      </c>
      <c r="U467" t="s">
        <v>12376</v>
      </c>
      <c r="V467" t="s">
        <v>15220</v>
      </c>
    </row>
    <row r="468" spans="1:22" hidden="1">
      <c r="A468" t="s">
        <v>15335</v>
      </c>
      <c r="B468" t="s">
        <v>15442</v>
      </c>
      <c r="C468" t="s">
        <v>15451</v>
      </c>
      <c r="D468" t="s">
        <v>1606</v>
      </c>
      <c r="E468" t="s">
        <v>3440</v>
      </c>
      <c r="F468" t="s">
        <v>3435</v>
      </c>
      <c r="G468" s="3">
        <v>36.622071328366502</v>
      </c>
      <c r="H468" s="3">
        <v>126.31125431501501</v>
      </c>
      <c r="I468" t="s">
        <v>5372</v>
      </c>
      <c r="J468" t="s">
        <v>8731</v>
      </c>
      <c r="K468" t="s">
        <v>11407</v>
      </c>
      <c r="L468" t="s">
        <v>3366</v>
      </c>
      <c r="M468" t="s">
        <v>11910</v>
      </c>
      <c r="N468" t="s">
        <v>3364</v>
      </c>
      <c r="O468" t="s">
        <v>3361</v>
      </c>
      <c r="P468" t="s">
        <v>3363</v>
      </c>
      <c r="Q468" t="s">
        <v>3365</v>
      </c>
      <c r="R468" t="s">
        <v>15211</v>
      </c>
      <c r="S468" t="s">
        <v>15211</v>
      </c>
      <c r="T468" t="s">
        <v>3385</v>
      </c>
      <c r="U468" t="s">
        <v>13497</v>
      </c>
      <c r="V468" t="s">
        <v>15234</v>
      </c>
    </row>
    <row r="469" spans="1:22" hidden="1">
      <c r="A469" t="s">
        <v>15335</v>
      </c>
      <c r="B469" t="s">
        <v>15442</v>
      </c>
      <c r="C469" t="s">
        <v>15451</v>
      </c>
      <c r="D469" t="s">
        <v>1607</v>
      </c>
      <c r="E469" t="s">
        <v>3440</v>
      </c>
      <c r="F469" t="s">
        <v>3435</v>
      </c>
      <c r="G469" s="3">
        <v>36.622071339099101</v>
      </c>
      <c r="H469" s="3">
        <v>126.31125429900899</v>
      </c>
      <c r="I469" t="s">
        <v>5373</v>
      </c>
      <c r="J469" t="s">
        <v>8732</v>
      </c>
      <c r="K469" t="s">
        <v>11404</v>
      </c>
      <c r="L469" t="s">
        <v>3366</v>
      </c>
      <c r="M469" t="s">
        <v>11911</v>
      </c>
      <c r="N469" t="s">
        <v>3364</v>
      </c>
      <c r="O469" t="s">
        <v>3361</v>
      </c>
      <c r="P469" t="s">
        <v>3363</v>
      </c>
      <c r="Q469" t="s">
        <v>3364</v>
      </c>
      <c r="R469" t="s">
        <v>15211</v>
      </c>
      <c r="S469" t="s">
        <v>15211</v>
      </c>
      <c r="T469" t="s">
        <v>3384</v>
      </c>
      <c r="U469" t="s">
        <v>13498</v>
      </c>
      <c r="V469" t="s">
        <v>15234</v>
      </c>
    </row>
    <row r="470" spans="1:22" hidden="1">
      <c r="A470" t="s">
        <v>15335</v>
      </c>
      <c r="B470" t="s">
        <v>15442</v>
      </c>
      <c r="C470" t="s">
        <v>15451</v>
      </c>
      <c r="D470" t="s">
        <v>1608</v>
      </c>
      <c r="E470" t="s">
        <v>3438</v>
      </c>
      <c r="F470" t="s">
        <v>3429</v>
      </c>
      <c r="G470" s="3">
        <v>36.622071337214201</v>
      </c>
      <c r="H470" s="3">
        <v>126.311254295244</v>
      </c>
      <c r="I470" t="s">
        <v>5374</v>
      </c>
      <c r="J470" t="s">
        <v>8733</v>
      </c>
      <c r="K470" t="s">
        <v>11404</v>
      </c>
      <c r="L470" t="s">
        <v>3366</v>
      </c>
      <c r="M470" t="s">
        <v>11911</v>
      </c>
      <c r="N470" t="s">
        <v>3364</v>
      </c>
      <c r="O470" t="s">
        <v>3361</v>
      </c>
      <c r="P470" t="s">
        <v>3363</v>
      </c>
      <c r="Q470" t="s">
        <v>3365</v>
      </c>
      <c r="R470" t="s">
        <v>15211</v>
      </c>
      <c r="S470" t="s">
        <v>15211</v>
      </c>
      <c r="T470" t="s">
        <v>3385</v>
      </c>
      <c r="U470" t="s">
        <v>13499</v>
      </c>
      <c r="V470" t="s">
        <v>15234</v>
      </c>
    </row>
    <row r="471" spans="1:22">
      <c r="A471" t="s">
        <v>15335</v>
      </c>
      <c r="B471" t="s">
        <v>15443</v>
      </c>
      <c r="C471" t="s">
        <v>15452</v>
      </c>
      <c r="D471" t="s">
        <v>1609</v>
      </c>
      <c r="E471" t="s">
        <v>3428</v>
      </c>
      <c r="F471" t="s">
        <v>3433</v>
      </c>
      <c r="G471" s="3">
        <v>36.622071381542803</v>
      </c>
      <c r="H471" s="3">
        <v>126.311254445438</v>
      </c>
      <c r="I471" t="s">
        <v>5375</v>
      </c>
      <c r="J471" t="s">
        <v>8734</v>
      </c>
      <c r="K471" t="s">
        <v>10730</v>
      </c>
      <c r="L471" t="s">
        <v>3366</v>
      </c>
      <c r="M471" t="s">
        <v>11908</v>
      </c>
      <c r="N471" t="s">
        <v>3361</v>
      </c>
      <c r="O471" t="s">
        <v>15211</v>
      </c>
      <c r="P471" t="s">
        <v>3363</v>
      </c>
      <c r="Q471" t="s">
        <v>3364</v>
      </c>
      <c r="R471" t="s">
        <v>15211</v>
      </c>
      <c r="S471" t="s">
        <v>15211</v>
      </c>
      <c r="T471" t="s">
        <v>3376</v>
      </c>
      <c r="U471" t="s">
        <v>13500</v>
      </c>
      <c r="V471" t="s">
        <v>15220</v>
      </c>
    </row>
    <row r="472" spans="1:22">
      <c r="A472" t="s">
        <v>15335</v>
      </c>
      <c r="B472" t="s">
        <v>15443</v>
      </c>
      <c r="C472" t="s">
        <v>15452</v>
      </c>
      <c r="D472" t="s">
        <v>1610</v>
      </c>
      <c r="E472" t="s">
        <v>3428</v>
      </c>
      <c r="F472" t="s">
        <v>3452</v>
      </c>
      <c r="G472" s="3">
        <v>36.622071375418003</v>
      </c>
      <c r="H472" s="3">
        <v>126.31125443087799</v>
      </c>
      <c r="I472" t="s">
        <v>5376</v>
      </c>
      <c r="J472" t="s">
        <v>8735</v>
      </c>
      <c r="K472" t="s">
        <v>10730</v>
      </c>
      <c r="L472" t="s">
        <v>3366</v>
      </c>
      <c r="M472" t="s">
        <v>11908</v>
      </c>
      <c r="N472" t="s">
        <v>3361</v>
      </c>
      <c r="O472" t="s">
        <v>15211</v>
      </c>
      <c r="P472" t="s">
        <v>3363</v>
      </c>
      <c r="Q472" t="s">
        <v>3364</v>
      </c>
      <c r="R472" t="s">
        <v>15211</v>
      </c>
      <c r="S472" t="s">
        <v>15211</v>
      </c>
      <c r="T472" t="s">
        <v>3376</v>
      </c>
      <c r="U472" t="s">
        <v>13501</v>
      </c>
      <c r="V472" t="s">
        <v>15220</v>
      </c>
    </row>
    <row r="473" spans="1:22">
      <c r="A473" t="s">
        <v>15335</v>
      </c>
      <c r="B473" t="s">
        <v>15443</v>
      </c>
      <c r="C473" t="s">
        <v>15452</v>
      </c>
      <c r="D473" t="s">
        <v>1611</v>
      </c>
      <c r="E473" t="s">
        <v>3436</v>
      </c>
      <c r="F473" t="s">
        <v>3461</v>
      </c>
      <c r="G473" s="3">
        <v>36.6220713755988</v>
      </c>
      <c r="H473" s="3">
        <v>126.31125445247601</v>
      </c>
      <c r="I473" t="s">
        <v>5377</v>
      </c>
      <c r="J473" t="s">
        <v>8736</v>
      </c>
      <c r="K473" t="s">
        <v>10730</v>
      </c>
      <c r="L473" t="s">
        <v>3366</v>
      </c>
      <c r="M473" t="s">
        <v>11908</v>
      </c>
      <c r="N473" t="s">
        <v>3361</v>
      </c>
      <c r="O473" t="s">
        <v>15211</v>
      </c>
      <c r="P473" t="s">
        <v>3363</v>
      </c>
      <c r="Q473" t="s">
        <v>3364</v>
      </c>
      <c r="R473" t="s">
        <v>15211</v>
      </c>
      <c r="S473" t="s">
        <v>15211</v>
      </c>
      <c r="T473" t="s">
        <v>3376</v>
      </c>
      <c r="U473" t="s">
        <v>13502</v>
      </c>
      <c r="V473" t="s">
        <v>15220</v>
      </c>
    </row>
    <row r="474" spans="1:22" hidden="1">
      <c r="A474" t="s">
        <v>15338</v>
      </c>
      <c r="B474" t="s">
        <v>15441</v>
      </c>
      <c r="C474" t="s">
        <v>15445</v>
      </c>
      <c r="D474" t="s">
        <v>1672</v>
      </c>
      <c r="E474" t="s">
        <v>3425</v>
      </c>
      <c r="F474" t="s">
        <v>3461</v>
      </c>
      <c r="G474" s="3">
        <v>36.569803971573499</v>
      </c>
      <c r="H474" s="3">
        <v>128.92188683974601</v>
      </c>
      <c r="I474" t="s">
        <v>5438</v>
      </c>
      <c r="J474" t="s">
        <v>8797</v>
      </c>
      <c r="K474" t="s">
        <v>3630</v>
      </c>
      <c r="L474" t="s">
        <v>3367</v>
      </c>
      <c r="M474" t="s">
        <v>11885</v>
      </c>
      <c r="N474" t="s">
        <v>3364</v>
      </c>
      <c r="O474" t="s">
        <v>3360</v>
      </c>
      <c r="P474" t="s">
        <v>15211</v>
      </c>
      <c r="Q474" t="s">
        <v>15211</v>
      </c>
      <c r="R474" t="s">
        <v>15211</v>
      </c>
      <c r="S474" t="s">
        <v>15211</v>
      </c>
      <c r="T474" t="s">
        <v>3368</v>
      </c>
      <c r="U474" t="s">
        <v>13562</v>
      </c>
      <c r="V474" t="s">
        <v>15212</v>
      </c>
    </row>
    <row r="475" spans="1:22" hidden="1">
      <c r="A475" t="s">
        <v>15338</v>
      </c>
      <c r="B475" t="s">
        <v>15441</v>
      </c>
      <c r="C475" t="s">
        <v>15445</v>
      </c>
      <c r="D475" t="s">
        <v>1673</v>
      </c>
      <c r="E475" t="s">
        <v>3425</v>
      </c>
      <c r="F475" t="s">
        <v>3461</v>
      </c>
      <c r="G475" s="3">
        <v>36.569803961151798</v>
      </c>
      <c r="H475" s="3">
        <v>128.92188684578599</v>
      </c>
      <c r="I475" t="s">
        <v>5439</v>
      </c>
      <c r="J475" t="s">
        <v>8798</v>
      </c>
      <c r="K475" t="s">
        <v>10539</v>
      </c>
      <c r="L475" t="s">
        <v>3366</v>
      </c>
      <c r="M475" t="s">
        <v>11886</v>
      </c>
      <c r="N475" t="s">
        <v>3363</v>
      </c>
      <c r="O475" t="s">
        <v>3359</v>
      </c>
      <c r="P475" t="s">
        <v>15211</v>
      </c>
      <c r="Q475" t="s">
        <v>15211</v>
      </c>
      <c r="R475" t="s">
        <v>15211</v>
      </c>
      <c r="S475" t="s">
        <v>15211</v>
      </c>
      <c r="T475" t="s">
        <v>3366</v>
      </c>
      <c r="U475" t="s">
        <v>13563</v>
      </c>
      <c r="V475" t="s">
        <v>15212</v>
      </c>
    </row>
    <row r="476" spans="1:22" hidden="1">
      <c r="A476" t="s">
        <v>15338</v>
      </c>
      <c r="B476" t="s">
        <v>15441</v>
      </c>
      <c r="C476" t="s">
        <v>15445</v>
      </c>
      <c r="D476" t="s">
        <v>1674</v>
      </c>
      <c r="E476" t="s">
        <v>3436</v>
      </c>
      <c r="F476" t="s">
        <v>3452</v>
      </c>
      <c r="G476" s="3">
        <v>36.569803952704198</v>
      </c>
      <c r="H476" s="3">
        <v>128.92188691505399</v>
      </c>
      <c r="I476" t="s">
        <v>5440</v>
      </c>
      <c r="J476" t="s">
        <v>8799</v>
      </c>
      <c r="K476" t="s">
        <v>11415</v>
      </c>
      <c r="L476" t="s">
        <v>3366</v>
      </c>
      <c r="M476" t="s">
        <v>11886</v>
      </c>
      <c r="N476" t="s">
        <v>3364</v>
      </c>
      <c r="O476" t="s">
        <v>3359</v>
      </c>
      <c r="P476" t="s">
        <v>15211</v>
      </c>
      <c r="Q476" t="s">
        <v>15211</v>
      </c>
      <c r="R476" t="s">
        <v>15211</v>
      </c>
      <c r="S476" t="s">
        <v>15211</v>
      </c>
      <c r="T476" t="s">
        <v>3367</v>
      </c>
      <c r="U476" t="s">
        <v>13564</v>
      </c>
      <c r="V476" t="s">
        <v>15212</v>
      </c>
    </row>
    <row r="477" spans="1:22" hidden="1">
      <c r="A477" t="s">
        <v>15338</v>
      </c>
      <c r="B477" t="s">
        <v>15441</v>
      </c>
      <c r="C477" t="s">
        <v>15446</v>
      </c>
      <c r="D477" t="s">
        <v>1675</v>
      </c>
      <c r="E477" t="s">
        <v>3436</v>
      </c>
      <c r="F477" t="s">
        <v>3433</v>
      </c>
      <c r="G477" s="3">
        <v>36.569804008865198</v>
      </c>
      <c r="H477" s="3">
        <v>128.921886910296</v>
      </c>
      <c r="I477" t="s">
        <v>5441</v>
      </c>
      <c r="J477" t="s">
        <v>8800</v>
      </c>
      <c r="K477" t="s">
        <v>11252</v>
      </c>
      <c r="L477" t="s">
        <v>3376</v>
      </c>
      <c r="M477" t="s">
        <v>11886</v>
      </c>
      <c r="N477" t="s">
        <v>3364</v>
      </c>
      <c r="O477" t="s">
        <v>3359</v>
      </c>
      <c r="P477" t="s">
        <v>15211</v>
      </c>
      <c r="Q477" t="s">
        <v>15211</v>
      </c>
      <c r="R477" t="s">
        <v>15211</v>
      </c>
      <c r="S477" t="s">
        <v>15211</v>
      </c>
      <c r="T477" t="s">
        <v>3367</v>
      </c>
      <c r="U477" t="s">
        <v>13565</v>
      </c>
      <c r="V477" t="s">
        <v>15213</v>
      </c>
    </row>
    <row r="478" spans="1:22" hidden="1">
      <c r="A478" t="s">
        <v>15338</v>
      </c>
      <c r="B478" t="s">
        <v>15441</v>
      </c>
      <c r="C478" t="s">
        <v>15446</v>
      </c>
      <c r="D478" t="s">
        <v>1676</v>
      </c>
      <c r="E478" t="s">
        <v>3429</v>
      </c>
      <c r="F478" t="s">
        <v>3484</v>
      </c>
      <c r="G478" s="3">
        <v>36.5698040739031</v>
      </c>
      <c r="H478" s="3">
        <v>128.92188695501</v>
      </c>
      <c r="I478" t="s">
        <v>5442</v>
      </c>
      <c r="J478" t="s">
        <v>8801</v>
      </c>
      <c r="K478" t="s">
        <v>11416</v>
      </c>
      <c r="L478" t="s">
        <v>3366</v>
      </c>
      <c r="M478" t="s">
        <v>11886</v>
      </c>
      <c r="N478" t="s">
        <v>3364</v>
      </c>
      <c r="O478" t="s">
        <v>3359</v>
      </c>
      <c r="P478" t="s">
        <v>15211</v>
      </c>
      <c r="Q478" t="s">
        <v>15211</v>
      </c>
      <c r="R478" t="s">
        <v>15211</v>
      </c>
      <c r="S478" t="s">
        <v>15211</v>
      </c>
      <c r="T478" t="s">
        <v>3367</v>
      </c>
      <c r="U478" t="s">
        <v>13566</v>
      </c>
      <c r="V478" t="s">
        <v>15213</v>
      </c>
    </row>
    <row r="479" spans="1:22" hidden="1">
      <c r="A479" t="s">
        <v>15338</v>
      </c>
      <c r="B479" t="s">
        <v>15441</v>
      </c>
      <c r="C479" t="s">
        <v>15446</v>
      </c>
      <c r="D479" t="s">
        <v>1677</v>
      </c>
      <c r="E479" t="s">
        <v>3453</v>
      </c>
      <c r="F479" t="s">
        <v>3476</v>
      </c>
      <c r="G479" s="3">
        <v>36.569804091459702</v>
      </c>
      <c r="H479" s="3">
        <v>128.921886947865</v>
      </c>
      <c r="I479" t="s">
        <v>5443</v>
      </c>
      <c r="J479" t="s">
        <v>8802</v>
      </c>
      <c r="K479" t="s">
        <v>10569</v>
      </c>
      <c r="L479" t="s">
        <v>3366</v>
      </c>
      <c r="M479" t="s">
        <v>11886</v>
      </c>
      <c r="N479" t="s">
        <v>3364</v>
      </c>
      <c r="O479" t="s">
        <v>3359</v>
      </c>
      <c r="P479" t="s">
        <v>15211</v>
      </c>
      <c r="Q479" t="s">
        <v>15211</v>
      </c>
      <c r="R479" t="s">
        <v>15211</v>
      </c>
      <c r="S479" t="s">
        <v>15211</v>
      </c>
      <c r="T479" t="s">
        <v>3367</v>
      </c>
      <c r="U479" t="s">
        <v>13567</v>
      </c>
      <c r="V479" t="s">
        <v>15213</v>
      </c>
    </row>
    <row r="480" spans="1:22" hidden="1">
      <c r="A480" t="s">
        <v>15338</v>
      </c>
      <c r="B480" t="s">
        <v>15441</v>
      </c>
      <c r="C480" t="s">
        <v>15448</v>
      </c>
      <c r="D480" t="s">
        <v>1678</v>
      </c>
      <c r="E480" t="s">
        <v>3485</v>
      </c>
      <c r="F480" t="s">
        <v>3639</v>
      </c>
      <c r="G480" s="3">
        <v>36.569805934411399</v>
      </c>
      <c r="H480" s="3">
        <v>128.92188773518399</v>
      </c>
      <c r="I480" t="s">
        <v>5444</v>
      </c>
      <c r="J480" t="s">
        <v>8803</v>
      </c>
      <c r="K480" t="s">
        <v>11130</v>
      </c>
      <c r="L480" t="s">
        <v>3376</v>
      </c>
      <c r="M480" t="s">
        <v>11912</v>
      </c>
      <c r="N480" t="s">
        <v>3364</v>
      </c>
      <c r="O480" t="s">
        <v>3360</v>
      </c>
      <c r="P480" t="s">
        <v>3364</v>
      </c>
      <c r="Q480" t="s">
        <v>3362</v>
      </c>
      <c r="R480" t="s">
        <v>3357</v>
      </c>
      <c r="S480" t="s">
        <v>15211</v>
      </c>
      <c r="T480" t="s">
        <v>3383</v>
      </c>
      <c r="U480" t="s">
        <v>13568</v>
      </c>
      <c r="V480" t="s">
        <v>15215</v>
      </c>
    </row>
    <row r="481" spans="1:22" hidden="1">
      <c r="A481" t="s">
        <v>15338</v>
      </c>
      <c r="B481" t="s">
        <v>15441</v>
      </c>
      <c r="C481" t="s">
        <v>15448</v>
      </c>
      <c r="D481" t="s">
        <v>1679</v>
      </c>
      <c r="E481" t="s">
        <v>3486</v>
      </c>
      <c r="F481" t="s">
        <v>3640</v>
      </c>
      <c r="G481" s="3">
        <v>36.569805645529897</v>
      </c>
      <c r="H481" s="3">
        <v>128.92188767771</v>
      </c>
      <c r="I481" t="s">
        <v>5445</v>
      </c>
      <c r="J481" t="s">
        <v>8804</v>
      </c>
      <c r="K481" t="s">
        <v>10678</v>
      </c>
      <c r="L481" t="s">
        <v>3366</v>
      </c>
      <c r="M481" t="s">
        <v>11914</v>
      </c>
      <c r="N481" t="s">
        <v>3363</v>
      </c>
      <c r="O481" t="s">
        <v>3360</v>
      </c>
      <c r="P481" t="s">
        <v>3363</v>
      </c>
      <c r="Q481" t="s">
        <v>3362</v>
      </c>
      <c r="R481" t="s">
        <v>3358</v>
      </c>
      <c r="S481" t="s">
        <v>15211</v>
      </c>
      <c r="T481" t="s">
        <v>3382</v>
      </c>
      <c r="U481" t="s">
        <v>13569</v>
      </c>
      <c r="V481" t="s">
        <v>15215</v>
      </c>
    </row>
    <row r="482" spans="1:22" hidden="1">
      <c r="A482" t="s">
        <v>15338</v>
      </c>
      <c r="B482" t="s">
        <v>15441</v>
      </c>
      <c r="C482" t="s">
        <v>15448</v>
      </c>
      <c r="D482" t="s">
        <v>1680</v>
      </c>
      <c r="E482" t="s">
        <v>3487</v>
      </c>
      <c r="F482" t="s">
        <v>3641</v>
      </c>
      <c r="G482" s="3">
        <v>36.569805382341897</v>
      </c>
      <c r="H482" s="3">
        <v>128.92188733614501</v>
      </c>
      <c r="I482" t="s">
        <v>5446</v>
      </c>
      <c r="J482" t="s">
        <v>8805</v>
      </c>
      <c r="K482" t="s">
        <v>10578</v>
      </c>
      <c r="L482" t="s">
        <v>3366</v>
      </c>
      <c r="M482" t="s">
        <v>11896</v>
      </c>
      <c r="N482" t="s">
        <v>3362</v>
      </c>
      <c r="O482" t="s">
        <v>3359</v>
      </c>
      <c r="P482" t="s">
        <v>3363</v>
      </c>
      <c r="Q482" t="s">
        <v>3361</v>
      </c>
      <c r="R482" t="s">
        <v>3358</v>
      </c>
      <c r="S482" t="s">
        <v>15211</v>
      </c>
      <c r="T482" t="s">
        <v>3379</v>
      </c>
      <c r="U482" t="s">
        <v>13570</v>
      </c>
      <c r="V482" t="s">
        <v>15215</v>
      </c>
    </row>
    <row r="483" spans="1:22" hidden="1">
      <c r="A483" t="s">
        <v>15338</v>
      </c>
      <c r="B483" t="s">
        <v>15441</v>
      </c>
      <c r="C483" t="s">
        <v>15449</v>
      </c>
      <c r="D483" t="s">
        <v>1681</v>
      </c>
      <c r="E483" t="s">
        <v>3430</v>
      </c>
      <c r="F483" t="s">
        <v>3515</v>
      </c>
      <c r="G483" s="3">
        <v>36.569804182218299</v>
      </c>
      <c r="H483" s="3">
        <v>128.92188688506999</v>
      </c>
      <c r="I483" t="s">
        <v>5447</v>
      </c>
      <c r="J483" t="s">
        <v>8806</v>
      </c>
      <c r="K483" t="s">
        <v>10703</v>
      </c>
      <c r="L483" t="s">
        <v>3374</v>
      </c>
      <c r="M483" t="s">
        <v>11896</v>
      </c>
      <c r="N483" t="s">
        <v>3364</v>
      </c>
      <c r="O483" t="s">
        <v>15211</v>
      </c>
      <c r="P483" t="s">
        <v>3364</v>
      </c>
      <c r="Q483" t="s">
        <v>3362</v>
      </c>
      <c r="R483" t="s">
        <v>15211</v>
      </c>
      <c r="S483" t="s">
        <v>15211</v>
      </c>
      <c r="T483" t="s">
        <v>3378</v>
      </c>
      <c r="U483" t="s">
        <v>13571</v>
      </c>
      <c r="V483" t="s">
        <v>15216</v>
      </c>
    </row>
    <row r="484" spans="1:22" hidden="1">
      <c r="A484" t="s">
        <v>15338</v>
      </c>
      <c r="B484" t="s">
        <v>15441</v>
      </c>
      <c r="C484" t="s">
        <v>15449</v>
      </c>
      <c r="D484" t="s">
        <v>1682</v>
      </c>
      <c r="E484" t="s">
        <v>3430</v>
      </c>
      <c r="F484" t="s">
        <v>3484</v>
      </c>
      <c r="G484" s="3">
        <v>36.569804201807997</v>
      </c>
      <c r="H484" s="3">
        <v>128.92188688029901</v>
      </c>
      <c r="I484" t="s">
        <v>5448</v>
      </c>
      <c r="J484" t="s">
        <v>8807</v>
      </c>
      <c r="K484" t="s">
        <v>11083</v>
      </c>
      <c r="L484" t="s">
        <v>3366</v>
      </c>
      <c r="M484" t="s">
        <v>11888</v>
      </c>
      <c r="N484" t="s">
        <v>3364</v>
      </c>
      <c r="O484" t="s">
        <v>15211</v>
      </c>
      <c r="P484" t="s">
        <v>3364</v>
      </c>
      <c r="Q484" t="s">
        <v>3362</v>
      </c>
      <c r="R484" t="s">
        <v>3357</v>
      </c>
      <c r="S484" t="s">
        <v>15211</v>
      </c>
      <c r="T484" t="s">
        <v>3379</v>
      </c>
      <c r="U484" t="s">
        <v>13572</v>
      </c>
      <c r="V484" t="s">
        <v>15216</v>
      </c>
    </row>
    <row r="485" spans="1:22" hidden="1">
      <c r="A485" t="s">
        <v>15338</v>
      </c>
      <c r="B485" t="s">
        <v>15441</v>
      </c>
      <c r="C485" t="s">
        <v>15449</v>
      </c>
      <c r="D485" t="s">
        <v>1683</v>
      </c>
      <c r="E485" t="s">
        <v>3442</v>
      </c>
      <c r="F485" t="s">
        <v>3515</v>
      </c>
      <c r="G485" s="3">
        <v>36.569804173999401</v>
      </c>
      <c r="H485" s="3">
        <v>128.92188687290499</v>
      </c>
      <c r="I485" t="s">
        <v>5449</v>
      </c>
      <c r="J485" t="s">
        <v>8808</v>
      </c>
      <c r="K485" t="s">
        <v>11006</v>
      </c>
      <c r="L485" t="s">
        <v>3366</v>
      </c>
      <c r="M485" t="s">
        <v>11888</v>
      </c>
      <c r="N485" t="s">
        <v>3362</v>
      </c>
      <c r="O485" t="s">
        <v>15211</v>
      </c>
      <c r="P485" t="s">
        <v>3364</v>
      </c>
      <c r="Q485" t="s">
        <v>3362</v>
      </c>
      <c r="R485" t="s">
        <v>3357</v>
      </c>
      <c r="S485" t="s">
        <v>15211</v>
      </c>
      <c r="T485" t="s">
        <v>3377</v>
      </c>
      <c r="U485" t="s">
        <v>13573</v>
      </c>
      <c r="V485" t="s">
        <v>15216</v>
      </c>
    </row>
    <row r="486" spans="1:22" hidden="1">
      <c r="A486" t="s">
        <v>15338</v>
      </c>
      <c r="B486" t="s">
        <v>15441</v>
      </c>
      <c r="C486" t="s">
        <v>15447</v>
      </c>
      <c r="D486" t="s">
        <v>1684</v>
      </c>
      <c r="E486" t="s">
        <v>3488</v>
      </c>
      <c r="F486" t="s">
        <v>3642</v>
      </c>
      <c r="G486" s="3">
        <v>36.569805745633801</v>
      </c>
      <c r="H486" s="3">
        <v>128.921887641637</v>
      </c>
      <c r="I486" t="s">
        <v>5450</v>
      </c>
      <c r="J486" t="s">
        <v>8809</v>
      </c>
      <c r="K486" t="s">
        <v>11417</v>
      </c>
      <c r="L486" t="s">
        <v>3383</v>
      </c>
      <c r="M486" t="s">
        <v>11909</v>
      </c>
      <c r="N486" t="s">
        <v>3362</v>
      </c>
      <c r="O486" t="s">
        <v>15211</v>
      </c>
      <c r="P486" t="s">
        <v>15211</v>
      </c>
      <c r="Q486" t="s">
        <v>15211</v>
      </c>
      <c r="R486" t="s">
        <v>15211</v>
      </c>
      <c r="S486" t="s">
        <v>15211</v>
      </c>
      <c r="T486" t="s">
        <v>3362</v>
      </c>
      <c r="U486" t="s">
        <v>13574</v>
      </c>
      <c r="V486" t="s">
        <v>15214</v>
      </c>
    </row>
    <row r="487" spans="1:22" hidden="1">
      <c r="A487" t="s">
        <v>15338</v>
      </c>
      <c r="B487" t="s">
        <v>15441</v>
      </c>
      <c r="C487" t="s">
        <v>15447</v>
      </c>
      <c r="D487" t="s">
        <v>1685</v>
      </c>
      <c r="E487" t="s">
        <v>3489</v>
      </c>
      <c r="F487" t="s">
        <v>3643</v>
      </c>
      <c r="G487" s="3">
        <v>36.569806336935997</v>
      </c>
      <c r="H487" s="3">
        <v>128.921887829779</v>
      </c>
      <c r="I487" t="s">
        <v>5451</v>
      </c>
      <c r="J487" t="s">
        <v>8810</v>
      </c>
      <c r="K487" t="s">
        <v>11298</v>
      </c>
      <c r="L487" t="s">
        <v>3366</v>
      </c>
      <c r="M487" t="s">
        <v>11887</v>
      </c>
      <c r="N487" t="s">
        <v>3363</v>
      </c>
      <c r="O487" t="s">
        <v>15211</v>
      </c>
      <c r="P487" t="s">
        <v>15211</v>
      </c>
      <c r="Q487" t="s">
        <v>15211</v>
      </c>
      <c r="R487" t="s">
        <v>15211</v>
      </c>
      <c r="S487" t="s">
        <v>15211</v>
      </c>
      <c r="T487" t="s">
        <v>3363</v>
      </c>
      <c r="U487" t="s">
        <v>13575</v>
      </c>
      <c r="V487" t="s">
        <v>15214</v>
      </c>
    </row>
    <row r="488" spans="1:22" hidden="1">
      <c r="A488" t="s">
        <v>15338</v>
      </c>
      <c r="B488" t="s">
        <v>15441</v>
      </c>
      <c r="C488" t="s">
        <v>15447</v>
      </c>
      <c r="D488" t="s">
        <v>1686</v>
      </c>
      <c r="E488" t="s">
        <v>3490</v>
      </c>
      <c r="F488" t="s">
        <v>3644</v>
      </c>
      <c r="G488" s="3">
        <v>36.569806825659001</v>
      </c>
      <c r="H488" s="3">
        <v>128.921888105931</v>
      </c>
      <c r="I488" t="s">
        <v>5452</v>
      </c>
      <c r="J488" t="s">
        <v>8811</v>
      </c>
      <c r="K488" t="s">
        <v>11418</v>
      </c>
      <c r="L488" t="s">
        <v>3366</v>
      </c>
      <c r="M488" t="s">
        <v>11909</v>
      </c>
      <c r="N488" t="s">
        <v>3362</v>
      </c>
      <c r="O488" t="s">
        <v>15211</v>
      </c>
      <c r="P488" t="s">
        <v>15211</v>
      </c>
      <c r="Q488" t="s">
        <v>15211</v>
      </c>
      <c r="R488" t="s">
        <v>15211</v>
      </c>
      <c r="S488" t="s">
        <v>15211</v>
      </c>
      <c r="T488" t="s">
        <v>3362</v>
      </c>
      <c r="U488" t="s">
        <v>13576</v>
      </c>
      <c r="V488" t="s">
        <v>15214</v>
      </c>
    </row>
    <row r="489" spans="1:22" hidden="1">
      <c r="A489" t="s">
        <v>15338</v>
      </c>
      <c r="B489" t="s">
        <v>15442</v>
      </c>
      <c r="C489" t="s">
        <v>15450</v>
      </c>
      <c r="D489" t="s">
        <v>1687</v>
      </c>
      <c r="E489" t="s">
        <v>3426</v>
      </c>
      <c r="F489" t="s">
        <v>3645</v>
      </c>
      <c r="G489" s="3">
        <v>36.569804198113403</v>
      </c>
      <c r="H489" s="3">
        <v>128.92188689549801</v>
      </c>
      <c r="I489" t="s">
        <v>5453</v>
      </c>
      <c r="J489" t="s">
        <v>8812</v>
      </c>
      <c r="K489" t="s">
        <v>10899</v>
      </c>
      <c r="L489" t="s">
        <v>3374</v>
      </c>
      <c r="M489" t="s">
        <v>11886</v>
      </c>
      <c r="N489" t="s">
        <v>3363</v>
      </c>
      <c r="O489" t="s">
        <v>3360</v>
      </c>
      <c r="P489" t="s">
        <v>15211</v>
      </c>
      <c r="Q489" t="s">
        <v>15211</v>
      </c>
      <c r="R489" t="s">
        <v>15211</v>
      </c>
      <c r="S489" t="s">
        <v>15211</v>
      </c>
      <c r="T489" t="s">
        <v>3367</v>
      </c>
      <c r="U489" t="s">
        <v>13577</v>
      </c>
      <c r="V489" t="s">
        <v>15217</v>
      </c>
    </row>
    <row r="490" spans="1:22" hidden="1">
      <c r="A490" t="s">
        <v>15338</v>
      </c>
      <c r="B490" t="s">
        <v>15442</v>
      </c>
      <c r="C490" t="s">
        <v>15450</v>
      </c>
      <c r="D490" t="s">
        <v>1688</v>
      </c>
      <c r="E490" t="s">
        <v>3435</v>
      </c>
      <c r="F490" t="s">
        <v>3579</v>
      </c>
      <c r="G490" s="3">
        <v>36.569804200049099</v>
      </c>
      <c r="H490" s="3">
        <v>128.92188687044001</v>
      </c>
      <c r="I490" t="s">
        <v>5454</v>
      </c>
      <c r="J490" t="s">
        <v>8813</v>
      </c>
      <c r="K490" t="s">
        <v>11325</v>
      </c>
      <c r="L490" t="s">
        <v>3366</v>
      </c>
      <c r="M490" t="s">
        <v>11902</v>
      </c>
      <c r="N490" t="s">
        <v>3362</v>
      </c>
      <c r="O490" t="s">
        <v>3360</v>
      </c>
      <c r="P490" t="s">
        <v>15211</v>
      </c>
      <c r="Q490" t="s">
        <v>15211</v>
      </c>
      <c r="R490" t="s">
        <v>15211</v>
      </c>
      <c r="S490" t="s">
        <v>15211</v>
      </c>
      <c r="T490" t="s">
        <v>3366</v>
      </c>
      <c r="U490" t="s">
        <v>13578</v>
      </c>
      <c r="V490" t="s">
        <v>15217</v>
      </c>
    </row>
    <row r="491" spans="1:22" hidden="1">
      <c r="A491" t="s">
        <v>15338</v>
      </c>
      <c r="B491" t="s">
        <v>15442</v>
      </c>
      <c r="C491" t="s">
        <v>15450</v>
      </c>
      <c r="D491" t="s">
        <v>1689</v>
      </c>
      <c r="E491" t="s">
        <v>3429</v>
      </c>
      <c r="F491" t="s">
        <v>3478</v>
      </c>
      <c r="G491" s="3">
        <v>36.569804246941601</v>
      </c>
      <c r="H491" s="3">
        <v>128.921886808165</v>
      </c>
      <c r="I491" t="s">
        <v>5455</v>
      </c>
      <c r="J491" t="s">
        <v>8814</v>
      </c>
      <c r="K491" t="s">
        <v>11419</v>
      </c>
      <c r="L491" t="s">
        <v>3366</v>
      </c>
      <c r="M491" t="s">
        <v>11886</v>
      </c>
      <c r="N491" t="s">
        <v>3362</v>
      </c>
      <c r="O491" t="s">
        <v>3360</v>
      </c>
      <c r="P491" t="s">
        <v>15211</v>
      </c>
      <c r="Q491" t="s">
        <v>15211</v>
      </c>
      <c r="R491" t="s">
        <v>15211</v>
      </c>
      <c r="S491" t="s">
        <v>15211</v>
      </c>
      <c r="T491" t="s">
        <v>3366</v>
      </c>
      <c r="U491" t="s">
        <v>13579</v>
      </c>
      <c r="V491" t="s">
        <v>15217</v>
      </c>
    </row>
    <row r="492" spans="1:22" hidden="1">
      <c r="A492" t="s">
        <v>15338</v>
      </c>
      <c r="B492" t="s">
        <v>15442</v>
      </c>
      <c r="C492" t="s">
        <v>15445</v>
      </c>
      <c r="D492" t="s">
        <v>1690</v>
      </c>
      <c r="E492" t="s">
        <v>3491</v>
      </c>
      <c r="F492" t="s">
        <v>3646</v>
      </c>
      <c r="G492" s="3">
        <v>36.569804428906103</v>
      </c>
      <c r="H492" s="3">
        <v>128.92188643975999</v>
      </c>
      <c r="I492" t="s">
        <v>5456</v>
      </c>
      <c r="J492" t="s">
        <v>8815</v>
      </c>
      <c r="K492" t="s">
        <v>11158</v>
      </c>
      <c r="L492" t="s">
        <v>3374</v>
      </c>
      <c r="M492" t="s">
        <v>11902</v>
      </c>
      <c r="N492" t="s">
        <v>3362</v>
      </c>
      <c r="O492" t="s">
        <v>3360</v>
      </c>
      <c r="P492" t="s">
        <v>15211</v>
      </c>
      <c r="Q492" t="s">
        <v>15211</v>
      </c>
      <c r="R492" t="s">
        <v>15211</v>
      </c>
      <c r="S492" t="s">
        <v>15211</v>
      </c>
      <c r="T492" t="s">
        <v>3366</v>
      </c>
      <c r="U492" t="s">
        <v>13580</v>
      </c>
      <c r="V492" t="s">
        <v>15218</v>
      </c>
    </row>
    <row r="493" spans="1:22" hidden="1">
      <c r="A493" t="s">
        <v>15338</v>
      </c>
      <c r="B493" t="s">
        <v>15442</v>
      </c>
      <c r="C493" t="s">
        <v>15445</v>
      </c>
      <c r="D493" t="s">
        <v>1691</v>
      </c>
      <c r="E493" t="s">
        <v>3441</v>
      </c>
      <c r="F493" t="s">
        <v>3581</v>
      </c>
      <c r="G493" s="3">
        <v>36.569804471491103</v>
      </c>
      <c r="H493" s="3">
        <v>128.92188653955901</v>
      </c>
      <c r="I493" t="s">
        <v>5457</v>
      </c>
      <c r="J493" t="s">
        <v>8816</v>
      </c>
      <c r="K493" t="s">
        <v>11420</v>
      </c>
      <c r="L493" t="s">
        <v>3366</v>
      </c>
      <c r="M493" t="s">
        <v>11902</v>
      </c>
      <c r="N493" t="s">
        <v>3362</v>
      </c>
      <c r="O493" t="s">
        <v>3360</v>
      </c>
      <c r="P493" t="s">
        <v>15211</v>
      </c>
      <c r="Q493" t="s">
        <v>15211</v>
      </c>
      <c r="R493" t="s">
        <v>15211</v>
      </c>
      <c r="S493" t="s">
        <v>15211</v>
      </c>
      <c r="T493" t="s">
        <v>3366</v>
      </c>
      <c r="U493" t="s">
        <v>13581</v>
      </c>
      <c r="V493" t="s">
        <v>15218</v>
      </c>
    </row>
    <row r="494" spans="1:22" hidden="1">
      <c r="A494" t="s">
        <v>15338</v>
      </c>
      <c r="B494" t="s">
        <v>15442</v>
      </c>
      <c r="C494" t="s">
        <v>15445</v>
      </c>
      <c r="D494" t="s">
        <v>1692</v>
      </c>
      <c r="E494" t="s">
        <v>3431</v>
      </c>
      <c r="F494" t="s">
        <v>3515</v>
      </c>
      <c r="G494" s="3">
        <v>36.569804422926502</v>
      </c>
      <c r="H494" s="3">
        <v>128.92188650556199</v>
      </c>
      <c r="I494" t="s">
        <v>5458</v>
      </c>
      <c r="J494" t="s">
        <v>8817</v>
      </c>
      <c r="K494" t="s">
        <v>11421</v>
      </c>
      <c r="L494" t="s">
        <v>3366</v>
      </c>
      <c r="M494" t="s">
        <v>11902</v>
      </c>
      <c r="N494" t="s">
        <v>3362</v>
      </c>
      <c r="O494" t="s">
        <v>3360</v>
      </c>
      <c r="P494" t="s">
        <v>15211</v>
      </c>
      <c r="Q494" t="s">
        <v>15211</v>
      </c>
      <c r="R494" t="s">
        <v>15211</v>
      </c>
      <c r="S494" t="s">
        <v>15211</v>
      </c>
      <c r="T494" t="s">
        <v>3366</v>
      </c>
      <c r="U494" t="s">
        <v>13582</v>
      </c>
      <c r="V494" t="s">
        <v>15218</v>
      </c>
    </row>
    <row r="495" spans="1:22" hidden="1">
      <c r="A495" t="s">
        <v>15338</v>
      </c>
      <c r="B495" t="s">
        <v>15442</v>
      </c>
      <c r="C495" t="s">
        <v>15451</v>
      </c>
      <c r="D495" t="s">
        <v>1693</v>
      </c>
      <c r="E495" t="s">
        <v>3440</v>
      </c>
      <c r="F495" t="s">
        <v>3435</v>
      </c>
      <c r="G495" s="3">
        <v>36.569804274235203</v>
      </c>
      <c r="H495" s="3">
        <v>128.92188675972801</v>
      </c>
      <c r="I495" t="s">
        <v>5459</v>
      </c>
      <c r="J495" t="s">
        <v>8818</v>
      </c>
      <c r="K495" t="s">
        <v>11422</v>
      </c>
      <c r="L495" t="s">
        <v>3376</v>
      </c>
      <c r="M495" t="s">
        <v>11893</v>
      </c>
      <c r="N495" t="s">
        <v>3362</v>
      </c>
      <c r="O495" t="s">
        <v>3360</v>
      </c>
      <c r="P495" t="s">
        <v>3365</v>
      </c>
      <c r="Q495" t="s">
        <v>3362</v>
      </c>
      <c r="R495" t="s">
        <v>15211</v>
      </c>
      <c r="S495" t="s">
        <v>15211</v>
      </c>
      <c r="T495" t="s">
        <v>3381</v>
      </c>
      <c r="U495" t="s">
        <v>13583</v>
      </c>
      <c r="V495" t="s">
        <v>15219</v>
      </c>
    </row>
    <row r="496" spans="1:22" hidden="1">
      <c r="A496" t="s">
        <v>15338</v>
      </c>
      <c r="B496" t="s">
        <v>15442</v>
      </c>
      <c r="C496" t="s">
        <v>15451</v>
      </c>
      <c r="D496" t="s">
        <v>1694</v>
      </c>
      <c r="E496" t="s">
        <v>3438</v>
      </c>
      <c r="F496" t="s">
        <v>3429</v>
      </c>
      <c r="G496" s="3">
        <v>36.569804254278203</v>
      </c>
      <c r="H496" s="3">
        <v>128.92188676202301</v>
      </c>
      <c r="I496" t="s">
        <v>5460</v>
      </c>
      <c r="J496" t="s">
        <v>8819</v>
      </c>
      <c r="K496" t="s">
        <v>11016</v>
      </c>
      <c r="L496" t="s">
        <v>3366</v>
      </c>
      <c r="M496" t="s">
        <v>11893</v>
      </c>
      <c r="N496" t="s">
        <v>3362</v>
      </c>
      <c r="O496" t="s">
        <v>3360</v>
      </c>
      <c r="P496" t="s">
        <v>3365</v>
      </c>
      <c r="Q496" t="s">
        <v>3362</v>
      </c>
      <c r="R496" t="s">
        <v>15211</v>
      </c>
      <c r="S496" t="s">
        <v>15211</v>
      </c>
      <c r="T496" t="s">
        <v>3381</v>
      </c>
      <c r="U496" t="s">
        <v>13584</v>
      </c>
      <c r="V496" t="s">
        <v>15219</v>
      </c>
    </row>
    <row r="497" spans="1:22" hidden="1">
      <c r="A497" t="s">
        <v>15338</v>
      </c>
      <c r="B497" t="s">
        <v>15442</v>
      </c>
      <c r="C497" t="s">
        <v>15451</v>
      </c>
      <c r="D497" t="s">
        <v>1695</v>
      </c>
      <c r="E497" t="s">
        <v>3438</v>
      </c>
      <c r="F497" t="s">
        <v>3429</v>
      </c>
      <c r="G497" s="3">
        <v>36.569804240260602</v>
      </c>
      <c r="H497" s="3">
        <v>128.921886758195</v>
      </c>
      <c r="I497" t="s">
        <v>5461</v>
      </c>
      <c r="J497" t="s">
        <v>8820</v>
      </c>
      <c r="K497" t="s">
        <v>11248</v>
      </c>
      <c r="L497" t="s">
        <v>3366</v>
      </c>
      <c r="M497" t="s">
        <v>11893</v>
      </c>
      <c r="N497" t="s">
        <v>3362</v>
      </c>
      <c r="O497" t="s">
        <v>3360</v>
      </c>
      <c r="P497" t="s">
        <v>3365</v>
      </c>
      <c r="Q497" t="s">
        <v>3362</v>
      </c>
      <c r="R497" t="s">
        <v>15211</v>
      </c>
      <c r="S497" t="s">
        <v>15211</v>
      </c>
      <c r="T497" t="s">
        <v>3381</v>
      </c>
      <c r="U497" t="s">
        <v>13585</v>
      </c>
      <c r="V497" t="s">
        <v>15219</v>
      </c>
    </row>
    <row r="498" spans="1:22">
      <c r="A498" t="s">
        <v>15338</v>
      </c>
      <c r="B498" t="s">
        <v>15443</v>
      </c>
      <c r="C498" t="s">
        <v>15452</v>
      </c>
      <c r="D498" t="s">
        <v>1696</v>
      </c>
      <c r="E498" t="s">
        <v>3492</v>
      </c>
      <c r="F498" t="s">
        <v>3599</v>
      </c>
      <c r="G498" s="3">
        <v>36.569803261044001</v>
      </c>
      <c r="H498" s="3">
        <v>128.92188761609</v>
      </c>
      <c r="I498" t="s">
        <v>5462</v>
      </c>
      <c r="J498" t="s">
        <v>8821</v>
      </c>
      <c r="K498" t="s">
        <v>10982</v>
      </c>
      <c r="L498" t="s">
        <v>3375</v>
      </c>
      <c r="M498" t="s">
        <v>11901</v>
      </c>
      <c r="N498" t="s">
        <v>3361</v>
      </c>
      <c r="O498" t="s">
        <v>15211</v>
      </c>
      <c r="P498" t="s">
        <v>3364</v>
      </c>
      <c r="Q498" t="s">
        <v>3359</v>
      </c>
      <c r="R498" t="s">
        <v>15211</v>
      </c>
      <c r="S498" t="s">
        <v>15211</v>
      </c>
      <c r="T498" t="s">
        <v>3372</v>
      </c>
      <c r="U498" t="s">
        <v>13586</v>
      </c>
      <c r="V498" t="s">
        <v>15220</v>
      </c>
    </row>
    <row r="499" spans="1:22">
      <c r="A499" t="s">
        <v>15338</v>
      </c>
      <c r="B499" t="s">
        <v>15443</v>
      </c>
      <c r="C499" t="s">
        <v>15452</v>
      </c>
      <c r="D499" t="s">
        <v>1697</v>
      </c>
      <c r="E499" t="s">
        <v>3493</v>
      </c>
      <c r="F499" t="s">
        <v>3647</v>
      </c>
      <c r="G499" s="3">
        <v>36.569803622909603</v>
      </c>
      <c r="H499" s="3">
        <v>128.92188706909599</v>
      </c>
      <c r="I499" t="s">
        <v>5463</v>
      </c>
      <c r="J499" t="s">
        <v>8822</v>
      </c>
      <c r="K499" t="s">
        <v>11423</v>
      </c>
      <c r="L499" t="s">
        <v>3366</v>
      </c>
      <c r="M499" t="s">
        <v>11903</v>
      </c>
      <c r="N499" t="s">
        <v>3362</v>
      </c>
      <c r="O499" t="s">
        <v>15211</v>
      </c>
      <c r="P499" t="s">
        <v>3364</v>
      </c>
      <c r="Q499" t="s">
        <v>3359</v>
      </c>
      <c r="R499" t="s">
        <v>15211</v>
      </c>
      <c r="S499" t="s">
        <v>15211</v>
      </c>
      <c r="T499" t="s">
        <v>3373</v>
      </c>
      <c r="U499" t="s">
        <v>13587</v>
      </c>
      <c r="V499" t="s">
        <v>15220</v>
      </c>
    </row>
    <row r="500" spans="1:22">
      <c r="A500" t="s">
        <v>15338</v>
      </c>
      <c r="B500" t="s">
        <v>15443</v>
      </c>
      <c r="C500" t="s">
        <v>15452</v>
      </c>
      <c r="D500" t="s">
        <v>1698</v>
      </c>
      <c r="E500" t="s">
        <v>3494</v>
      </c>
      <c r="F500" t="s">
        <v>3648</v>
      </c>
      <c r="G500" s="3">
        <v>36.569803545348897</v>
      </c>
      <c r="H500" s="3">
        <v>128.92188755042</v>
      </c>
      <c r="I500" t="s">
        <v>5464</v>
      </c>
      <c r="J500" t="s">
        <v>8823</v>
      </c>
      <c r="K500" t="s">
        <v>11424</v>
      </c>
      <c r="L500" t="s">
        <v>3366</v>
      </c>
      <c r="M500" t="s">
        <v>11903</v>
      </c>
      <c r="N500" t="s">
        <v>3361</v>
      </c>
      <c r="O500" t="s">
        <v>15211</v>
      </c>
      <c r="P500" t="s">
        <v>3364</v>
      </c>
      <c r="Q500" t="s">
        <v>3359</v>
      </c>
      <c r="R500" t="s">
        <v>15211</v>
      </c>
      <c r="S500" t="s">
        <v>15211</v>
      </c>
      <c r="T500" t="s">
        <v>3372</v>
      </c>
      <c r="U500" t="s">
        <v>13588</v>
      </c>
      <c r="V500" t="s">
        <v>15220</v>
      </c>
    </row>
    <row r="501" spans="1:22" hidden="1">
      <c r="A501" t="s">
        <v>15338</v>
      </c>
      <c r="B501" t="s">
        <v>15443</v>
      </c>
      <c r="C501" t="s">
        <v>15474</v>
      </c>
      <c r="D501" t="s">
        <v>1699</v>
      </c>
      <c r="E501" t="s">
        <v>3491</v>
      </c>
      <c r="F501" t="s">
        <v>3649</v>
      </c>
      <c r="G501" s="3">
        <v>36.5698028314307</v>
      </c>
      <c r="H501" s="3">
        <v>128.921887423985</v>
      </c>
      <c r="I501" t="s">
        <v>5465</v>
      </c>
      <c r="J501" t="s">
        <v>8824</v>
      </c>
      <c r="K501" t="s">
        <v>11425</v>
      </c>
      <c r="L501" t="s">
        <v>3377</v>
      </c>
      <c r="M501" t="s">
        <v>11903</v>
      </c>
      <c r="N501" t="s">
        <v>3361</v>
      </c>
      <c r="O501" t="s">
        <v>15211</v>
      </c>
      <c r="P501" t="s">
        <v>3364</v>
      </c>
      <c r="Q501" t="s">
        <v>3359</v>
      </c>
      <c r="R501" t="s">
        <v>15211</v>
      </c>
      <c r="S501" t="s">
        <v>15211</v>
      </c>
      <c r="T501" t="s">
        <v>3372</v>
      </c>
      <c r="U501" t="s">
        <v>13589</v>
      </c>
      <c r="V501" t="s">
        <v>15257</v>
      </c>
    </row>
    <row r="502" spans="1:22" hidden="1">
      <c r="A502" t="s">
        <v>15338</v>
      </c>
      <c r="B502" t="s">
        <v>15443</v>
      </c>
      <c r="C502" t="s">
        <v>15474</v>
      </c>
      <c r="D502" t="s">
        <v>1700</v>
      </c>
      <c r="E502" t="s">
        <v>3495</v>
      </c>
      <c r="F502" t="s">
        <v>3650</v>
      </c>
      <c r="G502" s="3">
        <v>36.569802842814603</v>
      </c>
      <c r="H502" s="3">
        <v>128.92188749577801</v>
      </c>
      <c r="I502" t="s">
        <v>5466</v>
      </c>
      <c r="J502" t="s">
        <v>8825</v>
      </c>
      <c r="K502" t="s">
        <v>11426</v>
      </c>
      <c r="L502" t="s">
        <v>3366</v>
      </c>
      <c r="M502" t="s">
        <v>11903</v>
      </c>
      <c r="N502" t="s">
        <v>3361</v>
      </c>
      <c r="O502" t="s">
        <v>15211</v>
      </c>
      <c r="P502" t="s">
        <v>3364</v>
      </c>
      <c r="Q502" t="s">
        <v>3359</v>
      </c>
      <c r="R502" t="s">
        <v>15211</v>
      </c>
      <c r="S502" t="s">
        <v>15211</v>
      </c>
      <c r="T502" t="s">
        <v>3372</v>
      </c>
      <c r="U502" t="s">
        <v>13590</v>
      </c>
      <c r="V502" t="s">
        <v>15257</v>
      </c>
    </row>
    <row r="503" spans="1:22" hidden="1">
      <c r="A503" t="s">
        <v>15338</v>
      </c>
      <c r="B503" t="s">
        <v>15443</v>
      </c>
      <c r="C503" t="s">
        <v>15474</v>
      </c>
      <c r="D503" t="s">
        <v>1701</v>
      </c>
      <c r="E503" t="s">
        <v>3496</v>
      </c>
      <c r="F503" t="s">
        <v>3501</v>
      </c>
      <c r="G503" s="3">
        <v>36.569802938508502</v>
      </c>
      <c r="H503" s="3">
        <v>128.921887627155</v>
      </c>
      <c r="I503" t="s">
        <v>5467</v>
      </c>
      <c r="J503" t="s">
        <v>8826</v>
      </c>
      <c r="K503" t="s">
        <v>10747</v>
      </c>
      <c r="L503" t="s">
        <v>3366</v>
      </c>
      <c r="M503" t="s">
        <v>11903</v>
      </c>
      <c r="N503" t="s">
        <v>3361</v>
      </c>
      <c r="O503" t="s">
        <v>15211</v>
      </c>
      <c r="P503" t="s">
        <v>3364</v>
      </c>
      <c r="Q503" t="s">
        <v>3359</v>
      </c>
      <c r="R503" t="s">
        <v>15211</v>
      </c>
      <c r="S503" t="s">
        <v>15211</v>
      </c>
      <c r="T503" t="s">
        <v>3372</v>
      </c>
      <c r="U503" t="s">
        <v>13591</v>
      </c>
      <c r="V503" t="s">
        <v>15257</v>
      </c>
    </row>
    <row r="504" spans="1:22" hidden="1">
      <c r="A504" t="s">
        <v>15368</v>
      </c>
      <c r="B504" t="s">
        <v>15441</v>
      </c>
      <c r="C504" t="s">
        <v>15445</v>
      </c>
      <c r="D504" t="s">
        <v>414</v>
      </c>
      <c r="E504" t="s">
        <v>3443</v>
      </c>
      <c r="F504" t="s">
        <v>3427</v>
      </c>
      <c r="G504" s="3">
        <v>35.796879233219698</v>
      </c>
      <c r="H504" s="3">
        <v>127.177882533851</v>
      </c>
      <c r="I504" t="s">
        <v>4181</v>
      </c>
      <c r="J504" t="s">
        <v>7540</v>
      </c>
      <c r="K504" t="s">
        <v>10796</v>
      </c>
      <c r="L504" t="s">
        <v>3366</v>
      </c>
      <c r="M504" t="s">
        <v>11885</v>
      </c>
      <c r="N504" t="s">
        <v>3362</v>
      </c>
      <c r="O504" t="s">
        <v>3362</v>
      </c>
      <c r="P504" t="s">
        <v>15211</v>
      </c>
      <c r="Q504" t="s">
        <v>15211</v>
      </c>
      <c r="R504" t="s">
        <v>15211</v>
      </c>
      <c r="S504" t="s">
        <v>15211</v>
      </c>
      <c r="T504" t="s">
        <v>3368</v>
      </c>
      <c r="U504" t="s">
        <v>12324</v>
      </c>
      <c r="V504" t="s">
        <v>15228</v>
      </c>
    </row>
    <row r="505" spans="1:22" hidden="1">
      <c r="A505" t="s">
        <v>15368</v>
      </c>
      <c r="B505" t="s">
        <v>15441</v>
      </c>
      <c r="C505" t="s">
        <v>15446</v>
      </c>
      <c r="D505" t="s">
        <v>415</v>
      </c>
      <c r="E505" t="s">
        <v>3443</v>
      </c>
      <c r="F505" t="s">
        <v>3428</v>
      </c>
      <c r="G505" s="3">
        <v>35.796879224811903</v>
      </c>
      <c r="H505" s="3">
        <v>127.17788255285301</v>
      </c>
      <c r="I505" t="s">
        <v>4182</v>
      </c>
      <c r="J505" t="s">
        <v>7541</v>
      </c>
      <c r="K505" t="s">
        <v>10797</v>
      </c>
      <c r="L505" t="s">
        <v>3366</v>
      </c>
      <c r="M505" t="s">
        <v>11890</v>
      </c>
      <c r="N505" t="s">
        <v>3362</v>
      </c>
      <c r="O505" t="s">
        <v>3363</v>
      </c>
      <c r="P505" t="s">
        <v>15211</v>
      </c>
      <c r="Q505" t="s">
        <v>15211</v>
      </c>
      <c r="R505" t="s">
        <v>15211</v>
      </c>
      <c r="S505" t="s">
        <v>15211</v>
      </c>
      <c r="T505" t="s">
        <v>3369</v>
      </c>
      <c r="U505" t="s">
        <v>12325</v>
      </c>
      <c r="V505" t="s">
        <v>15229</v>
      </c>
    </row>
    <row r="506" spans="1:22" hidden="1">
      <c r="A506" t="s">
        <v>15386</v>
      </c>
      <c r="B506" t="s">
        <v>15441</v>
      </c>
      <c r="C506" t="s">
        <v>15445</v>
      </c>
      <c r="D506" t="s">
        <v>505</v>
      </c>
      <c r="E506" t="s">
        <v>3428</v>
      </c>
      <c r="F506" t="s">
        <v>3453</v>
      </c>
      <c r="G506" s="3">
        <v>37.620812065313501</v>
      </c>
      <c r="H506" s="3">
        <v>126.902658161915</v>
      </c>
      <c r="I506" t="s">
        <v>4272</v>
      </c>
      <c r="J506" t="s">
        <v>7631</v>
      </c>
      <c r="K506" t="s">
        <v>10878</v>
      </c>
      <c r="L506" t="s">
        <v>3387</v>
      </c>
      <c r="M506" t="s">
        <v>11902</v>
      </c>
      <c r="N506" t="s">
        <v>3362</v>
      </c>
      <c r="O506" t="s">
        <v>3360</v>
      </c>
      <c r="P506" t="s">
        <v>15211</v>
      </c>
      <c r="Q506" t="s">
        <v>15211</v>
      </c>
      <c r="R506" t="s">
        <v>15211</v>
      </c>
      <c r="S506" t="s">
        <v>15211</v>
      </c>
      <c r="T506" t="s">
        <v>3366</v>
      </c>
      <c r="U506" t="s">
        <v>12415</v>
      </c>
      <c r="V506" t="s">
        <v>15228</v>
      </c>
    </row>
    <row r="507" spans="1:22" hidden="1">
      <c r="A507" t="s">
        <v>15386</v>
      </c>
      <c r="B507" t="s">
        <v>15441</v>
      </c>
      <c r="C507" t="s">
        <v>15445</v>
      </c>
      <c r="D507" t="s">
        <v>506</v>
      </c>
      <c r="E507" t="s">
        <v>3428</v>
      </c>
      <c r="F507" t="s">
        <v>3441</v>
      </c>
      <c r="G507" s="3">
        <v>37.620812068341898</v>
      </c>
      <c r="H507" s="3">
        <v>126.90265806101699</v>
      </c>
      <c r="I507" t="s">
        <v>4273</v>
      </c>
      <c r="J507" t="s">
        <v>7632</v>
      </c>
      <c r="K507" t="s">
        <v>10879</v>
      </c>
      <c r="L507" t="s">
        <v>3366</v>
      </c>
      <c r="M507" t="s">
        <v>11886</v>
      </c>
      <c r="N507" t="s">
        <v>3363</v>
      </c>
      <c r="O507" t="s">
        <v>3360</v>
      </c>
      <c r="P507" t="s">
        <v>15211</v>
      </c>
      <c r="Q507" t="s">
        <v>15211</v>
      </c>
      <c r="R507" t="s">
        <v>15211</v>
      </c>
      <c r="S507" t="s">
        <v>15211</v>
      </c>
      <c r="T507" t="s">
        <v>3367</v>
      </c>
      <c r="U507" t="s">
        <v>12416</v>
      </c>
      <c r="V507" t="s">
        <v>15228</v>
      </c>
    </row>
    <row r="508" spans="1:22" hidden="1">
      <c r="A508" t="s">
        <v>15386</v>
      </c>
      <c r="B508" t="s">
        <v>15441</v>
      </c>
      <c r="C508" t="s">
        <v>15445</v>
      </c>
      <c r="D508" t="s">
        <v>507</v>
      </c>
      <c r="E508" t="s">
        <v>3436</v>
      </c>
      <c r="F508" t="s">
        <v>3433</v>
      </c>
      <c r="G508" s="3">
        <v>37.620812086584898</v>
      </c>
      <c r="H508" s="3">
        <v>126.902658080515</v>
      </c>
      <c r="I508" t="s">
        <v>4274</v>
      </c>
      <c r="J508" t="s">
        <v>7633</v>
      </c>
      <c r="K508" t="s">
        <v>10880</v>
      </c>
      <c r="L508" t="s">
        <v>3422</v>
      </c>
      <c r="M508" t="s">
        <v>11902</v>
      </c>
      <c r="N508" t="s">
        <v>3362</v>
      </c>
      <c r="O508" t="s">
        <v>3360</v>
      </c>
      <c r="P508" t="s">
        <v>15211</v>
      </c>
      <c r="Q508" t="s">
        <v>15211</v>
      </c>
      <c r="R508" t="s">
        <v>15211</v>
      </c>
      <c r="S508" t="s">
        <v>15211</v>
      </c>
      <c r="T508" t="s">
        <v>3366</v>
      </c>
      <c r="U508" t="s">
        <v>12417</v>
      </c>
      <c r="V508" t="s">
        <v>15228</v>
      </c>
    </row>
    <row r="509" spans="1:22" hidden="1">
      <c r="A509" t="s">
        <v>15386</v>
      </c>
      <c r="B509" t="s">
        <v>15441</v>
      </c>
      <c r="C509" t="s">
        <v>15446</v>
      </c>
      <c r="D509" t="s">
        <v>508</v>
      </c>
      <c r="E509" t="s">
        <v>3434</v>
      </c>
      <c r="F509" t="s">
        <v>3465</v>
      </c>
      <c r="G509" s="3">
        <v>37.620811982736498</v>
      </c>
      <c r="H509" s="3">
        <v>126.902658067342</v>
      </c>
      <c r="I509" t="s">
        <v>4275</v>
      </c>
      <c r="J509" t="s">
        <v>7634</v>
      </c>
      <c r="K509" t="s">
        <v>10881</v>
      </c>
      <c r="L509" t="s">
        <v>3366</v>
      </c>
      <c r="M509" t="s">
        <v>11886</v>
      </c>
      <c r="N509" t="s">
        <v>3363</v>
      </c>
      <c r="O509" t="s">
        <v>3360</v>
      </c>
      <c r="P509" t="s">
        <v>15211</v>
      </c>
      <c r="Q509" t="s">
        <v>15211</v>
      </c>
      <c r="R509" t="s">
        <v>15211</v>
      </c>
      <c r="S509" t="s">
        <v>15211</v>
      </c>
      <c r="T509" t="s">
        <v>3367</v>
      </c>
      <c r="U509" t="s">
        <v>12418</v>
      </c>
      <c r="V509" t="s">
        <v>15229</v>
      </c>
    </row>
    <row r="510" spans="1:22" hidden="1">
      <c r="A510" t="s">
        <v>15386</v>
      </c>
      <c r="B510" t="s">
        <v>15441</v>
      </c>
      <c r="C510" t="s">
        <v>15446</v>
      </c>
      <c r="D510" t="s">
        <v>509</v>
      </c>
      <c r="E510" t="s">
        <v>3431</v>
      </c>
      <c r="F510" t="s">
        <v>3462</v>
      </c>
      <c r="G510" s="3">
        <v>37.620811849877299</v>
      </c>
      <c r="H510" s="3">
        <v>126.90265817807099</v>
      </c>
      <c r="I510" t="s">
        <v>4276</v>
      </c>
      <c r="J510" t="s">
        <v>7635</v>
      </c>
      <c r="K510" t="s">
        <v>10882</v>
      </c>
      <c r="L510" t="s">
        <v>3366</v>
      </c>
      <c r="M510" t="s">
        <v>11885</v>
      </c>
      <c r="N510" t="s">
        <v>3363</v>
      </c>
      <c r="O510" t="s">
        <v>3361</v>
      </c>
      <c r="P510" t="s">
        <v>15211</v>
      </c>
      <c r="Q510" t="s">
        <v>15211</v>
      </c>
      <c r="R510" t="s">
        <v>15211</v>
      </c>
      <c r="S510" t="s">
        <v>15211</v>
      </c>
      <c r="T510" t="s">
        <v>3368</v>
      </c>
      <c r="U510" t="s">
        <v>12419</v>
      </c>
      <c r="V510" t="s">
        <v>15229</v>
      </c>
    </row>
    <row r="511" spans="1:22" hidden="1">
      <c r="A511" t="s">
        <v>15386</v>
      </c>
      <c r="B511" t="s">
        <v>15441</v>
      </c>
      <c r="C511" t="s">
        <v>15446</v>
      </c>
      <c r="D511" t="s">
        <v>510</v>
      </c>
      <c r="E511" t="s">
        <v>3436</v>
      </c>
      <c r="F511" t="s">
        <v>3432</v>
      </c>
      <c r="G511" s="3">
        <v>37.6208118904419</v>
      </c>
      <c r="H511" s="3">
        <v>126.902658015195</v>
      </c>
      <c r="I511" t="s">
        <v>4277</v>
      </c>
      <c r="J511" t="s">
        <v>7636</v>
      </c>
      <c r="K511" t="s">
        <v>10883</v>
      </c>
      <c r="L511" t="s">
        <v>3366</v>
      </c>
      <c r="M511" t="s">
        <v>11886</v>
      </c>
      <c r="N511" t="s">
        <v>3362</v>
      </c>
      <c r="O511" t="s">
        <v>3361</v>
      </c>
      <c r="P511" t="s">
        <v>15211</v>
      </c>
      <c r="Q511" t="s">
        <v>15211</v>
      </c>
      <c r="R511" t="s">
        <v>15211</v>
      </c>
      <c r="S511" t="s">
        <v>15211</v>
      </c>
      <c r="T511" t="s">
        <v>3367</v>
      </c>
      <c r="U511" t="s">
        <v>12420</v>
      </c>
      <c r="V511" t="s">
        <v>15229</v>
      </c>
    </row>
    <row r="512" spans="1:22" hidden="1">
      <c r="A512" t="s">
        <v>15386</v>
      </c>
      <c r="B512" t="s">
        <v>15441</v>
      </c>
      <c r="C512" t="s">
        <v>15448</v>
      </c>
      <c r="D512" t="s">
        <v>511</v>
      </c>
      <c r="E512" t="s">
        <v>3452</v>
      </c>
      <c r="F512" t="s">
        <v>3562</v>
      </c>
      <c r="G512" s="3">
        <v>37.620811960623897</v>
      </c>
      <c r="H512" s="3">
        <v>126.90265824182001</v>
      </c>
      <c r="I512" t="s">
        <v>4278</v>
      </c>
      <c r="J512" t="s">
        <v>7637</v>
      </c>
      <c r="K512" t="s">
        <v>10884</v>
      </c>
      <c r="L512" t="s">
        <v>3366</v>
      </c>
      <c r="M512" t="s">
        <v>11889</v>
      </c>
      <c r="N512" t="s">
        <v>3362</v>
      </c>
      <c r="O512" t="s">
        <v>3359</v>
      </c>
      <c r="P512" t="s">
        <v>3362</v>
      </c>
      <c r="Q512" t="s">
        <v>3358</v>
      </c>
      <c r="R512" t="s">
        <v>3358</v>
      </c>
      <c r="S512" t="s">
        <v>15211</v>
      </c>
      <c r="T512" t="s">
        <v>3375</v>
      </c>
      <c r="U512" t="s">
        <v>12421</v>
      </c>
      <c r="V512" t="s">
        <v>15230</v>
      </c>
    </row>
    <row r="513" spans="1:22" hidden="1">
      <c r="A513" t="s">
        <v>15386</v>
      </c>
      <c r="B513" t="s">
        <v>15441</v>
      </c>
      <c r="C513" t="s">
        <v>15448</v>
      </c>
      <c r="D513" t="s">
        <v>512</v>
      </c>
      <c r="E513" t="s">
        <v>3452</v>
      </c>
      <c r="F513" t="s">
        <v>3534</v>
      </c>
      <c r="G513" s="3">
        <v>37.6208119920882</v>
      </c>
      <c r="H513" s="3">
        <v>126.902658292764</v>
      </c>
      <c r="I513" t="s">
        <v>4279</v>
      </c>
      <c r="J513" t="s">
        <v>7638</v>
      </c>
      <c r="K513" t="s">
        <v>10885</v>
      </c>
      <c r="L513" t="s">
        <v>3366</v>
      </c>
      <c r="M513" t="s">
        <v>11889</v>
      </c>
      <c r="N513" t="s">
        <v>3362</v>
      </c>
      <c r="O513" t="s">
        <v>3360</v>
      </c>
      <c r="P513" t="s">
        <v>3362</v>
      </c>
      <c r="Q513" t="s">
        <v>3359</v>
      </c>
      <c r="R513" t="s">
        <v>3358</v>
      </c>
      <c r="S513" t="s">
        <v>15211</v>
      </c>
      <c r="T513" t="s">
        <v>3377</v>
      </c>
      <c r="U513" t="s">
        <v>12422</v>
      </c>
      <c r="V513" t="s">
        <v>15230</v>
      </c>
    </row>
    <row r="514" spans="1:22" hidden="1">
      <c r="A514" t="s">
        <v>15386</v>
      </c>
      <c r="B514" t="s">
        <v>15441</v>
      </c>
      <c r="C514" t="s">
        <v>15448</v>
      </c>
      <c r="D514" t="s">
        <v>513</v>
      </c>
      <c r="E514" t="s">
        <v>3452</v>
      </c>
      <c r="F514" t="s">
        <v>3542</v>
      </c>
      <c r="G514" s="3">
        <v>37.620811946345597</v>
      </c>
      <c r="H514" s="3">
        <v>126.90265826002999</v>
      </c>
      <c r="I514" t="s">
        <v>4280</v>
      </c>
      <c r="J514" t="s">
        <v>7639</v>
      </c>
      <c r="K514" t="s">
        <v>10886</v>
      </c>
      <c r="L514" t="s">
        <v>3366</v>
      </c>
      <c r="M514" t="s">
        <v>11889</v>
      </c>
      <c r="N514" t="s">
        <v>3362</v>
      </c>
      <c r="O514" t="s">
        <v>3360</v>
      </c>
      <c r="P514" t="s">
        <v>3362</v>
      </c>
      <c r="Q514" t="s">
        <v>3359</v>
      </c>
      <c r="R514" t="s">
        <v>3358</v>
      </c>
      <c r="S514" t="s">
        <v>15211</v>
      </c>
      <c r="T514" t="s">
        <v>3377</v>
      </c>
      <c r="U514" t="s">
        <v>12423</v>
      </c>
      <c r="V514" t="s">
        <v>15230</v>
      </c>
    </row>
    <row r="515" spans="1:22" hidden="1">
      <c r="A515" t="s">
        <v>15386</v>
      </c>
      <c r="B515" t="s">
        <v>15441</v>
      </c>
      <c r="C515" t="s">
        <v>15449</v>
      </c>
      <c r="D515" t="s">
        <v>514</v>
      </c>
      <c r="E515" t="s">
        <v>3442</v>
      </c>
      <c r="F515" t="s">
        <v>3540</v>
      </c>
      <c r="G515" s="3">
        <v>37.620811977366799</v>
      </c>
      <c r="H515" s="3">
        <v>126.90265836472101</v>
      </c>
      <c r="I515" t="s">
        <v>4281</v>
      </c>
      <c r="J515" t="s">
        <v>7640</v>
      </c>
      <c r="K515" t="s">
        <v>10887</v>
      </c>
      <c r="L515" t="s">
        <v>3366</v>
      </c>
      <c r="M515" t="s">
        <v>11889</v>
      </c>
      <c r="N515" t="s">
        <v>3362</v>
      </c>
      <c r="O515" t="s">
        <v>3360</v>
      </c>
      <c r="P515" t="s">
        <v>3362</v>
      </c>
      <c r="Q515" t="s">
        <v>3359</v>
      </c>
      <c r="R515" t="s">
        <v>3358</v>
      </c>
      <c r="S515" t="s">
        <v>15211</v>
      </c>
      <c r="T515" t="s">
        <v>3377</v>
      </c>
      <c r="U515" t="s">
        <v>12424</v>
      </c>
      <c r="V515" t="s">
        <v>15231</v>
      </c>
    </row>
    <row r="516" spans="1:22" hidden="1">
      <c r="A516" t="s">
        <v>15386</v>
      </c>
      <c r="B516" t="s">
        <v>15441</v>
      </c>
      <c r="C516" t="s">
        <v>15449</v>
      </c>
      <c r="D516" t="s">
        <v>515</v>
      </c>
      <c r="E516" t="s">
        <v>3442</v>
      </c>
      <c r="F516" t="s">
        <v>3458</v>
      </c>
      <c r="G516" s="3">
        <v>37.620811966274303</v>
      </c>
      <c r="H516" s="3">
        <v>126.902658357166</v>
      </c>
      <c r="I516" t="s">
        <v>4282</v>
      </c>
      <c r="J516" t="s">
        <v>7641</v>
      </c>
      <c r="K516" t="s">
        <v>10888</v>
      </c>
      <c r="L516" t="s">
        <v>3366</v>
      </c>
      <c r="M516" t="s">
        <v>11888</v>
      </c>
      <c r="N516" t="s">
        <v>3362</v>
      </c>
      <c r="O516" t="s">
        <v>3360</v>
      </c>
      <c r="P516" t="s">
        <v>3363</v>
      </c>
      <c r="Q516" t="s">
        <v>3359</v>
      </c>
      <c r="R516" t="s">
        <v>3358</v>
      </c>
      <c r="S516" t="s">
        <v>15211</v>
      </c>
      <c r="T516" t="s">
        <v>3378</v>
      </c>
      <c r="U516" t="s">
        <v>12425</v>
      </c>
      <c r="V516" t="s">
        <v>15231</v>
      </c>
    </row>
    <row r="517" spans="1:22" hidden="1">
      <c r="A517" t="s">
        <v>15386</v>
      </c>
      <c r="B517" t="s">
        <v>15441</v>
      </c>
      <c r="C517" t="s">
        <v>15449</v>
      </c>
      <c r="D517" t="s">
        <v>516</v>
      </c>
      <c r="E517" t="s">
        <v>3429</v>
      </c>
      <c r="F517" t="s">
        <v>3466</v>
      </c>
      <c r="G517" s="3">
        <v>37.620811989002398</v>
      </c>
      <c r="H517" s="3">
        <v>126.902658335548</v>
      </c>
      <c r="I517" t="s">
        <v>4283</v>
      </c>
      <c r="J517" t="s">
        <v>7642</v>
      </c>
      <c r="K517" t="s">
        <v>10889</v>
      </c>
      <c r="L517" t="s">
        <v>3366</v>
      </c>
      <c r="M517" t="s">
        <v>11888</v>
      </c>
      <c r="N517" t="s">
        <v>3362</v>
      </c>
      <c r="O517" t="s">
        <v>3360</v>
      </c>
      <c r="P517" t="s">
        <v>3363</v>
      </c>
      <c r="Q517" t="s">
        <v>3359</v>
      </c>
      <c r="R517" t="s">
        <v>3358</v>
      </c>
      <c r="S517" t="s">
        <v>15211</v>
      </c>
      <c r="T517" t="s">
        <v>3378</v>
      </c>
      <c r="U517" t="s">
        <v>12426</v>
      </c>
      <c r="V517" t="s">
        <v>15231</v>
      </c>
    </row>
    <row r="518" spans="1:22" hidden="1">
      <c r="A518" t="s">
        <v>15386</v>
      </c>
      <c r="B518" t="s">
        <v>15442</v>
      </c>
      <c r="C518" t="s">
        <v>15450</v>
      </c>
      <c r="D518" t="s">
        <v>517</v>
      </c>
      <c r="E518" t="s">
        <v>3429</v>
      </c>
      <c r="F518" t="s">
        <v>3477</v>
      </c>
      <c r="G518" s="3">
        <v>37.620812091901797</v>
      </c>
      <c r="H518" s="3">
        <v>126.902658285295</v>
      </c>
      <c r="I518" t="s">
        <v>4284</v>
      </c>
      <c r="J518" t="s">
        <v>7643</v>
      </c>
      <c r="K518" t="s">
        <v>10890</v>
      </c>
      <c r="L518" t="s">
        <v>3421</v>
      </c>
      <c r="M518" t="s">
        <v>11886</v>
      </c>
      <c r="N518" t="s">
        <v>3362</v>
      </c>
      <c r="O518" t="s">
        <v>3360</v>
      </c>
      <c r="P518" t="s">
        <v>15211</v>
      </c>
      <c r="Q518" t="s">
        <v>15211</v>
      </c>
      <c r="R518" t="s">
        <v>15211</v>
      </c>
      <c r="S518" t="s">
        <v>15211</v>
      </c>
      <c r="T518" t="s">
        <v>3366</v>
      </c>
      <c r="U518" t="s">
        <v>12427</v>
      </c>
      <c r="V518" t="s">
        <v>15232</v>
      </c>
    </row>
    <row r="519" spans="1:22" hidden="1">
      <c r="A519" t="s">
        <v>15386</v>
      </c>
      <c r="B519" t="s">
        <v>15442</v>
      </c>
      <c r="C519" t="s">
        <v>15450</v>
      </c>
      <c r="D519" t="s">
        <v>518</v>
      </c>
      <c r="E519" t="s">
        <v>3441</v>
      </c>
      <c r="F519" t="s">
        <v>3540</v>
      </c>
      <c r="G519" s="3">
        <v>37.620812159815799</v>
      </c>
      <c r="H519" s="3">
        <v>126.902658271021</v>
      </c>
      <c r="I519" t="s">
        <v>4285</v>
      </c>
      <c r="J519" t="s">
        <v>7644</v>
      </c>
      <c r="K519" t="s">
        <v>10891</v>
      </c>
      <c r="L519" t="s">
        <v>3366</v>
      </c>
      <c r="M519" t="s">
        <v>11885</v>
      </c>
      <c r="N519" t="s">
        <v>3363</v>
      </c>
      <c r="O519" t="s">
        <v>3361</v>
      </c>
      <c r="P519" t="s">
        <v>15211</v>
      </c>
      <c r="Q519" t="s">
        <v>15211</v>
      </c>
      <c r="R519" t="s">
        <v>15211</v>
      </c>
      <c r="S519" t="s">
        <v>15211</v>
      </c>
      <c r="T519" t="s">
        <v>3368</v>
      </c>
      <c r="U519" t="s">
        <v>12428</v>
      </c>
      <c r="V519" t="s">
        <v>15232</v>
      </c>
    </row>
    <row r="520" spans="1:22" hidden="1">
      <c r="A520" t="s">
        <v>15386</v>
      </c>
      <c r="B520" t="s">
        <v>15442</v>
      </c>
      <c r="C520" t="s">
        <v>15450</v>
      </c>
      <c r="D520" t="s">
        <v>519</v>
      </c>
      <c r="E520" t="s">
        <v>3462</v>
      </c>
      <c r="F520" t="s">
        <v>3491</v>
      </c>
      <c r="G520" s="3">
        <v>37.620812210610197</v>
      </c>
      <c r="H520" s="3">
        <v>126.90265812097201</v>
      </c>
      <c r="I520" t="s">
        <v>4286</v>
      </c>
      <c r="J520" t="s">
        <v>7645</v>
      </c>
      <c r="K520" t="s">
        <v>10892</v>
      </c>
      <c r="L520" t="s">
        <v>3378</v>
      </c>
      <c r="M520" t="s">
        <v>11886</v>
      </c>
      <c r="N520" t="s">
        <v>3362</v>
      </c>
      <c r="O520" t="s">
        <v>3360</v>
      </c>
      <c r="P520" t="s">
        <v>15211</v>
      </c>
      <c r="Q520" t="s">
        <v>15211</v>
      </c>
      <c r="R520" t="s">
        <v>15211</v>
      </c>
      <c r="S520" t="s">
        <v>15211</v>
      </c>
      <c r="T520" t="s">
        <v>3366</v>
      </c>
      <c r="U520" t="s">
        <v>12429</v>
      </c>
      <c r="V520" t="s">
        <v>15232</v>
      </c>
    </row>
    <row r="521" spans="1:22" hidden="1">
      <c r="A521" t="s">
        <v>15386</v>
      </c>
      <c r="B521" t="s">
        <v>15442</v>
      </c>
      <c r="C521" t="s">
        <v>15450</v>
      </c>
      <c r="D521" t="s">
        <v>520</v>
      </c>
      <c r="E521" t="s">
        <v>3442</v>
      </c>
      <c r="F521" t="s">
        <v>3590</v>
      </c>
      <c r="G521" s="3">
        <v>37.620812183631202</v>
      </c>
      <c r="H521" s="3">
        <v>126.90265814094199</v>
      </c>
      <c r="I521" t="s">
        <v>4287</v>
      </c>
      <c r="J521" t="s">
        <v>7646</v>
      </c>
      <c r="K521" t="s">
        <v>10893</v>
      </c>
      <c r="L521" t="s">
        <v>3366</v>
      </c>
      <c r="M521" t="s">
        <v>11885</v>
      </c>
      <c r="N521" t="s">
        <v>3363</v>
      </c>
      <c r="O521" t="s">
        <v>3362</v>
      </c>
      <c r="P521" t="s">
        <v>15211</v>
      </c>
      <c r="Q521" t="s">
        <v>15211</v>
      </c>
      <c r="R521" t="s">
        <v>15211</v>
      </c>
      <c r="S521" t="s">
        <v>15211</v>
      </c>
      <c r="T521" t="s">
        <v>3369</v>
      </c>
      <c r="U521" t="s">
        <v>12430</v>
      </c>
      <c r="V521" t="s">
        <v>15232</v>
      </c>
    </row>
    <row r="522" spans="1:22" hidden="1">
      <c r="A522" t="s">
        <v>15386</v>
      </c>
      <c r="B522" t="s">
        <v>15442</v>
      </c>
      <c r="C522" t="s">
        <v>15445</v>
      </c>
      <c r="D522" t="s">
        <v>521</v>
      </c>
      <c r="E522" t="s">
        <v>3427</v>
      </c>
      <c r="F522" t="s">
        <v>3579</v>
      </c>
      <c r="G522" s="3">
        <v>37.620811958441003</v>
      </c>
      <c r="H522" s="3">
        <v>126.902658354575</v>
      </c>
      <c r="I522" t="s">
        <v>4288</v>
      </c>
      <c r="J522" t="s">
        <v>7647</v>
      </c>
      <c r="K522" t="s">
        <v>10894</v>
      </c>
      <c r="L522" t="s">
        <v>3366</v>
      </c>
      <c r="M522" t="s">
        <v>11894</v>
      </c>
      <c r="N522" t="s">
        <v>3363</v>
      </c>
      <c r="O522" t="s">
        <v>3363</v>
      </c>
      <c r="P522" t="s">
        <v>15211</v>
      </c>
      <c r="Q522" t="s">
        <v>15211</v>
      </c>
      <c r="R522" t="s">
        <v>15211</v>
      </c>
      <c r="S522" t="s">
        <v>15211</v>
      </c>
      <c r="T522" t="s">
        <v>3370</v>
      </c>
      <c r="U522" t="s">
        <v>12431</v>
      </c>
      <c r="V522" t="s">
        <v>15233</v>
      </c>
    </row>
    <row r="523" spans="1:22" hidden="1">
      <c r="A523" t="s">
        <v>15386</v>
      </c>
      <c r="B523" t="s">
        <v>15442</v>
      </c>
      <c r="C523" t="s">
        <v>15445</v>
      </c>
      <c r="D523" t="s">
        <v>522</v>
      </c>
      <c r="E523" t="s">
        <v>3438</v>
      </c>
      <c r="F523" t="s">
        <v>3511</v>
      </c>
      <c r="G523" s="3">
        <v>37.620811961604403</v>
      </c>
      <c r="H523" s="3">
        <v>126.902658259769</v>
      </c>
      <c r="I523" t="s">
        <v>4289</v>
      </c>
      <c r="J523" t="s">
        <v>7648</v>
      </c>
      <c r="K523" t="s">
        <v>10895</v>
      </c>
      <c r="L523" t="s">
        <v>3366</v>
      </c>
      <c r="M523" t="s">
        <v>11890</v>
      </c>
      <c r="N523" t="s">
        <v>3362</v>
      </c>
      <c r="O523" t="s">
        <v>3363</v>
      </c>
      <c r="P523" t="s">
        <v>15211</v>
      </c>
      <c r="Q523" t="s">
        <v>15211</v>
      </c>
      <c r="R523" t="s">
        <v>15211</v>
      </c>
      <c r="S523" t="s">
        <v>15211</v>
      </c>
      <c r="T523" t="s">
        <v>3369</v>
      </c>
      <c r="U523" t="s">
        <v>12432</v>
      </c>
      <c r="V523" t="s">
        <v>15233</v>
      </c>
    </row>
    <row r="524" spans="1:22" hidden="1">
      <c r="A524" t="s">
        <v>15386</v>
      </c>
      <c r="B524" t="s">
        <v>15442</v>
      </c>
      <c r="C524" t="s">
        <v>15445</v>
      </c>
      <c r="D524" t="s">
        <v>523</v>
      </c>
      <c r="E524" t="s">
        <v>3440</v>
      </c>
      <c r="F524" t="s">
        <v>3426</v>
      </c>
      <c r="G524" s="3">
        <v>37.620811949575298</v>
      </c>
      <c r="H524" s="3">
        <v>126.90265827848199</v>
      </c>
      <c r="I524" t="s">
        <v>4290</v>
      </c>
      <c r="J524" t="s">
        <v>7649</v>
      </c>
      <c r="K524" t="s">
        <v>10896</v>
      </c>
      <c r="L524" t="s">
        <v>3366</v>
      </c>
      <c r="M524" t="s">
        <v>11894</v>
      </c>
      <c r="N524" t="s">
        <v>3363</v>
      </c>
      <c r="O524" t="s">
        <v>3363</v>
      </c>
      <c r="P524" t="s">
        <v>15211</v>
      </c>
      <c r="Q524" t="s">
        <v>15211</v>
      </c>
      <c r="R524" t="s">
        <v>15211</v>
      </c>
      <c r="S524" t="s">
        <v>15211</v>
      </c>
      <c r="T524" t="s">
        <v>3370</v>
      </c>
      <c r="U524" t="s">
        <v>12433</v>
      </c>
      <c r="V524" t="s">
        <v>15233</v>
      </c>
    </row>
    <row r="525" spans="1:22" hidden="1">
      <c r="A525" t="s">
        <v>15386</v>
      </c>
      <c r="B525" t="s">
        <v>15442</v>
      </c>
      <c r="C525" t="s">
        <v>15451</v>
      </c>
      <c r="D525" t="s">
        <v>524</v>
      </c>
      <c r="E525" t="s">
        <v>3440</v>
      </c>
      <c r="F525" t="s">
        <v>3462</v>
      </c>
      <c r="G525" s="3">
        <v>37.620812177817498</v>
      </c>
      <c r="H525" s="3">
        <v>126.902658179452</v>
      </c>
      <c r="I525" t="s">
        <v>4291</v>
      </c>
      <c r="J525" t="s">
        <v>7650</v>
      </c>
      <c r="K525" t="s">
        <v>10827</v>
      </c>
      <c r="L525" t="s">
        <v>3366</v>
      </c>
      <c r="M525" t="s">
        <v>11888</v>
      </c>
      <c r="N525" t="s">
        <v>3363</v>
      </c>
      <c r="O525" t="s">
        <v>3363</v>
      </c>
      <c r="P525" t="s">
        <v>3360</v>
      </c>
      <c r="Q525" t="s">
        <v>3357</v>
      </c>
      <c r="R525" t="s">
        <v>15211</v>
      </c>
      <c r="S525" t="s">
        <v>15211</v>
      </c>
      <c r="T525" t="s">
        <v>3375</v>
      </c>
      <c r="U525" t="s">
        <v>12434</v>
      </c>
      <c r="V525" t="s">
        <v>15234</v>
      </c>
    </row>
    <row r="526" spans="1:22" hidden="1">
      <c r="A526" t="s">
        <v>15386</v>
      </c>
      <c r="B526" t="s">
        <v>15442</v>
      </c>
      <c r="C526" t="s">
        <v>15451</v>
      </c>
      <c r="D526" t="s">
        <v>525</v>
      </c>
      <c r="E526" t="s">
        <v>3440</v>
      </c>
      <c r="F526" t="s">
        <v>3465</v>
      </c>
      <c r="G526" s="3">
        <v>37.620812154859202</v>
      </c>
      <c r="H526" s="3">
        <v>126.90265819962499</v>
      </c>
      <c r="I526" t="s">
        <v>4292</v>
      </c>
      <c r="J526" t="s">
        <v>7651</v>
      </c>
      <c r="K526" t="s">
        <v>10897</v>
      </c>
      <c r="L526" t="s">
        <v>3366</v>
      </c>
      <c r="M526" t="s">
        <v>11896</v>
      </c>
      <c r="N526" t="s">
        <v>3363</v>
      </c>
      <c r="O526" t="s">
        <v>3363</v>
      </c>
      <c r="P526" t="s">
        <v>3362</v>
      </c>
      <c r="Q526" t="s">
        <v>3359</v>
      </c>
      <c r="R526" t="s">
        <v>15211</v>
      </c>
      <c r="S526" t="s">
        <v>15211</v>
      </c>
      <c r="T526" t="s">
        <v>3379</v>
      </c>
      <c r="U526" t="s">
        <v>12435</v>
      </c>
      <c r="V526" t="s">
        <v>15234</v>
      </c>
    </row>
    <row r="527" spans="1:22" hidden="1">
      <c r="A527" t="s">
        <v>15386</v>
      </c>
      <c r="B527" t="s">
        <v>15442</v>
      </c>
      <c r="C527" t="s">
        <v>15451</v>
      </c>
      <c r="D527" t="s">
        <v>526</v>
      </c>
      <c r="E527" t="s">
        <v>3440</v>
      </c>
      <c r="F527" t="s">
        <v>3432</v>
      </c>
      <c r="G527" s="3">
        <v>37.620812129301598</v>
      </c>
      <c r="H527" s="3">
        <v>126.90265826867901</v>
      </c>
      <c r="I527" t="s">
        <v>4293</v>
      </c>
      <c r="J527" t="s">
        <v>7652</v>
      </c>
      <c r="K527" t="s">
        <v>10643</v>
      </c>
      <c r="L527" t="s">
        <v>3366</v>
      </c>
      <c r="M527" t="s">
        <v>11896</v>
      </c>
      <c r="N527" t="s">
        <v>3363</v>
      </c>
      <c r="O527" t="s">
        <v>3363</v>
      </c>
      <c r="P527" t="s">
        <v>3363</v>
      </c>
      <c r="Q527" t="s">
        <v>3359</v>
      </c>
      <c r="R527" t="s">
        <v>15211</v>
      </c>
      <c r="S527" t="s">
        <v>15211</v>
      </c>
      <c r="T527" t="s">
        <v>3380</v>
      </c>
      <c r="U527" t="s">
        <v>12436</v>
      </c>
      <c r="V527" t="s">
        <v>15234</v>
      </c>
    </row>
    <row r="528" spans="1:22">
      <c r="A528" t="s">
        <v>15386</v>
      </c>
      <c r="B528" t="s">
        <v>15443</v>
      </c>
      <c r="C528" t="s">
        <v>15452</v>
      </c>
      <c r="D528" t="s">
        <v>527</v>
      </c>
      <c r="E528" t="s">
        <v>3431</v>
      </c>
      <c r="F528" t="s">
        <v>3611</v>
      </c>
      <c r="G528" s="3">
        <v>37.620811736871602</v>
      </c>
      <c r="H528" s="3">
        <v>126.90265785687301</v>
      </c>
      <c r="I528" t="s">
        <v>4294</v>
      </c>
      <c r="J528" t="s">
        <v>7653</v>
      </c>
      <c r="K528" t="s">
        <v>10898</v>
      </c>
      <c r="L528" t="s">
        <v>3369</v>
      </c>
      <c r="M528" t="s">
        <v>11895</v>
      </c>
      <c r="N528" t="s">
        <v>3362</v>
      </c>
      <c r="O528" t="s">
        <v>15211</v>
      </c>
      <c r="P528" t="s">
        <v>3362</v>
      </c>
      <c r="Q528" t="s">
        <v>3358</v>
      </c>
      <c r="R528" t="s">
        <v>15211</v>
      </c>
      <c r="S528" t="s">
        <v>15211</v>
      </c>
      <c r="T528" t="s">
        <v>3370</v>
      </c>
      <c r="U528" t="s">
        <v>12437</v>
      </c>
      <c r="V528" t="s">
        <v>15220</v>
      </c>
    </row>
    <row r="529" spans="1:22">
      <c r="A529" t="s">
        <v>15386</v>
      </c>
      <c r="B529" t="s">
        <v>15443</v>
      </c>
      <c r="C529" t="s">
        <v>15452</v>
      </c>
      <c r="D529" t="s">
        <v>528</v>
      </c>
      <c r="E529" t="s">
        <v>3434</v>
      </c>
      <c r="F529" t="s">
        <v>3564</v>
      </c>
      <c r="G529" s="3">
        <v>37.620811697394103</v>
      </c>
      <c r="H529" s="3">
        <v>126.90265792858401</v>
      </c>
      <c r="I529" t="s">
        <v>4295</v>
      </c>
      <c r="J529" t="s">
        <v>7654</v>
      </c>
      <c r="K529" t="s">
        <v>10899</v>
      </c>
      <c r="L529" t="s">
        <v>3366</v>
      </c>
      <c r="M529" t="s">
        <v>11903</v>
      </c>
      <c r="N529" t="s">
        <v>3362</v>
      </c>
      <c r="O529" t="s">
        <v>15211</v>
      </c>
      <c r="P529" t="s">
        <v>3363</v>
      </c>
      <c r="Q529" t="s">
        <v>3359</v>
      </c>
      <c r="R529" t="s">
        <v>15211</v>
      </c>
      <c r="S529" t="s">
        <v>15211</v>
      </c>
      <c r="T529" t="s">
        <v>3372</v>
      </c>
      <c r="U529" t="s">
        <v>12438</v>
      </c>
      <c r="V529" t="s">
        <v>15220</v>
      </c>
    </row>
    <row r="530" spans="1:22">
      <c r="A530" t="s">
        <v>15386</v>
      </c>
      <c r="B530" t="s">
        <v>15443</v>
      </c>
      <c r="C530" t="s">
        <v>15452</v>
      </c>
      <c r="D530" t="s">
        <v>529</v>
      </c>
      <c r="E530" t="s">
        <v>3434</v>
      </c>
      <c r="F530" t="s">
        <v>3540</v>
      </c>
      <c r="G530" s="3">
        <v>37.620811675446802</v>
      </c>
      <c r="H530" s="3">
        <v>126.902657938733</v>
      </c>
      <c r="I530" t="s">
        <v>4296</v>
      </c>
      <c r="J530" t="s">
        <v>7655</v>
      </c>
      <c r="K530" t="s">
        <v>10900</v>
      </c>
      <c r="L530" t="s">
        <v>3368</v>
      </c>
      <c r="M530" t="s">
        <v>11895</v>
      </c>
      <c r="N530" t="s">
        <v>3362</v>
      </c>
      <c r="O530" t="s">
        <v>15211</v>
      </c>
      <c r="P530" t="s">
        <v>3362</v>
      </c>
      <c r="Q530" t="s">
        <v>3359</v>
      </c>
      <c r="R530" t="s">
        <v>15211</v>
      </c>
      <c r="S530" t="s">
        <v>15211</v>
      </c>
      <c r="T530" t="s">
        <v>3371</v>
      </c>
      <c r="U530" t="s">
        <v>12439</v>
      </c>
      <c r="V530" t="s">
        <v>15220</v>
      </c>
    </row>
    <row r="531" spans="1:22" hidden="1">
      <c r="A531" t="s">
        <v>15387</v>
      </c>
      <c r="B531" t="s">
        <v>15441</v>
      </c>
      <c r="C531" t="s">
        <v>15445</v>
      </c>
      <c r="D531" t="s">
        <v>530</v>
      </c>
      <c r="E531" t="s">
        <v>3427</v>
      </c>
      <c r="F531" t="s">
        <v>3431</v>
      </c>
      <c r="G531" s="3">
        <v>37.616592368814501</v>
      </c>
      <c r="H531" s="3">
        <v>126.53537833822701</v>
      </c>
      <c r="I531" t="s">
        <v>4297</v>
      </c>
      <c r="J531" t="s">
        <v>7656</v>
      </c>
      <c r="K531" t="s">
        <v>10901</v>
      </c>
      <c r="L531" t="s">
        <v>3366</v>
      </c>
      <c r="M531" t="s">
        <v>11895</v>
      </c>
      <c r="N531" t="s">
        <v>3365</v>
      </c>
      <c r="O531" t="s">
        <v>3362</v>
      </c>
      <c r="P531" t="s">
        <v>15211</v>
      </c>
      <c r="Q531" t="s">
        <v>15211</v>
      </c>
      <c r="R531" t="s">
        <v>15211</v>
      </c>
      <c r="S531" t="s">
        <v>15211</v>
      </c>
      <c r="T531" t="s">
        <v>3371</v>
      </c>
      <c r="U531" t="s">
        <v>12440</v>
      </c>
      <c r="V531" t="s">
        <v>15228</v>
      </c>
    </row>
    <row r="532" spans="1:22" hidden="1">
      <c r="A532" t="s">
        <v>15387</v>
      </c>
      <c r="B532" t="s">
        <v>15441</v>
      </c>
      <c r="C532" t="s">
        <v>15445</v>
      </c>
      <c r="D532" t="s">
        <v>531</v>
      </c>
      <c r="E532" t="s">
        <v>3438</v>
      </c>
      <c r="F532" t="s">
        <v>3425</v>
      </c>
      <c r="G532" s="3">
        <v>37.616592395961099</v>
      </c>
      <c r="H532" s="3">
        <v>126.535378339624</v>
      </c>
      <c r="I532" t="s">
        <v>4298</v>
      </c>
      <c r="J532" t="s">
        <v>7657</v>
      </c>
      <c r="K532" t="s">
        <v>10902</v>
      </c>
      <c r="L532" t="s">
        <v>3366</v>
      </c>
      <c r="M532" t="s">
        <v>11895</v>
      </c>
      <c r="N532" t="s">
        <v>3365</v>
      </c>
      <c r="O532" t="s">
        <v>3362</v>
      </c>
      <c r="P532" t="s">
        <v>15211</v>
      </c>
      <c r="Q532" t="s">
        <v>15211</v>
      </c>
      <c r="R532" t="s">
        <v>15211</v>
      </c>
      <c r="S532" t="s">
        <v>15211</v>
      </c>
      <c r="T532" t="s">
        <v>3371</v>
      </c>
      <c r="U532" t="s">
        <v>12441</v>
      </c>
      <c r="V532" t="s">
        <v>15228</v>
      </c>
    </row>
    <row r="533" spans="1:22" hidden="1">
      <c r="A533" t="s">
        <v>15387</v>
      </c>
      <c r="B533" t="s">
        <v>15441</v>
      </c>
      <c r="C533" t="s">
        <v>15445</v>
      </c>
      <c r="D533" t="s">
        <v>532</v>
      </c>
      <c r="E533" t="s">
        <v>3427</v>
      </c>
      <c r="F533" t="s">
        <v>3431</v>
      </c>
      <c r="G533" s="3">
        <v>37.616592389466703</v>
      </c>
      <c r="H533" s="3">
        <v>126.53537831948999</v>
      </c>
      <c r="I533" t="s">
        <v>4299</v>
      </c>
      <c r="J533" t="s">
        <v>7658</v>
      </c>
      <c r="K533" t="s">
        <v>10902</v>
      </c>
      <c r="L533" t="s">
        <v>3366</v>
      </c>
      <c r="M533" t="s">
        <v>11895</v>
      </c>
      <c r="N533" t="s">
        <v>3365</v>
      </c>
      <c r="O533" t="s">
        <v>3362</v>
      </c>
      <c r="P533" t="s">
        <v>15211</v>
      </c>
      <c r="Q533" t="s">
        <v>15211</v>
      </c>
      <c r="R533" t="s">
        <v>15211</v>
      </c>
      <c r="S533" t="s">
        <v>15211</v>
      </c>
      <c r="T533" t="s">
        <v>3371</v>
      </c>
      <c r="U533" t="s">
        <v>12442</v>
      </c>
      <c r="V533" t="s">
        <v>15228</v>
      </c>
    </row>
    <row r="534" spans="1:22" hidden="1">
      <c r="A534" t="s">
        <v>15387</v>
      </c>
      <c r="B534" t="s">
        <v>15441</v>
      </c>
      <c r="C534" t="s">
        <v>15446</v>
      </c>
      <c r="D534" t="s">
        <v>533</v>
      </c>
      <c r="E534" t="s">
        <v>3438</v>
      </c>
      <c r="F534" t="s">
        <v>3425</v>
      </c>
      <c r="G534" s="3">
        <v>37.616592454069703</v>
      </c>
      <c r="H534" s="3">
        <v>126.535378359685</v>
      </c>
      <c r="I534" t="s">
        <v>4300</v>
      </c>
      <c r="J534" t="s">
        <v>7659</v>
      </c>
      <c r="K534" t="s">
        <v>10791</v>
      </c>
      <c r="L534" t="s">
        <v>3366</v>
      </c>
      <c r="M534" t="s">
        <v>11895</v>
      </c>
      <c r="N534" t="s">
        <v>3365</v>
      </c>
      <c r="O534" t="s">
        <v>3362</v>
      </c>
      <c r="P534" t="s">
        <v>15211</v>
      </c>
      <c r="Q534" t="s">
        <v>15211</v>
      </c>
      <c r="R534" t="s">
        <v>15211</v>
      </c>
      <c r="S534" t="s">
        <v>15211</v>
      </c>
      <c r="T534" t="s">
        <v>3371</v>
      </c>
      <c r="U534" t="s">
        <v>12441</v>
      </c>
      <c r="V534" t="s">
        <v>15229</v>
      </c>
    </row>
    <row r="535" spans="1:22" hidden="1">
      <c r="A535" t="s">
        <v>15387</v>
      </c>
      <c r="B535" t="s">
        <v>15441</v>
      </c>
      <c r="C535" t="s">
        <v>15446</v>
      </c>
      <c r="D535" t="s">
        <v>534</v>
      </c>
      <c r="E535" t="s">
        <v>3436</v>
      </c>
      <c r="F535" t="s">
        <v>3430</v>
      </c>
      <c r="G535" s="3">
        <v>37.616592449789898</v>
      </c>
      <c r="H535" s="3">
        <v>126.53537831975601</v>
      </c>
      <c r="I535" t="s">
        <v>4301</v>
      </c>
      <c r="J535" t="s">
        <v>7660</v>
      </c>
      <c r="K535" t="s">
        <v>10903</v>
      </c>
      <c r="L535" t="s">
        <v>3366</v>
      </c>
      <c r="M535" t="s">
        <v>11895</v>
      </c>
      <c r="N535" t="s">
        <v>3365</v>
      </c>
      <c r="O535" t="s">
        <v>3362</v>
      </c>
      <c r="P535" t="s">
        <v>15211</v>
      </c>
      <c r="Q535" t="s">
        <v>15211</v>
      </c>
      <c r="R535" t="s">
        <v>15211</v>
      </c>
      <c r="S535" t="s">
        <v>15211</v>
      </c>
      <c r="T535" t="s">
        <v>3371</v>
      </c>
      <c r="U535" t="s">
        <v>12443</v>
      </c>
      <c r="V535" t="s">
        <v>15229</v>
      </c>
    </row>
    <row r="536" spans="1:22" hidden="1">
      <c r="A536" t="s">
        <v>15387</v>
      </c>
      <c r="B536" t="s">
        <v>15441</v>
      </c>
      <c r="C536" t="s">
        <v>15446</v>
      </c>
      <c r="D536" t="s">
        <v>535</v>
      </c>
      <c r="E536" t="s">
        <v>3436</v>
      </c>
      <c r="F536" t="s">
        <v>3430</v>
      </c>
      <c r="G536" s="3">
        <v>37.616592462122597</v>
      </c>
      <c r="H536" s="3">
        <v>126.535378310727</v>
      </c>
      <c r="I536" t="s">
        <v>4302</v>
      </c>
      <c r="J536" t="s">
        <v>7661</v>
      </c>
      <c r="K536" t="s">
        <v>10903</v>
      </c>
      <c r="L536" t="s">
        <v>3366</v>
      </c>
      <c r="M536" t="s">
        <v>11895</v>
      </c>
      <c r="N536" t="s">
        <v>3365</v>
      </c>
      <c r="O536" t="s">
        <v>3362</v>
      </c>
      <c r="P536" t="s">
        <v>15211</v>
      </c>
      <c r="Q536" t="s">
        <v>15211</v>
      </c>
      <c r="R536" t="s">
        <v>15211</v>
      </c>
      <c r="S536" t="s">
        <v>15211</v>
      </c>
      <c r="T536" t="s">
        <v>3371</v>
      </c>
      <c r="U536" t="s">
        <v>12444</v>
      </c>
      <c r="V536" t="s">
        <v>15229</v>
      </c>
    </row>
    <row r="537" spans="1:22" hidden="1">
      <c r="A537" t="s">
        <v>15387</v>
      </c>
      <c r="B537" t="s">
        <v>15441</v>
      </c>
      <c r="C537" t="s">
        <v>15447</v>
      </c>
      <c r="D537" t="s">
        <v>536</v>
      </c>
      <c r="E537" t="s">
        <v>3429</v>
      </c>
      <c r="F537" t="s">
        <v>3462</v>
      </c>
      <c r="G537" s="3">
        <v>37.616592548832898</v>
      </c>
      <c r="H537" s="3">
        <v>126.535378355077</v>
      </c>
      <c r="I537" t="s">
        <v>4303</v>
      </c>
      <c r="J537" t="s">
        <v>7662</v>
      </c>
      <c r="K537" t="s">
        <v>10904</v>
      </c>
      <c r="L537" t="s">
        <v>3366</v>
      </c>
      <c r="M537" t="s">
        <v>11900</v>
      </c>
      <c r="N537" t="s">
        <v>3365</v>
      </c>
      <c r="O537" t="s">
        <v>15211</v>
      </c>
      <c r="P537" t="s">
        <v>15211</v>
      </c>
      <c r="Q537" t="s">
        <v>15211</v>
      </c>
      <c r="R537" t="s">
        <v>15211</v>
      </c>
      <c r="S537" t="s">
        <v>15211</v>
      </c>
      <c r="T537" t="s">
        <v>3365</v>
      </c>
      <c r="U537" t="s">
        <v>12445</v>
      </c>
      <c r="V537" t="s">
        <v>15235</v>
      </c>
    </row>
    <row r="538" spans="1:22" hidden="1">
      <c r="A538" t="s">
        <v>15387</v>
      </c>
      <c r="B538" t="s">
        <v>15441</v>
      </c>
      <c r="C538" t="s">
        <v>15447</v>
      </c>
      <c r="D538" t="s">
        <v>537</v>
      </c>
      <c r="E538" t="s">
        <v>3436</v>
      </c>
      <c r="F538" t="s">
        <v>3430</v>
      </c>
      <c r="G538" s="3">
        <v>37.616592487127001</v>
      </c>
      <c r="H538" s="3">
        <v>126.53537831167</v>
      </c>
      <c r="I538" t="s">
        <v>4304</v>
      </c>
      <c r="J538" t="s">
        <v>7663</v>
      </c>
      <c r="K538" t="s">
        <v>10582</v>
      </c>
      <c r="L538" t="s">
        <v>3366</v>
      </c>
      <c r="M538" t="s">
        <v>11900</v>
      </c>
      <c r="N538" t="s">
        <v>3365</v>
      </c>
      <c r="O538" t="s">
        <v>15211</v>
      </c>
      <c r="P538" t="s">
        <v>15211</v>
      </c>
      <c r="Q538" t="s">
        <v>15211</v>
      </c>
      <c r="R538" t="s">
        <v>15211</v>
      </c>
      <c r="S538" t="s">
        <v>15211</v>
      </c>
      <c r="T538" t="s">
        <v>3365</v>
      </c>
      <c r="U538" t="s">
        <v>12446</v>
      </c>
      <c r="V538" t="s">
        <v>15235</v>
      </c>
    </row>
    <row r="539" spans="1:22" hidden="1">
      <c r="A539" t="s">
        <v>15387</v>
      </c>
      <c r="B539" t="s">
        <v>15441</v>
      </c>
      <c r="C539" t="s">
        <v>15447</v>
      </c>
      <c r="D539" t="s">
        <v>538</v>
      </c>
      <c r="E539" t="s">
        <v>3427</v>
      </c>
      <c r="F539" t="s">
        <v>3434</v>
      </c>
      <c r="G539" s="3">
        <v>37.6165924777033</v>
      </c>
      <c r="H539" s="3">
        <v>126.535378289131</v>
      </c>
      <c r="I539" t="s">
        <v>4305</v>
      </c>
      <c r="J539" t="s">
        <v>7664</v>
      </c>
      <c r="K539" t="s">
        <v>10905</v>
      </c>
      <c r="L539" t="s">
        <v>3366</v>
      </c>
      <c r="M539" t="s">
        <v>11900</v>
      </c>
      <c r="N539" t="s">
        <v>3365</v>
      </c>
      <c r="O539" t="s">
        <v>15211</v>
      </c>
      <c r="P539" t="s">
        <v>15211</v>
      </c>
      <c r="Q539" t="s">
        <v>15211</v>
      </c>
      <c r="R539" t="s">
        <v>15211</v>
      </c>
      <c r="S539" t="s">
        <v>15211</v>
      </c>
      <c r="T539" t="s">
        <v>3365</v>
      </c>
      <c r="U539" t="s">
        <v>12447</v>
      </c>
      <c r="V539" t="s">
        <v>15235</v>
      </c>
    </row>
    <row r="540" spans="1:22" hidden="1">
      <c r="A540" t="s">
        <v>15387</v>
      </c>
      <c r="B540" t="s">
        <v>15441</v>
      </c>
      <c r="C540" t="s">
        <v>15448</v>
      </c>
      <c r="D540" t="s">
        <v>539</v>
      </c>
      <c r="E540" t="s">
        <v>3435</v>
      </c>
      <c r="F540" t="s">
        <v>3449</v>
      </c>
      <c r="G540" s="3">
        <v>37.616592606747197</v>
      </c>
      <c r="H540" s="3">
        <v>126.535378320235</v>
      </c>
      <c r="I540" t="s">
        <v>4306</v>
      </c>
      <c r="J540" t="s">
        <v>7665</v>
      </c>
      <c r="K540" t="s">
        <v>10906</v>
      </c>
      <c r="L540" t="s">
        <v>3366</v>
      </c>
      <c r="M540" t="s">
        <v>11911</v>
      </c>
      <c r="N540" t="s">
        <v>3365</v>
      </c>
      <c r="O540" t="s">
        <v>3362</v>
      </c>
      <c r="P540" t="s">
        <v>3365</v>
      </c>
      <c r="Q540" t="s">
        <v>3359</v>
      </c>
      <c r="R540" t="s">
        <v>3358</v>
      </c>
      <c r="S540" t="s">
        <v>15211</v>
      </c>
      <c r="T540" t="s">
        <v>3385</v>
      </c>
      <c r="U540" t="s">
        <v>12448</v>
      </c>
      <c r="V540" t="s">
        <v>15230</v>
      </c>
    </row>
    <row r="541" spans="1:22" hidden="1">
      <c r="A541" t="s">
        <v>15387</v>
      </c>
      <c r="B541" t="s">
        <v>15441</v>
      </c>
      <c r="C541" t="s">
        <v>15448</v>
      </c>
      <c r="D541" t="s">
        <v>540</v>
      </c>
      <c r="E541" t="s">
        <v>3430</v>
      </c>
      <c r="F541" t="s">
        <v>3484</v>
      </c>
      <c r="G541" s="3">
        <v>37.616592596382603</v>
      </c>
      <c r="H541" s="3">
        <v>126.53537831956901</v>
      </c>
      <c r="I541" t="s">
        <v>4307</v>
      </c>
      <c r="J541" t="s">
        <v>7666</v>
      </c>
      <c r="K541" t="s">
        <v>10907</v>
      </c>
      <c r="L541" t="s">
        <v>3366</v>
      </c>
      <c r="M541" t="s">
        <v>11911</v>
      </c>
      <c r="N541" t="s">
        <v>3365</v>
      </c>
      <c r="O541" t="s">
        <v>3362</v>
      </c>
      <c r="P541" t="s">
        <v>3365</v>
      </c>
      <c r="Q541" t="s">
        <v>3359</v>
      </c>
      <c r="R541" t="s">
        <v>3358</v>
      </c>
      <c r="S541" t="s">
        <v>15211</v>
      </c>
      <c r="T541" t="s">
        <v>3385</v>
      </c>
      <c r="U541" t="s">
        <v>12449</v>
      </c>
      <c r="V541" t="s">
        <v>15230</v>
      </c>
    </row>
    <row r="542" spans="1:22" hidden="1">
      <c r="A542" t="s">
        <v>15387</v>
      </c>
      <c r="B542" t="s">
        <v>15441</v>
      </c>
      <c r="C542" t="s">
        <v>15448</v>
      </c>
      <c r="D542" t="s">
        <v>541</v>
      </c>
      <c r="E542" t="s">
        <v>3442</v>
      </c>
      <c r="F542" t="s">
        <v>3478</v>
      </c>
      <c r="G542" s="3">
        <v>37.616592629641403</v>
      </c>
      <c r="H542" s="3">
        <v>126.535378335695</v>
      </c>
      <c r="I542" t="s">
        <v>4308</v>
      </c>
      <c r="J542" t="s">
        <v>7667</v>
      </c>
      <c r="K542" t="s">
        <v>10908</v>
      </c>
      <c r="L542" t="s">
        <v>3366</v>
      </c>
      <c r="M542" t="s">
        <v>11907</v>
      </c>
      <c r="N542" t="s">
        <v>3365</v>
      </c>
      <c r="O542" t="s">
        <v>3362</v>
      </c>
      <c r="P542" t="s">
        <v>3365</v>
      </c>
      <c r="Q542" t="s">
        <v>3359</v>
      </c>
      <c r="R542" t="s">
        <v>3358</v>
      </c>
      <c r="S542" t="s">
        <v>15211</v>
      </c>
      <c r="T542" t="s">
        <v>3385</v>
      </c>
      <c r="U542" t="s">
        <v>12450</v>
      </c>
      <c r="V542" t="s">
        <v>15230</v>
      </c>
    </row>
    <row r="543" spans="1:22" hidden="1">
      <c r="A543" t="s">
        <v>15387</v>
      </c>
      <c r="B543" t="s">
        <v>15441</v>
      </c>
      <c r="C543" t="s">
        <v>15449</v>
      </c>
      <c r="D543" t="s">
        <v>542</v>
      </c>
      <c r="E543" t="s">
        <v>3436</v>
      </c>
      <c r="F543" t="s">
        <v>3453</v>
      </c>
      <c r="G543" s="3">
        <v>37.616592562377498</v>
      </c>
      <c r="H543" s="3">
        <v>126.535378337807</v>
      </c>
      <c r="I543" t="s">
        <v>4309</v>
      </c>
      <c r="J543" t="s">
        <v>7668</v>
      </c>
      <c r="K543" t="s">
        <v>10909</v>
      </c>
      <c r="L543" t="s">
        <v>3367</v>
      </c>
      <c r="M543" t="s">
        <v>11913</v>
      </c>
      <c r="N543" t="s">
        <v>3365</v>
      </c>
      <c r="O543" t="s">
        <v>3362</v>
      </c>
      <c r="P543" t="s">
        <v>3365</v>
      </c>
      <c r="Q543" t="s">
        <v>3360</v>
      </c>
      <c r="R543" t="s">
        <v>3357</v>
      </c>
      <c r="S543" t="s">
        <v>15211</v>
      </c>
      <c r="T543" t="s">
        <v>3385</v>
      </c>
      <c r="U543" t="s">
        <v>12451</v>
      </c>
      <c r="V543" t="s">
        <v>15231</v>
      </c>
    </row>
    <row r="544" spans="1:22" hidden="1">
      <c r="A544" t="s">
        <v>15387</v>
      </c>
      <c r="B544" t="s">
        <v>15441</v>
      </c>
      <c r="C544" t="s">
        <v>15449</v>
      </c>
      <c r="D544" t="s">
        <v>543</v>
      </c>
      <c r="E544" t="s">
        <v>3425</v>
      </c>
      <c r="F544" t="s">
        <v>3432</v>
      </c>
      <c r="G544" s="3">
        <v>37.616592560919699</v>
      </c>
      <c r="H544" s="3">
        <v>126.535378340835</v>
      </c>
      <c r="I544" t="s">
        <v>4310</v>
      </c>
      <c r="J544" t="s">
        <v>7669</v>
      </c>
      <c r="K544" t="s">
        <v>10909</v>
      </c>
      <c r="L544" t="s">
        <v>3366</v>
      </c>
      <c r="M544" t="s">
        <v>11913</v>
      </c>
      <c r="N544" t="s">
        <v>3365</v>
      </c>
      <c r="O544" t="s">
        <v>3362</v>
      </c>
      <c r="P544" t="s">
        <v>3366</v>
      </c>
      <c r="Q544" t="s">
        <v>3360</v>
      </c>
      <c r="R544" t="s">
        <v>3358</v>
      </c>
      <c r="S544" t="s">
        <v>15211</v>
      </c>
      <c r="T544" t="s">
        <v>3387</v>
      </c>
      <c r="U544" t="s">
        <v>12452</v>
      </c>
      <c r="V544" t="s">
        <v>15231</v>
      </c>
    </row>
    <row r="545" spans="1:22" hidden="1">
      <c r="A545" t="s">
        <v>15387</v>
      </c>
      <c r="B545" t="s">
        <v>15441</v>
      </c>
      <c r="C545" t="s">
        <v>15449</v>
      </c>
      <c r="D545" t="s">
        <v>544</v>
      </c>
      <c r="E545" t="s">
        <v>3425</v>
      </c>
      <c r="F545" t="s">
        <v>3432</v>
      </c>
      <c r="G545" s="3">
        <v>37.616592565420298</v>
      </c>
      <c r="H545" s="3">
        <v>126.535378332389</v>
      </c>
      <c r="I545" t="s">
        <v>4311</v>
      </c>
      <c r="J545" t="s">
        <v>7670</v>
      </c>
      <c r="K545" t="s">
        <v>10910</v>
      </c>
      <c r="L545" t="s">
        <v>3366</v>
      </c>
      <c r="M545" t="s">
        <v>11907</v>
      </c>
      <c r="N545" t="s">
        <v>3365</v>
      </c>
      <c r="O545" t="s">
        <v>3362</v>
      </c>
      <c r="P545" t="s">
        <v>3366</v>
      </c>
      <c r="Q545" t="s">
        <v>3359</v>
      </c>
      <c r="R545" t="s">
        <v>3358</v>
      </c>
      <c r="S545" t="s">
        <v>15211</v>
      </c>
      <c r="T545" t="s">
        <v>3386</v>
      </c>
      <c r="U545" t="s">
        <v>12444</v>
      </c>
      <c r="V545" t="s">
        <v>15231</v>
      </c>
    </row>
    <row r="546" spans="1:22" hidden="1">
      <c r="A546" t="s">
        <v>15387</v>
      </c>
      <c r="B546" t="s">
        <v>15442</v>
      </c>
      <c r="C546" t="s">
        <v>15450</v>
      </c>
      <c r="D546" t="s">
        <v>545</v>
      </c>
      <c r="E546" t="s">
        <v>3435</v>
      </c>
      <c r="F546" t="s">
        <v>3461</v>
      </c>
      <c r="G546" s="3">
        <v>37.616592570599302</v>
      </c>
      <c r="H546" s="3">
        <v>126.535378433996</v>
      </c>
      <c r="I546" t="s">
        <v>4312</v>
      </c>
      <c r="J546" t="s">
        <v>7671</v>
      </c>
      <c r="K546" t="s">
        <v>10735</v>
      </c>
      <c r="L546" t="s">
        <v>3366</v>
      </c>
      <c r="M546" t="s">
        <v>11895</v>
      </c>
      <c r="N546" t="s">
        <v>3365</v>
      </c>
      <c r="O546" t="s">
        <v>3362</v>
      </c>
      <c r="P546" t="s">
        <v>15211</v>
      </c>
      <c r="Q546" t="s">
        <v>15211</v>
      </c>
      <c r="R546" t="s">
        <v>15211</v>
      </c>
      <c r="S546" t="s">
        <v>15211</v>
      </c>
      <c r="T546" t="s">
        <v>3371</v>
      </c>
      <c r="U546" t="s">
        <v>12453</v>
      </c>
      <c r="V546" t="s">
        <v>15232</v>
      </c>
    </row>
    <row r="547" spans="1:22" hidden="1">
      <c r="A547" t="s">
        <v>15387</v>
      </c>
      <c r="B547" t="s">
        <v>15442</v>
      </c>
      <c r="C547" t="s">
        <v>15450</v>
      </c>
      <c r="D547" t="s">
        <v>546</v>
      </c>
      <c r="E547" t="s">
        <v>3435</v>
      </c>
      <c r="F547" t="s">
        <v>3452</v>
      </c>
      <c r="G547" s="3">
        <v>37.616592545088601</v>
      </c>
      <c r="H547" s="3">
        <v>126.535378407373</v>
      </c>
      <c r="I547" t="s">
        <v>4313</v>
      </c>
      <c r="J547" t="s">
        <v>7672</v>
      </c>
      <c r="K547" t="s">
        <v>10670</v>
      </c>
      <c r="L547" t="s">
        <v>3366</v>
      </c>
      <c r="M547" t="s">
        <v>11895</v>
      </c>
      <c r="N547" t="s">
        <v>3365</v>
      </c>
      <c r="O547" t="s">
        <v>3362</v>
      </c>
      <c r="P547" t="s">
        <v>15211</v>
      </c>
      <c r="Q547" t="s">
        <v>15211</v>
      </c>
      <c r="R547" t="s">
        <v>15211</v>
      </c>
      <c r="S547" t="s">
        <v>15211</v>
      </c>
      <c r="T547" t="s">
        <v>3371</v>
      </c>
      <c r="U547" t="s">
        <v>12454</v>
      </c>
      <c r="V547" t="s">
        <v>15232</v>
      </c>
    </row>
    <row r="548" spans="1:22" hidden="1">
      <c r="A548" t="s">
        <v>15387</v>
      </c>
      <c r="B548" t="s">
        <v>15442</v>
      </c>
      <c r="C548" t="s">
        <v>15450</v>
      </c>
      <c r="D548" t="s">
        <v>547</v>
      </c>
      <c r="E548" t="s">
        <v>3434</v>
      </c>
      <c r="F548" t="s">
        <v>3433</v>
      </c>
      <c r="G548" s="3">
        <v>37.616592554583697</v>
      </c>
      <c r="H548" s="3">
        <v>126.535378409309</v>
      </c>
      <c r="I548" t="s">
        <v>4314</v>
      </c>
      <c r="J548" t="s">
        <v>7673</v>
      </c>
      <c r="K548" t="s">
        <v>10670</v>
      </c>
      <c r="L548" t="s">
        <v>3366</v>
      </c>
      <c r="M548" t="s">
        <v>11895</v>
      </c>
      <c r="N548" t="s">
        <v>3365</v>
      </c>
      <c r="O548" t="s">
        <v>3362</v>
      </c>
      <c r="P548" t="s">
        <v>15211</v>
      </c>
      <c r="Q548" t="s">
        <v>15211</v>
      </c>
      <c r="R548" t="s">
        <v>15211</v>
      </c>
      <c r="S548" t="s">
        <v>15211</v>
      </c>
      <c r="T548" t="s">
        <v>3371</v>
      </c>
      <c r="U548" t="s">
        <v>12455</v>
      </c>
      <c r="V548" t="s">
        <v>15232</v>
      </c>
    </row>
    <row r="549" spans="1:22" hidden="1">
      <c r="A549" t="s">
        <v>15387</v>
      </c>
      <c r="B549" t="s">
        <v>15442</v>
      </c>
      <c r="C549" t="s">
        <v>15445</v>
      </c>
      <c r="D549" t="s">
        <v>548</v>
      </c>
      <c r="E549" t="s">
        <v>3440</v>
      </c>
      <c r="F549" t="s">
        <v>3425</v>
      </c>
      <c r="G549" s="3">
        <v>37.6165924992982</v>
      </c>
      <c r="H549" s="3">
        <v>126.53537834821999</v>
      </c>
      <c r="I549" t="s">
        <v>4315</v>
      </c>
      <c r="J549" t="s">
        <v>7674</v>
      </c>
      <c r="K549" t="s">
        <v>10911</v>
      </c>
      <c r="L549" t="s">
        <v>3367</v>
      </c>
      <c r="M549" t="s">
        <v>11895</v>
      </c>
      <c r="N549" t="s">
        <v>3365</v>
      </c>
      <c r="O549" t="s">
        <v>3362</v>
      </c>
      <c r="P549" t="s">
        <v>15211</v>
      </c>
      <c r="Q549" t="s">
        <v>15211</v>
      </c>
      <c r="R549" t="s">
        <v>15211</v>
      </c>
      <c r="S549" t="s">
        <v>15211</v>
      </c>
      <c r="T549" t="s">
        <v>3371</v>
      </c>
      <c r="U549" t="s">
        <v>12456</v>
      </c>
      <c r="V549" t="s">
        <v>15233</v>
      </c>
    </row>
    <row r="550" spans="1:22" hidden="1">
      <c r="A550" t="s">
        <v>15387</v>
      </c>
      <c r="B550" t="s">
        <v>15442</v>
      </c>
      <c r="C550" t="s">
        <v>15445</v>
      </c>
      <c r="D550" t="s">
        <v>549</v>
      </c>
      <c r="E550" t="s">
        <v>3438</v>
      </c>
      <c r="F550" t="s">
        <v>3431</v>
      </c>
      <c r="G550" s="3">
        <v>37.6165925111764</v>
      </c>
      <c r="H550" s="3">
        <v>126.535378345851</v>
      </c>
      <c r="I550" t="s">
        <v>4316</v>
      </c>
      <c r="J550" t="s">
        <v>7675</v>
      </c>
      <c r="K550" t="s">
        <v>10912</v>
      </c>
      <c r="L550" t="s">
        <v>3366</v>
      </c>
      <c r="M550" t="s">
        <v>11894</v>
      </c>
      <c r="N550" t="s">
        <v>3364</v>
      </c>
      <c r="O550" t="s">
        <v>3362</v>
      </c>
      <c r="P550" t="s">
        <v>15211</v>
      </c>
      <c r="Q550" t="s">
        <v>15211</v>
      </c>
      <c r="R550" t="s">
        <v>15211</v>
      </c>
      <c r="S550" t="s">
        <v>15211</v>
      </c>
      <c r="T550" t="s">
        <v>3370</v>
      </c>
      <c r="U550" t="s">
        <v>12457</v>
      </c>
      <c r="V550" t="s">
        <v>15233</v>
      </c>
    </row>
    <row r="551" spans="1:22" hidden="1">
      <c r="A551" t="s">
        <v>15387</v>
      </c>
      <c r="B551" t="s">
        <v>15442</v>
      </c>
      <c r="C551" t="s">
        <v>15445</v>
      </c>
      <c r="D551" t="s">
        <v>550</v>
      </c>
      <c r="E551" t="s">
        <v>3440</v>
      </c>
      <c r="F551" t="s">
        <v>3425</v>
      </c>
      <c r="G551" s="3">
        <v>37.616592471283603</v>
      </c>
      <c r="H551" s="3">
        <v>126.535378341607</v>
      </c>
      <c r="I551" t="s">
        <v>4317</v>
      </c>
      <c r="J551" t="s">
        <v>7676</v>
      </c>
      <c r="K551" t="s">
        <v>10894</v>
      </c>
      <c r="L551" t="s">
        <v>3366</v>
      </c>
      <c r="M551" t="s">
        <v>11895</v>
      </c>
      <c r="N551" t="s">
        <v>3365</v>
      </c>
      <c r="O551" t="s">
        <v>3362</v>
      </c>
      <c r="P551" t="s">
        <v>15211</v>
      </c>
      <c r="Q551" t="s">
        <v>15211</v>
      </c>
      <c r="R551" t="s">
        <v>15211</v>
      </c>
      <c r="S551" t="s">
        <v>15211</v>
      </c>
      <c r="T551" t="s">
        <v>3371</v>
      </c>
      <c r="U551" t="s">
        <v>12458</v>
      </c>
      <c r="V551" t="s">
        <v>15233</v>
      </c>
    </row>
    <row r="552" spans="1:22" hidden="1">
      <c r="A552" t="s">
        <v>15387</v>
      </c>
      <c r="B552" t="s">
        <v>15442</v>
      </c>
      <c r="C552" t="s">
        <v>15451</v>
      </c>
      <c r="D552" t="s">
        <v>551</v>
      </c>
      <c r="E552" t="s">
        <v>3437</v>
      </c>
      <c r="F552" t="s">
        <v>3436</v>
      </c>
      <c r="G552" s="3">
        <v>37.616592434430302</v>
      </c>
      <c r="H552" s="3">
        <v>126.535378324604</v>
      </c>
      <c r="I552" t="s">
        <v>4318</v>
      </c>
      <c r="J552" t="s">
        <v>7677</v>
      </c>
      <c r="K552" t="s">
        <v>10913</v>
      </c>
      <c r="L552" t="s">
        <v>3366</v>
      </c>
      <c r="M552" t="s">
        <v>11910</v>
      </c>
      <c r="N552" t="s">
        <v>3365</v>
      </c>
      <c r="O552" t="s">
        <v>3362</v>
      </c>
      <c r="P552" t="s">
        <v>3366</v>
      </c>
      <c r="Q552" t="s">
        <v>3359</v>
      </c>
      <c r="R552" t="s">
        <v>15211</v>
      </c>
      <c r="S552" t="s">
        <v>15211</v>
      </c>
      <c r="T552" t="s">
        <v>3384</v>
      </c>
      <c r="U552" t="s">
        <v>12459</v>
      </c>
      <c r="V552" t="s">
        <v>15234</v>
      </c>
    </row>
    <row r="553" spans="1:22" hidden="1">
      <c r="A553" t="s">
        <v>15387</v>
      </c>
      <c r="B553" t="s">
        <v>15442</v>
      </c>
      <c r="C553" t="s">
        <v>15451</v>
      </c>
      <c r="D553" t="s">
        <v>552</v>
      </c>
      <c r="E553" t="s">
        <v>3440</v>
      </c>
      <c r="F553" t="s">
        <v>3431</v>
      </c>
      <c r="G553" s="3">
        <v>37.616592416425704</v>
      </c>
      <c r="H553" s="3">
        <v>126.535378295505</v>
      </c>
      <c r="I553" t="s">
        <v>4319</v>
      </c>
      <c r="J553" t="s">
        <v>7678</v>
      </c>
      <c r="K553" t="s">
        <v>10914</v>
      </c>
      <c r="L553" t="s">
        <v>3366</v>
      </c>
      <c r="M553" t="s">
        <v>11910</v>
      </c>
      <c r="N553" t="s">
        <v>3365</v>
      </c>
      <c r="O553" t="s">
        <v>3362</v>
      </c>
      <c r="P553" t="s">
        <v>3366</v>
      </c>
      <c r="Q553" t="s">
        <v>3359</v>
      </c>
      <c r="R553" t="s">
        <v>15211</v>
      </c>
      <c r="S553" t="s">
        <v>15211</v>
      </c>
      <c r="T553" t="s">
        <v>3384</v>
      </c>
      <c r="U553" t="s">
        <v>12460</v>
      </c>
      <c r="V553" t="s">
        <v>15234</v>
      </c>
    </row>
    <row r="554" spans="1:22" hidden="1">
      <c r="A554" t="s">
        <v>15387</v>
      </c>
      <c r="B554" t="s">
        <v>15442</v>
      </c>
      <c r="C554" t="s">
        <v>15451</v>
      </c>
      <c r="D554" t="s">
        <v>553</v>
      </c>
      <c r="E554" t="s">
        <v>3438</v>
      </c>
      <c r="F554" t="s">
        <v>3434</v>
      </c>
      <c r="G554" s="3">
        <v>37.6165924236454</v>
      </c>
      <c r="H554" s="3">
        <v>126.53537827915299</v>
      </c>
      <c r="I554" t="s">
        <v>4320</v>
      </c>
      <c r="J554" t="s">
        <v>7679</v>
      </c>
      <c r="K554" t="s">
        <v>3619</v>
      </c>
      <c r="L554" t="s">
        <v>3366</v>
      </c>
      <c r="M554" t="s">
        <v>11911</v>
      </c>
      <c r="N554" t="s">
        <v>3365</v>
      </c>
      <c r="O554" t="s">
        <v>3362</v>
      </c>
      <c r="P554" t="s">
        <v>3366</v>
      </c>
      <c r="Q554" t="s">
        <v>3360</v>
      </c>
      <c r="R554" t="s">
        <v>15211</v>
      </c>
      <c r="S554" t="s">
        <v>15211</v>
      </c>
      <c r="T554" t="s">
        <v>3385</v>
      </c>
      <c r="U554" t="s">
        <v>12461</v>
      </c>
      <c r="V554" t="s">
        <v>15234</v>
      </c>
    </row>
    <row r="555" spans="1:22" hidden="1">
      <c r="A555" t="s">
        <v>15388</v>
      </c>
      <c r="B555" t="s">
        <v>15441</v>
      </c>
      <c r="C555" t="s">
        <v>15445</v>
      </c>
      <c r="D555" t="s">
        <v>554</v>
      </c>
      <c r="E555" t="s">
        <v>3437</v>
      </c>
      <c r="F555" t="s">
        <v>3431</v>
      </c>
      <c r="G555" s="3">
        <v>37.344951203983001</v>
      </c>
      <c r="H555" s="3">
        <v>126.692151219593</v>
      </c>
      <c r="I555" t="s">
        <v>4321</v>
      </c>
      <c r="J555" t="s">
        <v>7680</v>
      </c>
      <c r="K555" t="s">
        <v>10915</v>
      </c>
      <c r="L555" t="s">
        <v>3366</v>
      </c>
      <c r="M555" t="s">
        <v>11902</v>
      </c>
      <c r="N555" t="s">
        <v>3362</v>
      </c>
      <c r="O555" t="s">
        <v>3360</v>
      </c>
      <c r="P555" t="s">
        <v>15211</v>
      </c>
      <c r="Q555" t="s">
        <v>15211</v>
      </c>
      <c r="R555" t="s">
        <v>15211</v>
      </c>
      <c r="S555" t="s">
        <v>15211</v>
      </c>
      <c r="T555" t="s">
        <v>3366</v>
      </c>
      <c r="U555" t="s">
        <v>12462</v>
      </c>
      <c r="V555" t="s">
        <v>15228</v>
      </c>
    </row>
    <row r="556" spans="1:22" hidden="1">
      <c r="A556" t="s">
        <v>15388</v>
      </c>
      <c r="B556" t="s">
        <v>15441</v>
      </c>
      <c r="C556" t="s">
        <v>15445</v>
      </c>
      <c r="D556" t="s">
        <v>555</v>
      </c>
      <c r="E556" t="s">
        <v>3440</v>
      </c>
      <c r="F556" t="s">
        <v>3434</v>
      </c>
      <c r="G556" s="3">
        <v>37.344951227201499</v>
      </c>
      <c r="H556" s="3">
        <v>126.69215126869599</v>
      </c>
      <c r="I556" t="s">
        <v>4322</v>
      </c>
      <c r="J556" t="s">
        <v>7681</v>
      </c>
      <c r="K556" t="s">
        <v>10915</v>
      </c>
      <c r="L556" t="s">
        <v>3366</v>
      </c>
      <c r="M556" t="s">
        <v>11902</v>
      </c>
      <c r="N556" t="s">
        <v>3362</v>
      </c>
      <c r="O556" t="s">
        <v>3360</v>
      </c>
      <c r="P556" t="s">
        <v>15211</v>
      </c>
      <c r="Q556" t="s">
        <v>15211</v>
      </c>
      <c r="R556" t="s">
        <v>15211</v>
      </c>
      <c r="S556" t="s">
        <v>15211</v>
      </c>
      <c r="T556" t="s">
        <v>3366</v>
      </c>
      <c r="U556" t="s">
        <v>12463</v>
      </c>
      <c r="V556" t="s">
        <v>15228</v>
      </c>
    </row>
    <row r="557" spans="1:22" hidden="1">
      <c r="A557" t="s">
        <v>15388</v>
      </c>
      <c r="B557" t="s">
        <v>15441</v>
      </c>
      <c r="C557" t="s">
        <v>15445</v>
      </c>
      <c r="D557" t="s">
        <v>556</v>
      </c>
      <c r="E557" t="s">
        <v>3437</v>
      </c>
      <c r="F557" t="s">
        <v>3431</v>
      </c>
      <c r="G557" s="3">
        <v>37.344951223889097</v>
      </c>
      <c r="H557" s="3">
        <v>126.692151281976</v>
      </c>
      <c r="I557" t="s">
        <v>4323</v>
      </c>
      <c r="J557" t="s">
        <v>7682</v>
      </c>
      <c r="K557" t="s">
        <v>10916</v>
      </c>
      <c r="L557" t="s">
        <v>3366</v>
      </c>
      <c r="M557" t="s">
        <v>11902</v>
      </c>
      <c r="N557" t="s">
        <v>3362</v>
      </c>
      <c r="O557" t="s">
        <v>3360</v>
      </c>
      <c r="P557" t="s">
        <v>15211</v>
      </c>
      <c r="Q557" t="s">
        <v>15211</v>
      </c>
      <c r="R557" t="s">
        <v>15211</v>
      </c>
      <c r="S557" t="s">
        <v>15211</v>
      </c>
      <c r="T557" t="s">
        <v>3366</v>
      </c>
      <c r="U557" t="s">
        <v>12464</v>
      </c>
      <c r="V557" t="s">
        <v>15228</v>
      </c>
    </row>
    <row r="558" spans="1:22" hidden="1">
      <c r="A558" t="s">
        <v>15388</v>
      </c>
      <c r="B558" t="s">
        <v>15441</v>
      </c>
      <c r="C558" t="s">
        <v>15446</v>
      </c>
      <c r="D558" t="s">
        <v>557</v>
      </c>
      <c r="E558" t="s">
        <v>3427</v>
      </c>
      <c r="F558" t="s">
        <v>3442</v>
      </c>
      <c r="G558" s="3">
        <v>37.3449512210425</v>
      </c>
      <c r="H558" s="3">
        <v>126.692151249289</v>
      </c>
      <c r="I558" t="s">
        <v>4324</v>
      </c>
      <c r="J558" t="s">
        <v>7683</v>
      </c>
      <c r="K558" t="s">
        <v>10917</v>
      </c>
      <c r="L558" t="s">
        <v>3366</v>
      </c>
      <c r="M558" t="s">
        <v>11902</v>
      </c>
      <c r="N558" t="s">
        <v>3362</v>
      </c>
      <c r="O558" t="s">
        <v>3360</v>
      </c>
      <c r="P558" t="s">
        <v>15211</v>
      </c>
      <c r="Q558" t="s">
        <v>15211</v>
      </c>
      <c r="R558" t="s">
        <v>15211</v>
      </c>
      <c r="S558" t="s">
        <v>15211</v>
      </c>
      <c r="T558" t="s">
        <v>3366</v>
      </c>
      <c r="U558" t="s">
        <v>12465</v>
      </c>
      <c r="V558" t="s">
        <v>15229</v>
      </c>
    </row>
    <row r="559" spans="1:22" hidden="1">
      <c r="A559" t="s">
        <v>15388</v>
      </c>
      <c r="B559" t="s">
        <v>15441</v>
      </c>
      <c r="C559" t="s">
        <v>15446</v>
      </c>
      <c r="D559" t="s">
        <v>558</v>
      </c>
      <c r="E559" t="s">
        <v>3440</v>
      </c>
      <c r="F559" t="s">
        <v>3434</v>
      </c>
      <c r="G559" s="3">
        <v>37.344951218863997</v>
      </c>
      <c r="H559" s="3">
        <v>126.69215128527399</v>
      </c>
      <c r="I559" t="s">
        <v>4325</v>
      </c>
      <c r="J559" t="s">
        <v>7684</v>
      </c>
      <c r="K559" t="s">
        <v>10918</v>
      </c>
      <c r="L559" t="s">
        <v>3366</v>
      </c>
      <c r="M559" t="s">
        <v>11902</v>
      </c>
      <c r="N559" t="s">
        <v>3362</v>
      </c>
      <c r="O559" t="s">
        <v>3360</v>
      </c>
      <c r="P559" t="s">
        <v>15211</v>
      </c>
      <c r="Q559" t="s">
        <v>15211</v>
      </c>
      <c r="R559" t="s">
        <v>15211</v>
      </c>
      <c r="S559" t="s">
        <v>15211</v>
      </c>
      <c r="T559" t="s">
        <v>3366</v>
      </c>
      <c r="U559" t="s">
        <v>12466</v>
      </c>
      <c r="V559" t="s">
        <v>15229</v>
      </c>
    </row>
    <row r="560" spans="1:22" hidden="1">
      <c r="A560" t="s">
        <v>15388</v>
      </c>
      <c r="B560" t="s">
        <v>15441</v>
      </c>
      <c r="C560" t="s">
        <v>15446</v>
      </c>
      <c r="D560" t="s">
        <v>559</v>
      </c>
      <c r="E560" t="s">
        <v>3437</v>
      </c>
      <c r="F560" t="s">
        <v>3431</v>
      </c>
      <c r="G560" s="3">
        <v>37.344951224240297</v>
      </c>
      <c r="H560" s="3">
        <v>126.692151297246</v>
      </c>
      <c r="I560" t="s">
        <v>4326</v>
      </c>
      <c r="J560" t="s">
        <v>7685</v>
      </c>
      <c r="K560" t="s">
        <v>10919</v>
      </c>
      <c r="L560" t="s">
        <v>3366</v>
      </c>
      <c r="M560" t="s">
        <v>11902</v>
      </c>
      <c r="N560" t="s">
        <v>3362</v>
      </c>
      <c r="O560" t="s">
        <v>3360</v>
      </c>
      <c r="P560" t="s">
        <v>15211</v>
      </c>
      <c r="Q560" t="s">
        <v>15211</v>
      </c>
      <c r="R560" t="s">
        <v>15211</v>
      </c>
      <c r="S560" t="s">
        <v>15211</v>
      </c>
      <c r="T560" t="s">
        <v>3366</v>
      </c>
      <c r="U560" t="s">
        <v>12467</v>
      </c>
      <c r="V560" t="s">
        <v>15229</v>
      </c>
    </row>
    <row r="561" spans="1:22" hidden="1">
      <c r="A561" t="s">
        <v>15388</v>
      </c>
      <c r="B561" t="s">
        <v>15441</v>
      </c>
      <c r="C561" t="s">
        <v>15447</v>
      </c>
      <c r="D561" t="s">
        <v>560</v>
      </c>
      <c r="E561" t="s">
        <v>3436</v>
      </c>
      <c r="F561" t="s">
        <v>3433</v>
      </c>
      <c r="G561" s="3">
        <v>37.344951271361502</v>
      </c>
      <c r="H561" s="3">
        <v>126.692151399102</v>
      </c>
      <c r="I561" t="s">
        <v>4327</v>
      </c>
      <c r="J561" t="s">
        <v>7686</v>
      </c>
      <c r="K561" t="s">
        <v>10920</v>
      </c>
      <c r="L561" t="s">
        <v>3366</v>
      </c>
      <c r="M561" t="s">
        <v>11909</v>
      </c>
      <c r="N561" t="s">
        <v>3362</v>
      </c>
      <c r="O561" t="s">
        <v>15211</v>
      </c>
      <c r="P561" t="s">
        <v>15211</v>
      </c>
      <c r="Q561" t="s">
        <v>15211</v>
      </c>
      <c r="R561" t="s">
        <v>15211</v>
      </c>
      <c r="S561" t="s">
        <v>15211</v>
      </c>
      <c r="T561" t="s">
        <v>3362</v>
      </c>
      <c r="U561" t="s">
        <v>12468</v>
      </c>
      <c r="V561" t="s">
        <v>15235</v>
      </c>
    </row>
    <row r="562" spans="1:22" hidden="1">
      <c r="A562" t="s">
        <v>15388</v>
      </c>
      <c r="B562" t="s">
        <v>15441</v>
      </c>
      <c r="C562" t="s">
        <v>15447</v>
      </c>
      <c r="D562" t="s">
        <v>561</v>
      </c>
      <c r="E562" t="s">
        <v>3428</v>
      </c>
      <c r="F562" t="s">
        <v>3450</v>
      </c>
      <c r="G562" s="3">
        <v>37.344951283561201</v>
      </c>
      <c r="H562" s="3">
        <v>126.692151391332</v>
      </c>
      <c r="I562" t="s">
        <v>4328</v>
      </c>
      <c r="J562" t="s">
        <v>7687</v>
      </c>
      <c r="K562" t="s">
        <v>10921</v>
      </c>
      <c r="L562" t="s">
        <v>3372</v>
      </c>
      <c r="M562" t="s">
        <v>11915</v>
      </c>
      <c r="N562" t="s">
        <v>3361</v>
      </c>
      <c r="O562" t="s">
        <v>15211</v>
      </c>
      <c r="P562" t="s">
        <v>15211</v>
      </c>
      <c r="Q562" t="s">
        <v>15211</v>
      </c>
      <c r="R562" t="s">
        <v>15211</v>
      </c>
      <c r="S562" t="s">
        <v>15211</v>
      </c>
      <c r="T562" t="s">
        <v>3361</v>
      </c>
      <c r="U562" t="s">
        <v>12469</v>
      </c>
      <c r="V562" t="s">
        <v>15235</v>
      </c>
    </row>
    <row r="563" spans="1:22" hidden="1">
      <c r="A563" t="s">
        <v>15388</v>
      </c>
      <c r="B563" t="s">
        <v>15441</v>
      </c>
      <c r="C563" t="s">
        <v>15447</v>
      </c>
      <c r="D563" t="s">
        <v>562</v>
      </c>
      <c r="E563" t="s">
        <v>3428</v>
      </c>
      <c r="F563" t="s">
        <v>3463</v>
      </c>
      <c r="G563" s="3">
        <v>37.344951221448497</v>
      </c>
      <c r="H563" s="3">
        <v>126.692151337993</v>
      </c>
      <c r="I563" t="s">
        <v>4329</v>
      </c>
      <c r="J563" t="s">
        <v>7688</v>
      </c>
      <c r="K563" t="s">
        <v>10922</v>
      </c>
      <c r="L563" t="s">
        <v>3366</v>
      </c>
      <c r="M563" t="s">
        <v>11915</v>
      </c>
      <c r="N563" t="s">
        <v>3361</v>
      </c>
      <c r="O563" t="s">
        <v>15211</v>
      </c>
      <c r="P563" t="s">
        <v>15211</v>
      </c>
      <c r="Q563" t="s">
        <v>15211</v>
      </c>
      <c r="R563" t="s">
        <v>15211</v>
      </c>
      <c r="S563" t="s">
        <v>15211</v>
      </c>
      <c r="T563" t="s">
        <v>3361</v>
      </c>
      <c r="U563" t="s">
        <v>12470</v>
      </c>
      <c r="V563" t="s">
        <v>15235</v>
      </c>
    </row>
    <row r="564" spans="1:22" hidden="1">
      <c r="A564" t="s">
        <v>15388</v>
      </c>
      <c r="B564" t="s">
        <v>15441</v>
      </c>
      <c r="C564" t="s">
        <v>15447</v>
      </c>
      <c r="D564" t="s">
        <v>563</v>
      </c>
      <c r="E564" t="s">
        <v>3428</v>
      </c>
      <c r="F564" t="s">
        <v>3463</v>
      </c>
      <c r="G564" s="3">
        <v>37.344951214666999</v>
      </c>
      <c r="H564" s="3">
        <v>126.692151349718</v>
      </c>
      <c r="I564" t="s">
        <v>4330</v>
      </c>
      <c r="J564" t="s">
        <v>7689</v>
      </c>
      <c r="K564" t="s">
        <v>10923</v>
      </c>
      <c r="L564" t="s">
        <v>3366</v>
      </c>
      <c r="M564" t="s">
        <v>11915</v>
      </c>
      <c r="N564" t="s">
        <v>3361</v>
      </c>
      <c r="O564" t="s">
        <v>15211</v>
      </c>
      <c r="P564" t="s">
        <v>15211</v>
      </c>
      <c r="Q564" t="s">
        <v>15211</v>
      </c>
      <c r="R564" t="s">
        <v>15211</v>
      </c>
      <c r="S564" t="s">
        <v>15211</v>
      </c>
      <c r="T564" t="s">
        <v>3361</v>
      </c>
      <c r="U564" t="s">
        <v>12471</v>
      </c>
      <c r="V564" t="s">
        <v>15235</v>
      </c>
    </row>
    <row r="565" spans="1:22" hidden="1">
      <c r="A565" t="s">
        <v>15388</v>
      </c>
      <c r="B565" t="s">
        <v>15441</v>
      </c>
      <c r="C565" t="s">
        <v>15448</v>
      </c>
      <c r="D565" t="s">
        <v>564</v>
      </c>
      <c r="E565" t="s">
        <v>3436</v>
      </c>
      <c r="F565" t="s">
        <v>3433</v>
      </c>
      <c r="G565" s="3">
        <v>37.344951301317103</v>
      </c>
      <c r="H565" s="3">
        <v>126.69215123137199</v>
      </c>
      <c r="I565" t="s">
        <v>4331</v>
      </c>
      <c r="J565" t="s">
        <v>7690</v>
      </c>
      <c r="K565" t="s">
        <v>10924</v>
      </c>
      <c r="L565" t="s">
        <v>3366</v>
      </c>
      <c r="M565" t="s">
        <v>11888</v>
      </c>
      <c r="N565" t="s">
        <v>3361</v>
      </c>
      <c r="O565" t="s">
        <v>3360</v>
      </c>
      <c r="P565" t="s">
        <v>3362</v>
      </c>
      <c r="Q565" t="s">
        <v>3362</v>
      </c>
      <c r="R565" t="s">
        <v>3357</v>
      </c>
      <c r="S565" t="s">
        <v>15211</v>
      </c>
      <c r="T565" t="s">
        <v>3378</v>
      </c>
      <c r="U565" t="s">
        <v>12472</v>
      </c>
      <c r="V565" t="s">
        <v>15230</v>
      </c>
    </row>
    <row r="566" spans="1:22" hidden="1">
      <c r="A566" t="s">
        <v>15388</v>
      </c>
      <c r="B566" t="s">
        <v>15441</v>
      </c>
      <c r="C566" t="s">
        <v>15448</v>
      </c>
      <c r="D566" t="s">
        <v>565</v>
      </c>
      <c r="E566" t="s">
        <v>3431</v>
      </c>
      <c r="F566" t="s">
        <v>3462</v>
      </c>
      <c r="G566" s="3">
        <v>37.344951292489199</v>
      </c>
      <c r="H566" s="3">
        <v>126.692151249999</v>
      </c>
      <c r="I566" t="s">
        <v>4332</v>
      </c>
      <c r="J566" t="s">
        <v>7691</v>
      </c>
      <c r="K566" t="s">
        <v>10645</v>
      </c>
      <c r="L566" t="s">
        <v>3366</v>
      </c>
      <c r="M566" t="s">
        <v>11888</v>
      </c>
      <c r="N566" t="s">
        <v>3361</v>
      </c>
      <c r="O566" t="s">
        <v>3360</v>
      </c>
      <c r="P566" t="s">
        <v>3363</v>
      </c>
      <c r="Q566" t="s">
        <v>3362</v>
      </c>
      <c r="R566" t="s">
        <v>3357</v>
      </c>
      <c r="S566" t="s">
        <v>15211</v>
      </c>
      <c r="T566" t="s">
        <v>3379</v>
      </c>
      <c r="U566" t="s">
        <v>12473</v>
      </c>
      <c r="V566" t="s">
        <v>15230</v>
      </c>
    </row>
    <row r="567" spans="1:22" hidden="1">
      <c r="A567" t="s">
        <v>15388</v>
      </c>
      <c r="B567" t="s">
        <v>15441</v>
      </c>
      <c r="C567" t="s">
        <v>15449</v>
      </c>
      <c r="D567" t="s">
        <v>566</v>
      </c>
      <c r="E567" t="s">
        <v>3437</v>
      </c>
      <c r="F567" t="s">
        <v>3436</v>
      </c>
      <c r="G567" s="3">
        <v>37.3449512315836</v>
      </c>
      <c r="H567" s="3">
        <v>126.69215133409099</v>
      </c>
      <c r="I567" t="s">
        <v>4333</v>
      </c>
      <c r="J567" t="s">
        <v>7692</v>
      </c>
      <c r="K567" t="s">
        <v>10868</v>
      </c>
      <c r="L567" t="s">
        <v>3366</v>
      </c>
      <c r="M567" t="s">
        <v>11888</v>
      </c>
      <c r="N567" t="s">
        <v>3361</v>
      </c>
      <c r="O567" t="s">
        <v>3360</v>
      </c>
      <c r="P567" t="s">
        <v>3364</v>
      </c>
      <c r="Q567" t="s">
        <v>3362</v>
      </c>
      <c r="R567" t="s">
        <v>15211</v>
      </c>
      <c r="S567" t="s">
        <v>15211</v>
      </c>
      <c r="T567" t="s">
        <v>3379</v>
      </c>
      <c r="U567" t="s">
        <v>12474</v>
      </c>
      <c r="V567" t="s">
        <v>15231</v>
      </c>
    </row>
    <row r="568" spans="1:22" hidden="1">
      <c r="A568" t="s">
        <v>15388</v>
      </c>
      <c r="B568" t="s">
        <v>15441</v>
      </c>
      <c r="C568" t="s">
        <v>15449</v>
      </c>
      <c r="D568" t="s">
        <v>567</v>
      </c>
      <c r="E568" t="s">
        <v>3437</v>
      </c>
      <c r="F568" t="s">
        <v>3436</v>
      </c>
      <c r="G568" s="3">
        <v>37.3449512446049</v>
      </c>
      <c r="H568" s="3">
        <v>126.692151299836</v>
      </c>
      <c r="I568" t="s">
        <v>4334</v>
      </c>
      <c r="J568" t="s">
        <v>7693</v>
      </c>
      <c r="K568" t="s">
        <v>10521</v>
      </c>
      <c r="L568" t="s">
        <v>3366</v>
      </c>
      <c r="M568" t="s">
        <v>11896</v>
      </c>
      <c r="N568" t="s">
        <v>3361</v>
      </c>
      <c r="O568" t="s">
        <v>3360</v>
      </c>
      <c r="P568" t="s">
        <v>3364</v>
      </c>
      <c r="Q568" t="s">
        <v>3362</v>
      </c>
      <c r="R568" t="s">
        <v>15211</v>
      </c>
      <c r="S568" t="s">
        <v>15211</v>
      </c>
      <c r="T568" t="s">
        <v>3379</v>
      </c>
      <c r="U568" t="s">
        <v>12475</v>
      </c>
      <c r="V568" t="s">
        <v>15231</v>
      </c>
    </row>
    <row r="569" spans="1:22" hidden="1">
      <c r="A569" t="s">
        <v>15388</v>
      </c>
      <c r="B569" t="s">
        <v>15441</v>
      </c>
      <c r="C569" t="s">
        <v>15449</v>
      </c>
      <c r="D569" t="s">
        <v>568</v>
      </c>
      <c r="E569" t="s">
        <v>3440</v>
      </c>
      <c r="F569" t="s">
        <v>3431</v>
      </c>
      <c r="G569" s="3">
        <v>37.344951261082599</v>
      </c>
      <c r="H569" s="3">
        <v>126.692151312964</v>
      </c>
      <c r="I569" t="s">
        <v>4335</v>
      </c>
      <c r="J569" t="s">
        <v>7694</v>
      </c>
      <c r="K569" t="s">
        <v>10925</v>
      </c>
      <c r="L569" t="s">
        <v>3366</v>
      </c>
      <c r="M569" t="s">
        <v>11891</v>
      </c>
      <c r="N569" t="s">
        <v>3362</v>
      </c>
      <c r="O569" t="s">
        <v>3360</v>
      </c>
      <c r="P569" t="s">
        <v>3363</v>
      </c>
      <c r="Q569" t="s">
        <v>3362</v>
      </c>
      <c r="R569" t="s">
        <v>15211</v>
      </c>
      <c r="S569" t="s">
        <v>15211</v>
      </c>
      <c r="T569" t="s">
        <v>3379</v>
      </c>
      <c r="U569" t="s">
        <v>12476</v>
      </c>
      <c r="V569" t="s">
        <v>15231</v>
      </c>
    </row>
    <row r="570" spans="1:22" hidden="1">
      <c r="A570" t="s">
        <v>15388</v>
      </c>
      <c r="B570" t="s">
        <v>15442</v>
      </c>
      <c r="C570" t="s">
        <v>15450</v>
      </c>
      <c r="D570" t="s">
        <v>569</v>
      </c>
      <c r="E570" t="s">
        <v>3436</v>
      </c>
      <c r="F570" t="s">
        <v>3450</v>
      </c>
      <c r="G570" s="3">
        <v>37.344951170177097</v>
      </c>
      <c r="H570" s="3">
        <v>126.69215114950801</v>
      </c>
      <c r="I570" t="s">
        <v>4336</v>
      </c>
      <c r="J570" t="s">
        <v>7695</v>
      </c>
      <c r="K570" t="s">
        <v>10926</v>
      </c>
      <c r="L570" t="s">
        <v>3399</v>
      </c>
      <c r="M570" t="s">
        <v>11886</v>
      </c>
      <c r="N570" t="s">
        <v>3362</v>
      </c>
      <c r="O570" t="s">
        <v>3360</v>
      </c>
      <c r="P570" t="s">
        <v>15211</v>
      </c>
      <c r="Q570" t="s">
        <v>15211</v>
      </c>
      <c r="R570" t="s">
        <v>15211</v>
      </c>
      <c r="S570" t="s">
        <v>15211</v>
      </c>
      <c r="T570" t="s">
        <v>3366</v>
      </c>
      <c r="U570" t="s">
        <v>12477</v>
      </c>
      <c r="V570" t="s">
        <v>15232</v>
      </c>
    </row>
    <row r="571" spans="1:22" hidden="1">
      <c r="A571" t="s">
        <v>15388</v>
      </c>
      <c r="B571" t="s">
        <v>15442</v>
      </c>
      <c r="C571" t="s">
        <v>15450</v>
      </c>
      <c r="D571" t="s">
        <v>570</v>
      </c>
      <c r="E571" t="s">
        <v>3436</v>
      </c>
      <c r="F571" t="s">
        <v>3579</v>
      </c>
      <c r="G571" s="3">
        <v>37.344951177281402</v>
      </c>
      <c r="H571" s="3">
        <v>126.692151107992</v>
      </c>
      <c r="I571" t="s">
        <v>4337</v>
      </c>
      <c r="J571" t="s">
        <v>7696</v>
      </c>
      <c r="K571" t="s">
        <v>10927</v>
      </c>
      <c r="L571" t="s">
        <v>3366</v>
      </c>
      <c r="M571" t="s">
        <v>11886</v>
      </c>
      <c r="N571" t="s">
        <v>3363</v>
      </c>
      <c r="O571" t="s">
        <v>3360</v>
      </c>
      <c r="P571" t="s">
        <v>15211</v>
      </c>
      <c r="Q571" t="s">
        <v>15211</v>
      </c>
      <c r="R571" t="s">
        <v>15211</v>
      </c>
      <c r="S571" t="s">
        <v>15211</v>
      </c>
      <c r="T571" t="s">
        <v>3367</v>
      </c>
      <c r="U571" t="s">
        <v>12478</v>
      </c>
      <c r="V571" t="s">
        <v>15232</v>
      </c>
    </row>
    <row r="572" spans="1:22" hidden="1">
      <c r="A572" t="s">
        <v>15388</v>
      </c>
      <c r="B572" t="s">
        <v>15442</v>
      </c>
      <c r="C572" t="s">
        <v>15450</v>
      </c>
      <c r="D572" t="s">
        <v>571</v>
      </c>
      <c r="E572" t="s">
        <v>3436</v>
      </c>
      <c r="F572" t="s">
        <v>3465</v>
      </c>
      <c r="G572" s="3">
        <v>37.344951210455598</v>
      </c>
      <c r="H572" s="3">
        <v>126.69215119970799</v>
      </c>
      <c r="I572" t="s">
        <v>4338</v>
      </c>
      <c r="J572" t="s">
        <v>7697</v>
      </c>
      <c r="K572" t="s">
        <v>10928</v>
      </c>
      <c r="L572" t="s">
        <v>3366</v>
      </c>
      <c r="M572" t="s">
        <v>11886</v>
      </c>
      <c r="N572" t="s">
        <v>3363</v>
      </c>
      <c r="O572" t="s">
        <v>3360</v>
      </c>
      <c r="P572" t="s">
        <v>15211</v>
      </c>
      <c r="Q572" t="s">
        <v>15211</v>
      </c>
      <c r="R572" t="s">
        <v>15211</v>
      </c>
      <c r="S572" t="s">
        <v>15211</v>
      </c>
      <c r="T572" t="s">
        <v>3367</v>
      </c>
      <c r="U572" t="s">
        <v>12479</v>
      </c>
      <c r="V572" t="s">
        <v>15232</v>
      </c>
    </row>
    <row r="573" spans="1:22" hidden="1">
      <c r="A573" t="s">
        <v>15388</v>
      </c>
      <c r="B573" t="s">
        <v>15442</v>
      </c>
      <c r="C573" t="s">
        <v>15445</v>
      </c>
      <c r="D573" t="s">
        <v>572</v>
      </c>
      <c r="E573" t="s">
        <v>3438</v>
      </c>
      <c r="F573" t="s">
        <v>3453</v>
      </c>
      <c r="G573" s="3">
        <v>37.344951280261498</v>
      </c>
      <c r="H573" s="3">
        <v>126.692151419867</v>
      </c>
      <c r="I573" t="s">
        <v>4339</v>
      </c>
      <c r="J573" t="s">
        <v>7698</v>
      </c>
      <c r="K573" t="s">
        <v>10929</v>
      </c>
      <c r="L573" t="s">
        <v>3366</v>
      </c>
      <c r="M573" t="s">
        <v>11902</v>
      </c>
      <c r="N573" t="s">
        <v>3362</v>
      </c>
      <c r="O573" t="s">
        <v>3360</v>
      </c>
      <c r="P573" t="s">
        <v>15211</v>
      </c>
      <c r="Q573" t="s">
        <v>15211</v>
      </c>
      <c r="R573" t="s">
        <v>15211</v>
      </c>
      <c r="S573" t="s">
        <v>15211</v>
      </c>
      <c r="T573" t="s">
        <v>3366</v>
      </c>
      <c r="U573" t="s">
        <v>12480</v>
      </c>
      <c r="V573" t="s">
        <v>15233</v>
      </c>
    </row>
    <row r="574" spans="1:22" hidden="1">
      <c r="A574" t="s">
        <v>15388</v>
      </c>
      <c r="B574" t="s">
        <v>15442</v>
      </c>
      <c r="C574" t="s">
        <v>15445</v>
      </c>
      <c r="D574" t="s">
        <v>573</v>
      </c>
      <c r="E574" t="s">
        <v>3438</v>
      </c>
      <c r="F574" t="s">
        <v>3441</v>
      </c>
      <c r="G574" s="3">
        <v>37.344951277894701</v>
      </c>
      <c r="H574" s="3">
        <v>126.692151394006</v>
      </c>
      <c r="I574" t="s">
        <v>4340</v>
      </c>
      <c r="J574" t="s">
        <v>7699</v>
      </c>
      <c r="K574" t="s">
        <v>10930</v>
      </c>
      <c r="L574" t="s">
        <v>3366</v>
      </c>
      <c r="M574" t="s">
        <v>11902</v>
      </c>
      <c r="N574" t="s">
        <v>3362</v>
      </c>
      <c r="O574" t="s">
        <v>3360</v>
      </c>
      <c r="P574" t="s">
        <v>15211</v>
      </c>
      <c r="Q574" t="s">
        <v>15211</v>
      </c>
      <c r="R574" t="s">
        <v>15211</v>
      </c>
      <c r="S574" t="s">
        <v>15211</v>
      </c>
      <c r="T574" t="s">
        <v>3366</v>
      </c>
      <c r="U574" t="s">
        <v>12481</v>
      </c>
      <c r="V574" t="s">
        <v>15233</v>
      </c>
    </row>
    <row r="575" spans="1:22" hidden="1">
      <c r="A575" t="s">
        <v>15388</v>
      </c>
      <c r="B575" t="s">
        <v>15442</v>
      </c>
      <c r="C575" t="s">
        <v>15445</v>
      </c>
      <c r="D575" t="s">
        <v>574</v>
      </c>
      <c r="E575" t="s">
        <v>3440</v>
      </c>
      <c r="F575" t="s">
        <v>3442</v>
      </c>
      <c r="G575" s="3">
        <v>37.3449512421059</v>
      </c>
      <c r="H575" s="3">
        <v>126.69215136947901</v>
      </c>
      <c r="I575" t="s">
        <v>4341</v>
      </c>
      <c r="J575" t="s">
        <v>7700</v>
      </c>
      <c r="K575" t="s">
        <v>10931</v>
      </c>
      <c r="L575" t="s">
        <v>3366</v>
      </c>
      <c r="M575" t="s">
        <v>11902</v>
      </c>
      <c r="N575" t="s">
        <v>3362</v>
      </c>
      <c r="O575" t="s">
        <v>3360</v>
      </c>
      <c r="P575" t="s">
        <v>15211</v>
      </c>
      <c r="Q575" t="s">
        <v>15211</v>
      </c>
      <c r="R575" t="s">
        <v>15211</v>
      </c>
      <c r="S575" t="s">
        <v>15211</v>
      </c>
      <c r="T575" t="s">
        <v>3366</v>
      </c>
      <c r="U575" t="s">
        <v>12482</v>
      </c>
      <c r="V575" t="s">
        <v>15233</v>
      </c>
    </row>
    <row r="576" spans="1:22" hidden="1">
      <c r="A576" t="s">
        <v>15388</v>
      </c>
      <c r="B576" t="s">
        <v>15442</v>
      </c>
      <c r="C576" t="s">
        <v>15451</v>
      </c>
      <c r="D576" t="s">
        <v>575</v>
      </c>
      <c r="E576" t="s">
        <v>3436</v>
      </c>
      <c r="F576" t="s">
        <v>3460</v>
      </c>
      <c r="G576" s="3">
        <v>37.344951394318599</v>
      </c>
      <c r="H576" s="3">
        <v>126.692151597982</v>
      </c>
      <c r="I576" t="s">
        <v>4342</v>
      </c>
      <c r="J576" t="s">
        <v>7701</v>
      </c>
      <c r="K576" t="s">
        <v>10876</v>
      </c>
      <c r="L576" t="s">
        <v>3366</v>
      </c>
      <c r="M576" t="s">
        <v>11896</v>
      </c>
      <c r="N576" t="s">
        <v>3362</v>
      </c>
      <c r="O576" t="s">
        <v>3360</v>
      </c>
      <c r="P576" t="s">
        <v>3363</v>
      </c>
      <c r="Q576" t="s">
        <v>3361</v>
      </c>
      <c r="R576" t="s">
        <v>15211</v>
      </c>
      <c r="S576" t="s">
        <v>15211</v>
      </c>
      <c r="T576" t="s">
        <v>3378</v>
      </c>
      <c r="U576" t="s">
        <v>12483</v>
      </c>
      <c r="V576" t="s">
        <v>15234</v>
      </c>
    </row>
    <row r="577" spans="1:22" hidden="1">
      <c r="A577" t="s">
        <v>15388</v>
      </c>
      <c r="B577" t="s">
        <v>15442</v>
      </c>
      <c r="C577" t="s">
        <v>15451</v>
      </c>
      <c r="D577" t="s">
        <v>576</v>
      </c>
      <c r="E577" t="s">
        <v>3436</v>
      </c>
      <c r="F577" t="s">
        <v>3450</v>
      </c>
      <c r="G577" s="3">
        <v>37.344951379909403</v>
      </c>
      <c r="H577" s="3">
        <v>126.692151603532</v>
      </c>
      <c r="I577" t="s">
        <v>4343</v>
      </c>
      <c r="J577" t="s">
        <v>7702</v>
      </c>
      <c r="K577" t="s">
        <v>10933</v>
      </c>
      <c r="L577" t="s">
        <v>3366</v>
      </c>
      <c r="M577" t="s">
        <v>11888</v>
      </c>
      <c r="N577" t="s">
        <v>3362</v>
      </c>
      <c r="O577" t="s">
        <v>3360</v>
      </c>
      <c r="P577" t="s">
        <v>3363</v>
      </c>
      <c r="Q577" t="s">
        <v>3361</v>
      </c>
      <c r="R577" t="s">
        <v>15211</v>
      </c>
      <c r="S577" t="s">
        <v>15211</v>
      </c>
      <c r="T577" t="s">
        <v>3378</v>
      </c>
      <c r="U577" t="s">
        <v>12484</v>
      </c>
      <c r="V577" t="s">
        <v>15234</v>
      </c>
    </row>
    <row r="578" spans="1:22">
      <c r="A578" t="s">
        <v>15388</v>
      </c>
      <c r="B578" t="s">
        <v>15443</v>
      </c>
      <c r="C578" t="s">
        <v>15452</v>
      </c>
      <c r="D578" t="s">
        <v>577</v>
      </c>
      <c r="E578" t="s">
        <v>3427</v>
      </c>
      <c r="F578" t="s">
        <v>3441</v>
      </c>
      <c r="G578" s="3">
        <v>37.344951381662398</v>
      </c>
      <c r="H578" s="3">
        <v>126.692151396943</v>
      </c>
      <c r="I578" t="s">
        <v>4344</v>
      </c>
      <c r="J578" t="s">
        <v>7703</v>
      </c>
      <c r="K578" t="s">
        <v>10934</v>
      </c>
      <c r="L578" t="s">
        <v>3366</v>
      </c>
      <c r="M578" t="s">
        <v>11903</v>
      </c>
      <c r="N578" t="s">
        <v>3360</v>
      </c>
      <c r="O578" t="s">
        <v>15211</v>
      </c>
      <c r="P578" t="s">
        <v>3363</v>
      </c>
      <c r="Q578" t="s">
        <v>3361</v>
      </c>
      <c r="R578" t="s">
        <v>15211</v>
      </c>
      <c r="S578" t="s">
        <v>15211</v>
      </c>
      <c r="T578" t="s">
        <v>3372</v>
      </c>
      <c r="U578" t="s">
        <v>12485</v>
      </c>
      <c r="V578" t="s">
        <v>15220</v>
      </c>
    </row>
    <row r="579" spans="1:22">
      <c r="A579" t="s">
        <v>15388</v>
      </c>
      <c r="B579" t="s">
        <v>15443</v>
      </c>
      <c r="C579" t="s">
        <v>15452</v>
      </c>
      <c r="D579" t="s">
        <v>578</v>
      </c>
      <c r="E579" t="s">
        <v>3428</v>
      </c>
      <c r="F579" t="s">
        <v>3433</v>
      </c>
      <c r="G579" s="3">
        <v>37.344951381918598</v>
      </c>
      <c r="H579" s="3">
        <v>126.69215139976301</v>
      </c>
      <c r="I579" t="s">
        <v>4345</v>
      </c>
      <c r="J579" t="s">
        <v>7704</v>
      </c>
      <c r="K579" t="s">
        <v>10935</v>
      </c>
      <c r="L579" t="s">
        <v>3366</v>
      </c>
      <c r="M579" t="s">
        <v>11895</v>
      </c>
      <c r="N579" t="s">
        <v>3360</v>
      </c>
      <c r="O579" t="s">
        <v>15211</v>
      </c>
      <c r="P579" t="s">
        <v>3362</v>
      </c>
      <c r="Q579" t="s">
        <v>3361</v>
      </c>
      <c r="R579" t="s">
        <v>15211</v>
      </c>
      <c r="S579" t="s">
        <v>15211</v>
      </c>
      <c r="T579" t="s">
        <v>3371</v>
      </c>
      <c r="U579" t="s">
        <v>12486</v>
      </c>
      <c r="V579" t="s">
        <v>15220</v>
      </c>
    </row>
    <row r="580" spans="1:22">
      <c r="A580" t="s">
        <v>15388</v>
      </c>
      <c r="B580" t="s">
        <v>15443</v>
      </c>
      <c r="C580" t="s">
        <v>15452</v>
      </c>
      <c r="D580" t="s">
        <v>579</v>
      </c>
      <c r="E580" t="s">
        <v>3436</v>
      </c>
      <c r="F580" t="s">
        <v>3433</v>
      </c>
      <c r="G580" s="3">
        <v>37.344951403076699</v>
      </c>
      <c r="H580" s="3">
        <v>126.692151426799</v>
      </c>
      <c r="I580" t="s">
        <v>4346</v>
      </c>
      <c r="J580" t="s">
        <v>7705</v>
      </c>
      <c r="K580" t="s">
        <v>10936</v>
      </c>
      <c r="L580" t="s">
        <v>3366</v>
      </c>
      <c r="M580" t="s">
        <v>11895</v>
      </c>
      <c r="N580" t="s">
        <v>3360</v>
      </c>
      <c r="O580" t="s">
        <v>15211</v>
      </c>
      <c r="P580" t="s">
        <v>3362</v>
      </c>
      <c r="Q580" t="s">
        <v>3361</v>
      </c>
      <c r="R580" t="s">
        <v>15211</v>
      </c>
      <c r="S580" t="s">
        <v>15211</v>
      </c>
      <c r="T580" t="s">
        <v>3371</v>
      </c>
      <c r="U580" t="s">
        <v>12487</v>
      </c>
      <c r="V580" t="s">
        <v>15220</v>
      </c>
    </row>
    <row r="581" spans="1:22" hidden="1">
      <c r="A581" t="s">
        <v>15388</v>
      </c>
      <c r="B581" t="s">
        <v>15443</v>
      </c>
      <c r="C581" t="s">
        <v>15464</v>
      </c>
      <c r="D581" t="s">
        <v>580</v>
      </c>
      <c r="E581" t="s">
        <v>3435</v>
      </c>
      <c r="F581" t="s">
        <v>3478</v>
      </c>
      <c r="G581" s="3">
        <v>37.344951448991999</v>
      </c>
      <c r="H581" s="3">
        <v>126.69215139611499</v>
      </c>
      <c r="I581" t="s">
        <v>4347</v>
      </c>
      <c r="J581" t="s">
        <v>7706</v>
      </c>
      <c r="K581" t="s">
        <v>10928</v>
      </c>
      <c r="L581" t="s">
        <v>3366</v>
      </c>
      <c r="M581" t="s">
        <v>11895</v>
      </c>
      <c r="N581" t="s">
        <v>3360</v>
      </c>
      <c r="O581" t="s">
        <v>15211</v>
      </c>
      <c r="P581" t="s">
        <v>3362</v>
      </c>
      <c r="Q581" t="s">
        <v>3361</v>
      </c>
      <c r="R581" t="s">
        <v>15211</v>
      </c>
      <c r="S581" t="s">
        <v>15211</v>
      </c>
      <c r="T581" t="s">
        <v>3371</v>
      </c>
      <c r="U581" t="s">
        <v>12488</v>
      </c>
      <c r="V581" t="s">
        <v>15240</v>
      </c>
    </row>
    <row r="582" spans="1:22" hidden="1">
      <c r="A582" t="s">
        <v>15388</v>
      </c>
      <c r="B582" t="s">
        <v>15443</v>
      </c>
      <c r="C582" t="s">
        <v>15464</v>
      </c>
      <c r="D582" t="s">
        <v>581</v>
      </c>
      <c r="E582" t="s">
        <v>3435</v>
      </c>
      <c r="F582" t="s">
        <v>3478</v>
      </c>
      <c r="G582" s="3">
        <v>37.344951408702997</v>
      </c>
      <c r="H582" s="3">
        <v>126.692151394207</v>
      </c>
      <c r="I582" t="s">
        <v>4348</v>
      </c>
      <c r="J582" t="s">
        <v>7707</v>
      </c>
      <c r="K582" t="s">
        <v>10937</v>
      </c>
      <c r="L582" t="s">
        <v>3366</v>
      </c>
      <c r="M582" t="s">
        <v>11895</v>
      </c>
      <c r="N582" t="s">
        <v>3360</v>
      </c>
      <c r="O582" t="s">
        <v>15211</v>
      </c>
      <c r="P582" t="s">
        <v>3362</v>
      </c>
      <c r="Q582" t="s">
        <v>3361</v>
      </c>
      <c r="R582" t="s">
        <v>15211</v>
      </c>
      <c r="S582" t="s">
        <v>15211</v>
      </c>
      <c r="T582" t="s">
        <v>3371</v>
      </c>
      <c r="U582" t="s">
        <v>12489</v>
      </c>
      <c r="V582" t="s">
        <v>15240</v>
      </c>
    </row>
    <row r="583" spans="1:22" hidden="1">
      <c r="A583" t="s">
        <v>15388</v>
      </c>
      <c r="B583" t="s">
        <v>15443</v>
      </c>
      <c r="C583" t="s">
        <v>15464</v>
      </c>
      <c r="D583" t="s">
        <v>582</v>
      </c>
      <c r="E583" t="s">
        <v>3435</v>
      </c>
      <c r="F583" t="s">
        <v>3478</v>
      </c>
      <c r="G583" s="3">
        <v>37.3449513614</v>
      </c>
      <c r="H583" s="3">
        <v>126.692151411509</v>
      </c>
      <c r="I583" t="s">
        <v>4349</v>
      </c>
      <c r="J583" t="s">
        <v>7708</v>
      </c>
      <c r="K583" t="s">
        <v>10623</v>
      </c>
      <c r="L583" t="s">
        <v>3366</v>
      </c>
      <c r="M583" t="s">
        <v>11895</v>
      </c>
      <c r="N583" t="s">
        <v>3360</v>
      </c>
      <c r="O583" t="s">
        <v>15211</v>
      </c>
      <c r="P583" t="s">
        <v>3362</v>
      </c>
      <c r="Q583" t="s">
        <v>3361</v>
      </c>
      <c r="R583" t="s">
        <v>15211</v>
      </c>
      <c r="S583" t="s">
        <v>15211</v>
      </c>
      <c r="T583" t="s">
        <v>3371</v>
      </c>
      <c r="U583" t="s">
        <v>12490</v>
      </c>
      <c r="V583" t="s">
        <v>15240</v>
      </c>
    </row>
    <row r="584" spans="1:22" hidden="1">
      <c r="A584" t="s">
        <v>15388</v>
      </c>
      <c r="B584" t="s">
        <v>15443</v>
      </c>
      <c r="C584" t="s">
        <v>15464</v>
      </c>
      <c r="D584" t="s">
        <v>583</v>
      </c>
      <c r="E584" t="s">
        <v>3435</v>
      </c>
      <c r="F584" t="s">
        <v>3511</v>
      </c>
      <c r="G584" s="3">
        <v>37.344951362738698</v>
      </c>
      <c r="H584" s="3">
        <v>126.692151472495</v>
      </c>
      <c r="I584" t="s">
        <v>4350</v>
      </c>
      <c r="J584" t="s">
        <v>7709</v>
      </c>
      <c r="K584" t="s">
        <v>10938</v>
      </c>
      <c r="L584" t="s">
        <v>3366</v>
      </c>
      <c r="M584" t="s">
        <v>11903</v>
      </c>
      <c r="N584" t="s">
        <v>3361</v>
      </c>
      <c r="O584" t="s">
        <v>15211</v>
      </c>
      <c r="P584" t="s">
        <v>3362</v>
      </c>
      <c r="Q584" t="s">
        <v>3361</v>
      </c>
      <c r="R584" t="s">
        <v>15211</v>
      </c>
      <c r="S584" t="s">
        <v>15211</v>
      </c>
      <c r="T584" t="s">
        <v>3372</v>
      </c>
      <c r="U584" t="s">
        <v>12479</v>
      </c>
      <c r="V584" t="s">
        <v>15240</v>
      </c>
    </row>
    <row r="585" spans="1:22" hidden="1">
      <c r="A585" t="s">
        <v>15304</v>
      </c>
      <c r="B585" t="s">
        <v>15441</v>
      </c>
      <c r="C585" t="s">
        <v>15445</v>
      </c>
      <c r="D585" t="s">
        <v>584</v>
      </c>
      <c r="E585" t="s">
        <v>3428</v>
      </c>
      <c r="F585" t="s">
        <v>3430</v>
      </c>
      <c r="G585" s="3">
        <v>37.584884696067498</v>
      </c>
      <c r="H585" s="3">
        <v>127.98423342974201</v>
      </c>
      <c r="I585" t="s">
        <v>4351</v>
      </c>
      <c r="J585" t="s">
        <v>7710</v>
      </c>
      <c r="K585" t="s">
        <v>10933</v>
      </c>
      <c r="L585" t="s">
        <v>3366</v>
      </c>
      <c r="M585" t="s">
        <v>11895</v>
      </c>
      <c r="N585" t="s">
        <v>3365</v>
      </c>
      <c r="O585" t="s">
        <v>3362</v>
      </c>
      <c r="P585" t="s">
        <v>15211</v>
      </c>
      <c r="Q585" t="s">
        <v>15211</v>
      </c>
      <c r="R585" t="s">
        <v>15211</v>
      </c>
      <c r="S585" t="s">
        <v>15211</v>
      </c>
      <c r="T585" t="s">
        <v>3371</v>
      </c>
      <c r="U585" t="s">
        <v>12491</v>
      </c>
      <c r="V585" t="s">
        <v>15228</v>
      </c>
    </row>
    <row r="586" spans="1:22" hidden="1">
      <c r="A586" t="s">
        <v>15304</v>
      </c>
      <c r="B586" t="s">
        <v>15441</v>
      </c>
      <c r="C586" t="s">
        <v>15445</v>
      </c>
      <c r="D586" t="s">
        <v>585</v>
      </c>
      <c r="E586" t="s">
        <v>3428</v>
      </c>
      <c r="F586" t="s">
        <v>3430</v>
      </c>
      <c r="G586" s="3">
        <v>37.584884672884201</v>
      </c>
      <c r="H586" s="3">
        <v>127.98423343510601</v>
      </c>
      <c r="I586" t="s">
        <v>4352</v>
      </c>
      <c r="J586" t="s">
        <v>7711</v>
      </c>
      <c r="K586" t="s">
        <v>10933</v>
      </c>
      <c r="L586" t="s">
        <v>3366</v>
      </c>
      <c r="M586" t="s">
        <v>11895</v>
      </c>
      <c r="N586" t="s">
        <v>3365</v>
      </c>
      <c r="O586" t="s">
        <v>3362</v>
      </c>
      <c r="P586" t="s">
        <v>15211</v>
      </c>
      <c r="Q586" t="s">
        <v>15211</v>
      </c>
      <c r="R586" t="s">
        <v>15211</v>
      </c>
      <c r="S586" t="s">
        <v>15211</v>
      </c>
      <c r="T586" t="s">
        <v>3371</v>
      </c>
      <c r="U586" t="s">
        <v>12492</v>
      </c>
      <c r="V586" t="s">
        <v>15228</v>
      </c>
    </row>
    <row r="587" spans="1:22" hidden="1">
      <c r="A587" t="s">
        <v>15304</v>
      </c>
      <c r="B587" t="s">
        <v>15441</v>
      </c>
      <c r="C587" t="s">
        <v>15445</v>
      </c>
      <c r="D587" t="s">
        <v>586</v>
      </c>
      <c r="E587" t="s">
        <v>3428</v>
      </c>
      <c r="F587" t="s">
        <v>3430</v>
      </c>
      <c r="G587" s="3">
        <v>37.584884667337199</v>
      </c>
      <c r="H587" s="3">
        <v>127.98423342930801</v>
      </c>
      <c r="I587" t="s">
        <v>4353</v>
      </c>
      <c r="J587" t="s">
        <v>7712</v>
      </c>
      <c r="K587" t="s">
        <v>10939</v>
      </c>
      <c r="L587" t="s">
        <v>3366</v>
      </c>
      <c r="M587" t="s">
        <v>11895</v>
      </c>
      <c r="N587" t="s">
        <v>3365</v>
      </c>
      <c r="O587" t="s">
        <v>3362</v>
      </c>
      <c r="P587" t="s">
        <v>15211</v>
      </c>
      <c r="Q587" t="s">
        <v>15211</v>
      </c>
      <c r="R587" t="s">
        <v>15211</v>
      </c>
      <c r="S587" t="s">
        <v>15211</v>
      </c>
      <c r="T587" t="s">
        <v>3371</v>
      </c>
      <c r="U587" t="s">
        <v>12493</v>
      </c>
      <c r="V587" t="s">
        <v>15228</v>
      </c>
    </row>
    <row r="588" spans="1:22" hidden="1">
      <c r="A588" t="s">
        <v>15304</v>
      </c>
      <c r="B588" t="s">
        <v>15441</v>
      </c>
      <c r="C588" t="s">
        <v>15446</v>
      </c>
      <c r="D588" t="s">
        <v>587</v>
      </c>
      <c r="E588" t="s">
        <v>3428</v>
      </c>
      <c r="F588" t="s">
        <v>3430</v>
      </c>
      <c r="G588" s="3">
        <v>37.584884682340899</v>
      </c>
      <c r="H588" s="3">
        <v>127.984233490158</v>
      </c>
      <c r="I588" t="s">
        <v>4349</v>
      </c>
      <c r="J588" t="s">
        <v>7708</v>
      </c>
      <c r="K588" t="s">
        <v>10530</v>
      </c>
      <c r="L588" t="s">
        <v>3366</v>
      </c>
      <c r="M588" t="s">
        <v>11895</v>
      </c>
      <c r="N588" t="s">
        <v>3365</v>
      </c>
      <c r="O588" t="s">
        <v>3362</v>
      </c>
      <c r="P588" t="s">
        <v>15211</v>
      </c>
      <c r="Q588" t="s">
        <v>15211</v>
      </c>
      <c r="R588" t="s">
        <v>15211</v>
      </c>
      <c r="S588" t="s">
        <v>15211</v>
      </c>
      <c r="T588" t="s">
        <v>3371</v>
      </c>
      <c r="U588" t="s">
        <v>12494</v>
      </c>
      <c r="V588" t="s">
        <v>15229</v>
      </c>
    </row>
    <row r="589" spans="1:22" hidden="1">
      <c r="A589" t="s">
        <v>15304</v>
      </c>
      <c r="B589" t="s">
        <v>15441</v>
      </c>
      <c r="C589" t="s">
        <v>15446</v>
      </c>
      <c r="D589" t="s">
        <v>588</v>
      </c>
      <c r="E589" t="s">
        <v>3428</v>
      </c>
      <c r="F589" t="s">
        <v>3430</v>
      </c>
      <c r="G589" s="3">
        <v>37.584884687717597</v>
      </c>
      <c r="H589" s="3">
        <v>127.984233504572</v>
      </c>
      <c r="I589" t="s">
        <v>4354</v>
      </c>
      <c r="J589" t="s">
        <v>7713</v>
      </c>
      <c r="K589" t="s">
        <v>10530</v>
      </c>
      <c r="L589" t="s">
        <v>3366</v>
      </c>
      <c r="M589" t="s">
        <v>11895</v>
      </c>
      <c r="N589" t="s">
        <v>3365</v>
      </c>
      <c r="O589" t="s">
        <v>3362</v>
      </c>
      <c r="P589" t="s">
        <v>15211</v>
      </c>
      <c r="Q589" t="s">
        <v>15211</v>
      </c>
      <c r="R589" t="s">
        <v>15211</v>
      </c>
      <c r="S589" t="s">
        <v>15211</v>
      </c>
      <c r="T589" t="s">
        <v>3371</v>
      </c>
      <c r="U589" t="s">
        <v>12495</v>
      </c>
      <c r="V589" t="s">
        <v>15229</v>
      </c>
    </row>
    <row r="590" spans="1:22" hidden="1">
      <c r="A590" t="s">
        <v>15304</v>
      </c>
      <c r="B590" t="s">
        <v>15441</v>
      </c>
      <c r="C590" t="s">
        <v>15446</v>
      </c>
      <c r="D590" t="s">
        <v>589</v>
      </c>
      <c r="E590" t="s">
        <v>3428</v>
      </c>
      <c r="F590" t="s">
        <v>3430</v>
      </c>
      <c r="G590" s="3">
        <v>37.584884692424197</v>
      </c>
      <c r="H590" s="3">
        <v>127.984233446213</v>
      </c>
      <c r="I590" t="s">
        <v>4355</v>
      </c>
      <c r="J590" t="s">
        <v>7714</v>
      </c>
      <c r="K590" t="s">
        <v>10530</v>
      </c>
      <c r="L590" t="s">
        <v>3366</v>
      </c>
      <c r="M590" t="s">
        <v>11895</v>
      </c>
      <c r="N590" t="s">
        <v>3365</v>
      </c>
      <c r="O590" t="s">
        <v>3362</v>
      </c>
      <c r="P590" t="s">
        <v>15211</v>
      </c>
      <c r="Q590" t="s">
        <v>15211</v>
      </c>
      <c r="R590" t="s">
        <v>15211</v>
      </c>
      <c r="S590" t="s">
        <v>15211</v>
      </c>
      <c r="T590" t="s">
        <v>3371</v>
      </c>
      <c r="U590" t="s">
        <v>12496</v>
      </c>
      <c r="V590" t="s">
        <v>15229</v>
      </c>
    </row>
    <row r="591" spans="1:22" hidden="1">
      <c r="A591" t="s">
        <v>15304</v>
      </c>
      <c r="B591" t="s">
        <v>15441</v>
      </c>
      <c r="C591" t="s">
        <v>15448</v>
      </c>
      <c r="D591" t="s">
        <v>590</v>
      </c>
      <c r="E591" t="s">
        <v>3426</v>
      </c>
      <c r="F591" t="s">
        <v>3484</v>
      </c>
      <c r="G591" s="3">
        <v>37.584884703929497</v>
      </c>
      <c r="H591" s="3">
        <v>127.984233613404</v>
      </c>
      <c r="I591" t="s">
        <v>4356</v>
      </c>
      <c r="J591" t="s">
        <v>7715</v>
      </c>
      <c r="K591" t="s">
        <v>10940</v>
      </c>
      <c r="L591" t="s">
        <v>3392</v>
      </c>
      <c r="M591" t="s">
        <v>11907</v>
      </c>
      <c r="N591" t="s">
        <v>3365</v>
      </c>
      <c r="O591" t="s">
        <v>3362</v>
      </c>
      <c r="P591" t="s">
        <v>3363</v>
      </c>
      <c r="Q591" t="s">
        <v>3363</v>
      </c>
      <c r="R591" t="s">
        <v>3357</v>
      </c>
      <c r="S591" t="s">
        <v>15211</v>
      </c>
      <c r="T591" t="s">
        <v>3386</v>
      </c>
      <c r="U591" t="s">
        <v>12497</v>
      </c>
      <c r="V591" t="s">
        <v>15230</v>
      </c>
    </row>
    <row r="592" spans="1:22" hidden="1">
      <c r="A592" t="s">
        <v>15304</v>
      </c>
      <c r="B592" t="s">
        <v>15441</v>
      </c>
      <c r="C592" t="s">
        <v>15448</v>
      </c>
      <c r="D592" t="s">
        <v>591</v>
      </c>
      <c r="E592" t="s">
        <v>3433</v>
      </c>
      <c r="F592" t="s">
        <v>3484</v>
      </c>
      <c r="G592" s="3">
        <v>37.584884668033503</v>
      </c>
      <c r="H592" s="3">
        <v>127.984233681239</v>
      </c>
      <c r="I592" t="s">
        <v>4357</v>
      </c>
      <c r="J592" t="s">
        <v>7716</v>
      </c>
      <c r="K592" t="s">
        <v>10940</v>
      </c>
      <c r="L592" t="s">
        <v>3366</v>
      </c>
      <c r="M592" t="s">
        <v>11907</v>
      </c>
      <c r="N592" t="s">
        <v>3365</v>
      </c>
      <c r="O592" t="s">
        <v>3362</v>
      </c>
      <c r="P592" t="s">
        <v>3363</v>
      </c>
      <c r="Q592" t="s">
        <v>3363</v>
      </c>
      <c r="R592" t="s">
        <v>3357</v>
      </c>
      <c r="S592" t="s">
        <v>15211</v>
      </c>
      <c r="T592" t="s">
        <v>3386</v>
      </c>
      <c r="U592" t="s">
        <v>12498</v>
      </c>
      <c r="V592" t="s">
        <v>15230</v>
      </c>
    </row>
    <row r="593" spans="1:22" hidden="1">
      <c r="A593" t="s">
        <v>15304</v>
      </c>
      <c r="B593" t="s">
        <v>15441</v>
      </c>
      <c r="C593" t="s">
        <v>15448</v>
      </c>
      <c r="D593" t="s">
        <v>592</v>
      </c>
      <c r="E593" t="s">
        <v>3426</v>
      </c>
      <c r="F593" t="s">
        <v>3484</v>
      </c>
      <c r="G593" s="3">
        <v>37.584884693357701</v>
      </c>
      <c r="H593" s="3">
        <v>127.984233693322</v>
      </c>
      <c r="I593" t="s">
        <v>4358</v>
      </c>
      <c r="J593" t="s">
        <v>7717</v>
      </c>
      <c r="K593" t="s">
        <v>10940</v>
      </c>
      <c r="L593" t="s">
        <v>3368</v>
      </c>
      <c r="M593" t="s">
        <v>11907</v>
      </c>
      <c r="N593" t="s">
        <v>3365</v>
      </c>
      <c r="O593" t="s">
        <v>3362</v>
      </c>
      <c r="P593" t="s">
        <v>3363</v>
      </c>
      <c r="Q593" t="s">
        <v>3363</v>
      </c>
      <c r="R593" t="s">
        <v>3357</v>
      </c>
      <c r="S593" t="s">
        <v>15211</v>
      </c>
      <c r="T593" t="s">
        <v>3386</v>
      </c>
      <c r="U593" t="s">
        <v>12499</v>
      </c>
      <c r="V593" t="s">
        <v>15230</v>
      </c>
    </row>
    <row r="594" spans="1:22" hidden="1">
      <c r="A594" t="s">
        <v>15304</v>
      </c>
      <c r="B594" t="s">
        <v>15441</v>
      </c>
      <c r="C594" t="s">
        <v>15449</v>
      </c>
      <c r="D594" t="s">
        <v>593</v>
      </c>
      <c r="E594" t="s">
        <v>3427</v>
      </c>
      <c r="F594" t="s">
        <v>3429</v>
      </c>
      <c r="G594" s="3">
        <v>37.584884684376199</v>
      </c>
      <c r="H594" s="3">
        <v>127.984233339143</v>
      </c>
      <c r="I594" t="s">
        <v>4359</v>
      </c>
      <c r="J594" t="s">
        <v>7718</v>
      </c>
      <c r="K594" t="s">
        <v>10811</v>
      </c>
      <c r="L594" t="s">
        <v>3371</v>
      </c>
      <c r="M594" t="s">
        <v>11896</v>
      </c>
      <c r="N594" t="s">
        <v>3364</v>
      </c>
      <c r="O594" t="s">
        <v>3361</v>
      </c>
      <c r="P594" t="s">
        <v>3362</v>
      </c>
      <c r="Q594" t="s">
        <v>3360</v>
      </c>
      <c r="R594" t="s">
        <v>15211</v>
      </c>
      <c r="S594" t="s">
        <v>15211</v>
      </c>
      <c r="T594" t="s">
        <v>3379</v>
      </c>
      <c r="U594" t="s">
        <v>12500</v>
      </c>
      <c r="V594" t="s">
        <v>15231</v>
      </c>
    </row>
    <row r="595" spans="1:22" hidden="1">
      <c r="A595" t="s">
        <v>15304</v>
      </c>
      <c r="B595" t="s">
        <v>15441</v>
      </c>
      <c r="C595" t="s">
        <v>15449</v>
      </c>
      <c r="D595" t="s">
        <v>594</v>
      </c>
      <c r="E595" t="s">
        <v>3427</v>
      </c>
      <c r="F595" t="s">
        <v>3429</v>
      </c>
      <c r="G595" s="3">
        <v>37.584884684890397</v>
      </c>
      <c r="H595" s="3">
        <v>127.984233357831</v>
      </c>
      <c r="I595" t="s">
        <v>4360</v>
      </c>
      <c r="J595" t="s">
        <v>7719</v>
      </c>
      <c r="K595" t="s">
        <v>10941</v>
      </c>
      <c r="L595" t="s">
        <v>3366</v>
      </c>
      <c r="M595" t="s">
        <v>11896</v>
      </c>
      <c r="N595" t="s">
        <v>3364</v>
      </c>
      <c r="O595" t="s">
        <v>3361</v>
      </c>
      <c r="P595" t="s">
        <v>3362</v>
      </c>
      <c r="Q595" t="s">
        <v>3360</v>
      </c>
      <c r="R595" t="s">
        <v>15211</v>
      </c>
      <c r="S595" t="s">
        <v>15211</v>
      </c>
      <c r="T595" t="s">
        <v>3379</v>
      </c>
      <c r="U595" t="s">
        <v>12501</v>
      </c>
      <c r="V595" t="s">
        <v>15231</v>
      </c>
    </row>
    <row r="596" spans="1:22" hidden="1">
      <c r="A596" t="s">
        <v>15304</v>
      </c>
      <c r="B596" t="s">
        <v>15441</v>
      </c>
      <c r="C596" t="s">
        <v>15449</v>
      </c>
      <c r="D596" t="s">
        <v>595</v>
      </c>
      <c r="E596" t="s">
        <v>3427</v>
      </c>
      <c r="F596" t="s">
        <v>3429</v>
      </c>
      <c r="G596" s="3">
        <v>37.584884693947203</v>
      </c>
      <c r="H596" s="3">
        <v>127.984233334677</v>
      </c>
      <c r="I596" t="s">
        <v>4361</v>
      </c>
      <c r="J596" t="s">
        <v>7720</v>
      </c>
      <c r="K596" t="s">
        <v>10941</v>
      </c>
      <c r="L596" t="s">
        <v>3366</v>
      </c>
      <c r="M596" t="s">
        <v>11896</v>
      </c>
      <c r="N596" t="s">
        <v>3364</v>
      </c>
      <c r="O596" t="s">
        <v>3361</v>
      </c>
      <c r="P596" t="s">
        <v>3362</v>
      </c>
      <c r="Q596" t="s">
        <v>3360</v>
      </c>
      <c r="R596" t="s">
        <v>15211</v>
      </c>
      <c r="S596" t="s">
        <v>15211</v>
      </c>
      <c r="T596" t="s">
        <v>3379</v>
      </c>
      <c r="U596" t="s">
        <v>12502</v>
      </c>
      <c r="V596" t="s">
        <v>15231</v>
      </c>
    </row>
    <row r="597" spans="1:22" hidden="1">
      <c r="A597" t="s">
        <v>15304</v>
      </c>
      <c r="B597" t="s">
        <v>15442</v>
      </c>
      <c r="C597" t="s">
        <v>15445</v>
      </c>
      <c r="D597" t="s">
        <v>596</v>
      </c>
      <c r="E597" t="s">
        <v>3436</v>
      </c>
      <c r="F597" t="s">
        <v>3441</v>
      </c>
      <c r="G597" s="3">
        <v>37.584884606913903</v>
      </c>
      <c r="H597" s="3">
        <v>127.984233504202</v>
      </c>
      <c r="I597" t="s">
        <v>4362</v>
      </c>
      <c r="J597" t="s">
        <v>7721</v>
      </c>
      <c r="K597" t="s">
        <v>10942</v>
      </c>
      <c r="L597" t="s">
        <v>3366</v>
      </c>
      <c r="M597" t="s">
        <v>11894</v>
      </c>
      <c r="N597" t="s">
        <v>3365</v>
      </c>
      <c r="O597" t="s">
        <v>3361</v>
      </c>
      <c r="P597" t="s">
        <v>15211</v>
      </c>
      <c r="Q597" t="s">
        <v>15211</v>
      </c>
      <c r="R597" t="s">
        <v>15211</v>
      </c>
      <c r="S597" t="s">
        <v>15211</v>
      </c>
      <c r="T597" t="s">
        <v>3370</v>
      </c>
      <c r="U597" t="s">
        <v>12503</v>
      </c>
      <c r="V597" t="s">
        <v>15233</v>
      </c>
    </row>
    <row r="598" spans="1:22" hidden="1">
      <c r="A598" t="s">
        <v>15304</v>
      </c>
      <c r="B598" t="s">
        <v>15442</v>
      </c>
      <c r="C598" t="s">
        <v>15445</v>
      </c>
      <c r="D598" t="s">
        <v>597</v>
      </c>
      <c r="E598" t="s">
        <v>3430</v>
      </c>
      <c r="F598" t="s">
        <v>3432</v>
      </c>
      <c r="G598" s="3">
        <v>37.584884588048702</v>
      </c>
      <c r="H598" s="3">
        <v>127.984233506477</v>
      </c>
      <c r="I598" t="s">
        <v>4363</v>
      </c>
      <c r="J598" t="s">
        <v>7722</v>
      </c>
      <c r="K598" t="s">
        <v>10803</v>
      </c>
      <c r="L598" t="s">
        <v>3366</v>
      </c>
      <c r="M598" t="s">
        <v>11895</v>
      </c>
      <c r="N598" t="s">
        <v>3365</v>
      </c>
      <c r="O598" t="s">
        <v>3362</v>
      </c>
      <c r="P598" t="s">
        <v>15211</v>
      </c>
      <c r="Q598" t="s">
        <v>15211</v>
      </c>
      <c r="R598" t="s">
        <v>15211</v>
      </c>
      <c r="S598" t="s">
        <v>15211</v>
      </c>
      <c r="T598" t="s">
        <v>3371</v>
      </c>
      <c r="U598" t="s">
        <v>12504</v>
      </c>
      <c r="V598" t="s">
        <v>15233</v>
      </c>
    </row>
    <row r="599" spans="1:22" hidden="1">
      <c r="A599" t="s">
        <v>15304</v>
      </c>
      <c r="B599" t="s">
        <v>15442</v>
      </c>
      <c r="C599" t="s">
        <v>15445</v>
      </c>
      <c r="D599" t="s">
        <v>598</v>
      </c>
      <c r="E599" t="s">
        <v>3452</v>
      </c>
      <c r="F599" t="s">
        <v>3461</v>
      </c>
      <c r="G599" s="3">
        <v>37.584884567158902</v>
      </c>
      <c r="H599" s="3">
        <v>127.984233568778</v>
      </c>
      <c r="I599" t="s">
        <v>4364</v>
      </c>
      <c r="J599" t="s">
        <v>7723</v>
      </c>
      <c r="K599" t="s">
        <v>10803</v>
      </c>
      <c r="L599" t="s">
        <v>3374</v>
      </c>
      <c r="M599" t="s">
        <v>11895</v>
      </c>
      <c r="N599" t="s">
        <v>3365</v>
      </c>
      <c r="O599" t="s">
        <v>3362</v>
      </c>
      <c r="P599" t="s">
        <v>15211</v>
      </c>
      <c r="Q599" t="s">
        <v>15211</v>
      </c>
      <c r="R599" t="s">
        <v>15211</v>
      </c>
      <c r="S599" t="s">
        <v>15211</v>
      </c>
      <c r="T599" t="s">
        <v>3371</v>
      </c>
      <c r="U599" t="s">
        <v>12505</v>
      </c>
      <c r="V599" t="s">
        <v>15233</v>
      </c>
    </row>
    <row r="600" spans="1:22" hidden="1">
      <c r="A600" t="s">
        <v>15304</v>
      </c>
      <c r="B600" t="s">
        <v>15442</v>
      </c>
      <c r="C600" t="s">
        <v>15451</v>
      </c>
      <c r="D600" t="s">
        <v>599</v>
      </c>
      <c r="E600" t="s">
        <v>3438</v>
      </c>
      <c r="F600" t="s">
        <v>3434</v>
      </c>
      <c r="G600" s="3">
        <v>37.584884649528199</v>
      </c>
      <c r="H600" s="3">
        <v>127.984233434118</v>
      </c>
      <c r="I600" t="s">
        <v>4365</v>
      </c>
      <c r="J600" t="s">
        <v>7724</v>
      </c>
      <c r="K600" t="s">
        <v>10943</v>
      </c>
      <c r="L600" t="s">
        <v>3366</v>
      </c>
      <c r="M600" t="s">
        <v>11914</v>
      </c>
      <c r="N600" t="s">
        <v>3365</v>
      </c>
      <c r="O600" t="s">
        <v>3362</v>
      </c>
      <c r="P600" t="s">
        <v>3363</v>
      </c>
      <c r="Q600" t="s">
        <v>3361</v>
      </c>
      <c r="R600" t="s">
        <v>15211</v>
      </c>
      <c r="S600" t="s">
        <v>15211</v>
      </c>
      <c r="T600" t="s">
        <v>3383</v>
      </c>
      <c r="U600" t="s">
        <v>12506</v>
      </c>
      <c r="V600" t="s">
        <v>15234</v>
      </c>
    </row>
    <row r="601" spans="1:22" hidden="1">
      <c r="A601" t="s">
        <v>15304</v>
      </c>
      <c r="B601" t="s">
        <v>15442</v>
      </c>
      <c r="C601" t="s">
        <v>15451</v>
      </c>
      <c r="D601" t="s">
        <v>600</v>
      </c>
      <c r="E601" t="s">
        <v>3438</v>
      </c>
      <c r="F601" t="s">
        <v>3434</v>
      </c>
      <c r="G601" s="3">
        <v>37.584884676470097</v>
      </c>
      <c r="H601" s="3">
        <v>127.984233429559</v>
      </c>
      <c r="I601" t="s">
        <v>4366</v>
      </c>
      <c r="J601" t="s">
        <v>7725</v>
      </c>
      <c r="K601" t="s">
        <v>10944</v>
      </c>
      <c r="L601" t="s">
        <v>3366</v>
      </c>
      <c r="M601" t="s">
        <v>11912</v>
      </c>
      <c r="N601" t="s">
        <v>3365</v>
      </c>
      <c r="O601" t="s">
        <v>3361</v>
      </c>
      <c r="P601" t="s">
        <v>3363</v>
      </c>
      <c r="Q601" t="s">
        <v>3361</v>
      </c>
      <c r="R601" t="s">
        <v>15211</v>
      </c>
      <c r="S601" t="s">
        <v>15211</v>
      </c>
      <c r="T601" t="s">
        <v>3382</v>
      </c>
      <c r="U601" t="s">
        <v>12507</v>
      </c>
      <c r="V601" t="s">
        <v>15234</v>
      </c>
    </row>
    <row r="602" spans="1:22" hidden="1">
      <c r="A602" t="s">
        <v>15304</v>
      </c>
      <c r="B602" t="s">
        <v>15442</v>
      </c>
      <c r="C602" t="s">
        <v>15451</v>
      </c>
      <c r="D602" t="s">
        <v>601</v>
      </c>
      <c r="E602" t="s">
        <v>3438</v>
      </c>
      <c r="F602" t="s">
        <v>3431</v>
      </c>
      <c r="G602" s="3">
        <v>37.584884680126301</v>
      </c>
      <c r="H602" s="3">
        <v>127.98423346144899</v>
      </c>
      <c r="I602" t="s">
        <v>4367</v>
      </c>
      <c r="J602" t="s">
        <v>7726</v>
      </c>
      <c r="K602" t="s">
        <v>10819</v>
      </c>
      <c r="L602" t="s">
        <v>3366</v>
      </c>
      <c r="M602" t="s">
        <v>11912</v>
      </c>
      <c r="N602" t="s">
        <v>3365</v>
      </c>
      <c r="O602" t="s">
        <v>3361</v>
      </c>
      <c r="P602" t="s">
        <v>3363</v>
      </c>
      <c r="Q602" t="s">
        <v>3361</v>
      </c>
      <c r="R602" t="s">
        <v>15211</v>
      </c>
      <c r="S602" t="s">
        <v>15211</v>
      </c>
      <c r="T602" t="s">
        <v>3382</v>
      </c>
      <c r="U602" t="s">
        <v>12508</v>
      </c>
      <c r="V602" t="s">
        <v>15234</v>
      </c>
    </row>
    <row r="603" spans="1:22" hidden="1">
      <c r="A603" t="s">
        <v>15304</v>
      </c>
      <c r="B603" t="s">
        <v>15442</v>
      </c>
      <c r="C603" t="s">
        <v>15450</v>
      </c>
      <c r="D603" t="s">
        <v>602</v>
      </c>
      <c r="E603" t="s">
        <v>3430</v>
      </c>
      <c r="F603" t="s">
        <v>3463</v>
      </c>
      <c r="G603" s="3">
        <v>37.584896235546601</v>
      </c>
      <c r="H603" s="3">
        <v>127.984234433182</v>
      </c>
      <c r="I603" t="s">
        <v>4368</v>
      </c>
      <c r="J603" t="s">
        <v>7727</v>
      </c>
      <c r="K603" t="s">
        <v>10945</v>
      </c>
      <c r="L603" t="s">
        <v>3414</v>
      </c>
      <c r="M603" t="s">
        <v>11885</v>
      </c>
      <c r="N603" t="s">
        <v>3363</v>
      </c>
      <c r="O603" t="s">
        <v>3361</v>
      </c>
      <c r="P603" t="s">
        <v>15211</v>
      </c>
      <c r="Q603" t="s">
        <v>15211</v>
      </c>
      <c r="R603" t="s">
        <v>15211</v>
      </c>
      <c r="S603" t="s">
        <v>15211</v>
      </c>
      <c r="T603" t="s">
        <v>3368</v>
      </c>
      <c r="U603" t="s">
        <v>12509</v>
      </c>
      <c r="V603" t="s">
        <v>15232</v>
      </c>
    </row>
    <row r="604" spans="1:22" hidden="1">
      <c r="A604" t="s">
        <v>15304</v>
      </c>
      <c r="B604" t="s">
        <v>15442</v>
      </c>
      <c r="C604" t="s">
        <v>15450</v>
      </c>
      <c r="D604" t="s">
        <v>603</v>
      </c>
      <c r="E604" t="s">
        <v>3429</v>
      </c>
      <c r="F604" t="s">
        <v>3463</v>
      </c>
      <c r="G604" s="3">
        <v>37.584896246270198</v>
      </c>
      <c r="H604" s="3">
        <v>127.98423442505501</v>
      </c>
      <c r="I604" t="s">
        <v>4369</v>
      </c>
      <c r="J604" t="s">
        <v>7728</v>
      </c>
      <c r="K604" t="s">
        <v>10946</v>
      </c>
      <c r="L604" t="s">
        <v>3366</v>
      </c>
      <c r="M604" t="s">
        <v>11885</v>
      </c>
      <c r="N604" t="s">
        <v>3363</v>
      </c>
      <c r="O604" t="s">
        <v>3361</v>
      </c>
      <c r="P604" t="s">
        <v>15211</v>
      </c>
      <c r="Q604" t="s">
        <v>15211</v>
      </c>
      <c r="R604" t="s">
        <v>15211</v>
      </c>
      <c r="S604" t="s">
        <v>15211</v>
      </c>
      <c r="T604" t="s">
        <v>3368</v>
      </c>
      <c r="U604" t="s">
        <v>12510</v>
      </c>
      <c r="V604" t="s">
        <v>15232</v>
      </c>
    </row>
    <row r="605" spans="1:22" hidden="1">
      <c r="A605" t="s">
        <v>15304</v>
      </c>
      <c r="B605" t="s">
        <v>15442</v>
      </c>
      <c r="C605" t="s">
        <v>15450</v>
      </c>
      <c r="D605" t="s">
        <v>604</v>
      </c>
      <c r="E605" t="s">
        <v>3442</v>
      </c>
      <c r="F605" t="s">
        <v>3484</v>
      </c>
      <c r="G605" s="3">
        <v>37.584896242937504</v>
      </c>
      <c r="H605" s="3">
        <v>127.984234408264</v>
      </c>
      <c r="I605" t="s">
        <v>4370</v>
      </c>
      <c r="J605" t="s">
        <v>7729</v>
      </c>
      <c r="K605" t="s">
        <v>10946</v>
      </c>
      <c r="L605" t="s">
        <v>3366</v>
      </c>
      <c r="M605" t="s">
        <v>11885</v>
      </c>
      <c r="N605" t="s">
        <v>3363</v>
      </c>
      <c r="O605" t="s">
        <v>3361</v>
      </c>
      <c r="P605" t="s">
        <v>15211</v>
      </c>
      <c r="Q605" t="s">
        <v>15211</v>
      </c>
      <c r="R605" t="s">
        <v>15211</v>
      </c>
      <c r="S605" t="s">
        <v>15211</v>
      </c>
      <c r="T605" t="s">
        <v>3368</v>
      </c>
      <c r="U605" t="s">
        <v>12511</v>
      </c>
      <c r="V605" t="s">
        <v>15232</v>
      </c>
    </row>
    <row r="606" spans="1:22" hidden="1">
      <c r="A606" t="s">
        <v>15389</v>
      </c>
      <c r="B606" t="s">
        <v>15441</v>
      </c>
      <c r="C606" t="s">
        <v>15445</v>
      </c>
      <c r="D606" t="s">
        <v>605</v>
      </c>
      <c r="E606" t="s">
        <v>3463</v>
      </c>
      <c r="F606" t="s">
        <v>3461</v>
      </c>
      <c r="G606" s="3">
        <v>37.708458702885302</v>
      </c>
      <c r="H606" s="3">
        <v>127.90866899295</v>
      </c>
      <c r="I606" t="s">
        <v>4371</v>
      </c>
      <c r="J606" t="s">
        <v>7730</v>
      </c>
      <c r="K606" t="s">
        <v>10947</v>
      </c>
      <c r="L606" t="s">
        <v>3370</v>
      </c>
      <c r="M606" t="s">
        <v>11890</v>
      </c>
      <c r="N606" t="s">
        <v>3363</v>
      </c>
      <c r="O606" t="s">
        <v>3362</v>
      </c>
      <c r="P606" t="s">
        <v>15211</v>
      </c>
      <c r="Q606" t="s">
        <v>15211</v>
      </c>
      <c r="R606" t="s">
        <v>15211</v>
      </c>
      <c r="S606" t="s">
        <v>15211</v>
      </c>
      <c r="T606" t="s">
        <v>3369</v>
      </c>
      <c r="U606" t="s">
        <v>12512</v>
      </c>
      <c r="V606" t="s">
        <v>15228</v>
      </c>
    </row>
    <row r="607" spans="1:22" hidden="1">
      <c r="A607" t="s">
        <v>15389</v>
      </c>
      <c r="B607" t="s">
        <v>15441</v>
      </c>
      <c r="C607" t="s">
        <v>15445</v>
      </c>
      <c r="D607" t="s">
        <v>606</v>
      </c>
      <c r="E607" t="s">
        <v>3464</v>
      </c>
      <c r="F607" t="s">
        <v>3462</v>
      </c>
      <c r="G607" s="3">
        <v>37.708458674645797</v>
      </c>
      <c r="H607" s="3">
        <v>127.908669040173</v>
      </c>
      <c r="I607" t="s">
        <v>4372</v>
      </c>
      <c r="J607" t="s">
        <v>7731</v>
      </c>
      <c r="K607" t="s">
        <v>10948</v>
      </c>
      <c r="L607" t="s">
        <v>3368</v>
      </c>
      <c r="M607" t="s">
        <v>11885</v>
      </c>
      <c r="N607" t="s">
        <v>3362</v>
      </c>
      <c r="O607" t="s">
        <v>3362</v>
      </c>
      <c r="P607" t="s">
        <v>15211</v>
      </c>
      <c r="Q607" t="s">
        <v>15211</v>
      </c>
      <c r="R607" t="s">
        <v>15211</v>
      </c>
      <c r="S607" t="s">
        <v>15211</v>
      </c>
      <c r="T607" t="s">
        <v>3368</v>
      </c>
      <c r="U607" t="s">
        <v>12513</v>
      </c>
      <c r="V607" t="s">
        <v>15228</v>
      </c>
    </row>
    <row r="608" spans="1:22" hidden="1">
      <c r="A608" t="s">
        <v>15389</v>
      </c>
      <c r="B608" t="s">
        <v>15441</v>
      </c>
      <c r="C608" t="s">
        <v>15445</v>
      </c>
      <c r="D608" t="s">
        <v>607</v>
      </c>
      <c r="E608" t="s">
        <v>3460</v>
      </c>
      <c r="F608" t="s">
        <v>3462</v>
      </c>
      <c r="G608" s="3">
        <v>37.708458617467997</v>
      </c>
      <c r="H608" s="3">
        <v>127.90866903463299</v>
      </c>
      <c r="I608" t="s">
        <v>4373</v>
      </c>
      <c r="J608" t="s">
        <v>7732</v>
      </c>
      <c r="K608" t="s">
        <v>10949</v>
      </c>
      <c r="L608" t="s">
        <v>3366</v>
      </c>
      <c r="M608" t="s">
        <v>11885</v>
      </c>
      <c r="N608" t="s">
        <v>3363</v>
      </c>
      <c r="O608" t="s">
        <v>3361</v>
      </c>
      <c r="P608" t="s">
        <v>15211</v>
      </c>
      <c r="Q608" t="s">
        <v>15211</v>
      </c>
      <c r="R608" t="s">
        <v>15211</v>
      </c>
      <c r="S608" t="s">
        <v>15211</v>
      </c>
      <c r="T608" t="s">
        <v>3368</v>
      </c>
      <c r="U608" t="s">
        <v>12514</v>
      </c>
      <c r="V608" t="s">
        <v>15228</v>
      </c>
    </row>
    <row r="609" spans="1:22" hidden="1">
      <c r="A609" t="s">
        <v>15389</v>
      </c>
      <c r="B609" t="s">
        <v>15441</v>
      </c>
      <c r="C609" t="s">
        <v>15448</v>
      </c>
      <c r="D609" t="s">
        <v>608</v>
      </c>
      <c r="E609" t="s">
        <v>3461</v>
      </c>
      <c r="F609" t="s">
        <v>3581</v>
      </c>
      <c r="G609" s="3">
        <v>37.708458587334</v>
      </c>
      <c r="H609" s="3">
        <v>127.908669093569</v>
      </c>
      <c r="I609" t="s">
        <v>4374</v>
      </c>
      <c r="J609" t="s">
        <v>7733</v>
      </c>
      <c r="K609" t="s">
        <v>10950</v>
      </c>
      <c r="L609" t="s">
        <v>3368</v>
      </c>
      <c r="M609" t="s">
        <v>11914</v>
      </c>
      <c r="N609" t="s">
        <v>3364</v>
      </c>
      <c r="O609" t="s">
        <v>3362</v>
      </c>
      <c r="P609" t="s">
        <v>3362</v>
      </c>
      <c r="Q609" t="s">
        <v>3363</v>
      </c>
      <c r="R609" t="s">
        <v>3357</v>
      </c>
      <c r="S609" t="s">
        <v>15211</v>
      </c>
      <c r="T609" t="s">
        <v>3384</v>
      </c>
      <c r="U609" t="s">
        <v>12515</v>
      </c>
      <c r="V609" t="s">
        <v>15230</v>
      </c>
    </row>
    <row r="610" spans="1:22" hidden="1">
      <c r="A610" t="s">
        <v>15389</v>
      </c>
      <c r="B610" t="s">
        <v>15441</v>
      </c>
      <c r="C610" t="s">
        <v>15448</v>
      </c>
      <c r="D610" t="s">
        <v>609</v>
      </c>
      <c r="E610" t="s">
        <v>3432</v>
      </c>
      <c r="F610" t="s">
        <v>3491</v>
      </c>
      <c r="G610" s="3">
        <v>37.708458552506599</v>
      </c>
      <c r="H610" s="3">
        <v>127.908669037259</v>
      </c>
      <c r="I610" t="s">
        <v>4375</v>
      </c>
      <c r="J610" t="s">
        <v>7734</v>
      </c>
      <c r="K610" t="s">
        <v>10951</v>
      </c>
      <c r="L610" t="s">
        <v>3366</v>
      </c>
      <c r="M610" t="s">
        <v>11914</v>
      </c>
      <c r="N610" t="s">
        <v>3364</v>
      </c>
      <c r="O610" t="s">
        <v>3362</v>
      </c>
      <c r="P610" t="s">
        <v>3362</v>
      </c>
      <c r="Q610" t="s">
        <v>3362</v>
      </c>
      <c r="R610" t="s">
        <v>3357</v>
      </c>
      <c r="S610" t="s">
        <v>15211</v>
      </c>
      <c r="T610" t="s">
        <v>3383</v>
      </c>
      <c r="U610" t="s">
        <v>12516</v>
      </c>
      <c r="V610" t="s">
        <v>15230</v>
      </c>
    </row>
    <row r="611" spans="1:22" hidden="1">
      <c r="A611" t="s">
        <v>15389</v>
      </c>
      <c r="B611" t="s">
        <v>15441</v>
      </c>
      <c r="C611" t="s">
        <v>15448</v>
      </c>
      <c r="D611" t="s">
        <v>610</v>
      </c>
      <c r="E611" t="s">
        <v>3453</v>
      </c>
      <c r="F611" t="s">
        <v>3610</v>
      </c>
      <c r="G611" s="3">
        <v>37.708458546790901</v>
      </c>
      <c r="H611" s="3">
        <v>127.908669001276</v>
      </c>
      <c r="I611" t="s">
        <v>4376</v>
      </c>
      <c r="J611" t="s">
        <v>7735</v>
      </c>
      <c r="K611" t="s">
        <v>10951</v>
      </c>
      <c r="L611" t="s">
        <v>3366</v>
      </c>
      <c r="M611" t="s">
        <v>11914</v>
      </c>
      <c r="N611" t="s">
        <v>3364</v>
      </c>
      <c r="O611" t="s">
        <v>3362</v>
      </c>
      <c r="P611" t="s">
        <v>3362</v>
      </c>
      <c r="Q611" t="s">
        <v>3362</v>
      </c>
      <c r="R611" t="s">
        <v>3357</v>
      </c>
      <c r="S611" t="s">
        <v>15211</v>
      </c>
      <c r="T611" t="s">
        <v>3383</v>
      </c>
      <c r="U611" t="s">
        <v>12517</v>
      </c>
      <c r="V611" t="s">
        <v>15230</v>
      </c>
    </row>
    <row r="612" spans="1:22" hidden="1">
      <c r="A612" t="s">
        <v>15389</v>
      </c>
      <c r="B612" t="s">
        <v>15441</v>
      </c>
      <c r="C612" t="s">
        <v>15449</v>
      </c>
      <c r="D612" t="s">
        <v>611</v>
      </c>
      <c r="E612" t="s">
        <v>3431</v>
      </c>
      <c r="F612" t="s">
        <v>3432</v>
      </c>
      <c r="G612" s="3">
        <v>37.708458454032098</v>
      </c>
      <c r="H612" s="3">
        <v>127.908669399744</v>
      </c>
      <c r="I612" t="s">
        <v>4377</v>
      </c>
      <c r="J612" t="s">
        <v>7736</v>
      </c>
      <c r="K612" t="s">
        <v>10635</v>
      </c>
      <c r="L612" t="s">
        <v>3370</v>
      </c>
      <c r="M612" t="s">
        <v>11896</v>
      </c>
      <c r="N612" t="s">
        <v>3364</v>
      </c>
      <c r="O612" t="s">
        <v>3361</v>
      </c>
      <c r="P612" t="s">
        <v>3362</v>
      </c>
      <c r="Q612" t="s">
        <v>3360</v>
      </c>
      <c r="R612" t="s">
        <v>15211</v>
      </c>
      <c r="S612" t="s">
        <v>15211</v>
      </c>
      <c r="T612" t="s">
        <v>3379</v>
      </c>
      <c r="U612" t="s">
        <v>12518</v>
      </c>
      <c r="V612" t="s">
        <v>15231</v>
      </c>
    </row>
    <row r="613" spans="1:22" hidden="1">
      <c r="A613" t="s">
        <v>15389</v>
      </c>
      <c r="B613" t="s">
        <v>15441</v>
      </c>
      <c r="C613" t="s">
        <v>15449</v>
      </c>
      <c r="D613" t="s">
        <v>612</v>
      </c>
      <c r="E613" t="s">
        <v>3425</v>
      </c>
      <c r="F613" t="s">
        <v>3453</v>
      </c>
      <c r="G613" s="3">
        <v>37.7084584326523</v>
      </c>
      <c r="H613" s="3">
        <v>127.90866941051</v>
      </c>
      <c r="I613" t="s">
        <v>4378</v>
      </c>
      <c r="J613" t="s">
        <v>7737</v>
      </c>
      <c r="K613" t="s">
        <v>10635</v>
      </c>
      <c r="L613" t="s">
        <v>3366</v>
      </c>
      <c r="M613" t="s">
        <v>11896</v>
      </c>
      <c r="N613" t="s">
        <v>3364</v>
      </c>
      <c r="O613" t="s">
        <v>3361</v>
      </c>
      <c r="P613" t="s">
        <v>3362</v>
      </c>
      <c r="Q613" t="s">
        <v>3360</v>
      </c>
      <c r="R613" t="s">
        <v>15211</v>
      </c>
      <c r="S613" t="s">
        <v>15211</v>
      </c>
      <c r="T613" t="s">
        <v>3379</v>
      </c>
      <c r="U613" t="s">
        <v>12519</v>
      </c>
      <c r="V613" t="s">
        <v>15231</v>
      </c>
    </row>
    <row r="614" spans="1:22" hidden="1">
      <c r="A614" t="s">
        <v>15389</v>
      </c>
      <c r="B614" t="s">
        <v>15441</v>
      </c>
      <c r="C614" t="s">
        <v>15449</v>
      </c>
      <c r="D614" t="s">
        <v>613</v>
      </c>
      <c r="E614" t="s">
        <v>3425</v>
      </c>
      <c r="F614" t="s">
        <v>3441</v>
      </c>
      <c r="G614" s="3">
        <v>37.708458466912802</v>
      </c>
      <c r="H614" s="3">
        <v>127.908669376886</v>
      </c>
      <c r="I614" t="s">
        <v>4379</v>
      </c>
      <c r="J614" t="s">
        <v>7738</v>
      </c>
      <c r="K614" t="s">
        <v>3527</v>
      </c>
      <c r="L614" t="s">
        <v>3366</v>
      </c>
      <c r="M614" t="s">
        <v>11888</v>
      </c>
      <c r="N614" t="s">
        <v>3364</v>
      </c>
      <c r="O614" t="s">
        <v>3361</v>
      </c>
      <c r="P614" t="s">
        <v>3362</v>
      </c>
      <c r="Q614" t="s">
        <v>3360</v>
      </c>
      <c r="R614" t="s">
        <v>15211</v>
      </c>
      <c r="S614" t="s">
        <v>15211</v>
      </c>
      <c r="T614" t="s">
        <v>3379</v>
      </c>
      <c r="U614" t="s">
        <v>12520</v>
      </c>
      <c r="V614" t="s">
        <v>15231</v>
      </c>
    </row>
    <row r="615" spans="1:22" hidden="1">
      <c r="A615" t="s">
        <v>15389</v>
      </c>
      <c r="B615" t="s">
        <v>15441</v>
      </c>
      <c r="C615" t="s">
        <v>15446</v>
      </c>
      <c r="D615" t="s">
        <v>614</v>
      </c>
      <c r="E615" t="s">
        <v>3433</v>
      </c>
      <c r="F615" t="s">
        <v>3463</v>
      </c>
      <c r="G615" s="3">
        <v>37.708458632002198</v>
      </c>
      <c r="H615" s="3">
        <v>127.908669129415</v>
      </c>
      <c r="I615" t="s">
        <v>4380</v>
      </c>
      <c r="J615" t="s">
        <v>7739</v>
      </c>
      <c r="K615" t="s">
        <v>10952</v>
      </c>
      <c r="L615" t="s">
        <v>3384</v>
      </c>
      <c r="M615" t="s">
        <v>11885</v>
      </c>
      <c r="N615" t="s">
        <v>3363</v>
      </c>
      <c r="O615" t="s">
        <v>3361</v>
      </c>
      <c r="P615" t="s">
        <v>15211</v>
      </c>
      <c r="Q615" t="s">
        <v>15211</v>
      </c>
      <c r="R615" t="s">
        <v>15211</v>
      </c>
      <c r="S615" t="s">
        <v>15211</v>
      </c>
      <c r="T615" t="s">
        <v>3368</v>
      </c>
      <c r="U615" t="s">
        <v>12521</v>
      </c>
      <c r="V615" t="s">
        <v>15229</v>
      </c>
    </row>
    <row r="616" spans="1:22" hidden="1">
      <c r="A616" t="s">
        <v>15389</v>
      </c>
      <c r="B616" t="s">
        <v>15441</v>
      </c>
      <c r="C616" t="s">
        <v>15446</v>
      </c>
      <c r="D616" t="s">
        <v>615</v>
      </c>
      <c r="E616" t="s">
        <v>3432</v>
      </c>
      <c r="F616" t="s">
        <v>3450</v>
      </c>
      <c r="G616" s="3">
        <v>37.708458593030102</v>
      </c>
      <c r="H616" s="3">
        <v>127.908669195465</v>
      </c>
      <c r="I616" t="s">
        <v>4381</v>
      </c>
      <c r="J616" t="s">
        <v>7740</v>
      </c>
      <c r="K616" t="s">
        <v>10953</v>
      </c>
      <c r="L616" t="s">
        <v>3366</v>
      </c>
      <c r="M616" t="s">
        <v>11885</v>
      </c>
      <c r="N616" t="s">
        <v>3363</v>
      </c>
      <c r="O616" t="s">
        <v>3361</v>
      </c>
      <c r="P616" t="s">
        <v>15211</v>
      </c>
      <c r="Q616" t="s">
        <v>15211</v>
      </c>
      <c r="R616" t="s">
        <v>15211</v>
      </c>
      <c r="S616" t="s">
        <v>15211</v>
      </c>
      <c r="T616" t="s">
        <v>3368</v>
      </c>
      <c r="U616" t="s">
        <v>12522</v>
      </c>
      <c r="V616" t="s">
        <v>15229</v>
      </c>
    </row>
    <row r="617" spans="1:22" hidden="1">
      <c r="A617" t="s">
        <v>15389</v>
      </c>
      <c r="B617" t="s">
        <v>15441</v>
      </c>
      <c r="C617" t="s">
        <v>15446</v>
      </c>
      <c r="D617" t="s">
        <v>616</v>
      </c>
      <c r="E617" t="s">
        <v>3432</v>
      </c>
      <c r="F617" t="s">
        <v>3450</v>
      </c>
      <c r="G617" s="3">
        <v>37.708458588466499</v>
      </c>
      <c r="H617" s="3">
        <v>127.90866921877701</v>
      </c>
      <c r="I617" t="s">
        <v>4382</v>
      </c>
      <c r="J617" t="s">
        <v>7741</v>
      </c>
      <c r="K617" t="s">
        <v>10740</v>
      </c>
      <c r="L617" t="s">
        <v>3366</v>
      </c>
      <c r="M617" t="s">
        <v>11890</v>
      </c>
      <c r="N617" t="s">
        <v>3363</v>
      </c>
      <c r="O617" t="s">
        <v>3361</v>
      </c>
      <c r="P617" t="s">
        <v>15211</v>
      </c>
      <c r="Q617" t="s">
        <v>15211</v>
      </c>
      <c r="R617" t="s">
        <v>15211</v>
      </c>
      <c r="S617" t="s">
        <v>15211</v>
      </c>
      <c r="T617" t="s">
        <v>3368</v>
      </c>
      <c r="U617" t="s">
        <v>12523</v>
      </c>
      <c r="V617" t="s">
        <v>15229</v>
      </c>
    </row>
    <row r="618" spans="1:22" hidden="1">
      <c r="A618" t="s">
        <v>15389</v>
      </c>
      <c r="B618" t="s">
        <v>15444</v>
      </c>
      <c r="C618" t="s">
        <v>15451</v>
      </c>
      <c r="D618" t="s">
        <v>617</v>
      </c>
      <c r="E618" t="s">
        <v>3450</v>
      </c>
      <c r="F618" t="s">
        <v>3551</v>
      </c>
      <c r="G618" s="3">
        <v>37.708458390728303</v>
      </c>
      <c r="H618" s="3">
        <v>127.908669446396</v>
      </c>
      <c r="I618" t="s">
        <v>4383</v>
      </c>
      <c r="J618" t="s">
        <v>7742</v>
      </c>
      <c r="K618" t="s">
        <v>10954</v>
      </c>
      <c r="L618" t="s">
        <v>3367</v>
      </c>
      <c r="M618" t="s">
        <v>11912</v>
      </c>
      <c r="N618" t="s">
        <v>3364</v>
      </c>
      <c r="O618" t="s">
        <v>3362</v>
      </c>
      <c r="P618" t="s">
        <v>3362</v>
      </c>
      <c r="Q618" t="s">
        <v>3362</v>
      </c>
      <c r="R618" t="s">
        <v>15211</v>
      </c>
      <c r="S618" t="s">
        <v>15211</v>
      </c>
      <c r="T618" t="s">
        <v>3382</v>
      </c>
      <c r="U618" t="s">
        <v>12524</v>
      </c>
      <c r="V618" t="s">
        <v>15241</v>
      </c>
    </row>
    <row r="619" spans="1:22" hidden="1">
      <c r="A619" t="s">
        <v>15389</v>
      </c>
      <c r="B619" t="s">
        <v>15444</v>
      </c>
      <c r="C619" t="s">
        <v>15451</v>
      </c>
      <c r="D619" t="s">
        <v>618</v>
      </c>
      <c r="E619" t="s">
        <v>3433</v>
      </c>
      <c r="F619" t="s">
        <v>3612</v>
      </c>
      <c r="G619" s="3">
        <v>37.708458381633697</v>
      </c>
      <c r="H619" s="3">
        <v>127.908669381416</v>
      </c>
      <c r="I619" t="s">
        <v>4384</v>
      </c>
      <c r="J619" t="s">
        <v>7743</v>
      </c>
      <c r="K619" t="s">
        <v>10954</v>
      </c>
      <c r="L619" t="s">
        <v>3366</v>
      </c>
      <c r="M619" t="s">
        <v>11912</v>
      </c>
      <c r="N619" t="s">
        <v>3364</v>
      </c>
      <c r="O619" t="s">
        <v>3362</v>
      </c>
      <c r="P619" t="s">
        <v>3362</v>
      </c>
      <c r="Q619" t="s">
        <v>3362</v>
      </c>
      <c r="R619" t="s">
        <v>15211</v>
      </c>
      <c r="S619" t="s">
        <v>15211</v>
      </c>
      <c r="T619" t="s">
        <v>3382</v>
      </c>
      <c r="U619" t="s">
        <v>12525</v>
      </c>
      <c r="V619" t="s">
        <v>15241</v>
      </c>
    </row>
    <row r="620" spans="1:22" hidden="1">
      <c r="A620" t="s">
        <v>15389</v>
      </c>
      <c r="B620" t="s">
        <v>15444</v>
      </c>
      <c r="C620" t="s">
        <v>15451</v>
      </c>
      <c r="D620" t="s">
        <v>619</v>
      </c>
      <c r="E620" t="s">
        <v>3433</v>
      </c>
      <c r="F620" t="s">
        <v>3544</v>
      </c>
      <c r="G620" s="3">
        <v>37.708458401687103</v>
      </c>
      <c r="H620" s="3">
        <v>127.90866928953299</v>
      </c>
      <c r="I620" t="s">
        <v>4385</v>
      </c>
      <c r="J620" t="s">
        <v>7744</v>
      </c>
      <c r="K620" t="s">
        <v>10955</v>
      </c>
      <c r="L620" t="s">
        <v>3366</v>
      </c>
      <c r="M620" t="s">
        <v>11893</v>
      </c>
      <c r="N620" t="s">
        <v>3364</v>
      </c>
      <c r="O620" t="s">
        <v>3361</v>
      </c>
      <c r="P620" t="s">
        <v>3362</v>
      </c>
      <c r="Q620" t="s">
        <v>3362</v>
      </c>
      <c r="R620" t="s">
        <v>15211</v>
      </c>
      <c r="S620" t="s">
        <v>15211</v>
      </c>
      <c r="T620" t="s">
        <v>3381</v>
      </c>
      <c r="U620" t="s">
        <v>12526</v>
      </c>
      <c r="V620" t="s">
        <v>15241</v>
      </c>
    </row>
    <row r="621" spans="1:22" hidden="1">
      <c r="A621" t="s">
        <v>15389</v>
      </c>
      <c r="B621" t="s">
        <v>15444</v>
      </c>
      <c r="C621" t="s">
        <v>15445</v>
      </c>
      <c r="D621" t="s">
        <v>620</v>
      </c>
      <c r="E621" t="s">
        <v>3464</v>
      </c>
      <c r="F621" t="s">
        <v>3563</v>
      </c>
      <c r="G621" s="3">
        <v>37.708458522222699</v>
      </c>
      <c r="H621" s="3">
        <v>127.908669172641</v>
      </c>
      <c r="I621" t="s">
        <v>4386</v>
      </c>
      <c r="J621" t="s">
        <v>7745</v>
      </c>
      <c r="K621" t="s">
        <v>10956</v>
      </c>
      <c r="L621" t="s">
        <v>3416</v>
      </c>
      <c r="M621" t="s">
        <v>11890</v>
      </c>
      <c r="N621" t="s">
        <v>3363</v>
      </c>
      <c r="O621" t="s">
        <v>3362</v>
      </c>
      <c r="P621" t="s">
        <v>15211</v>
      </c>
      <c r="Q621" t="s">
        <v>15211</v>
      </c>
      <c r="R621" t="s">
        <v>15211</v>
      </c>
      <c r="S621" t="s">
        <v>15211</v>
      </c>
      <c r="T621" t="s">
        <v>3369</v>
      </c>
      <c r="U621" t="s">
        <v>12527</v>
      </c>
      <c r="V621" t="s">
        <v>15242</v>
      </c>
    </row>
    <row r="622" spans="1:22" hidden="1">
      <c r="A622" t="s">
        <v>15389</v>
      </c>
      <c r="B622" t="s">
        <v>15444</v>
      </c>
      <c r="C622" t="s">
        <v>15445</v>
      </c>
      <c r="D622" t="s">
        <v>621</v>
      </c>
      <c r="E622" t="s">
        <v>3458</v>
      </c>
      <c r="F622" t="s">
        <v>3613</v>
      </c>
      <c r="G622" s="3">
        <v>37.708458504404597</v>
      </c>
      <c r="H622" s="3">
        <v>127.90866913835001</v>
      </c>
      <c r="I622" t="s">
        <v>4387</v>
      </c>
      <c r="J622" t="s">
        <v>7746</v>
      </c>
      <c r="K622" t="s">
        <v>10901</v>
      </c>
      <c r="L622" t="s">
        <v>3404</v>
      </c>
      <c r="M622" t="s">
        <v>11894</v>
      </c>
      <c r="N622" t="s">
        <v>3363</v>
      </c>
      <c r="O622" t="s">
        <v>3362</v>
      </c>
      <c r="P622" t="s">
        <v>15211</v>
      </c>
      <c r="Q622" t="s">
        <v>15211</v>
      </c>
      <c r="R622" t="s">
        <v>15211</v>
      </c>
      <c r="S622" t="s">
        <v>15211</v>
      </c>
      <c r="T622" t="s">
        <v>3369</v>
      </c>
      <c r="U622" t="s">
        <v>12528</v>
      </c>
      <c r="V622" t="s">
        <v>15242</v>
      </c>
    </row>
    <row r="623" spans="1:22" hidden="1">
      <c r="A623" t="s">
        <v>15389</v>
      </c>
      <c r="B623" t="s">
        <v>15443</v>
      </c>
      <c r="C623" t="s">
        <v>15465</v>
      </c>
      <c r="D623" t="s">
        <v>622</v>
      </c>
      <c r="E623" t="s">
        <v>3430</v>
      </c>
      <c r="F623" t="s">
        <v>3466</v>
      </c>
      <c r="G623" s="3">
        <v>37.708458500208103</v>
      </c>
      <c r="H623" s="3">
        <v>127.90866908475699</v>
      </c>
      <c r="I623" t="s">
        <v>4388</v>
      </c>
      <c r="J623" t="s">
        <v>7747</v>
      </c>
      <c r="K623" t="s">
        <v>10957</v>
      </c>
      <c r="L623" t="s">
        <v>3368</v>
      </c>
      <c r="M623" t="s">
        <v>11903</v>
      </c>
      <c r="N623" t="s">
        <v>3360</v>
      </c>
      <c r="O623" t="s">
        <v>15211</v>
      </c>
      <c r="P623" t="s">
        <v>3362</v>
      </c>
      <c r="Q623" t="s">
        <v>3362</v>
      </c>
      <c r="R623" t="s">
        <v>15211</v>
      </c>
      <c r="S623" t="s">
        <v>15211</v>
      </c>
      <c r="T623" t="s">
        <v>3372</v>
      </c>
      <c r="U623" t="s">
        <v>12529</v>
      </c>
      <c r="V623" t="s">
        <v>15243</v>
      </c>
    </row>
    <row r="624" spans="1:22" hidden="1">
      <c r="A624" t="s">
        <v>15389</v>
      </c>
      <c r="B624" t="s">
        <v>15443</v>
      </c>
      <c r="C624" t="s">
        <v>15465</v>
      </c>
      <c r="D624" t="s">
        <v>623</v>
      </c>
      <c r="E624" t="s">
        <v>3429</v>
      </c>
      <c r="F624" t="s">
        <v>3515</v>
      </c>
      <c r="G624" s="3">
        <v>37.708458492039099</v>
      </c>
      <c r="H624" s="3">
        <v>127.90866909435999</v>
      </c>
      <c r="I624" t="s">
        <v>4389</v>
      </c>
      <c r="J624" t="s">
        <v>7748</v>
      </c>
      <c r="K624" t="s">
        <v>10957</v>
      </c>
      <c r="L624" t="s">
        <v>3366</v>
      </c>
      <c r="M624" t="s">
        <v>11903</v>
      </c>
      <c r="N624" t="s">
        <v>3360</v>
      </c>
      <c r="O624" t="s">
        <v>15211</v>
      </c>
      <c r="P624" t="s">
        <v>3362</v>
      </c>
      <c r="Q624" t="s">
        <v>3362</v>
      </c>
      <c r="R624" t="s">
        <v>15211</v>
      </c>
      <c r="S624" t="s">
        <v>15211</v>
      </c>
      <c r="T624" t="s">
        <v>3372</v>
      </c>
      <c r="U624" t="s">
        <v>12530</v>
      </c>
      <c r="V624" t="s">
        <v>15243</v>
      </c>
    </row>
    <row r="625" spans="1:22" hidden="1">
      <c r="A625" t="s">
        <v>15389</v>
      </c>
      <c r="B625" t="s">
        <v>15443</v>
      </c>
      <c r="C625" t="s">
        <v>15465</v>
      </c>
      <c r="D625" t="s">
        <v>624</v>
      </c>
      <c r="E625" t="s">
        <v>3429</v>
      </c>
      <c r="F625" t="s">
        <v>3515</v>
      </c>
      <c r="G625" s="3">
        <v>37.708458537066399</v>
      </c>
      <c r="H625" s="3">
        <v>127.90866907386</v>
      </c>
      <c r="I625" t="s">
        <v>4390</v>
      </c>
      <c r="J625" t="s">
        <v>7749</v>
      </c>
      <c r="K625" t="s">
        <v>10957</v>
      </c>
      <c r="L625" t="s">
        <v>3366</v>
      </c>
      <c r="M625" t="s">
        <v>11903</v>
      </c>
      <c r="N625" t="s">
        <v>3360</v>
      </c>
      <c r="O625" t="s">
        <v>15211</v>
      </c>
      <c r="P625" t="s">
        <v>3362</v>
      </c>
      <c r="Q625" t="s">
        <v>3362</v>
      </c>
      <c r="R625" t="s">
        <v>15211</v>
      </c>
      <c r="S625" t="s">
        <v>15211</v>
      </c>
      <c r="T625" t="s">
        <v>3372</v>
      </c>
      <c r="U625" t="s">
        <v>12531</v>
      </c>
      <c r="V625" t="s">
        <v>15243</v>
      </c>
    </row>
    <row r="626" spans="1:22">
      <c r="A626" t="s">
        <v>15389</v>
      </c>
      <c r="B626" t="s">
        <v>15443</v>
      </c>
      <c r="C626" t="s">
        <v>15452</v>
      </c>
      <c r="D626" t="s">
        <v>625</v>
      </c>
      <c r="E626" t="s">
        <v>3453</v>
      </c>
      <c r="F626" t="s">
        <v>3477</v>
      </c>
      <c r="G626" s="3">
        <v>37.708458480783101</v>
      </c>
      <c r="H626" s="3">
        <v>127.90866920157499</v>
      </c>
      <c r="I626" t="s">
        <v>4391</v>
      </c>
      <c r="J626" t="s">
        <v>7750</v>
      </c>
      <c r="K626" t="s">
        <v>10957</v>
      </c>
      <c r="L626" t="s">
        <v>3388</v>
      </c>
      <c r="M626" t="s">
        <v>11903</v>
      </c>
      <c r="N626" t="s">
        <v>3360</v>
      </c>
      <c r="O626" t="s">
        <v>15211</v>
      </c>
      <c r="P626" t="s">
        <v>3362</v>
      </c>
      <c r="Q626" t="s">
        <v>3362</v>
      </c>
      <c r="R626" t="s">
        <v>15211</v>
      </c>
      <c r="S626" t="s">
        <v>15211</v>
      </c>
      <c r="T626" t="s">
        <v>3372</v>
      </c>
      <c r="U626" t="s">
        <v>12532</v>
      </c>
      <c r="V626" t="s">
        <v>15220</v>
      </c>
    </row>
    <row r="627" spans="1:22">
      <c r="A627" t="s">
        <v>15389</v>
      </c>
      <c r="B627" t="s">
        <v>15443</v>
      </c>
      <c r="C627" t="s">
        <v>15452</v>
      </c>
      <c r="D627" t="s">
        <v>626</v>
      </c>
      <c r="E627" t="s">
        <v>3441</v>
      </c>
      <c r="F627" t="s">
        <v>3476</v>
      </c>
      <c r="G627" s="3">
        <v>37.708458494101002</v>
      </c>
      <c r="H627" s="3">
        <v>127.908669147586</v>
      </c>
      <c r="I627" t="s">
        <v>4392</v>
      </c>
      <c r="J627" t="s">
        <v>7751</v>
      </c>
      <c r="K627" t="s">
        <v>10957</v>
      </c>
      <c r="L627" t="s">
        <v>3366</v>
      </c>
      <c r="M627" t="s">
        <v>11903</v>
      </c>
      <c r="N627" t="s">
        <v>3360</v>
      </c>
      <c r="O627" t="s">
        <v>15211</v>
      </c>
      <c r="P627" t="s">
        <v>3362</v>
      </c>
      <c r="Q627" t="s">
        <v>3362</v>
      </c>
      <c r="R627" t="s">
        <v>15211</v>
      </c>
      <c r="S627" t="s">
        <v>15211</v>
      </c>
      <c r="T627" t="s">
        <v>3372</v>
      </c>
      <c r="U627" t="s">
        <v>12533</v>
      </c>
      <c r="V627" t="s">
        <v>15220</v>
      </c>
    </row>
    <row r="628" spans="1:22">
      <c r="A628" t="s">
        <v>15389</v>
      </c>
      <c r="B628" t="s">
        <v>15443</v>
      </c>
      <c r="C628" t="s">
        <v>15452</v>
      </c>
      <c r="D628" t="s">
        <v>627</v>
      </c>
      <c r="E628" t="s">
        <v>3430</v>
      </c>
      <c r="F628" t="s">
        <v>3464</v>
      </c>
      <c r="G628" s="3">
        <v>37.708458509487997</v>
      </c>
      <c r="H628" s="3">
        <v>127.908669033856</v>
      </c>
      <c r="I628" t="s">
        <v>4393</v>
      </c>
      <c r="J628" t="s">
        <v>7752</v>
      </c>
      <c r="K628" t="s">
        <v>10877</v>
      </c>
      <c r="L628" t="s">
        <v>3366</v>
      </c>
      <c r="M628" t="s">
        <v>11901</v>
      </c>
      <c r="N628" t="s">
        <v>3361</v>
      </c>
      <c r="O628" t="s">
        <v>15211</v>
      </c>
      <c r="P628" t="s">
        <v>3362</v>
      </c>
      <c r="Q628" t="s">
        <v>3362</v>
      </c>
      <c r="R628" t="s">
        <v>15211</v>
      </c>
      <c r="S628" t="s">
        <v>15211</v>
      </c>
      <c r="T628" t="s">
        <v>3373</v>
      </c>
      <c r="U628" t="s">
        <v>12534</v>
      </c>
      <c r="V628" t="s">
        <v>15220</v>
      </c>
    </row>
    <row r="629" spans="1:22" hidden="1">
      <c r="A629" t="s">
        <v>15390</v>
      </c>
      <c r="B629" t="s">
        <v>15441</v>
      </c>
      <c r="C629" t="s">
        <v>15445</v>
      </c>
      <c r="D629" t="s">
        <v>628</v>
      </c>
      <c r="E629" t="s">
        <v>3426</v>
      </c>
      <c r="F629" t="s">
        <v>3614</v>
      </c>
      <c r="G629" s="3">
        <v>37.932373188383799</v>
      </c>
      <c r="H629" s="3">
        <v>128.061957167419</v>
      </c>
      <c r="I629" t="s">
        <v>4394</v>
      </c>
      <c r="J629" t="s">
        <v>7753</v>
      </c>
      <c r="K629" t="s">
        <v>10743</v>
      </c>
      <c r="L629" t="s">
        <v>3366</v>
      </c>
      <c r="M629" t="s">
        <v>11885</v>
      </c>
      <c r="N629" t="s">
        <v>3361</v>
      </c>
      <c r="O629" t="s">
        <v>3363</v>
      </c>
      <c r="P629" t="s">
        <v>15211</v>
      </c>
      <c r="Q629" t="s">
        <v>15211</v>
      </c>
      <c r="R629" t="s">
        <v>15211</v>
      </c>
      <c r="S629" t="s">
        <v>15211</v>
      </c>
      <c r="T629" t="s">
        <v>3368</v>
      </c>
      <c r="U629" t="s">
        <v>12535</v>
      </c>
      <c r="V629" t="s">
        <v>15228</v>
      </c>
    </row>
    <row r="630" spans="1:22" hidden="1">
      <c r="A630" t="s">
        <v>15390</v>
      </c>
      <c r="B630" t="s">
        <v>15441</v>
      </c>
      <c r="C630" t="s">
        <v>15445</v>
      </c>
      <c r="D630" t="s">
        <v>629</v>
      </c>
      <c r="E630" t="s">
        <v>3465</v>
      </c>
      <c r="F630" t="s">
        <v>3614</v>
      </c>
      <c r="G630" s="3">
        <v>37.9323732217619</v>
      </c>
      <c r="H630" s="3">
        <v>128.06195725317201</v>
      </c>
      <c r="I630" t="s">
        <v>4395</v>
      </c>
      <c r="J630" t="s">
        <v>7754</v>
      </c>
      <c r="K630" t="s">
        <v>10958</v>
      </c>
      <c r="L630" t="s">
        <v>3366</v>
      </c>
      <c r="M630" t="s">
        <v>11885</v>
      </c>
      <c r="N630" t="s">
        <v>3361</v>
      </c>
      <c r="O630" t="s">
        <v>3363</v>
      </c>
      <c r="P630" t="s">
        <v>15211</v>
      </c>
      <c r="Q630" t="s">
        <v>15211</v>
      </c>
      <c r="R630" t="s">
        <v>15211</v>
      </c>
      <c r="S630" t="s">
        <v>15211</v>
      </c>
      <c r="T630" t="s">
        <v>3368</v>
      </c>
      <c r="U630" t="s">
        <v>12536</v>
      </c>
      <c r="V630" t="s">
        <v>15228</v>
      </c>
    </row>
    <row r="631" spans="1:22" hidden="1">
      <c r="A631" t="s">
        <v>15390</v>
      </c>
      <c r="B631" t="s">
        <v>15441</v>
      </c>
      <c r="C631" t="s">
        <v>15445</v>
      </c>
      <c r="D631" t="s">
        <v>630</v>
      </c>
      <c r="E631" t="s">
        <v>3450</v>
      </c>
      <c r="F631" t="s">
        <v>3614</v>
      </c>
      <c r="G631" s="3">
        <v>37.932373246742998</v>
      </c>
      <c r="H631" s="3">
        <v>128.06195725827601</v>
      </c>
      <c r="I631" t="s">
        <v>4396</v>
      </c>
      <c r="J631" t="s">
        <v>7755</v>
      </c>
      <c r="K631" t="s">
        <v>10958</v>
      </c>
      <c r="L631" t="s">
        <v>3366</v>
      </c>
      <c r="M631" t="s">
        <v>11885</v>
      </c>
      <c r="N631" t="s">
        <v>3361</v>
      </c>
      <c r="O631" t="s">
        <v>3363</v>
      </c>
      <c r="P631" t="s">
        <v>15211</v>
      </c>
      <c r="Q631" t="s">
        <v>15211</v>
      </c>
      <c r="R631" t="s">
        <v>15211</v>
      </c>
      <c r="S631" t="s">
        <v>15211</v>
      </c>
      <c r="T631" t="s">
        <v>3368</v>
      </c>
      <c r="U631" t="s">
        <v>12537</v>
      </c>
      <c r="V631" t="s">
        <v>15228</v>
      </c>
    </row>
    <row r="632" spans="1:22" hidden="1">
      <c r="A632" t="s">
        <v>15390</v>
      </c>
      <c r="B632" t="s">
        <v>15441</v>
      </c>
      <c r="C632" t="s">
        <v>15446</v>
      </c>
      <c r="D632" t="s">
        <v>631</v>
      </c>
      <c r="E632" t="s">
        <v>3450</v>
      </c>
      <c r="F632" t="s">
        <v>3540</v>
      </c>
      <c r="G632" s="3">
        <v>37.9323734234287</v>
      </c>
      <c r="H632" s="3">
        <v>128.06195704929999</v>
      </c>
      <c r="I632" t="s">
        <v>4397</v>
      </c>
      <c r="J632" t="s">
        <v>7756</v>
      </c>
      <c r="K632" t="s">
        <v>10959</v>
      </c>
      <c r="L632" t="s">
        <v>3367</v>
      </c>
      <c r="M632" t="s">
        <v>11885</v>
      </c>
      <c r="N632" t="s">
        <v>3361</v>
      </c>
      <c r="O632" t="s">
        <v>3363</v>
      </c>
      <c r="P632" t="s">
        <v>15211</v>
      </c>
      <c r="Q632" t="s">
        <v>15211</v>
      </c>
      <c r="R632" t="s">
        <v>15211</v>
      </c>
      <c r="S632" t="s">
        <v>15211</v>
      </c>
      <c r="T632" t="s">
        <v>3368</v>
      </c>
      <c r="U632" t="s">
        <v>12538</v>
      </c>
      <c r="V632" t="s">
        <v>15229</v>
      </c>
    </row>
    <row r="633" spans="1:22" hidden="1">
      <c r="A633" t="s">
        <v>15390</v>
      </c>
      <c r="B633" t="s">
        <v>15441</v>
      </c>
      <c r="C633" t="s">
        <v>15446</v>
      </c>
      <c r="D633" t="s">
        <v>632</v>
      </c>
      <c r="E633" t="s">
        <v>3426</v>
      </c>
      <c r="F633" t="s">
        <v>3590</v>
      </c>
      <c r="G633" s="3">
        <v>37.932373441638298</v>
      </c>
      <c r="H633" s="3">
        <v>128.06195701271699</v>
      </c>
      <c r="I633" t="s">
        <v>4398</v>
      </c>
      <c r="J633" t="s">
        <v>7757</v>
      </c>
      <c r="K633" t="s">
        <v>10960</v>
      </c>
      <c r="L633" t="s">
        <v>3366</v>
      </c>
      <c r="M633" t="s">
        <v>11885</v>
      </c>
      <c r="N633" t="s">
        <v>3361</v>
      </c>
      <c r="O633" t="s">
        <v>3363</v>
      </c>
      <c r="P633" t="s">
        <v>15211</v>
      </c>
      <c r="Q633" t="s">
        <v>15211</v>
      </c>
      <c r="R633" t="s">
        <v>15211</v>
      </c>
      <c r="S633" t="s">
        <v>15211</v>
      </c>
      <c r="T633" t="s">
        <v>3368</v>
      </c>
      <c r="U633" t="s">
        <v>12539</v>
      </c>
      <c r="V633" t="s">
        <v>15229</v>
      </c>
    </row>
    <row r="634" spans="1:22" hidden="1">
      <c r="A634" t="s">
        <v>15390</v>
      </c>
      <c r="B634" t="s">
        <v>15441</v>
      </c>
      <c r="C634" t="s">
        <v>15446</v>
      </c>
      <c r="D634" t="s">
        <v>633</v>
      </c>
      <c r="E634" t="s">
        <v>3452</v>
      </c>
      <c r="F634" t="s">
        <v>3611</v>
      </c>
      <c r="G634" s="3">
        <v>37.9323734260091</v>
      </c>
      <c r="H634" s="3">
        <v>128.061956964828</v>
      </c>
      <c r="I634" t="s">
        <v>4399</v>
      </c>
      <c r="J634" t="s">
        <v>7758</v>
      </c>
      <c r="K634" t="s">
        <v>10961</v>
      </c>
      <c r="L634" t="s">
        <v>3366</v>
      </c>
      <c r="M634" t="s">
        <v>11885</v>
      </c>
      <c r="N634" t="s">
        <v>3361</v>
      </c>
      <c r="O634" t="s">
        <v>3363</v>
      </c>
      <c r="P634" t="s">
        <v>15211</v>
      </c>
      <c r="Q634" t="s">
        <v>15211</v>
      </c>
      <c r="R634" t="s">
        <v>15211</v>
      </c>
      <c r="S634" t="s">
        <v>15211</v>
      </c>
      <c r="T634" t="s">
        <v>3368</v>
      </c>
      <c r="U634" t="s">
        <v>12540</v>
      </c>
      <c r="V634" t="s">
        <v>15229</v>
      </c>
    </row>
    <row r="635" spans="1:22" hidden="1">
      <c r="A635" t="s">
        <v>15390</v>
      </c>
      <c r="B635" t="s">
        <v>15441</v>
      </c>
      <c r="C635" t="s">
        <v>15448</v>
      </c>
      <c r="D635" t="s">
        <v>634</v>
      </c>
      <c r="E635" t="s">
        <v>3466</v>
      </c>
      <c r="F635" t="s">
        <v>3496</v>
      </c>
      <c r="G635" s="3">
        <v>37.932373718850897</v>
      </c>
      <c r="H635" s="3">
        <v>128.06195688816501</v>
      </c>
      <c r="I635" t="s">
        <v>4400</v>
      </c>
      <c r="J635" t="s">
        <v>7759</v>
      </c>
      <c r="K635" t="s">
        <v>10962</v>
      </c>
      <c r="L635" t="s">
        <v>3377</v>
      </c>
      <c r="M635" t="s">
        <v>11914</v>
      </c>
      <c r="N635" t="s">
        <v>3361</v>
      </c>
      <c r="O635" t="s">
        <v>3363</v>
      </c>
      <c r="P635" t="s">
        <v>3362</v>
      </c>
      <c r="Q635" t="s">
        <v>3363</v>
      </c>
      <c r="R635" t="s">
        <v>3358</v>
      </c>
      <c r="S635" t="s">
        <v>15211</v>
      </c>
      <c r="T635" t="s">
        <v>3383</v>
      </c>
      <c r="U635" t="s">
        <v>12541</v>
      </c>
      <c r="V635" t="s">
        <v>15230</v>
      </c>
    </row>
    <row r="636" spans="1:22" hidden="1">
      <c r="A636" t="s">
        <v>15390</v>
      </c>
      <c r="B636" t="s">
        <v>15441</v>
      </c>
      <c r="C636" t="s">
        <v>15448</v>
      </c>
      <c r="D636" t="s">
        <v>635</v>
      </c>
      <c r="E636" t="s">
        <v>3465</v>
      </c>
      <c r="F636" t="s">
        <v>3491</v>
      </c>
      <c r="G636" s="3">
        <v>37.932373663427001</v>
      </c>
      <c r="H636" s="3">
        <v>128.06195688527501</v>
      </c>
      <c r="I636" t="s">
        <v>4401</v>
      </c>
      <c r="J636" t="s">
        <v>7760</v>
      </c>
      <c r="K636" t="s">
        <v>10963</v>
      </c>
      <c r="L636" t="s">
        <v>3366</v>
      </c>
      <c r="M636" t="s">
        <v>11914</v>
      </c>
      <c r="N636" t="s">
        <v>3361</v>
      </c>
      <c r="O636" t="s">
        <v>3363</v>
      </c>
      <c r="P636" t="s">
        <v>3362</v>
      </c>
      <c r="Q636" t="s">
        <v>3363</v>
      </c>
      <c r="R636" t="s">
        <v>3358</v>
      </c>
      <c r="S636" t="s">
        <v>15211</v>
      </c>
      <c r="T636" t="s">
        <v>3383</v>
      </c>
      <c r="U636" t="s">
        <v>12542</v>
      </c>
      <c r="V636" t="s">
        <v>15230</v>
      </c>
    </row>
    <row r="637" spans="1:22" hidden="1">
      <c r="A637" t="s">
        <v>15390</v>
      </c>
      <c r="B637" t="s">
        <v>15441</v>
      </c>
      <c r="C637" t="s">
        <v>15448</v>
      </c>
      <c r="D637" t="s">
        <v>636</v>
      </c>
      <c r="E637" t="s">
        <v>3452</v>
      </c>
      <c r="F637" t="s">
        <v>3609</v>
      </c>
      <c r="G637" s="3">
        <v>37.932373666088502</v>
      </c>
      <c r="H637" s="3">
        <v>128.061956878232</v>
      </c>
      <c r="I637" t="s">
        <v>4402</v>
      </c>
      <c r="J637" t="s">
        <v>7761</v>
      </c>
      <c r="K637" t="s">
        <v>10963</v>
      </c>
      <c r="L637" t="s">
        <v>3366</v>
      </c>
      <c r="M637" t="s">
        <v>11914</v>
      </c>
      <c r="N637" t="s">
        <v>3361</v>
      </c>
      <c r="O637" t="s">
        <v>3363</v>
      </c>
      <c r="P637" t="s">
        <v>3362</v>
      </c>
      <c r="Q637" t="s">
        <v>3363</v>
      </c>
      <c r="R637" t="s">
        <v>3358</v>
      </c>
      <c r="S637" t="s">
        <v>15211</v>
      </c>
      <c r="T637" t="s">
        <v>3383</v>
      </c>
      <c r="U637" t="s">
        <v>12543</v>
      </c>
      <c r="V637" t="s">
        <v>15230</v>
      </c>
    </row>
    <row r="638" spans="1:22" hidden="1">
      <c r="A638" t="s">
        <v>15390</v>
      </c>
      <c r="B638" t="s">
        <v>15441</v>
      </c>
      <c r="C638" t="s">
        <v>15449</v>
      </c>
      <c r="D638" t="s">
        <v>637</v>
      </c>
      <c r="E638" t="s">
        <v>3441</v>
      </c>
      <c r="F638" t="s">
        <v>3467</v>
      </c>
      <c r="G638" s="3">
        <v>37.9323736137382</v>
      </c>
      <c r="H638" s="3">
        <v>128.06195697906301</v>
      </c>
      <c r="I638" t="s">
        <v>4403</v>
      </c>
      <c r="J638" t="s">
        <v>7762</v>
      </c>
      <c r="K638" t="s">
        <v>10964</v>
      </c>
      <c r="L638" t="s">
        <v>3372</v>
      </c>
      <c r="M638" t="s">
        <v>11908</v>
      </c>
      <c r="N638" t="s">
        <v>3360</v>
      </c>
      <c r="O638" t="s">
        <v>3361</v>
      </c>
      <c r="P638" t="s">
        <v>3362</v>
      </c>
      <c r="Q638" t="s">
        <v>3360</v>
      </c>
      <c r="R638" t="s">
        <v>3357</v>
      </c>
      <c r="S638" t="s">
        <v>15211</v>
      </c>
      <c r="T638" t="s">
        <v>3376</v>
      </c>
      <c r="U638" t="s">
        <v>12544</v>
      </c>
      <c r="V638" t="s">
        <v>15231</v>
      </c>
    </row>
    <row r="639" spans="1:22" hidden="1">
      <c r="A639" t="s">
        <v>15390</v>
      </c>
      <c r="B639" t="s">
        <v>15441</v>
      </c>
      <c r="C639" t="s">
        <v>15449</v>
      </c>
      <c r="D639" t="s">
        <v>638</v>
      </c>
      <c r="E639" t="s">
        <v>3453</v>
      </c>
      <c r="F639" t="s">
        <v>3540</v>
      </c>
      <c r="G639" s="3">
        <v>37.932373584884701</v>
      </c>
      <c r="H639" s="3">
        <v>128.06195701956099</v>
      </c>
      <c r="I639" t="s">
        <v>4404</v>
      </c>
      <c r="J639" t="s">
        <v>7763</v>
      </c>
      <c r="K639" t="s">
        <v>10965</v>
      </c>
      <c r="L639" t="s">
        <v>3366</v>
      </c>
      <c r="M639" t="s">
        <v>11908</v>
      </c>
      <c r="N639" t="s">
        <v>3360</v>
      </c>
      <c r="O639" t="s">
        <v>3361</v>
      </c>
      <c r="P639" t="s">
        <v>3362</v>
      </c>
      <c r="Q639" t="s">
        <v>3360</v>
      </c>
      <c r="R639" t="s">
        <v>3357</v>
      </c>
      <c r="S639" t="s">
        <v>15211</v>
      </c>
      <c r="T639" t="s">
        <v>3376</v>
      </c>
      <c r="U639" t="s">
        <v>12545</v>
      </c>
      <c r="V639" t="s">
        <v>15231</v>
      </c>
    </row>
    <row r="640" spans="1:22" hidden="1">
      <c r="A640" t="s">
        <v>15390</v>
      </c>
      <c r="B640" t="s">
        <v>15441</v>
      </c>
      <c r="C640" t="s">
        <v>15449</v>
      </c>
      <c r="D640" t="s">
        <v>639</v>
      </c>
      <c r="E640" t="s">
        <v>3441</v>
      </c>
      <c r="F640" t="s">
        <v>3590</v>
      </c>
      <c r="G640" s="3">
        <v>37.932373594954299</v>
      </c>
      <c r="H640" s="3">
        <v>128.061957005159</v>
      </c>
      <c r="I640" t="s">
        <v>4405</v>
      </c>
      <c r="J640" t="s">
        <v>7764</v>
      </c>
      <c r="K640" t="s">
        <v>10966</v>
      </c>
      <c r="L640" t="s">
        <v>3366</v>
      </c>
      <c r="M640" t="s">
        <v>11908</v>
      </c>
      <c r="N640" t="s">
        <v>3360</v>
      </c>
      <c r="O640" t="s">
        <v>3361</v>
      </c>
      <c r="P640" t="s">
        <v>3362</v>
      </c>
      <c r="Q640" t="s">
        <v>3360</v>
      </c>
      <c r="R640" t="s">
        <v>3357</v>
      </c>
      <c r="S640" t="s">
        <v>15211</v>
      </c>
      <c r="T640" t="s">
        <v>3376</v>
      </c>
      <c r="U640" t="s">
        <v>12546</v>
      </c>
      <c r="V640" t="s">
        <v>15231</v>
      </c>
    </row>
    <row r="641" spans="1:22" hidden="1">
      <c r="A641" t="s">
        <v>15390</v>
      </c>
      <c r="B641" t="s">
        <v>15442</v>
      </c>
      <c r="C641" t="s">
        <v>15451</v>
      </c>
      <c r="D641" t="s">
        <v>640</v>
      </c>
      <c r="E641" t="s">
        <v>3467</v>
      </c>
      <c r="F641" t="s">
        <v>3612</v>
      </c>
      <c r="G641" s="3">
        <v>37.932372052569598</v>
      </c>
      <c r="H641" s="3">
        <v>128.06195669798299</v>
      </c>
      <c r="I641" t="s">
        <v>4406</v>
      </c>
      <c r="J641" t="s">
        <v>7765</v>
      </c>
      <c r="K641" t="s">
        <v>10967</v>
      </c>
      <c r="L641" t="s">
        <v>3408</v>
      </c>
      <c r="M641" t="s">
        <v>11891</v>
      </c>
      <c r="N641" t="s">
        <v>3361</v>
      </c>
      <c r="O641" t="s">
        <v>3361</v>
      </c>
      <c r="P641" t="s">
        <v>3363</v>
      </c>
      <c r="Q641" t="s">
        <v>3363</v>
      </c>
      <c r="R641" t="s">
        <v>15211</v>
      </c>
      <c r="S641" t="s">
        <v>15211</v>
      </c>
      <c r="T641" t="s">
        <v>3380</v>
      </c>
      <c r="U641" t="s">
        <v>12547</v>
      </c>
      <c r="V641" t="s">
        <v>15234</v>
      </c>
    </row>
    <row r="642" spans="1:22" hidden="1">
      <c r="A642" t="s">
        <v>15390</v>
      </c>
      <c r="B642" t="s">
        <v>15442</v>
      </c>
      <c r="C642" t="s">
        <v>15451</v>
      </c>
      <c r="D642" t="s">
        <v>641</v>
      </c>
      <c r="E642" t="s">
        <v>3467</v>
      </c>
      <c r="F642" t="s">
        <v>3614</v>
      </c>
      <c r="G642" s="3">
        <v>37.932372027670603</v>
      </c>
      <c r="H642" s="3">
        <v>128.06195669553401</v>
      </c>
      <c r="I642" t="s">
        <v>4407</v>
      </c>
      <c r="J642" t="s">
        <v>7766</v>
      </c>
      <c r="K642" t="s">
        <v>10967</v>
      </c>
      <c r="L642" t="s">
        <v>3366</v>
      </c>
      <c r="M642" t="s">
        <v>11891</v>
      </c>
      <c r="N642" t="s">
        <v>3361</v>
      </c>
      <c r="O642" t="s">
        <v>3361</v>
      </c>
      <c r="P642" t="s">
        <v>3363</v>
      </c>
      <c r="Q642" t="s">
        <v>3363</v>
      </c>
      <c r="R642" t="s">
        <v>15211</v>
      </c>
      <c r="S642" t="s">
        <v>15211</v>
      </c>
      <c r="T642" t="s">
        <v>3380</v>
      </c>
      <c r="U642" t="s">
        <v>12548</v>
      </c>
      <c r="V642" t="s">
        <v>15234</v>
      </c>
    </row>
    <row r="643" spans="1:22" hidden="1">
      <c r="A643" t="s">
        <v>15390</v>
      </c>
      <c r="B643" t="s">
        <v>15442</v>
      </c>
      <c r="C643" t="s">
        <v>15451</v>
      </c>
      <c r="D643" t="s">
        <v>642</v>
      </c>
      <c r="E643" t="s">
        <v>3442</v>
      </c>
      <c r="F643" t="s">
        <v>3515</v>
      </c>
      <c r="G643" s="3">
        <v>37.932371966912299</v>
      </c>
      <c r="H643" s="3">
        <v>128.06195664113699</v>
      </c>
      <c r="I643" t="s">
        <v>4408</v>
      </c>
      <c r="J643" t="s">
        <v>7767</v>
      </c>
      <c r="K643" t="s">
        <v>10968</v>
      </c>
      <c r="L643" t="s">
        <v>3366</v>
      </c>
      <c r="M643" t="s">
        <v>11893</v>
      </c>
      <c r="N643" t="s">
        <v>3361</v>
      </c>
      <c r="O643" t="s">
        <v>3362</v>
      </c>
      <c r="P643" t="s">
        <v>3363</v>
      </c>
      <c r="Q643" t="s">
        <v>3363</v>
      </c>
      <c r="R643" t="s">
        <v>15211</v>
      </c>
      <c r="S643" t="s">
        <v>15211</v>
      </c>
      <c r="T643" t="s">
        <v>3381</v>
      </c>
      <c r="U643" t="s">
        <v>12549</v>
      </c>
      <c r="V643" t="s">
        <v>15234</v>
      </c>
    </row>
    <row r="644" spans="1:22" hidden="1">
      <c r="A644" t="s">
        <v>15390</v>
      </c>
      <c r="B644" t="s">
        <v>15444</v>
      </c>
      <c r="C644" t="s">
        <v>15445</v>
      </c>
      <c r="D644" t="s">
        <v>643</v>
      </c>
      <c r="E644" t="s">
        <v>3468</v>
      </c>
      <c r="F644" t="s">
        <v>3487</v>
      </c>
      <c r="G644" s="3">
        <v>37.932371359258298</v>
      </c>
      <c r="H644" s="3">
        <v>128.06195630547001</v>
      </c>
      <c r="I644" t="s">
        <v>4409</v>
      </c>
      <c r="J644" t="s">
        <v>7768</v>
      </c>
      <c r="K644" t="s">
        <v>10969</v>
      </c>
      <c r="L644" t="s">
        <v>3366</v>
      </c>
      <c r="M644" t="s">
        <v>11886</v>
      </c>
      <c r="N644" t="s">
        <v>3362</v>
      </c>
      <c r="O644" t="s">
        <v>3360</v>
      </c>
      <c r="P644" t="s">
        <v>15211</v>
      </c>
      <c r="Q644" t="s">
        <v>15211</v>
      </c>
      <c r="R644" t="s">
        <v>15211</v>
      </c>
      <c r="S644" t="s">
        <v>15211</v>
      </c>
      <c r="T644" t="s">
        <v>3366</v>
      </c>
      <c r="U644" t="s">
        <v>12550</v>
      </c>
      <c r="V644" t="s">
        <v>15242</v>
      </c>
    </row>
    <row r="645" spans="1:22" hidden="1">
      <c r="A645" t="s">
        <v>15390</v>
      </c>
      <c r="B645" t="s">
        <v>15444</v>
      </c>
      <c r="C645" t="s">
        <v>15445</v>
      </c>
      <c r="D645" t="s">
        <v>644</v>
      </c>
      <c r="E645" t="s">
        <v>3468</v>
      </c>
      <c r="F645" t="s">
        <v>3615</v>
      </c>
      <c r="G645" s="3">
        <v>37.932371340557303</v>
      </c>
      <c r="H645" s="3">
        <v>128.061956282587</v>
      </c>
      <c r="I645" t="s">
        <v>4410</v>
      </c>
      <c r="J645" t="s">
        <v>7769</v>
      </c>
      <c r="K645" t="s">
        <v>10969</v>
      </c>
      <c r="L645" t="s">
        <v>3366</v>
      </c>
      <c r="M645" t="s">
        <v>11886</v>
      </c>
      <c r="N645" t="s">
        <v>3362</v>
      </c>
      <c r="O645" t="s">
        <v>3360</v>
      </c>
      <c r="P645" t="s">
        <v>15211</v>
      </c>
      <c r="Q645" t="s">
        <v>15211</v>
      </c>
      <c r="R645" t="s">
        <v>15211</v>
      </c>
      <c r="S645" t="s">
        <v>15211</v>
      </c>
      <c r="T645" t="s">
        <v>3366</v>
      </c>
      <c r="U645" t="s">
        <v>12551</v>
      </c>
      <c r="V645" t="s">
        <v>15242</v>
      </c>
    </row>
    <row r="646" spans="1:22" hidden="1">
      <c r="A646" t="s">
        <v>15390</v>
      </c>
      <c r="B646" t="s">
        <v>15444</v>
      </c>
      <c r="C646" t="s">
        <v>15445</v>
      </c>
      <c r="D646" t="s">
        <v>645</v>
      </c>
      <c r="E646" t="s">
        <v>3468</v>
      </c>
      <c r="F646" t="s">
        <v>3615</v>
      </c>
      <c r="G646" s="3">
        <v>37.9323713193901</v>
      </c>
      <c r="H646" s="3">
        <v>128.06195626582999</v>
      </c>
      <c r="I646" t="s">
        <v>4411</v>
      </c>
      <c r="J646" t="s">
        <v>7770</v>
      </c>
      <c r="K646" t="s">
        <v>10969</v>
      </c>
      <c r="L646" t="s">
        <v>3366</v>
      </c>
      <c r="M646" t="s">
        <v>11886</v>
      </c>
      <c r="N646" t="s">
        <v>3362</v>
      </c>
      <c r="O646" t="s">
        <v>3360</v>
      </c>
      <c r="P646" t="s">
        <v>15211</v>
      </c>
      <c r="Q646" t="s">
        <v>15211</v>
      </c>
      <c r="R646" t="s">
        <v>15211</v>
      </c>
      <c r="S646" t="s">
        <v>15211</v>
      </c>
      <c r="T646" t="s">
        <v>3366</v>
      </c>
      <c r="U646" t="s">
        <v>12552</v>
      </c>
      <c r="V646" t="s">
        <v>15242</v>
      </c>
    </row>
    <row r="647" spans="1:22" hidden="1">
      <c r="A647" t="s">
        <v>15390</v>
      </c>
      <c r="B647" t="s">
        <v>15444</v>
      </c>
      <c r="C647" t="s">
        <v>15450</v>
      </c>
      <c r="D647" t="s">
        <v>646</v>
      </c>
      <c r="E647" t="s">
        <v>3469</v>
      </c>
      <c r="F647" t="s">
        <v>3616</v>
      </c>
      <c r="G647" s="3">
        <v>37.9323758533993</v>
      </c>
      <c r="H647" s="3">
        <v>128.06195910343999</v>
      </c>
      <c r="I647" t="s">
        <v>4412</v>
      </c>
      <c r="J647" t="s">
        <v>7771</v>
      </c>
      <c r="K647" t="s">
        <v>10970</v>
      </c>
      <c r="L647" t="s">
        <v>3366</v>
      </c>
      <c r="M647" t="s">
        <v>11885</v>
      </c>
      <c r="N647" t="s">
        <v>3363</v>
      </c>
      <c r="O647" t="s">
        <v>3361</v>
      </c>
      <c r="P647" t="s">
        <v>15211</v>
      </c>
      <c r="Q647" t="s">
        <v>15211</v>
      </c>
      <c r="R647" t="s">
        <v>15211</v>
      </c>
      <c r="S647" t="s">
        <v>15211</v>
      </c>
      <c r="T647" t="s">
        <v>3368</v>
      </c>
      <c r="U647" t="s">
        <v>12553</v>
      </c>
      <c r="V647" t="s">
        <v>15244</v>
      </c>
    </row>
    <row r="648" spans="1:22" hidden="1">
      <c r="A648" t="s">
        <v>15390</v>
      </c>
      <c r="B648" t="s">
        <v>15444</v>
      </c>
      <c r="C648" t="s">
        <v>15450</v>
      </c>
      <c r="D648" t="s">
        <v>647</v>
      </c>
      <c r="E648" t="s">
        <v>3470</v>
      </c>
      <c r="F648" t="s">
        <v>3617</v>
      </c>
      <c r="G648" s="3">
        <v>37.932378222034899</v>
      </c>
      <c r="H648" s="3">
        <v>128.061955288625</v>
      </c>
      <c r="I648" t="s">
        <v>4413</v>
      </c>
      <c r="J648" t="s">
        <v>7772</v>
      </c>
      <c r="K648" t="s">
        <v>10971</v>
      </c>
      <c r="L648" t="s">
        <v>3366</v>
      </c>
      <c r="M648" t="s">
        <v>11885</v>
      </c>
      <c r="N648" t="s">
        <v>3363</v>
      </c>
      <c r="O648" t="s">
        <v>3361</v>
      </c>
      <c r="P648" t="s">
        <v>15211</v>
      </c>
      <c r="Q648" t="s">
        <v>15211</v>
      </c>
      <c r="R648" t="s">
        <v>15211</v>
      </c>
      <c r="S648" t="s">
        <v>15211</v>
      </c>
      <c r="T648" t="s">
        <v>3368</v>
      </c>
      <c r="U648" t="s">
        <v>12554</v>
      </c>
      <c r="V648" t="s">
        <v>15244</v>
      </c>
    </row>
    <row r="649" spans="1:22" hidden="1">
      <c r="A649" t="s">
        <v>15390</v>
      </c>
      <c r="B649" t="s">
        <v>15444</v>
      </c>
      <c r="C649" t="s">
        <v>15450</v>
      </c>
      <c r="D649" t="s">
        <v>648</v>
      </c>
      <c r="E649" t="s">
        <v>3471</v>
      </c>
      <c r="F649" t="s">
        <v>3618</v>
      </c>
      <c r="G649" s="3">
        <v>37.932378103358602</v>
      </c>
      <c r="H649" s="3">
        <v>128.06195592636601</v>
      </c>
      <c r="I649" t="s">
        <v>4414</v>
      </c>
      <c r="J649" t="s">
        <v>7773</v>
      </c>
      <c r="K649" t="s">
        <v>10971</v>
      </c>
      <c r="L649" t="s">
        <v>3366</v>
      </c>
      <c r="M649" t="s">
        <v>11885</v>
      </c>
      <c r="N649" t="s">
        <v>3363</v>
      </c>
      <c r="O649" t="s">
        <v>3361</v>
      </c>
      <c r="P649" t="s">
        <v>15211</v>
      </c>
      <c r="Q649" t="s">
        <v>15211</v>
      </c>
      <c r="R649" t="s">
        <v>15211</v>
      </c>
      <c r="S649" t="s">
        <v>15211</v>
      </c>
      <c r="T649" t="s">
        <v>3368</v>
      </c>
      <c r="U649" t="s">
        <v>12555</v>
      </c>
      <c r="V649" t="s">
        <v>15244</v>
      </c>
    </row>
    <row r="650" spans="1:22" hidden="1">
      <c r="A650" t="s">
        <v>15377</v>
      </c>
      <c r="B650" t="s">
        <v>15441</v>
      </c>
      <c r="C650" t="s">
        <v>15445</v>
      </c>
      <c r="D650" t="s">
        <v>649</v>
      </c>
      <c r="E650" t="s">
        <v>3431</v>
      </c>
      <c r="F650" t="s">
        <v>3442</v>
      </c>
      <c r="G650" s="3">
        <v>37.872516408008401</v>
      </c>
      <c r="H650" s="3">
        <v>128.257551330589</v>
      </c>
      <c r="I650" t="s">
        <v>4415</v>
      </c>
      <c r="J650" t="s">
        <v>7774</v>
      </c>
      <c r="K650" t="s">
        <v>10979</v>
      </c>
      <c r="L650" t="s">
        <v>3366</v>
      </c>
      <c r="M650" t="s">
        <v>11886</v>
      </c>
      <c r="N650" t="s">
        <v>3363</v>
      </c>
      <c r="O650" t="s">
        <v>3360</v>
      </c>
      <c r="P650" t="s">
        <v>15211</v>
      </c>
      <c r="Q650" t="s">
        <v>15211</v>
      </c>
      <c r="R650" t="s">
        <v>15211</v>
      </c>
      <c r="S650" t="s">
        <v>15211</v>
      </c>
      <c r="T650" t="s">
        <v>3367</v>
      </c>
      <c r="U650" t="s">
        <v>12556</v>
      </c>
      <c r="V650" t="s">
        <v>15228</v>
      </c>
    </row>
    <row r="651" spans="1:22" hidden="1">
      <c r="A651" t="s">
        <v>15377</v>
      </c>
      <c r="B651" t="s">
        <v>15441</v>
      </c>
      <c r="C651" t="s">
        <v>15445</v>
      </c>
      <c r="D651" t="s">
        <v>650</v>
      </c>
      <c r="E651" t="s">
        <v>3431</v>
      </c>
      <c r="F651" t="s">
        <v>3453</v>
      </c>
      <c r="G651" s="3">
        <v>37.872516422883002</v>
      </c>
      <c r="H651" s="3">
        <v>128.25755136089199</v>
      </c>
      <c r="I651" t="s">
        <v>4416</v>
      </c>
      <c r="J651" t="s">
        <v>7775</v>
      </c>
      <c r="K651" t="s">
        <v>10980</v>
      </c>
      <c r="L651" t="s">
        <v>3366</v>
      </c>
      <c r="M651" t="s">
        <v>11886</v>
      </c>
      <c r="N651" t="s">
        <v>3363</v>
      </c>
      <c r="O651" t="s">
        <v>3360</v>
      </c>
      <c r="P651" t="s">
        <v>15211</v>
      </c>
      <c r="Q651" t="s">
        <v>15211</v>
      </c>
      <c r="R651" t="s">
        <v>15211</v>
      </c>
      <c r="S651" t="s">
        <v>15211</v>
      </c>
      <c r="T651" t="s">
        <v>3367</v>
      </c>
      <c r="U651" t="s">
        <v>12557</v>
      </c>
      <c r="V651" t="s">
        <v>15228</v>
      </c>
    </row>
    <row r="652" spans="1:22" hidden="1">
      <c r="A652" t="s">
        <v>15377</v>
      </c>
      <c r="B652" t="s">
        <v>15441</v>
      </c>
      <c r="C652" t="s">
        <v>15445</v>
      </c>
      <c r="D652" t="s">
        <v>651</v>
      </c>
      <c r="E652" t="s">
        <v>3431</v>
      </c>
      <c r="F652" t="s">
        <v>3453</v>
      </c>
      <c r="G652" s="3">
        <v>37.872516397954399</v>
      </c>
      <c r="H652" s="3">
        <v>128.257551399216</v>
      </c>
      <c r="I652" t="s">
        <v>4417</v>
      </c>
      <c r="J652" t="s">
        <v>7776</v>
      </c>
      <c r="K652" t="s">
        <v>10711</v>
      </c>
      <c r="L652" t="s">
        <v>3366</v>
      </c>
      <c r="M652" t="s">
        <v>11886</v>
      </c>
      <c r="N652" t="s">
        <v>3363</v>
      </c>
      <c r="O652" t="s">
        <v>3360</v>
      </c>
      <c r="P652" t="s">
        <v>15211</v>
      </c>
      <c r="Q652" t="s">
        <v>15211</v>
      </c>
      <c r="R652" t="s">
        <v>15211</v>
      </c>
      <c r="S652" t="s">
        <v>15211</v>
      </c>
      <c r="T652" t="s">
        <v>3367</v>
      </c>
      <c r="U652" t="s">
        <v>12558</v>
      </c>
      <c r="V652" t="s">
        <v>15228</v>
      </c>
    </row>
    <row r="653" spans="1:22" hidden="1">
      <c r="A653" t="s">
        <v>15377</v>
      </c>
      <c r="B653" t="s">
        <v>15441</v>
      </c>
      <c r="C653" t="s">
        <v>15446</v>
      </c>
      <c r="D653" t="s">
        <v>652</v>
      </c>
      <c r="E653" t="s">
        <v>3431</v>
      </c>
      <c r="F653" t="s">
        <v>3452</v>
      </c>
      <c r="G653" s="3">
        <v>37.872516364607797</v>
      </c>
      <c r="H653" s="3">
        <v>128.25755144123801</v>
      </c>
      <c r="I653" t="s">
        <v>4418</v>
      </c>
      <c r="J653" t="s">
        <v>7777</v>
      </c>
      <c r="K653" t="s">
        <v>10981</v>
      </c>
      <c r="L653" t="s">
        <v>3380</v>
      </c>
      <c r="M653" t="s">
        <v>11886</v>
      </c>
      <c r="N653" t="s">
        <v>3363</v>
      </c>
      <c r="O653" t="s">
        <v>3360</v>
      </c>
      <c r="P653" t="s">
        <v>15211</v>
      </c>
      <c r="Q653" t="s">
        <v>15211</v>
      </c>
      <c r="R653" t="s">
        <v>15211</v>
      </c>
      <c r="S653" t="s">
        <v>15211</v>
      </c>
      <c r="T653" t="s">
        <v>3367</v>
      </c>
      <c r="U653" t="s">
        <v>12559</v>
      </c>
      <c r="V653" t="s">
        <v>15229</v>
      </c>
    </row>
    <row r="654" spans="1:22" hidden="1">
      <c r="A654" t="s">
        <v>15377</v>
      </c>
      <c r="B654" t="s">
        <v>15441</v>
      </c>
      <c r="C654" t="s">
        <v>15446</v>
      </c>
      <c r="D654" t="s">
        <v>653</v>
      </c>
      <c r="E654" t="s">
        <v>3425</v>
      </c>
      <c r="F654" t="s">
        <v>3433</v>
      </c>
      <c r="G654" s="3">
        <v>37.872516370419298</v>
      </c>
      <c r="H654" s="3">
        <v>128.257551423358</v>
      </c>
      <c r="I654" t="s">
        <v>4419</v>
      </c>
      <c r="J654" t="s">
        <v>7778</v>
      </c>
      <c r="K654" t="s">
        <v>10895</v>
      </c>
      <c r="L654" t="s">
        <v>3366</v>
      </c>
      <c r="M654" t="s">
        <v>11885</v>
      </c>
      <c r="N654" t="s">
        <v>3363</v>
      </c>
      <c r="O654" t="s">
        <v>3360</v>
      </c>
      <c r="P654" t="s">
        <v>15211</v>
      </c>
      <c r="Q654" t="s">
        <v>15211</v>
      </c>
      <c r="R654" t="s">
        <v>15211</v>
      </c>
      <c r="S654" t="s">
        <v>15211</v>
      </c>
      <c r="T654" t="s">
        <v>3367</v>
      </c>
      <c r="U654" t="s">
        <v>12560</v>
      </c>
      <c r="V654" t="s">
        <v>15229</v>
      </c>
    </row>
    <row r="655" spans="1:22" hidden="1">
      <c r="A655" t="s">
        <v>15377</v>
      </c>
      <c r="B655" t="s">
        <v>15441</v>
      </c>
      <c r="C655" t="s">
        <v>15446</v>
      </c>
      <c r="D655" t="s">
        <v>654</v>
      </c>
      <c r="E655" t="s">
        <v>3425</v>
      </c>
      <c r="F655" t="s">
        <v>3432</v>
      </c>
      <c r="G655" s="3">
        <v>37.872516386552697</v>
      </c>
      <c r="H655" s="3">
        <v>128.257551414734</v>
      </c>
      <c r="I655" t="s">
        <v>4420</v>
      </c>
      <c r="J655" t="s">
        <v>7779</v>
      </c>
      <c r="K655" t="s">
        <v>10982</v>
      </c>
      <c r="L655" t="s">
        <v>3366</v>
      </c>
      <c r="M655" t="s">
        <v>11885</v>
      </c>
      <c r="N655" t="s">
        <v>3363</v>
      </c>
      <c r="O655" t="s">
        <v>3361</v>
      </c>
      <c r="P655" t="s">
        <v>15211</v>
      </c>
      <c r="Q655" t="s">
        <v>15211</v>
      </c>
      <c r="R655" t="s">
        <v>15211</v>
      </c>
      <c r="S655" t="s">
        <v>15211</v>
      </c>
      <c r="T655" t="s">
        <v>3368</v>
      </c>
      <c r="U655" t="s">
        <v>12561</v>
      </c>
      <c r="V655" t="s">
        <v>15229</v>
      </c>
    </row>
    <row r="656" spans="1:22" hidden="1">
      <c r="A656" t="s">
        <v>15377</v>
      </c>
      <c r="B656" t="s">
        <v>15441</v>
      </c>
      <c r="C656" t="s">
        <v>15448</v>
      </c>
      <c r="D656" t="s">
        <v>655</v>
      </c>
      <c r="E656" t="s">
        <v>3462</v>
      </c>
      <c r="F656" t="s">
        <v>3541</v>
      </c>
      <c r="G656" s="3">
        <v>37.872516427524197</v>
      </c>
      <c r="H656" s="3">
        <v>128.25755128147</v>
      </c>
      <c r="I656" t="s">
        <v>4421</v>
      </c>
      <c r="J656" t="s">
        <v>7780</v>
      </c>
      <c r="K656" t="s">
        <v>10758</v>
      </c>
      <c r="L656" t="s">
        <v>3369</v>
      </c>
      <c r="M656" t="s">
        <v>11912</v>
      </c>
      <c r="N656" t="s">
        <v>3364</v>
      </c>
      <c r="O656" t="s">
        <v>3361</v>
      </c>
      <c r="P656" t="s">
        <v>3361</v>
      </c>
      <c r="Q656" t="s">
        <v>3362</v>
      </c>
      <c r="R656" t="s">
        <v>3358</v>
      </c>
      <c r="S656" t="s">
        <v>15211</v>
      </c>
      <c r="T656" t="s">
        <v>3382</v>
      </c>
      <c r="U656" t="s">
        <v>12562</v>
      </c>
      <c r="V656" t="s">
        <v>15230</v>
      </c>
    </row>
    <row r="657" spans="1:22" hidden="1">
      <c r="A657" t="s">
        <v>15377</v>
      </c>
      <c r="B657" t="s">
        <v>15441</v>
      </c>
      <c r="C657" t="s">
        <v>15448</v>
      </c>
      <c r="D657" t="s">
        <v>656</v>
      </c>
      <c r="E657" t="s">
        <v>3461</v>
      </c>
      <c r="F657" t="s">
        <v>3458</v>
      </c>
      <c r="G657" s="3">
        <v>37.872516412977497</v>
      </c>
      <c r="H657" s="3">
        <v>128.25755124448401</v>
      </c>
      <c r="I657" t="s">
        <v>4422</v>
      </c>
      <c r="J657" t="s">
        <v>7781</v>
      </c>
      <c r="K657" t="s">
        <v>10758</v>
      </c>
      <c r="L657" t="s">
        <v>3366</v>
      </c>
      <c r="M657" t="s">
        <v>11912</v>
      </c>
      <c r="N657" t="s">
        <v>3364</v>
      </c>
      <c r="O657" t="s">
        <v>3361</v>
      </c>
      <c r="P657" t="s">
        <v>3361</v>
      </c>
      <c r="Q657" t="s">
        <v>3362</v>
      </c>
      <c r="R657" t="s">
        <v>3358</v>
      </c>
      <c r="S657" t="s">
        <v>15211</v>
      </c>
      <c r="T657" t="s">
        <v>3382</v>
      </c>
      <c r="U657" t="s">
        <v>12563</v>
      </c>
      <c r="V657" t="s">
        <v>15230</v>
      </c>
    </row>
    <row r="658" spans="1:22" hidden="1">
      <c r="A658" t="s">
        <v>15377</v>
      </c>
      <c r="B658" t="s">
        <v>15441</v>
      </c>
      <c r="C658" t="s">
        <v>15448</v>
      </c>
      <c r="D658" t="s">
        <v>657</v>
      </c>
      <c r="E658" t="s">
        <v>3452</v>
      </c>
      <c r="F658" t="s">
        <v>3564</v>
      </c>
      <c r="G658" s="3">
        <v>37.872516436194203</v>
      </c>
      <c r="H658" s="3">
        <v>128.25755121704699</v>
      </c>
      <c r="I658" t="s">
        <v>4423</v>
      </c>
      <c r="J658" t="s">
        <v>7782</v>
      </c>
      <c r="K658" t="s">
        <v>10806</v>
      </c>
      <c r="L658" t="s">
        <v>3366</v>
      </c>
      <c r="M658" t="s">
        <v>11912</v>
      </c>
      <c r="N658" t="s">
        <v>3364</v>
      </c>
      <c r="O658" t="s">
        <v>3361</v>
      </c>
      <c r="P658" t="s">
        <v>3361</v>
      </c>
      <c r="Q658" t="s">
        <v>3362</v>
      </c>
      <c r="R658" t="s">
        <v>3358</v>
      </c>
      <c r="S658" t="s">
        <v>15211</v>
      </c>
      <c r="T658" t="s">
        <v>3382</v>
      </c>
      <c r="U658" t="s">
        <v>12562</v>
      </c>
      <c r="V658" t="s">
        <v>15230</v>
      </c>
    </row>
    <row r="659" spans="1:22" hidden="1">
      <c r="A659" t="s">
        <v>15377</v>
      </c>
      <c r="B659" t="s">
        <v>15441</v>
      </c>
      <c r="C659" t="s">
        <v>15449</v>
      </c>
      <c r="D659" t="s">
        <v>658</v>
      </c>
      <c r="E659" t="s">
        <v>3434</v>
      </c>
      <c r="F659" t="s">
        <v>3432</v>
      </c>
      <c r="G659" s="3">
        <v>37.872516381404701</v>
      </c>
      <c r="H659" s="3">
        <v>128.257551266805</v>
      </c>
      <c r="I659" t="s">
        <v>4424</v>
      </c>
      <c r="J659" t="s">
        <v>7783</v>
      </c>
      <c r="K659" t="s">
        <v>10983</v>
      </c>
      <c r="L659" t="s">
        <v>3370</v>
      </c>
      <c r="M659" t="s">
        <v>11908</v>
      </c>
      <c r="N659" t="s">
        <v>3363</v>
      </c>
      <c r="O659" t="s">
        <v>3361</v>
      </c>
      <c r="P659" t="s">
        <v>3361</v>
      </c>
      <c r="Q659" t="s">
        <v>3358</v>
      </c>
      <c r="R659" t="s">
        <v>3357</v>
      </c>
      <c r="S659" t="s">
        <v>15211</v>
      </c>
      <c r="T659" t="s">
        <v>3376</v>
      </c>
      <c r="U659" t="s">
        <v>12564</v>
      </c>
      <c r="V659" t="s">
        <v>15231</v>
      </c>
    </row>
    <row r="660" spans="1:22" hidden="1">
      <c r="A660" t="s">
        <v>15377</v>
      </c>
      <c r="B660" t="s">
        <v>15441</v>
      </c>
      <c r="C660" t="s">
        <v>15449</v>
      </c>
      <c r="D660" t="s">
        <v>659</v>
      </c>
      <c r="E660" t="s">
        <v>3434</v>
      </c>
      <c r="F660" t="s">
        <v>3453</v>
      </c>
      <c r="G660" s="3">
        <v>37.872516348492503</v>
      </c>
      <c r="H660" s="3">
        <v>128.25755126213099</v>
      </c>
      <c r="I660" t="s">
        <v>4425</v>
      </c>
      <c r="J660" t="s">
        <v>7784</v>
      </c>
      <c r="K660" t="s">
        <v>10759</v>
      </c>
      <c r="L660" t="s">
        <v>3366</v>
      </c>
      <c r="M660" t="s">
        <v>11908</v>
      </c>
      <c r="N660" t="s">
        <v>3363</v>
      </c>
      <c r="O660" t="s">
        <v>3361</v>
      </c>
      <c r="P660" t="s">
        <v>3361</v>
      </c>
      <c r="Q660" t="s">
        <v>3358</v>
      </c>
      <c r="R660" t="s">
        <v>3357</v>
      </c>
      <c r="S660" t="s">
        <v>15211</v>
      </c>
      <c r="T660" t="s">
        <v>3376</v>
      </c>
      <c r="U660" t="s">
        <v>12565</v>
      </c>
      <c r="V660" t="s">
        <v>15231</v>
      </c>
    </row>
    <row r="661" spans="1:22" hidden="1">
      <c r="A661" t="s">
        <v>15377</v>
      </c>
      <c r="B661" t="s">
        <v>15441</v>
      </c>
      <c r="C661" t="s">
        <v>15449</v>
      </c>
      <c r="D661" t="s">
        <v>660</v>
      </c>
      <c r="E661" t="s">
        <v>3431</v>
      </c>
      <c r="F661" t="s">
        <v>3453</v>
      </c>
      <c r="G661" s="3">
        <v>37.8725163591997</v>
      </c>
      <c r="H661" s="3">
        <v>128.25755128075801</v>
      </c>
      <c r="I661" t="s">
        <v>4426</v>
      </c>
      <c r="J661" t="s">
        <v>7785</v>
      </c>
      <c r="K661" t="s">
        <v>10984</v>
      </c>
      <c r="L661" t="s">
        <v>3366</v>
      </c>
      <c r="M661" t="s">
        <v>11908</v>
      </c>
      <c r="N661" t="s">
        <v>3363</v>
      </c>
      <c r="O661" t="s">
        <v>3361</v>
      </c>
      <c r="P661" t="s">
        <v>3361</v>
      </c>
      <c r="Q661" t="s">
        <v>3358</v>
      </c>
      <c r="R661" t="s">
        <v>3357</v>
      </c>
      <c r="S661" t="s">
        <v>15211</v>
      </c>
      <c r="T661" t="s">
        <v>3376</v>
      </c>
      <c r="U661" t="s">
        <v>12566</v>
      </c>
      <c r="V661" t="s">
        <v>15231</v>
      </c>
    </row>
    <row r="662" spans="1:22" hidden="1">
      <c r="A662" t="s">
        <v>15377</v>
      </c>
      <c r="B662" t="s">
        <v>15442</v>
      </c>
      <c r="C662" t="s">
        <v>15450</v>
      </c>
      <c r="D662" t="s">
        <v>661</v>
      </c>
      <c r="E662" t="s">
        <v>3427</v>
      </c>
      <c r="F662" t="s">
        <v>3434</v>
      </c>
      <c r="G662" s="3">
        <v>37.872516002312402</v>
      </c>
      <c r="H662" s="3">
        <v>128.25755112231599</v>
      </c>
      <c r="I662" t="s">
        <v>4427</v>
      </c>
      <c r="J662" t="s">
        <v>7786</v>
      </c>
      <c r="K662" t="s">
        <v>10530</v>
      </c>
      <c r="L662" t="s">
        <v>3366</v>
      </c>
      <c r="M662" t="s">
        <v>11894</v>
      </c>
      <c r="N662" t="s">
        <v>3364</v>
      </c>
      <c r="O662" t="s">
        <v>3362</v>
      </c>
      <c r="P662" t="s">
        <v>15211</v>
      </c>
      <c r="Q662" t="s">
        <v>15211</v>
      </c>
      <c r="R662" t="s">
        <v>15211</v>
      </c>
      <c r="S662" t="s">
        <v>15211</v>
      </c>
      <c r="T662" t="s">
        <v>3370</v>
      </c>
      <c r="U662" t="s">
        <v>12567</v>
      </c>
      <c r="V662" t="s">
        <v>15245</v>
      </c>
    </row>
    <row r="663" spans="1:22" hidden="1">
      <c r="A663" t="s">
        <v>15377</v>
      </c>
      <c r="B663" t="s">
        <v>15442</v>
      </c>
      <c r="C663" t="s">
        <v>15450</v>
      </c>
      <c r="D663" t="s">
        <v>662</v>
      </c>
      <c r="E663" t="s">
        <v>3427</v>
      </c>
      <c r="F663" t="s">
        <v>3434</v>
      </c>
      <c r="G663" s="3">
        <v>37.872515973258899</v>
      </c>
      <c r="H663" s="3">
        <v>128.257551096616</v>
      </c>
      <c r="I663" t="s">
        <v>4428</v>
      </c>
      <c r="J663" t="s">
        <v>7787</v>
      </c>
      <c r="K663" t="s">
        <v>3759</v>
      </c>
      <c r="L663" t="s">
        <v>3366</v>
      </c>
      <c r="M663" t="s">
        <v>11894</v>
      </c>
      <c r="N663" t="s">
        <v>3364</v>
      </c>
      <c r="O663" t="s">
        <v>3362</v>
      </c>
      <c r="P663" t="s">
        <v>15211</v>
      </c>
      <c r="Q663" t="s">
        <v>15211</v>
      </c>
      <c r="R663" t="s">
        <v>15211</v>
      </c>
      <c r="S663" t="s">
        <v>15211</v>
      </c>
      <c r="T663" t="s">
        <v>3370</v>
      </c>
      <c r="U663" t="s">
        <v>12568</v>
      </c>
      <c r="V663" t="s">
        <v>15245</v>
      </c>
    </row>
    <row r="664" spans="1:22" hidden="1">
      <c r="A664" t="s">
        <v>15377</v>
      </c>
      <c r="B664" t="s">
        <v>15442</v>
      </c>
      <c r="C664" t="s">
        <v>15450</v>
      </c>
      <c r="D664" t="s">
        <v>663</v>
      </c>
      <c r="E664" t="s">
        <v>3427</v>
      </c>
      <c r="F664" t="s">
        <v>3434</v>
      </c>
      <c r="G664" s="3">
        <v>37.872515951448896</v>
      </c>
      <c r="H664" s="3">
        <v>128.257551082151</v>
      </c>
      <c r="I664" t="s">
        <v>4429</v>
      </c>
      <c r="J664" t="s">
        <v>7788</v>
      </c>
      <c r="K664" t="s">
        <v>10985</v>
      </c>
      <c r="L664" t="s">
        <v>3366</v>
      </c>
      <c r="M664" t="s">
        <v>11894</v>
      </c>
      <c r="N664" t="s">
        <v>3364</v>
      </c>
      <c r="O664" t="s">
        <v>3362</v>
      </c>
      <c r="P664" t="s">
        <v>15211</v>
      </c>
      <c r="Q664" t="s">
        <v>15211</v>
      </c>
      <c r="R664" t="s">
        <v>15211</v>
      </c>
      <c r="S664" t="s">
        <v>15211</v>
      </c>
      <c r="T664" t="s">
        <v>3370</v>
      </c>
      <c r="U664" t="s">
        <v>12569</v>
      </c>
      <c r="V664" t="s">
        <v>15245</v>
      </c>
    </row>
    <row r="665" spans="1:22" hidden="1">
      <c r="A665" t="s">
        <v>15377</v>
      </c>
      <c r="B665" t="s">
        <v>15442</v>
      </c>
      <c r="C665" t="s">
        <v>15445</v>
      </c>
      <c r="D665" t="s">
        <v>664</v>
      </c>
      <c r="E665" t="s">
        <v>3431</v>
      </c>
      <c r="F665" t="s">
        <v>3442</v>
      </c>
      <c r="G665" s="3">
        <v>37.872516360204102</v>
      </c>
      <c r="H665" s="3">
        <v>128.257551309159</v>
      </c>
      <c r="I665" t="s">
        <v>4430</v>
      </c>
      <c r="J665" t="s">
        <v>7789</v>
      </c>
      <c r="K665" t="s">
        <v>10986</v>
      </c>
      <c r="L665" t="s">
        <v>3369</v>
      </c>
      <c r="M665" t="s">
        <v>11890</v>
      </c>
      <c r="N665" t="s">
        <v>3364</v>
      </c>
      <c r="O665" t="s">
        <v>3361</v>
      </c>
      <c r="P665" t="s">
        <v>15211</v>
      </c>
      <c r="Q665" t="s">
        <v>15211</v>
      </c>
      <c r="R665" t="s">
        <v>15211</v>
      </c>
      <c r="S665" t="s">
        <v>15211</v>
      </c>
      <c r="T665" t="s">
        <v>3369</v>
      </c>
      <c r="U665" t="s">
        <v>12570</v>
      </c>
      <c r="V665" t="s">
        <v>15246</v>
      </c>
    </row>
    <row r="666" spans="1:22" hidden="1">
      <c r="A666" t="s">
        <v>15377</v>
      </c>
      <c r="B666" t="s">
        <v>15442</v>
      </c>
      <c r="C666" t="s">
        <v>15445</v>
      </c>
      <c r="D666" t="s">
        <v>665</v>
      </c>
      <c r="E666" t="s">
        <v>3431</v>
      </c>
      <c r="F666" t="s">
        <v>3441</v>
      </c>
      <c r="G666" s="3">
        <v>37.872516332727002</v>
      </c>
      <c r="H666" s="3">
        <v>128.257551306127</v>
      </c>
      <c r="I666" t="s">
        <v>4431</v>
      </c>
      <c r="J666" t="s">
        <v>7790</v>
      </c>
      <c r="K666" t="s">
        <v>10987</v>
      </c>
      <c r="L666" t="s">
        <v>3366</v>
      </c>
      <c r="M666" t="s">
        <v>11890</v>
      </c>
      <c r="N666" t="s">
        <v>3364</v>
      </c>
      <c r="O666" t="s">
        <v>3361</v>
      </c>
      <c r="P666" t="s">
        <v>15211</v>
      </c>
      <c r="Q666" t="s">
        <v>15211</v>
      </c>
      <c r="R666" t="s">
        <v>15211</v>
      </c>
      <c r="S666" t="s">
        <v>15211</v>
      </c>
      <c r="T666" t="s">
        <v>3369</v>
      </c>
      <c r="U666" t="s">
        <v>12571</v>
      </c>
      <c r="V666" t="s">
        <v>15246</v>
      </c>
    </row>
    <row r="667" spans="1:22" hidden="1">
      <c r="A667" t="s">
        <v>15377</v>
      </c>
      <c r="B667" t="s">
        <v>15442</v>
      </c>
      <c r="C667" t="s">
        <v>15445</v>
      </c>
      <c r="D667" t="s">
        <v>666</v>
      </c>
      <c r="E667" t="s">
        <v>3434</v>
      </c>
      <c r="F667" t="s">
        <v>3453</v>
      </c>
      <c r="G667" s="3">
        <v>37.872516349654397</v>
      </c>
      <c r="H667" s="3">
        <v>128.25755131243301</v>
      </c>
      <c r="I667" t="s">
        <v>4432</v>
      </c>
      <c r="J667" t="s">
        <v>7791</v>
      </c>
      <c r="K667" t="s">
        <v>10988</v>
      </c>
      <c r="L667" t="s">
        <v>3366</v>
      </c>
      <c r="M667" t="s">
        <v>11890</v>
      </c>
      <c r="N667" t="s">
        <v>3364</v>
      </c>
      <c r="O667" t="s">
        <v>3361</v>
      </c>
      <c r="P667" t="s">
        <v>15211</v>
      </c>
      <c r="Q667" t="s">
        <v>15211</v>
      </c>
      <c r="R667" t="s">
        <v>15211</v>
      </c>
      <c r="S667" t="s">
        <v>15211</v>
      </c>
      <c r="T667" t="s">
        <v>3369</v>
      </c>
      <c r="U667" t="s">
        <v>12572</v>
      </c>
      <c r="V667" t="s">
        <v>15246</v>
      </c>
    </row>
    <row r="668" spans="1:22" hidden="1">
      <c r="A668" t="s">
        <v>15377</v>
      </c>
      <c r="B668" t="s">
        <v>15442</v>
      </c>
      <c r="C668" t="s">
        <v>15451</v>
      </c>
      <c r="D668" t="s">
        <v>667</v>
      </c>
      <c r="E668" t="s">
        <v>3438</v>
      </c>
      <c r="F668" t="s">
        <v>3435</v>
      </c>
      <c r="G668" s="3">
        <v>37.872516363212704</v>
      </c>
      <c r="H668" s="3">
        <v>128.25755135607599</v>
      </c>
      <c r="I668" t="s">
        <v>4433</v>
      </c>
      <c r="J668" t="s">
        <v>7792</v>
      </c>
      <c r="K668" t="s">
        <v>10989</v>
      </c>
      <c r="L668" t="s">
        <v>3371</v>
      </c>
      <c r="M668" t="s">
        <v>11893</v>
      </c>
      <c r="N668" t="s">
        <v>3364</v>
      </c>
      <c r="O668" t="s">
        <v>3361</v>
      </c>
      <c r="P668" t="s">
        <v>3361</v>
      </c>
      <c r="Q668" t="s">
        <v>3363</v>
      </c>
      <c r="R668" t="s">
        <v>15211</v>
      </c>
      <c r="S668" t="s">
        <v>15211</v>
      </c>
      <c r="T668" t="s">
        <v>3381</v>
      </c>
      <c r="U668" t="s">
        <v>12573</v>
      </c>
      <c r="V668" t="s">
        <v>15247</v>
      </c>
    </row>
    <row r="669" spans="1:22" hidden="1">
      <c r="A669" t="s">
        <v>15377</v>
      </c>
      <c r="B669" t="s">
        <v>15442</v>
      </c>
      <c r="C669" t="s">
        <v>15451</v>
      </c>
      <c r="D669" t="s">
        <v>668</v>
      </c>
      <c r="E669" t="s">
        <v>3427</v>
      </c>
      <c r="F669" t="s">
        <v>3435</v>
      </c>
      <c r="G669" s="3">
        <v>37.872516357586299</v>
      </c>
      <c r="H669" s="3">
        <v>128.257551344745</v>
      </c>
      <c r="I669" t="s">
        <v>4434</v>
      </c>
      <c r="J669" t="s">
        <v>7793</v>
      </c>
      <c r="K669" t="s">
        <v>10989</v>
      </c>
      <c r="L669" t="s">
        <v>3366</v>
      </c>
      <c r="M669" t="s">
        <v>11893</v>
      </c>
      <c r="N669" t="s">
        <v>3364</v>
      </c>
      <c r="O669" t="s">
        <v>3361</v>
      </c>
      <c r="P669" t="s">
        <v>3361</v>
      </c>
      <c r="Q669" t="s">
        <v>3363</v>
      </c>
      <c r="R669" t="s">
        <v>15211</v>
      </c>
      <c r="S669" t="s">
        <v>15211</v>
      </c>
      <c r="T669" t="s">
        <v>3381</v>
      </c>
      <c r="U669" t="s">
        <v>12574</v>
      </c>
      <c r="V669" t="s">
        <v>15247</v>
      </c>
    </row>
    <row r="670" spans="1:22" hidden="1">
      <c r="A670" t="s">
        <v>15377</v>
      </c>
      <c r="B670" t="s">
        <v>15442</v>
      </c>
      <c r="C670" t="s">
        <v>15451</v>
      </c>
      <c r="D670" t="s">
        <v>669</v>
      </c>
      <c r="E670" t="s">
        <v>3438</v>
      </c>
      <c r="F670" t="s">
        <v>3435</v>
      </c>
      <c r="G670" s="3">
        <v>37.872516363189803</v>
      </c>
      <c r="H670" s="3">
        <v>128.25755133955099</v>
      </c>
      <c r="I670" t="s">
        <v>4435</v>
      </c>
      <c r="J670" t="s">
        <v>7794</v>
      </c>
      <c r="K670" t="s">
        <v>10990</v>
      </c>
      <c r="L670" t="s">
        <v>3366</v>
      </c>
      <c r="M670" t="s">
        <v>11893</v>
      </c>
      <c r="N670" t="s">
        <v>3364</v>
      </c>
      <c r="O670" t="s">
        <v>3361</v>
      </c>
      <c r="P670" t="s">
        <v>3361</v>
      </c>
      <c r="Q670" t="s">
        <v>3363</v>
      </c>
      <c r="R670" t="s">
        <v>15211</v>
      </c>
      <c r="S670" t="s">
        <v>15211</v>
      </c>
      <c r="T670" t="s">
        <v>3381</v>
      </c>
      <c r="U670" t="s">
        <v>12575</v>
      </c>
      <c r="V670" t="s">
        <v>15247</v>
      </c>
    </row>
    <row r="671" spans="1:22" hidden="1">
      <c r="A671" t="s">
        <v>15378</v>
      </c>
      <c r="B671" t="s">
        <v>15443</v>
      </c>
      <c r="C671" t="s">
        <v>15466</v>
      </c>
      <c r="D671" t="s">
        <v>670</v>
      </c>
      <c r="E671" t="s">
        <v>3425</v>
      </c>
      <c r="F671" t="s">
        <v>3540</v>
      </c>
      <c r="G671" s="3">
        <v>37.738671322150502</v>
      </c>
      <c r="H671" s="3">
        <v>128.40370473318399</v>
      </c>
      <c r="I671" t="s">
        <v>4436</v>
      </c>
      <c r="J671" t="s">
        <v>7795</v>
      </c>
      <c r="K671" t="s">
        <v>10991</v>
      </c>
      <c r="L671" t="s">
        <v>3366</v>
      </c>
      <c r="M671" t="s">
        <v>11894</v>
      </c>
      <c r="N671" t="s">
        <v>3358</v>
      </c>
      <c r="O671" t="s">
        <v>15211</v>
      </c>
      <c r="P671" t="s">
        <v>3362</v>
      </c>
      <c r="Q671" t="s">
        <v>3362</v>
      </c>
      <c r="R671" t="s">
        <v>15211</v>
      </c>
      <c r="S671" t="s">
        <v>15211</v>
      </c>
      <c r="T671" t="s">
        <v>3370</v>
      </c>
      <c r="U671" t="s">
        <v>12576</v>
      </c>
      <c r="V671" t="s">
        <v>15248</v>
      </c>
    </row>
    <row r="672" spans="1:22" hidden="1">
      <c r="A672" t="s">
        <v>15378</v>
      </c>
      <c r="B672" t="s">
        <v>15443</v>
      </c>
      <c r="C672" t="s">
        <v>15466</v>
      </c>
      <c r="D672" t="s">
        <v>671</v>
      </c>
      <c r="E672" t="s">
        <v>3425</v>
      </c>
      <c r="F672" t="s">
        <v>3540</v>
      </c>
      <c r="G672" s="3">
        <v>37.738671333969798</v>
      </c>
      <c r="H672" s="3">
        <v>128.40370475178301</v>
      </c>
      <c r="I672" t="s">
        <v>4437</v>
      </c>
      <c r="J672" t="s">
        <v>7796</v>
      </c>
      <c r="K672" t="s">
        <v>10992</v>
      </c>
      <c r="L672" t="s">
        <v>3366</v>
      </c>
      <c r="M672" t="s">
        <v>11894</v>
      </c>
      <c r="N672" t="s">
        <v>3358</v>
      </c>
      <c r="O672" t="s">
        <v>15211</v>
      </c>
      <c r="P672" t="s">
        <v>3362</v>
      </c>
      <c r="Q672" t="s">
        <v>3362</v>
      </c>
      <c r="R672" t="s">
        <v>15211</v>
      </c>
      <c r="S672" t="s">
        <v>15211</v>
      </c>
      <c r="T672" t="s">
        <v>3370</v>
      </c>
      <c r="U672" t="s">
        <v>12577</v>
      </c>
      <c r="V672" t="s">
        <v>15248</v>
      </c>
    </row>
    <row r="673" spans="1:22" hidden="1">
      <c r="A673" t="s">
        <v>15378</v>
      </c>
      <c r="B673" t="s">
        <v>15443</v>
      </c>
      <c r="C673" t="s">
        <v>15466</v>
      </c>
      <c r="D673" t="s">
        <v>672</v>
      </c>
      <c r="E673" t="s">
        <v>3425</v>
      </c>
      <c r="F673" t="s">
        <v>3540</v>
      </c>
      <c r="G673" s="3">
        <v>37.738671331274702</v>
      </c>
      <c r="H673" s="3">
        <v>128.40370474442099</v>
      </c>
      <c r="I673" t="s">
        <v>4438</v>
      </c>
      <c r="J673" t="s">
        <v>7797</v>
      </c>
      <c r="K673" t="s">
        <v>10993</v>
      </c>
      <c r="L673" t="s">
        <v>3366</v>
      </c>
      <c r="M673" t="s">
        <v>11894</v>
      </c>
      <c r="N673" t="s">
        <v>3358</v>
      </c>
      <c r="O673" t="s">
        <v>15211</v>
      </c>
      <c r="P673" t="s">
        <v>3362</v>
      </c>
      <c r="Q673" t="s">
        <v>3362</v>
      </c>
      <c r="R673" t="s">
        <v>15211</v>
      </c>
      <c r="S673" t="s">
        <v>15211</v>
      </c>
      <c r="T673" t="s">
        <v>3370</v>
      </c>
      <c r="U673" t="s">
        <v>12578</v>
      </c>
      <c r="V673" t="s">
        <v>15248</v>
      </c>
    </row>
    <row r="674" spans="1:22">
      <c r="A674" t="s">
        <v>15378</v>
      </c>
      <c r="B674" t="s">
        <v>15443</v>
      </c>
      <c r="C674" t="s">
        <v>15452</v>
      </c>
      <c r="D674" t="s">
        <v>673</v>
      </c>
      <c r="E674" t="s">
        <v>3431</v>
      </c>
      <c r="F674" t="s">
        <v>3563</v>
      </c>
      <c r="G674" s="3">
        <v>37.738671332345703</v>
      </c>
      <c r="H674" s="3">
        <v>128.40370472814899</v>
      </c>
      <c r="I674" t="s">
        <v>4439</v>
      </c>
      <c r="J674" t="s">
        <v>7798</v>
      </c>
      <c r="K674" t="s">
        <v>10994</v>
      </c>
      <c r="L674" t="s">
        <v>3375</v>
      </c>
      <c r="M674" t="s">
        <v>11894</v>
      </c>
      <c r="N674" t="s">
        <v>3358</v>
      </c>
      <c r="O674" t="s">
        <v>15211</v>
      </c>
      <c r="P674" t="s">
        <v>3362</v>
      </c>
      <c r="Q674" t="s">
        <v>3362</v>
      </c>
      <c r="R674" t="s">
        <v>15211</v>
      </c>
      <c r="S674" t="s">
        <v>15211</v>
      </c>
      <c r="T674" t="s">
        <v>3370</v>
      </c>
      <c r="U674" t="s">
        <v>12579</v>
      </c>
      <c r="V674" t="s">
        <v>15220</v>
      </c>
    </row>
    <row r="675" spans="1:22">
      <c r="A675" t="s">
        <v>15378</v>
      </c>
      <c r="B675" t="s">
        <v>15443</v>
      </c>
      <c r="C675" t="s">
        <v>15452</v>
      </c>
      <c r="D675" t="s">
        <v>674</v>
      </c>
      <c r="E675" t="s">
        <v>3431</v>
      </c>
      <c r="F675" t="s">
        <v>3564</v>
      </c>
      <c r="G675" s="3">
        <v>37.738671290450498</v>
      </c>
      <c r="H675" s="3">
        <v>128.40370477946001</v>
      </c>
      <c r="I675" t="s">
        <v>4440</v>
      </c>
      <c r="J675" t="s">
        <v>7799</v>
      </c>
      <c r="K675" t="s">
        <v>10562</v>
      </c>
      <c r="L675" t="s">
        <v>3366</v>
      </c>
      <c r="M675" t="s">
        <v>11894</v>
      </c>
      <c r="N675" t="s">
        <v>3358</v>
      </c>
      <c r="O675" t="s">
        <v>15211</v>
      </c>
      <c r="P675" t="s">
        <v>3362</v>
      </c>
      <c r="Q675" t="s">
        <v>3362</v>
      </c>
      <c r="R675" t="s">
        <v>15211</v>
      </c>
      <c r="S675" t="s">
        <v>15211</v>
      </c>
      <c r="T675" t="s">
        <v>3370</v>
      </c>
      <c r="U675" t="s">
        <v>12580</v>
      </c>
      <c r="V675" t="s">
        <v>15220</v>
      </c>
    </row>
    <row r="676" spans="1:22">
      <c r="A676" t="s">
        <v>15378</v>
      </c>
      <c r="B676" t="s">
        <v>15443</v>
      </c>
      <c r="C676" t="s">
        <v>15452</v>
      </c>
      <c r="D676" t="s">
        <v>675</v>
      </c>
      <c r="E676" t="s">
        <v>3431</v>
      </c>
      <c r="F676" t="s">
        <v>3564</v>
      </c>
      <c r="G676" s="3">
        <v>37.738671288485101</v>
      </c>
      <c r="H676" s="3">
        <v>128.40370480707301</v>
      </c>
      <c r="I676" t="s">
        <v>4441</v>
      </c>
      <c r="J676" t="s">
        <v>7800</v>
      </c>
      <c r="K676" t="s">
        <v>10737</v>
      </c>
      <c r="L676" t="s">
        <v>3366</v>
      </c>
      <c r="M676" t="s">
        <v>11894</v>
      </c>
      <c r="N676" t="s">
        <v>3358</v>
      </c>
      <c r="O676" t="s">
        <v>15211</v>
      </c>
      <c r="P676" t="s">
        <v>3362</v>
      </c>
      <c r="Q676" t="s">
        <v>3362</v>
      </c>
      <c r="R676" t="s">
        <v>15211</v>
      </c>
      <c r="S676" t="s">
        <v>15211</v>
      </c>
      <c r="T676" t="s">
        <v>3370</v>
      </c>
      <c r="U676" t="s">
        <v>12581</v>
      </c>
      <c r="V676" t="s">
        <v>15220</v>
      </c>
    </row>
    <row r="677" spans="1:22" hidden="1">
      <c r="A677" t="s">
        <v>15378</v>
      </c>
      <c r="B677" t="s">
        <v>15442</v>
      </c>
      <c r="C677" t="s">
        <v>15445</v>
      </c>
      <c r="D677" t="s">
        <v>676</v>
      </c>
      <c r="E677" t="s">
        <v>3427</v>
      </c>
      <c r="F677" t="s">
        <v>3442</v>
      </c>
      <c r="G677" s="3">
        <v>37.7386714157821</v>
      </c>
      <c r="H677" s="3">
        <v>128.40370467817999</v>
      </c>
      <c r="I677" t="s">
        <v>4442</v>
      </c>
      <c r="J677" t="s">
        <v>7801</v>
      </c>
      <c r="K677" t="s">
        <v>10995</v>
      </c>
      <c r="L677" t="s">
        <v>3366</v>
      </c>
      <c r="M677" t="s">
        <v>11902</v>
      </c>
      <c r="N677" t="s">
        <v>3363</v>
      </c>
      <c r="O677" t="s">
        <v>3359</v>
      </c>
      <c r="P677" t="s">
        <v>15211</v>
      </c>
      <c r="Q677" t="s">
        <v>15211</v>
      </c>
      <c r="R677" t="s">
        <v>15211</v>
      </c>
      <c r="S677" t="s">
        <v>15211</v>
      </c>
      <c r="T677" t="s">
        <v>3366</v>
      </c>
      <c r="U677" t="s">
        <v>12582</v>
      </c>
      <c r="V677" t="s">
        <v>15233</v>
      </c>
    </row>
    <row r="678" spans="1:22" hidden="1">
      <c r="A678" t="s">
        <v>15378</v>
      </c>
      <c r="B678" t="s">
        <v>15442</v>
      </c>
      <c r="C678" t="s">
        <v>15445</v>
      </c>
      <c r="D678" t="s">
        <v>677</v>
      </c>
      <c r="E678" t="s">
        <v>3428</v>
      </c>
      <c r="F678" t="s">
        <v>3441</v>
      </c>
      <c r="G678" s="3">
        <v>37.738671375695901</v>
      </c>
      <c r="H678" s="3">
        <v>128.403704704924</v>
      </c>
      <c r="I678" t="s">
        <v>4443</v>
      </c>
      <c r="J678" t="s">
        <v>7802</v>
      </c>
      <c r="K678" t="s">
        <v>10996</v>
      </c>
      <c r="L678" t="s">
        <v>3366</v>
      </c>
      <c r="M678" t="s">
        <v>11902</v>
      </c>
      <c r="N678" t="s">
        <v>3363</v>
      </c>
      <c r="O678" t="s">
        <v>3359</v>
      </c>
      <c r="P678" t="s">
        <v>15211</v>
      </c>
      <c r="Q678" t="s">
        <v>15211</v>
      </c>
      <c r="R678" t="s">
        <v>15211</v>
      </c>
      <c r="S678" t="s">
        <v>15211</v>
      </c>
      <c r="T678" t="s">
        <v>3366</v>
      </c>
      <c r="U678" t="s">
        <v>12583</v>
      </c>
      <c r="V678" t="s">
        <v>15233</v>
      </c>
    </row>
    <row r="679" spans="1:22" hidden="1">
      <c r="A679" t="s">
        <v>15378</v>
      </c>
      <c r="B679" t="s">
        <v>15442</v>
      </c>
      <c r="C679" t="s">
        <v>15445</v>
      </c>
      <c r="D679" t="s">
        <v>678</v>
      </c>
      <c r="E679" t="s">
        <v>3428</v>
      </c>
      <c r="F679" t="s">
        <v>3441</v>
      </c>
      <c r="G679" s="3">
        <v>37.738671288636397</v>
      </c>
      <c r="H679" s="3">
        <v>128.40370479314501</v>
      </c>
      <c r="I679" t="s">
        <v>4444</v>
      </c>
      <c r="J679" t="s">
        <v>7803</v>
      </c>
      <c r="K679" t="s">
        <v>10526</v>
      </c>
      <c r="L679" t="s">
        <v>3366</v>
      </c>
      <c r="M679" t="s">
        <v>11902</v>
      </c>
      <c r="N679" t="s">
        <v>3363</v>
      </c>
      <c r="O679" t="s">
        <v>3359</v>
      </c>
      <c r="P679" t="s">
        <v>15211</v>
      </c>
      <c r="Q679" t="s">
        <v>15211</v>
      </c>
      <c r="R679" t="s">
        <v>15211</v>
      </c>
      <c r="S679" t="s">
        <v>15211</v>
      </c>
      <c r="T679" t="s">
        <v>3366</v>
      </c>
      <c r="U679" t="s">
        <v>12584</v>
      </c>
      <c r="V679" t="s">
        <v>15233</v>
      </c>
    </row>
    <row r="680" spans="1:22" hidden="1">
      <c r="A680" t="s">
        <v>15378</v>
      </c>
      <c r="B680" t="s">
        <v>15442</v>
      </c>
      <c r="C680" t="s">
        <v>15451</v>
      </c>
      <c r="D680" t="s">
        <v>679</v>
      </c>
      <c r="E680" t="s">
        <v>3438</v>
      </c>
      <c r="F680" t="s">
        <v>3441</v>
      </c>
      <c r="G680" s="3">
        <v>37.7386713754262</v>
      </c>
      <c r="H680" s="3">
        <v>128.403704881322</v>
      </c>
      <c r="I680" t="s">
        <v>4445</v>
      </c>
      <c r="J680" t="s">
        <v>7804</v>
      </c>
      <c r="K680" t="s">
        <v>10997</v>
      </c>
      <c r="L680" t="s">
        <v>3371</v>
      </c>
      <c r="M680" t="s">
        <v>11888</v>
      </c>
      <c r="N680" t="s">
        <v>3363</v>
      </c>
      <c r="O680" t="s">
        <v>3359</v>
      </c>
      <c r="P680" t="s">
        <v>3360</v>
      </c>
      <c r="Q680" t="s">
        <v>3360</v>
      </c>
      <c r="R680" t="s">
        <v>15211</v>
      </c>
      <c r="S680" t="s">
        <v>15211</v>
      </c>
      <c r="T680" t="s">
        <v>3374</v>
      </c>
      <c r="U680" t="s">
        <v>12585</v>
      </c>
      <c r="V680" t="s">
        <v>15234</v>
      </c>
    </row>
    <row r="681" spans="1:22" hidden="1">
      <c r="A681" t="s">
        <v>15378</v>
      </c>
      <c r="B681" t="s">
        <v>15442</v>
      </c>
      <c r="C681" t="s">
        <v>15451</v>
      </c>
      <c r="D681" t="s">
        <v>680</v>
      </c>
      <c r="E681" t="s">
        <v>3438</v>
      </c>
      <c r="F681" t="s">
        <v>3441</v>
      </c>
      <c r="G681" s="3">
        <v>37.738671368099702</v>
      </c>
      <c r="H681" s="3">
        <v>128.40370488504399</v>
      </c>
      <c r="I681" t="s">
        <v>4446</v>
      </c>
      <c r="J681" t="s">
        <v>7805</v>
      </c>
      <c r="K681" t="s">
        <v>10998</v>
      </c>
      <c r="L681" t="s">
        <v>3366</v>
      </c>
      <c r="M681" t="s">
        <v>11888</v>
      </c>
      <c r="N681" t="s">
        <v>3363</v>
      </c>
      <c r="O681" t="s">
        <v>3359</v>
      </c>
      <c r="P681" t="s">
        <v>3362</v>
      </c>
      <c r="Q681" t="s">
        <v>3362</v>
      </c>
      <c r="R681" t="s">
        <v>15211</v>
      </c>
      <c r="S681" t="s">
        <v>15211</v>
      </c>
      <c r="T681" t="s">
        <v>3378</v>
      </c>
      <c r="U681" t="s">
        <v>12586</v>
      </c>
      <c r="V681" t="s">
        <v>15234</v>
      </c>
    </row>
    <row r="682" spans="1:22" hidden="1">
      <c r="A682" t="s">
        <v>15378</v>
      </c>
      <c r="B682" t="s">
        <v>15442</v>
      </c>
      <c r="C682" t="s">
        <v>15451</v>
      </c>
      <c r="D682" t="s">
        <v>681</v>
      </c>
      <c r="E682" t="s">
        <v>3438</v>
      </c>
      <c r="F682" t="s">
        <v>3441</v>
      </c>
      <c r="G682" s="3">
        <v>37.738671371105902</v>
      </c>
      <c r="H682" s="3">
        <v>128.40370488020301</v>
      </c>
      <c r="I682" t="s">
        <v>4447</v>
      </c>
      <c r="J682" t="s">
        <v>7806</v>
      </c>
      <c r="K682" t="s">
        <v>10998</v>
      </c>
      <c r="L682" t="s">
        <v>3366</v>
      </c>
      <c r="M682" t="s">
        <v>11888</v>
      </c>
      <c r="N682" t="s">
        <v>3363</v>
      </c>
      <c r="O682" t="s">
        <v>3359</v>
      </c>
      <c r="P682" t="s">
        <v>3362</v>
      </c>
      <c r="Q682" t="s">
        <v>3362</v>
      </c>
      <c r="R682" t="s">
        <v>15211</v>
      </c>
      <c r="S682" t="s">
        <v>15211</v>
      </c>
      <c r="T682" t="s">
        <v>3378</v>
      </c>
      <c r="U682" t="s">
        <v>12587</v>
      </c>
      <c r="V682" t="s">
        <v>15234</v>
      </c>
    </row>
    <row r="683" spans="1:22" hidden="1">
      <c r="A683" t="s">
        <v>15378</v>
      </c>
      <c r="B683" t="s">
        <v>15444</v>
      </c>
      <c r="C683" t="s">
        <v>15450</v>
      </c>
      <c r="D683" t="s">
        <v>682</v>
      </c>
      <c r="E683" t="s">
        <v>3473</v>
      </c>
      <c r="F683" t="s">
        <v>3624</v>
      </c>
      <c r="G683" s="3">
        <v>37.738671302110497</v>
      </c>
      <c r="H683" s="3">
        <v>128.40370613146101</v>
      </c>
      <c r="I683" t="s">
        <v>4448</v>
      </c>
      <c r="J683" t="s">
        <v>7807</v>
      </c>
      <c r="K683" t="s">
        <v>10999</v>
      </c>
      <c r="L683" t="s">
        <v>3366</v>
      </c>
      <c r="M683" t="s">
        <v>11902</v>
      </c>
      <c r="N683" t="s">
        <v>3362</v>
      </c>
      <c r="O683" t="s">
        <v>3360</v>
      </c>
      <c r="P683" t="s">
        <v>15211</v>
      </c>
      <c r="Q683" t="s">
        <v>15211</v>
      </c>
      <c r="R683" t="s">
        <v>15211</v>
      </c>
      <c r="S683" t="s">
        <v>15211</v>
      </c>
      <c r="T683" t="s">
        <v>3366</v>
      </c>
      <c r="U683" t="s">
        <v>12588</v>
      </c>
      <c r="V683" t="s">
        <v>15249</v>
      </c>
    </row>
    <row r="684" spans="1:22" hidden="1">
      <c r="A684" t="s">
        <v>15378</v>
      </c>
      <c r="B684" t="s">
        <v>15444</v>
      </c>
      <c r="C684" t="s">
        <v>15450</v>
      </c>
      <c r="D684" t="s">
        <v>683</v>
      </c>
      <c r="E684" t="s">
        <v>3474</v>
      </c>
      <c r="F684" t="s">
        <v>3625</v>
      </c>
      <c r="G684" s="3">
        <v>37.738671150465898</v>
      </c>
      <c r="H684" s="3">
        <v>128.403706047166</v>
      </c>
      <c r="I684" t="s">
        <v>4449</v>
      </c>
      <c r="J684" t="s">
        <v>7808</v>
      </c>
      <c r="K684" t="s">
        <v>11000</v>
      </c>
      <c r="L684" t="s">
        <v>3366</v>
      </c>
      <c r="M684" t="s">
        <v>11902</v>
      </c>
      <c r="N684" t="s">
        <v>3362</v>
      </c>
      <c r="O684" t="s">
        <v>3360</v>
      </c>
      <c r="P684" t="s">
        <v>15211</v>
      </c>
      <c r="Q684" t="s">
        <v>15211</v>
      </c>
      <c r="R684" t="s">
        <v>15211</v>
      </c>
      <c r="S684" t="s">
        <v>15211</v>
      </c>
      <c r="T684" t="s">
        <v>3366</v>
      </c>
      <c r="U684" t="s">
        <v>12589</v>
      </c>
      <c r="V684" t="s">
        <v>15249</v>
      </c>
    </row>
    <row r="685" spans="1:22" hidden="1">
      <c r="A685" t="s">
        <v>15378</v>
      </c>
      <c r="B685" t="s">
        <v>15444</v>
      </c>
      <c r="C685" t="s">
        <v>15450</v>
      </c>
      <c r="D685" t="s">
        <v>684</v>
      </c>
      <c r="E685" t="s">
        <v>3475</v>
      </c>
      <c r="F685" t="s">
        <v>3626</v>
      </c>
      <c r="G685" s="3">
        <v>37.738671171975597</v>
      </c>
      <c r="H685" s="3">
        <v>128.403705044383</v>
      </c>
      <c r="I685" t="s">
        <v>4450</v>
      </c>
      <c r="J685" t="s">
        <v>7809</v>
      </c>
      <c r="K685" t="s">
        <v>11001</v>
      </c>
      <c r="L685" t="s">
        <v>3366</v>
      </c>
      <c r="M685" t="s">
        <v>11902</v>
      </c>
      <c r="N685" t="s">
        <v>3362</v>
      </c>
      <c r="O685" t="s">
        <v>3360</v>
      </c>
      <c r="P685" t="s">
        <v>15211</v>
      </c>
      <c r="Q685" t="s">
        <v>15211</v>
      </c>
      <c r="R685" t="s">
        <v>15211</v>
      </c>
      <c r="S685" t="s">
        <v>15211</v>
      </c>
      <c r="T685" t="s">
        <v>3366</v>
      </c>
      <c r="U685" t="s">
        <v>12590</v>
      </c>
      <c r="V685" t="s">
        <v>15249</v>
      </c>
    </row>
    <row r="686" spans="1:22" hidden="1">
      <c r="A686" t="s">
        <v>15378</v>
      </c>
      <c r="B686" t="s">
        <v>15441</v>
      </c>
      <c r="C686" t="s">
        <v>15445</v>
      </c>
      <c r="D686" t="s">
        <v>685</v>
      </c>
      <c r="E686" t="s">
        <v>3438</v>
      </c>
      <c r="F686" t="s">
        <v>3442</v>
      </c>
      <c r="G686" s="3">
        <v>37.7386713581935</v>
      </c>
      <c r="H686" s="3">
        <v>128.403704881252</v>
      </c>
      <c r="I686" t="s">
        <v>4451</v>
      </c>
      <c r="J686" t="s">
        <v>7810</v>
      </c>
      <c r="K686" t="s">
        <v>10995</v>
      </c>
      <c r="L686" t="s">
        <v>3366</v>
      </c>
      <c r="M686" t="s">
        <v>11900</v>
      </c>
      <c r="N686" t="s">
        <v>3362</v>
      </c>
      <c r="O686" t="s">
        <v>3359</v>
      </c>
      <c r="P686" t="s">
        <v>15211</v>
      </c>
      <c r="Q686" t="s">
        <v>15211</v>
      </c>
      <c r="R686" t="s">
        <v>15211</v>
      </c>
      <c r="S686" t="s">
        <v>15211</v>
      </c>
      <c r="T686" t="s">
        <v>3365</v>
      </c>
      <c r="U686" t="s">
        <v>12591</v>
      </c>
      <c r="V686" t="s">
        <v>15228</v>
      </c>
    </row>
    <row r="687" spans="1:22" hidden="1">
      <c r="A687" t="s">
        <v>15378</v>
      </c>
      <c r="B687" t="s">
        <v>15441</v>
      </c>
      <c r="C687" t="s">
        <v>15445</v>
      </c>
      <c r="D687" t="s">
        <v>686</v>
      </c>
      <c r="E687" t="s">
        <v>3438</v>
      </c>
      <c r="F687" t="s">
        <v>3441</v>
      </c>
      <c r="G687" s="3">
        <v>37.738671355273098</v>
      </c>
      <c r="H687" s="3">
        <v>128.40370486264001</v>
      </c>
      <c r="I687" t="s">
        <v>4452</v>
      </c>
      <c r="J687" t="s">
        <v>7811</v>
      </c>
      <c r="K687" t="s">
        <v>10919</v>
      </c>
      <c r="L687" t="s">
        <v>3366</v>
      </c>
      <c r="M687" t="s">
        <v>11900</v>
      </c>
      <c r="N687" t="s">
        <v>3362</v>
      </c>
      <c r="O687" t="s">
        <v>3359</v>
      </c>
      <c r="P687" t="s">
        <v>15211</v>
      </c>
      <c r="Q687" t="s">
        <v>15211</v>
      </c>
      <c r="R687" t="s">
        <v>15211</v>
      </c>
      <c r="S687" t="s">
        <v>15211</v>
      </c>
      <c r="T687" t="s">
        <v>3365</v>
      </c>
      <c r="U687" t="s">
        <v>12592</v>
      </c>
      <c r="V687" t="s">
        <v>15228</v>
      </c>
    </row>
    <row r="688" spans="1:22" hidden="1">
      <c r="A688" t="s">
        <v>15378</v>
      </c>
      <c r="B688" t="s">
        <v>15441</v>
      </c>
      <c r="C688" t="s">
        <v>15445</v>
      </c>
      <c r="D688" t="s">
        <v>687</v>
      </c>
      <c r="E688" t="s">
        <v>3428</v>
      </c>
      <c r="F688" t="s">
        <v>3432</v>
      </c>
      <c r="G688" s="3">
        <v>37.738671359663599</v>
      </c>
      <c r="H688" s="3">
        <v>128.40370484143199</v>
      </c>
      <c r="I688" t="s">
        <v>4453</v>
      </c>
      <c r="J688" t="s">
        <v>7812</v>
      </c>
      <c r="K688" t="s">
        <v>10852</v>
      </c>
      <c r="L688" t="s">
        <v>3366</v>
      </c>
      <c r="M688" t="s">
        <v>11902</v>
      </c>
      <c r="N688" t="s">
        <v>3362</v>
      </c>
      <c r="O688" t="s">
        <v>3359</v>
      </c>
      <c r="P688" t="s">
        <v>15211</v>
      </c>
      <c r="Q688" t="s">
        <v>15211</v>
      </c>
      <c r="R688" t="s">
        <v>15211</v>
      </c>
      <c r="S688" t="s">
        <v>15211</v>
      </c>
      <c r="T688" t="s">
        <v>3365</v>
      </c>
      <c r="U688" t="s">
        <v>12593</v>
      </c>
      <c r="V688" t="s">
        <v>15228</v>
      </c>
    </row>
    <row r="689" spans="1:22" hidden="1">
      <c r="A689" t="s">
        <v>15378</v>
      </c>
      <c r="B689" t="s">
        <v>15441</v>
      </c>
      <c r="C689" t="s">
        <v>15446</v>
      </c>
      <c r="D689" t="s">
        <v>688</v>
      </c>
      <c r="E689" t="s">
        <v>3435</v>
      </c>
      <c r="F689" t="s">
        <v>3450</v>
      </c>
      <c r="G689" s="3">
        <v>37.738671397668902</v>
      </c>
      <c r="H689" s="3">
        <v>128.40370492024101</v>
      </c>
      <c r="I689" t="s">
        <v>4454</v>
      </c>
      <c r="J689" t="s">
        <v>7813</v>
      </c>
      <c r="K689" t="s">
        <v>11002</v>
      </c>
      <c r="L689" t="s">
        <v>3385</v>
      </c>
      <c r="M689" t="s">
        <v>11902</v>
      </c>
      <c r="N689" t="s">
        <v>3363</v>
      </c>
      <c r="O689" t="s">
        <v>3359</v>
      </c>
      <c r="P689" t="s">
        <v>15211</v>
      </c>
      <c r="Q689" t="s">
        <v>15211</v>
      </c>
      <c r="R689" t="s">
        <v>15211</v>
      </c>
      <c r="S689" t="s">
        <v>15211</v>
      </c>
      <c r="T689" t="s">
        <v>3366</v>
      </c>
      <c r="U689" t="s">
        <v>12594</v>
      </c>
      <c r="V689" t="s">
        <v>15229</v>
      </c>
    </row>
    <row r="690" spans="1:22" hidden="1">
      <c r="A690" t="s">
        <v>15378</v>
      </c>
      <c r="B690" t="s">
        <v>15441</v>
      </c>
      <c r="C690" t="s">
        <v>15446</v>
      </c>
      <c r="D690" t="s">
        <v>689</v>
      </c>
      <c r="E690" t="s">
        <v>3435</v>
      </c>
      <c r="F690" t="s">
        <v>3465</v>
      </c>
      <c r="G690" s="3">
        <v>37.738671395230298</v>
      </c>
      <c r="H690" s="3">
        <v>128.40370493510599</v>
      </c>
      <c r="I690" t="s">
        <v>4455</v>
      </c>
      <c r="J690" t="s">
        <v>7814</v>
      </c>
      <c r="K690" t="s">
        <v>10927</v>
      </c>
      <c r="L690" t="s">
        <v>3366</v>
      </c>
      <c r="M690" t="s">
        <v>11902</v>
      </c>
      <c r="N690" t="s">
        <v>3363</v>
      </c>
      <c r="O690" t="s">
        <v>3359</v>
      </c>
      <c r="P690" t="s">
        <v>15211</v>
      </c>
      <c r="Q690" t="s">
        <v>15211</v>
      </c>
      <c r="R690" t="s">
        <v>15211</v>
      </c>
      <c r="S690" t="s">
        <v>15211</v>
      </c>
      <c r="T690" t="s">
        <v>3366</v>
      </c>
      <c r="U690" t="s">
        <v>12595</v>
      </c>
      <c r="V690" t="s">
        <v>15229</v>
      </c>
    </row>
    <row r="691" spans="1:22" hidden="1">
      <c r="A691" t="s">
        <v>15378</v>
      </c>
      <c r="B691" t="s">
        <v>15441</v>
      </c>
      <c r="C691" t="s">
        <v>15446</v>
      </c>
      <c r="D691" t="s">
        <v>690</v>
      </c>
      <c r="E691" t="s">
        <v>3435</v>
      </c>
      <c r="F691" t="s">
        <v>3465</v>
      </c>
      <c r="G691" s="3">
        <v>37.738671413658103</v>
      </c>
      <c r="H691" s="3">
        <v>128.40370492794801</v>
      </c>
      <c r="I691" t="s">
        <v>4456</v>
      </c>
      <c r="J691" t="s">
        <v>7815</v>
      </c>
      <c r="K691" t="s">
        <v>11003</v>
      </c>
      <c r="L691" t="s">
        <v>3366</v>
      </c>
      <c r="M691" t="s">
        <v>11902</v>
      </c>
      <c r="N691" t="s">
        <v>3363</v>
      </c>
      <c r="O691" t="s">
        <v>3359</v>
      </c>
      <c r="P691" t="s">
        <v>15211</v>
      </c>
      <c r="Q691" t="s">
        <v>15211</v>
      </c>
      <c r="R691" t="s">
        <v>15211</v>
      </c>
      <c r="S691" t="s">
        <v>15211</v>
      </c>
      <c r="T691" t="s">
        <v>3366</v>
      </c>
      <c r="U691" t="s">
        <v>12596</v>
      </c>
      <c r="V691" t="s">
        <v>15229</v>
      </c>
    </row>
    <row r="692" spans="1:22" hidden="1">
      <c r="A692" t="s">
        <v>15378</v>
      </c>
      <c r="B692" t="s">
        <v>15441</v>
      </c>
      <c r="C692" t="s">
        <v>15448</v>
      </c>
      <c r="D692" t="s">
        <v>691</v>
      </c>
      <c r="E692" t="s">
        <v>3429</v>
      </c>
      <c r="F692" t="s">
        <v>3564</v>
      </c>
      <c r="G692" s="3">
        <v>37.738671291621998</v>
      </c>
      <c r="H692" s="3">
        <v>128.40370472518299</v>
      </c>
      <c r="I692" t="s">
        <v>4457</v>
      </c>
      <c r="J692" t="s">
        <v>7816</v>
      </c>
      <c r="K692" t="s">
        <v>11004</v>
      </c>
      <c r="L692" t="s">
        <v>3370</v>
      </c>
      <c r="M692" t="s">
        <v>11896</v>
      </c>
      <c r="N692" t="s">
        <v>3363</v>
      </c>
      <c r="O692" t="s">
        <v>3359</v>
      </c>
      <c r="P692" t="s">
        <v>3362</v>
      </c>
      <c r="Q692" t="s">
        <v>3363</v>
      </c>
      <c r="R692" t="s">
        <v>3358</v>
      </c>
      <c r="S692" t="s">
        <v>15211</v>
      </c>
      <c r="T692" t="s">
        <v>3381</v>
      </c>
      <c r="U692" t="s">
        <v>12597</v>
      </c>
      <c r="V692" t="s">
        <v>15230</v>
      </c>
    </row>
    <row r="693" spans="1:22" hidden="1">
      <c r="A693" t="s">
        <v>15378</v>
      </c>
      <c r="B693" t="s">
        <v>15441</v>
      </c>
      <c r="C693" t="s">
        <v>15448</v>
      </c>
      <c r="D693" t="s">
        <v>692</v>
      </c>
      <c r="E693" t="s">
        <v>3429</v>
      </c>
      <c r="F693" t="s">
        <v>3564</v>
      </c>
      <c r="G693" s="3">
        <v>37.7386712930846</v>
      </c>
      <c r="H693" s="3">
        <v>128.40370471782501</v>
      </c>
      <c r="I693" t="s">
        <v>4458</v>
      </c>
      <c r="J693" t="s">
        <v>7817</v>
      </c>
      <c r="K693" t="s">
        <v>10555</v>
      </c>
      <c r="L693" t="s">
        <v>3366</v>
      </c>
      <c r="M693" t="s">
        <v>11891</v>
      </c>
      <c r="N693" t="s">
        <v>3363</v>
      </c>
      <c r="O693" t="s">
        <v>3359</v>
      </c>
      <c r="P693" t="s">
        <v>3362</v>
      </c>
      <c r="Q693" t="s">
        <v>3362</v>
      </c>
      <c r="R693" t="s">
        <v>3358</v>
      </c>
      <c r="S693" t="s">
        <v>15211</v>
      </c>
      <c r="T693" t="s">
        <v>3380</v>
      </c>
      <c r="U693" t="s">
        <v>12598</v>
      </c>
      <c r="V693" t="s">
        <v>15230</v>
      </c>
    </row>
    <row r="694" spans="1:22" hidden="1">
      <c r="A694" t="s">
        <v>15378</v>
      </c>
      <c r="B694" t="s">
        <v>15441</v>
      </c>
      <c r="C694" t="s">
        <v>15448</v>
      </c>
      <c r="D694" t="s">
        <v>693</v>
      </c>
      <c r="E694" t="s">
        <v>3430</v>
      </c>
      <c r="F694" t="s">
        <v>3564</v>
      </c>
      <c r="G694" s="3">
        <v>37.738671285024097</v>
      </c>
      <c r="H694" s="3">
        <v>128.403704695421</v>
      </c>
      <c r="I694" t="s">
        <v>4459</v>
      </c>
      <c r="J694" t="s">
        <v>7818</v>
      </c>
      <c r="K694" t="s">
        <v>10554</v>
      </c>
      <c r="L694" t="s">
        <v>3366</v>
      </c>
      <c r="M694" t="s">
        <v>11891</v>
      </c>
      <c r="N694" t="s">
        <v>3363</v>
      </c>
      <c r="O694" t="s">
        <v>3359</v>
      </c>
      <c r="P694" t="s">
        <v>3362</v>
      </c>
      <c r="Q694" t="s">
        <v>3362</v>
      </c>
      <c r="R694" t="s">
        <v>3358</v>
      </c>
      <c r="S694" t="s">
        <v>15211</v>
      </c>
      <c r="T694" t="s">
        <v>3380</v>
      </c>
      <c r="U694" t="s">
        <v>12599</v>
      </c>
      <c r="V694" t="s">
        <v>15230</v>
      </c>
    </row>
    <row r="695" spans="1:22" hidden="1">
      <c r="A695" t="s">
        <v>15378</v>
      </c>
      <c r="B695" t="s">
        <v>15441</v>
      </c>
      <c r="C695" t="s">
        <v>15449</v>
      </c>
      <c r="D695" t="s">
        <v>694</v>
      </c>
      <c r="E695" t="s">
        <v>3427</v>
      </c>
      <c r="F695" t="s">
        <v>3453</v>
      </c>
      <c r="G695" s="3">
        <v>37.738671369331399</v>
      </c>
      <c r="H695" s="3">
        <v>128.40370475338801</v>
      </c>
      <c r="I695" t="s">
        <v>4460</v>
      </c>
      <c r="J695" t="s">
        <v>7819</v>
      </c>
      <c r="K695" t="s">
        <v>10660</v>
      </c>
      <c r="L695" t="s">
        <v>3373</v>
      </c>
      <c r="M695" t="s">
        <v>11889</v>
      </c>
      <c r="N695" t="s">
        <v>3363</v>
      </c>
      <c r="O695" t="s">
        <v>3359</v>
      </c>
      <c r="P695" t="s">
        <v>3362</v>
      </c>
      <c r="Q695" t="s">
        <v>3360</v>
      </c>
      <c r="R695" t="s">
        <v>3357</v>
      </c>
      <c r="S695" t="s">
        <v>15211</v>
      </c>
      <c r="T695" t="s">
        <v>3377</v>
      </c>
      <c r="U695" t="s">
        <v>12600</v>
      </c>
      <c r="V695" t="s">
        <v>15231</v>
      </c>
    </row>
    <row r="696" spans="1:22" hidden="1">
      <c r="A696" t="s">
        <v>15378</v>
      </c>
      <c r="B696" t="s">
        <v>15441</v>
      </c>
      <c r="C696" t="s">
        <v>15449</v>
      </c>
      <c r="D696" t="s">
        <v>695</v>
      </c>
      <c r="E696" t="s">
        <v>3427</v>
      </c>
      <c r="F696" t="s">
        <v>3432</v>
      </c>
      <c r="G696" s="3">
        <v>37.738671373808202</v>
      </c>
      <c r="H696" s="3">
        <v>128.403704753445</v>
      </c>
      <c r="I696" t="s">
        <v>4461</v>
      </c>
      <c r="J696" t="s">
        <v>7820</v>
      </c>
      <c r="K696" t="s">
        <v>11005</v>
      </c>
      <c r="L696" t="s">
        <v>3366</v>
      </c>
      <c r="M696" t="s">
        <v>11889</v>
      </c>
      <c r="N696" t="s">
        <v>3363</v>
      </c>
      <c r="O696" t="s">
        <v>3359</v>
      </c>
      <c r="P696" t="s">
        <v>3362</v>
      </c>
      <c r="Q696" t="s">
        <v>3360</v>
      </c>
      <c r="R696" t="s">
        <v>3357</v>
      </c>
      <c r="S696" t="s">
        <v>15211</v>
      </c>
      <c r="T696" t="s">
        <v>3377</v>
      </c>
      <c r="U696" t="s">
        <v>12601</v>
      </c>
      <c r="V696" t="s">
        <v>15231</v>
      </c>
    </row>
    <row r="697" spans="1:22" hidden="1">
      <c r="A697" t="s">
        <v>15378</v>
      </c>
      <c r="B697" t="s">
        <v>15441</v>
      </c>
      <c r="C697" t="s">
        <v>15449</v>
      </c>
      <c r="D697" t="s">
        <v>696</v>
      </c>
      <c r="E697" t="s">
        <v>3428</v>
      </c>
      <c r="F697" t="s">
        <v>3433</v>
      </c>
      <c r="G697" s="3">
        <v>37.738671383091699</v>
      </c>
      <c r="H697" s="3">
        <v>128.403704721872</v>
      </c>
      <c r="I697" t="s">
        <v>4462</v>
      </c>
      <c r="J697" t="s">
        <v>7821</v>
      </c>
      <c r="K697" t="s">
        <v>10661</v>
      </c>
      <c r="L697" t="s">
        <v>3366</v>
      </c>
      <c r="M697" t="s">
        <v>11889</v>
      </c>
      <c r="N697" t="s">
        <v>3363</v>
      </c>
      <c r="O697" t="s">
        <v>3359</v>
      </c>
      <c r="P697" t="s">
        <v>3362</v>
      </c>
      <c r="Q697" t="s">
        <v>3360</v>
      </c>
      <c r="R697" t="s">
        <v>3357</v>
      </c>
      <c r="S697" t="s">
        <v>15211</v>
      </c>
      <c r="T697" t="s">
        <v>3377</v>
      </c>
      <c r="U697" t="s">
        <v>12600</v>
      </c>
      <c r="V697" t="s">
        <v>15231</v>
      </c>
    </row>
    <row r="698" spans="1:22" hidden="1">
      <c r="A698" t="s">
        <v>15379</v>
      </c>
      <c r="B698" t="s">
        <v>15441</v>
      </c>
      <c r="C698" t="s">
        <v>15445</v>
      </c>
      <c r="D698" t="s">
        <v>697</v>
      </c>
      <c r="E698" t="s">
        <v>3425</v>
      </c>
      <c r="F698" t="s">
        <v>3430</v>
      </c>
      <c r="G698" s="3">
        <v>37.658602492461903</v>
      </c>
      <c r="H698" s="3">
        <v>128.51818240423901</v>
      </c>
      <c r="I698" t="s">
        <v>4463</v>
      </c>
      <c r="J698" t="s">
        <v>7822</v>
      </c>
      <c r="K698" t="s">
        <v>10985</v>
      </c>
      <c r="L698" t="s">
        <v>3366</v>
      </c>
      <c r="M698" t="s">
        <v>11895</v>
      </c>
      <c r="N698" t="s">
        <v>3364</v>
      </c>
      <c r="O698" t="s">
        <v>3363</v>
      </c>
      <c r="P698" t="s">
        <v>15211</v>
      </c>
      <c r="Q698" t="s">
        <v>15211</v>
      </c>
      <c r="R698" t="s">
        <v>15211</v>
      </c>
      <c r="S698" t="s">
        <v>15211</v>
      </c>
      <c r="T698" t="s">
        <v>3371</v>
      </c>
      <c r="U698" t="s">
        <v>12602</v>
      </c>
      <c r="V698" t="s">
        <v>15228</v>
      </c>
    </row>
    <row r="699" spans="1:22" hidden="1">
      <c r="A699" t="s">
        <v>15379</v>
      </c>
      <c r="B699" t="s">
        <v>15441</v>
      </c>
      <c r="C699" t="s">
        <v>15445</v>
      </c>
      <c r="D699" t="s">
        <v>698</v>
      </c>
      <c r="E699" t="s">
        <v>3425</v>
      </c>
      <c r="F699" t="s">
        <v>3429</v>
      </c>
      <c r="G699" s="3">
        <v>37.658602479020502</v>
      </c>
      <c r="H699" s="3">
        <v>128.518182399144</v>
      </c>
      <c r="I699" t="s">
        <v>4464</v>
      </c>
      <c r="J699" t="s">
        <v>7823</v>
      </c>
      <c r="K699" t="s">
        <v>11006</v>
      </c>
      <c r="L699" t="s">
        <v>3366</v>
      </c>
      <c r="M699" t="s">
        <v>11895</v>
      </c>
      <c r="N699" t="s">
        <v>3364</v>
      </c>
      <c r="O699" t="s">
        <v>3363</v>
      </c>
      <c r="P699" t="s">
        <v>15211</v>
      </c>
      <c r="Q699" t="s">
        <v>15211</v>
      </c>
      <c r="R699" t="s">
        <v>15211</v>
      </c>
      <c r="S699" t="s">
        <v>15211</v>
      </c>
      <c r="T699" t="s">
        <v>3371</v>
      </c>
      <c r="U699" t="s">
        <v>12603</v>
      </c>
      <c r="V699" t="s">
        <v>15228</v>
      </c>
    </row>
    <row r="700" spans="1:22" hidden="1">
      <c r="A700" t="s">
        <v>15379</v>
      </c>
      <c r="B700" t="s">
        <v>15441</v>
      </c>
      <c r="C700" t="s">
        <v>15445</v>
      </c>
      <c r="D700" t="s">
        <v>699</v>
      </c>
      <c r="E700" t="s">
        <v>3436</v>
      </c>
      <c r="F700" t="s">
        <v>3429</v>
      </c>
      <c r="G700" s="3">
        <v>37.658602487101099</v>
      </c>
      <c r="H700" s="3">
        <v>128.51818238397399</v>
      </c>
      <c r="I700" t="s">
        <v>4465</v>
      </c>
      <c r="J700" t="s">
        <v>7824</v>
      </c>
      <c r="K700" t="s">
        <v>11007</v>
      </c>
      <c r="L700" t="s">
        <v>3366</v>
      </c>
      <c r="M700" t="s">
        <v>11895</v>
      </c>
      <c r="N700" t="s">
        <v>3364</v>
      </c>
      <c r="O700" t="s">
        <v>3363</v>
      </c>
      <c r="P700" t="s">
        <v>15211</v>
      </c>
      <c r="Q700" t="s">
        <v>15211</v>
      </c>
      <c r="R700" t="s">
        <v>15211</v>
      </c>
      <c r="S700" t="s">
        <v>15211</v>
      </c>
      <c r="T700" t="s">
        <v>3371</v>
      </c>
      <c r="U700" t="s">
        <v>12604</v>
      </c>
      <c r="V700" t="s">
        <v>15228</v>
      </c>
    </row>
    <row r="701" spans="1:22" hidden="1">
      <c r="A701" t="s">
        <v>15379</v>
      </c>
      <c r="B701" t="s">
        <v>15441</v>
      </c>
      <c r="C701" t="s">
        <v>15446</v>
      </c>
      <c r="D701" t="s">
        <v>700</v>
      </c>
      <c r="E701" t="s">
        <v>3430</v>
      </c>
      <c r="F701" t="s">
        <v>3465</v>
      </c>
      <c r="G701" s="3">
        <v>37.658602472287399</v>
      </c>
      <c r="H701" s="3">
        <v>128.51818228386799</v>
      </c>
      <c r="I701" t="s">
        <v>4466</v>
      </c>
      <c r="J701" t="s">
        <v>7825</v>
      </c>
      <c r="K701" t="s">
        <v>11008</v>
      </c>
      <c r="L701" t="s">
        <v>3380</v>
      </c>
      <c r="M701" t="s">
        <v>11895</v>
      </c>
      <c r="N701" t="s">
        <v>3364</v>
      </c>
      <c r="O701" t="s">
        <v>3363</v>
      </c>
      <c r="P701" t="s">
        <v>15211</v>
      </c>
      <c r="Q701" t="s">
        <v>15211</v>
      </c>
      <c r="R701" t="s">
        <v>15211</v>
      </c>
      <c r="S701" t="s">
        <v>15211</v>
      </c>
      <c r="T701" t="s">
        <v>3371</v>
      </c>
      <c r="U701" t="s">
        <v>12605</v>
      </c>
      <c r="V701" t="s">
        <v>15229</v>
      </c>
    </row>
    <row r="702" spans="1:22" hidden="1">
      <c r="A702" t="s">
        <v>15379</v>
      </c>
      <c r="B702" t="s">
        <v>15441</v>
      </c>
      <c r="C702" t="s">
        <v>15446</v>
      </c>
      <c r="D702" t="s">
        <v>701</v>
      </c>
      <c r="E702" t="s">
        <v>3442</v>
      </c>
      <c r="F702" t="s">
        <v>3460</v>
      </c>
      <c r="G702" s="3">
        <v>37.658602487404799</v>
      </c>
      <c r="H702" s="3">
        <v>128.51818231098599</v>
      </c>
      <c r="I702" t="s">
        <v>4467</v>
      </c>
      <c r="J702" t="s">
        <v>7826</v>
      </c>
      <c r="K702" t="s">
        <v>11008</v>
      </c>
      <c r="L702" t="s">
        <v>3366</v>
      </c>
      <c r="M702" t="s">
        <v>11895</v>
      </c>
      <c r="N702" t="s">
        <v>3364</v>
      </c>
      <c r="O702" t="s">
        <v>3363</v>
      </c>
      <c r="P702" t="s">
        <v>15211</v>
      </c>
      <c r="Q702" t="s">
        <v>15211</v>
      </c>
      <c r="R702" t="s">
        <v>15211</v>
      </c>
      <c r="S702" t="s">
        <v>15211</v>
      </c>
      <c r="T702" t="s">
        <v>3371</v>
      </c>
      <c r="U702" t="s">
        <v>12606</v>
      </c>
      <c r="V702" t="s">
        <v>15229</v>
      </c>
    </row>
    <row r="703" spans="1:22" hidden="1">
      <c r="A703" t="s">
        <v>15379</v>
      </c>
      <c r="B703" t="s">
        <v>15441</v>
      </c>
      <c r="C703" t="s">
        <v>15446</v>
      </c>
      <c r="D703" t="s">
        <v>702</v>
      </c>
      <c r="E703" t="s">
        <v>3441</v>
      </c>
      <c r="F703" t="s">
        <v>3449</v>
      </c>
      <c r="G703" s="3">
        <v>37.658602495086299</v>
      </c>
      <c r="H703" s="3">
        <v>128.51818234221099</v>
      </c>
      <c r="I703" t="s">
        <v>4468</v>
      </c>
      <c r="J703" t="s">
        <v>7827</v>
      </c>
      <c r="K703" t="s">
        <v>11008</v>
      </c>
      <c r="L703" t="s">
        <v>3366</v>
      </c>
      <c r="M703" t="s">
        <v>11895</v>
      </c>
      <c r="N703" t="s">
        <v>3364</v>
      </c>
      <c r="O703" t="s">
        <v>3363</v>
      </c>
      <c r="P703" t="s">
        <v>15211</v>
      </c>
      <c r="Q703" t="s">
        <v>15211</v>
      </c>
      <c r="R703" t="s">
        <v>15211</v>
      </c>
      <c r="S703" t="s">
        <v>15211</v>
      </c>
      <c r="T703" t="s">
        <v>3371</v>
      </c>
      <c r="U703" t="s">
        <v>12607</v>
      </c>
      <c r="V703" t="s">
        <v>15229</v>
      </c>
    </row>
    <row r="704" spans="1:22" hidden="1">
      <c r="A704" t="s">
        <v>15379</v>
      </c>
      <c r="B704" t="s">
        <v>15441</v>
      </c>
      <c r="C704" t="s">
        <v>15448</v>
      </c>
      <c r="D704" t="s">
        <v>703</v>
      </c>
      <c r="E704" t="s">
        <v>3430</v>
      </c>
      <c r="F704" t="s">
        <v>3515</v>
      </c>
      <c r="G704" s="3">
        <v>37.658602374451299</v>
      </c>
      <c r="H704" s="3">
        <v>128.518182316657</v>
      </c>
      <c r="I704" t="s">
        <v>4469</v>
      </c>
      <c r="J704" t="s">
        <v>7828</v>
      </c>
      <c r="K704" t="s">
        <v>11009</v>
      </c>
      <c r="L704" t="s">
        <v>3366</v>
      </c>
      <c r="M704" t="s">
        <v>11905</v>
      </c>
      <c r="N704" t="s">
        <v>3364</v>
      </c>
      <c r="O704" t="s">
        <v>3363</v>
      </c>
      <c r="P704" t="s">
        <v>3363</v>
      </c>
      <c r="Q704" t="s">
        <v>3366</v>
      </c>
      <c r="R704" t="s">
        <v>3358</v>
      </c>
      <c r="S704" t="s">
        <v>15211</v>
      </c>
      <c r="T704" t="s">
        <v>3390</v>
      </c>
      <c r="U704" t="s">
        <v>12608</v>
      </c>
      <c r="V704" t="s">
        <v>15230</v>
      </c>
    </row>
    <row r="705" spans="1:22" hidden="1">
      <c r="A705" t="s">
        <v>15379</v>
      </c>
      <c r="B705" t="s">
        <v>15441</v>
      </c>
      <c r="C705" t="s">
        <v>15448</v>
      </c>
      <c r="D705" t="s">
        <v>704</v>
      </c>
      <c r="E705" t="s">
        <v>3430</v>
      </c>
      <c r="F705" t="s">
        <v>3515</v>
      </c>
      <c r="G705" s="3">
        <v>37.658602404181202</v>
      </c>
      <c r="H705" s="3">
        <v>128.51818231100401</v>
      </c>
      <c r="I705" t="s">
        <v>4470</v>
      </c>
      <c r="J705" t="s">
        <v>7829</v>
      </c>
      <c r="K705" t="s">
        <v>11010</v>
      </c>
      <c r="L705" t="s">
        <v>3366</v>
      </c>
      <c r="M705" t="s">
        <v>11916</v>
      </c>
      <c r="N705" t="s">
        <v>3364</v>
      </c>
      <c r="O705" t="s">
        <v>3363</v>
      </c>
      <c r="P705" t="s">
        <v>3363</v>
      </c>
      <c r="Q705" t="s">
        <v>3367</v>
      </c>
      <c r="R705" t="s">
        <v>3358</v>
      </c>
      <c r="S705" t="s">
        <v>15211</v>
      </c>
      <c r="T705" t="s">
        <v>3391</v>
      </c>
      <c r="U705" t="s">
        <v>12609</v>
      </c>
      <c r="V705" t="s">
        <v>15230</v>
      </c>
    </row>
    <row r="706" spans="1:22" hidden="1">
      <c r="A706" t="s">
        <v>15379</v>
      </c>
      <c r="B706" t="s">
        <v>15441</v>
      </c>
      <c r="C706" t="s">
        <v>15448</v>
      </c>
      <c r="D706" t="s">
        <v>705</v>
      </c>
      <c r="E706" t="s">
        <v>3430</v>
      </c>
      <c r="F706" t="s">
        <v>3515</v>
      </c>
      <c r="G706" s="3">
        <v>37.658602404841602</v>
      </c>
      <c r="H706" s="3">
        <v>128.518182337355</v>
      </c>
      <c r="I706" t="s">
        <v>4471</v>
      </c>
      <c r="J706" t="s">
        <v>7830</v>
      </c>
      <c r="K706" t="s">
        <v>11011</v>
      </c>
      <c r="L706" t="s">
        <v>3366</v>
      </c>
      <c r="M706" t="s">
        <v>11917</v>
      </c>
      <c r="N706" t="s">
        <v>3364</v>
      </c>
      <c r="O706" t="s">
        <v>3363</v>
      </c>
      <c r="P706" t="s">
        <v>3363</v>
      </c>
      <c r="Q706" t="s">
        <v>3368</v>
      </c>
      <c r="R706" t="s">
        <v>3358</v>
      </c>
      <c r="S706" t="s">
        <v>15211</v>
      </c>
      <c r="T706" t="s">
        <v>3392</v>
      </c>
      <c r="U706" t="s">
        <v>12610</v>
      </c>
      <c r="V706" t="s">
        <v>15230</v>
      </c>
    </row>
    <row r="707" spans="1:22" hidden="1">
      <c r="A707" t="s">
        <v>15379</v>
      </c>
      <c r="B707" t="s">
        <v>15441</v>
      </c>
      <c r="C707" t="s">
        <v>15449</v>
      </c>
      <c r="D707" t="s">
        <v>706</v>
      </c>
      <c r="E707" t="s">
        <v>3438</v>
      </c>
      <c r="F707" t="s">
        <v>3434</v>
      </c>
      <c r="G707" s="3">
        <v>37.658602373785399</v>
      </c>
      <c r="H707" s="3">
        <v>128.51818233911899</v>
      </c>
      <c r="I707" t="s">
        <v>4472</v>
      </c>
      <c r="J707" t="s">
        <v>7831</v>
      </c>
      <c r="K707" t="s">
        <v>11012</v>
      </c>
      <c r="L707" t="s">
        <v>3370</v>
      </c>
      <c r="M707" t="s">
        <v>11913</v>
      </c>
      <c r="N707" t="s">
        <v>3364</v>
      </c>
      <c r="O707" t="s">
        <v>3362</v>
      </c>
      <c r="P707" t="s">
        <v>3363</v>
      </c>
      <c r="Q707" t="s">
        <v>3365</v>
      </c>
      <c r="R707" t="s">
        <v>3357</v>
      </c>
      <c r="S707" t="s">
        <v>15211</v>
      </c>
      <c r="T707" t="s">
        <v>3387</v>
      </c>
      <c r="U707" t="s">
        <v>12611</v>
      </c>
      <c r="V707" t="s">
        <v>15231</v>
      </c>
    </row>
    <row r="708" spans="1:22" hidden="1">
      <c r="A708" t="s">
        <v>15379</v>
      </c>
      <c r="B708" t="s">
        <v>15441</v>
      </c>
      <c r="C708" t="s">
        <v>15449</v>
      </c>
      <c r="D708" t="s">
        <v>707</v>
      </c>
      <c r="E708" t="s">
        <v>3438</v>
      </c>
      <c r="F708" t="s">
        <v>3434</v>
      </c>
      <c r="G708" s="3">
        <v>37.658602366910003</v>
      </c>
      <c r="H708" s="3">
        <v>128.518182347981</v>
      </c>
      <c r="I708" t="s">
        <v>4473</v>
      </c>
      <c r="J708" t="s">
        <v>7832</v>
      </c>
      <c r="K708" t="s">
        <v>11012</v>
      </c>
      <c r="L708" t="s">
        <v>3366</v>
      </c>
      <c r="M708" t="s">
        <v>11913</v>
      </c>
      <c r="N708" t="s">
        <v>3364</v>
      </c>
      <c r="O708" t="s">
        <v>3362</v>
      </c>
      <c r="P708" t="s">
        <v>3363</v>
      </c>
      <c r="Q708" t="s">
        <v>3365</v>
      </c>
      <c r="R708" t="s">
        <v>3357</v>
      </c>
      <c r="S708" t="s">
        <v>15211</v>
      </c>
      <c r="T708" t="s">
        <v>3387</v>
      </c>
      <c r="U708" t="s">
        <v>12612</v>
      </c>
      <c r="V708" t="s">
        <v>15231</v>
      </c>
    </row>
    <row r="709" spans="1:22" hidden="1">
      <c r="A709" t="s">
        <v>15379</v>
      </c>
      <c r="B709" t="s">
        <v>15441</v>
      </c>
      <c r="C709" t="s">
        <v>15449</v>
      </c>
      <c r="D709" t="s">
        <v>708</v>
      </c>
      <c r="E709" t="s">
        <v>3438</v>
      </c>
      <c r="F709" t="s">
        <v>3434</v>
      </c>
      <c r="G709" s="3">
        <v>37.658602378846197</v>
      </c>
      <c r="H709" s="3">
        <v>128.51818235240799</v>
      </c>
      <c r="I709" t="s">
        <v>4474</v>
      </c>
      <c r="J709" t="s">
        <v>7833</v>
      </c>
      <c r="K709" t="s">
        <v>11013</v>
      </c>
      <c r="L709" t="s">
        <v>3366</v>
      </c>
      <c r="M709" t="s">
        <v>11913</v>
      </c>
      <c r="N709" t="s">
        <v>3364</v>
      </c>
      <c r="O709" t="s">
        <v>3362</v>
      </c>
      <c r="P709" t="s">
        <v>3363</v>
      </c>
      <c r="Q709" t="s">
        <v>3365</v>
      </c>
      <c r="R709" t="s">
        <v>3357</v>
      </c>
      <c r="S709" t="s">
        <v>15211</v>
      </c>
      <c r="T709" t="s">
        <v>3387</v>
      </c>
      <c r="U709" t="s">
        <v>12613</v>
      </c>
      <c r="V709" t="s">
        <v>15231</v>
      </c>
    </row>
    <row r="710" spans="1:22" hidden="1">
      <c r="A710" t="s">
        <v>15379</v>
      </c>
      <c r="B710" t="s">
        <v>15442</v>
      </c>
      <c r="C710" t="s">
        <v>15445</v>
      </c>
      <c r="D710" t="s">
        <v>709</v>
      </c>
      <c r="E710" t="s">
        <v>3427</v>
      </c>
      <c r="F710" t="s">
        <v>3435</v>
      </c>
      <c r="G710" s="3">
        <v>37.658602431265699</v>
      </c>
      <c r="H710" s="3">
        <v>128.51818252398499</v>
      </c>
      <c r="I710" t="s">
        <v>4475</v>
      </c>
      <c r="J710" t="s">
        <v>7834</v>
      </c>
      <c r="K710" t="s">
        <v>11014</v>
      </c>
      <c r="L710" t="s">
        <v>3368</v>
      </c>
      <c r="M710" t="s">
        <v>11895</v>
      </c>
      <c r="N710" t="s">
        <v>3364</v>
      </c>
      <c r="O710" t="s">
        <v>3363</v>
      </c>
      <c r="P710" t="s">
        <v>15211</v>
      </c>
      <c r="Q710" t="s">
        <v>15211</v>
      </c>
      <c r="R710" t="s">
        <v>15211</v>
      </c>
      <c r="S710" t="s">
        <v>15211</v>
      </c>
      <c r="T710" t="s">
        <v>3371</v>
      </c>
      <c r="U710" t="s">
        <v>12614</v>
      </c>
      <c r="V710" t="s">
        <v>15233</v>
      </c>
    </row>
    <row r="711" spans="1:22" hidden="1">
      <c r="A711" t="s">
        <v>15379</v>
      </c>
      <c r="B711" t="s">
        <v>15442</v>
      </c>
      <c r="C711" t="s">
        <v>15445</v>
      </c>
      <c r="D711" t="s">
        <v>710</v>
      </c>
      <c r="E711" t="s">
        <v>3427</v>
      </c>
      <c r="F711" t="s">
        <v>3435</v>
      </c>
      <c r="G711" s="3">
        <v>37.658602411444797</v>
      </c>
      <c r="H711" s="3">
        <v>128.518182535032</v>
      </c>
      <c r="I711" t="s">
        <v>4476</v>
      </c>
      <c r="J711" t="s">
        <v>7835</v>
      </c>
      <c r="K711" t="s">
        <v>10735</v>
      </c>
      <c r="L711" t="s">
        <v>3366</v>
      </c>
      <c r="M711" t="s">
        <v>11894</v>
      </c>
      <c r="N711" t="s">
        <v>3363</v>
      </c>
      <c r="O711" t="s">
        <v>3363</v>
      </c>
      <c r="P711" t="s">
        <v>15211</v>
      </c>
      <c r="Q711" t="s">
        <v>15211</v>
      </c>
      <c r="R711" t="s">
        <v>15211</v>
      </c>
      <c r="S711" t="s">
        <v>15211</v>
      </c>
      <c r="T711" t="s">
        <v>3370</v>
      </c>
      <c r="U711" t="s">
        <v>12615</v>
      </c>
      <c r="V711" t="s">
        <v>15233</v>
      </c>
    </row>
    <row r="712" spans="1:22" hidden="1">
      <c r="A712" t="s">
        <v>15379</v>
      </c>
      <c r="B712" t="s">
        <v>15442</v>
      </c>
      <c r="C712" t="s">
        <v>15445</v>
      </c>
      <c r="D712" t="s">
        <v>711</v>
      </c>
      <c r="E712" t="s">
        <v>3428</v>
      </c>
      <c r="F712" t="s">
        <v>3430</v>
      </c>
      <c r="G712" s="3">
        <v>37.658602362507999</v>
      </c>
      <c r="H712" s="3">
        <v>128.51818255985299</v>
      </c>
      <c r="I712" t="s">
        <v>4477</v>
      </c>
      <c r="J712" t="s">
        <v>7836</v>
      </c>
      <c r="K712" t="s">
        <v>10735</v>
      </c>
      <c r="L712" t="s">
        <v>3366</v>
      </c>
      <c r="M712" t="s">
        <v>11894</v>
      </c>
      <c r="N712" t="s">
        <v>3363</v>
      </c>
      <c r="O712" t="s">
        <v>3363</v>
      </c>
      <c r="P712" t="s">
        <v>15211</v>
      </c>
      <c r="Q712" t="s">
        <v>15211</v>
      </c>
      <c r="R712" t="s">
        <v>15211</v>
      </c>
      <c r="S712" t="s">
        <v>15211</v>
      </c>
      <c r="T712" t="s">
        <v>3370</v>
      </c>
      <c r="U712" t="s">
        <v>12616</v>
      </c>
      <c r="V712" t="s">
        <v>15233</v>
      </c>
    </row>
    <row r="713" spans="1:22" hidden="1">
      <c r="A713" t="s">
        <v>15379</v>
      </c>
      <c r="B713" t="s">
        <v>15442</v>
      </c>
      <c r="C713" t="s">
        <v>15451</v>
      </c>
      <c r="D713" t="s">
        <v>712</v>
      </c>
      <c r="E713" t="s">
        <v>3438</v>
      </c>
      <c r="F713" t="s">
        <v>3434</v>
      </c>
      <c r="G713" s="3">
        <v>37.65860244025</v>
      </c>
      <c r="H713" s="3">
        <v>128.51818237682801</v>
      </c>
      <c r="I713" t="s">
        <v>4478</v>
      </c>
      <c r="J713" t="s">
        <v>7837</v>
      </c>
      <c r="K713" t="s">
        <v>11015</v>
      </c>
      <c r="L713" t="s">
        <v>3366</v>
      </c>
      <c r="M713" t="s">
        <v>11905</v>
      </c>
      <c r="N713" t="s">
        <v>3364</v>
      </c>
      <c r="O713" t="s">
        <v>3363</v>
      </c>
      <c r="P713" t="s">
        <v>3363</v>
      </c>
      <c r="Q713" t="s">
        <v>3368</v>
      </c>
      <c r="R713" t="s">
        <v>15211</v>
      </c>
      <c r="S713" t="s">
        <v>15211</v>
      </c>
      <c r="T713" t="s">
        <v>3390</v>
      </c>
      <c r="U713" t="s">
        <v>12617</v>
      </c>
      <c r="V713" t="s">
        <v>15234</v>
      </c>
    </row>
    <row r="714" spans="1:22" hidden="1">
      <c r="A714" t="s">
        <v>15379</v>
      </c>
      <c r="B714" t="s">
        <v>15442</v>
      </c>
      <c r="C714" t="s">
        <v>15451</v>
      </c>
      <c r="D714" t="s">
        <v>713</v>
      </c>
      <c r="E714" t="s">
        <v>3438</v>
      </c>
      <c r="F714" t="s">
        <v>3434</v>
      </c>
      <c r="G714" s="3">
        <v>37.658602448762501</v>
      </c>
      <c r="H714" s="3">
        <v>128.51818236831301</v>
      </c>
      <c r="I714" t="s">
        <v>4479</v>
      </c>
      <c r="J714" t="s">
        <v>7838</v>
      </c>
      <c r="K714" t="s">
        <v>11015</v>
      </c>
      <c r="L714" t="s">
        <v>3366</v>
      </c>
      <c r="M714" t="s">
        <v>11905</v>
      </c>
      <c r="N714" t="s">
        <v>3363</v>
      </c>
      <c r="O714" t="s">
        <v>3363</v>
      </c>
      <c r="P714" t="s">
        <v>3363</v>
      </c>
      <c r="Q714" t="s">
        <v>3368</v>
      </c>
      <c r="R714" t="s">
        <v>15211</v>
      </c>
      <c r="S714" t="s">
        <v>15211</v>
      </c>
      <c r="T714" t="s">
        <v>3389</v>
      </c>
      <c r="U714" t="s">
        <v>12618</v>
      </c>
      <c r="V714" t="s">
        <v>15234</v>
      </c>
    </row>
    <row r="715" spans="1:22">
      <c r="A715" t="s">
        <v>15379</v>
      </c>
      <c r="B715" t="s">
        <v>15443</v>
      </c>
      <c r="C715" t="s">
        <v>15452</v>
      </c>
      <c r="D715" t="s">
        <v>714</v>
      </c>
      <c r="E715" t="s">
        <v>3466</v>
      </c>
      <c r="F715" t="s">
        <v>3600</v>
      </c>
      <c r="G715" s="3">
        <v>37.658602327248602</v>
      </c>
      <c r="H715" s="3">
        <v>128.518179815986</v>
      </c>
      <c r="I715" t="s">
        <v>4480</v>
      </c>
      <c r="J715" t="s">
        <v>7839</v>
      </c>
      <c r="K715" t="s">
        <v>11016</v>
      </c>
      <c r="L715" t="s">
        <v>3366</v>
      </c>
      <c r="M715" t="s">
        <v>11896</v>
      </c>
      <c r="N715" t="s">
        <v>3360</v>
      </c>
      <c r="O715" t="s">
        <v>15211</v>
      </c>
      <c r="P715" t="s">
        <v>3363</v>
      </c>
      <c r="Q715" t="s">
        <v>3368</v>
      </c>
      <c r="R715" t="s">
        <v>15211</v>
      </c>
      <c r="S715" t="s">
        <v>15211</v>
      </c>
      <c r="T715" t="s">
        <v>3379</v>
      </c>
      <c r="U715" t="s">
        <v>12619</v>
      </c>
      <c r="V715" t="s">
        <v>15220</v>
      </c>
    </row>
    <row r="716" spans="1:22">
      <c r="A716" t="s">
        <v>15379</v>
      </c>
      <c r="B716" t="s">
        <v>15443</v>
      </c>
      <c r="C716" t="s">
        <v>15452</v>
      </c>
      <c r="D716" t="s">
        <v>715</v>
      </c>
      <c r="E716" t="s">
        <v>3476</v>
      </c>
      <c r="F716" t="s">
        <v>3600</v>
      </c>
      <c r="G716" s="3">
        <v>37.658602347783997</v>
      </c>
      <c r="H716" s="3">
        <v>128.51817981171899</v>
      </c>
      <c r="I716" t="s">
        <v>4481</v>
      </c>
      <c r="J716" t="s">
        <v>7840</v>
      </c>
      <c r="K716" t="s">
        <v>11016</v>
      </c>
      <c r="L716" t="s">
        <v>3366</v>
      </c>
      <c r="M716" t="s">
        <v>11896</v>
      </c>
      <c r="N716" t="s">
        <v>3360</v>
      </c>
      <c r="O716" t="s">
        <v>15211</v>
      </c>
      <c r="P716" t="s">
        <v>3363</v>
      </c>
      <c r="Q716" t="s">
        <v>3368</v>
      </c>
      <c r="R716" t="s">
        <v>15211</v>
      </c>
      <c r="S716" t="s">
        <v>15211</v>
      </c>
      <c r="T716" t="s">
        <v>3379</v>
      </c>
      <c r="U716" t="s">
        <v>12620</v>
      </c>
      <c r="V716" t="s">
        <v>15220</v>
      </c>
    </row>
    <row r="717" spans="1:22">
      <c r="A717" t="s">
        <v>15379</v>
      </c>
      <c r="B717" t="s">
        <v>15443</v>
      </c>
      <c r="C717" t="s">
        <v>15452</v>
      </c>
      <c r="D717" t="s">
        <v>716</v>
      </c>
      <c r="E717" t="s">
        <v>3477</v>
      </c>
      <c r="F717" t="s">
        <v>3496</v>
      </c>
      <c r="G717" s="3">
        <v>37.658602289380603</v>
      </c>
      <c r="H717" s="3">
        <v>128.518179805415</v>
      </c>
      <c r="I717" t="s">
        <v>4482</v>
      </c>
      <c r="J717" t="s">
        <v>7841</v>
      </c>
      <c r="K717" t="s">
        <v>10502</v>
      </c>
      <c r="L717" t="s">
        <v>3366</v>
      </c>
      <c r="M717" t="s">
        <v>11896</v>
      </c>
      <c r="N717" t="s">
        <v>3360</v>
      </c>
      <c r="O717" t="s">
        <v>15211</v>
      </c>
      <c r="P717" t="s">
        <v>3363</v>
      </c>
      <c r="Q717" t="s">
        <v>3368</v>
      </c>
      <c r="R717" t="s">
        <v>15211</v>
      </c>
      <c r="S717" t="s">
        <v>15211</v>
      </c>
      <c r="T717" t="s">
        <v>3379</v>
      </c>
      <c r="U717" t="s">
        <v>12621</v>
      </c>
      <c r="V717" t="s">
        <v>15220</v>
      </c>
    </row>
    <row r="718" spans="1:22" hidden="1">
      <c r="A718" t="s">
        <v>15379</v>
      </c>
      <c r="B718" t="s">
        <v>15443</v>
      </c>
      <c r="C718" t="s">
        <v>15467</v>
      </c>
      <c r="D718" t="s">
        <v>717</v>
      </c>
      <c r="E718" t="s">
        <v>3478</v>
      </c>
      <c r="F718" t="s">
        <v>3551</v>
      </c>
      <c r="G718" s="3">
        <v>37.658602412217903</v>
      </c>
      <c r="H718" s="3">
        <v>128.51817966316599</v>
      </c>
      <c r="I718" t="s">
        <v>4483</v>
      </c>
      <c r="J718" t="s">
        <v>7842</v>
      </c>
      <c r="K718" t="s">
        <v>3667</v>
      </c>
      <c r="L718" t="s">
        <v>3366</v>
      </c>
      <c r="M718" t="s">
        <v>11898</v>
      </c>
      <c r="N718" t="s">
        <v>3360</v>
      </c>
      <c r="O718" t="s">
        <v>15211</v>
      </c>
      <c r="P718" t="s">
        <v>3359</v>
      </c>
      <c r="Q718" t="s">
        <v>3367</v>
      </c>
      <c r="R718" t="s">
        <v>15211</v>
      </c>
      <c r="S718" t="s">
        <v>15211</v>
      </c>
      <c r="T718" t="s">
        <v>3374</v>
      </c>
      <c r="U718" t="s">
        <v>12622</v>
      </c>
      <c r="V718" t="s">
        <v>15250</v>
      </c>
    </row>
    <row r="719" spans="1:22" hidden="1">
      <c r="A719" t="s">
        <v>15379</v>
      </c>
      <c r="B719" t="s">
        <v>15443</v>
      </c>
      <c r="C719" t="s">
        <v>15467</v>
      </c>
      <c r="D719" t="s">
        <v>718</v>
      </c>
      <c r="E719" t="s">
        <v>3460</v>
      </c>
      <c r="F719" t="s">
        <v>3600</v>
      </c>
      <c r="G719" s="3">
        <v>37.6586024472102</v>
      </c>
      <c r="H719" s="3">
        <v>128.51817964266201</v>
      </c>
      <c r="I719" t="s">
        <v>4484</v>
      </c>
      <c r="J719" t="s">
        <v>7843</v>
      </c>
      <c r="K719" t="s">
        <v>3667</v>
      </c>
      <c r="L719" t="s">
        <v>3366</v>
      </c>
      <c r="M719" t="s">
        <v>11898</v>
      </c>
      <c r="N719" t="s">
        <v>3360</v>
      </c>
      <c r="O719" t="s">
        <v>15211</v>
      </c>
      <c r="P719" t="s">
        <v>3359</v>
      </c>
      <c r="Q719" t="s">
        <v>3367</v>
      </c>
      <c r="R719" t="s">
        <v>15211</v>
      </c>
      <c r="S719" t="s">
        <v>15211</v>
      </c>
      <c r="T719" t="s">
        <v>3374</v>
      </c>
      <c r="U719" t="s">
        <v>12623</v>
      </c>
      <c r="V719" t="s">
        <v>15250</v>
      </c>
    </row>
    <row r="720" spans="1:22" hidden="1">
      <c r="A720" t="s">
        <v>15379</v>
      </c>
      <c r="B720" t="s">
        <v>15443</v>
      </c>
      <c r="C720" t="s">
        <v>15467</v>
      </c>
      <c r="D720" t="s">
        <v>719</v>
      </c>
      <c r="E720" t="s">
        <v>3461</v>
      </c>
      <c r="F720" t="s">
        <v>3539</v>
      </c>
      <c r="G720" s="3">
        <v>37.6586024621635</v>
      </c>
      <c r="H720" s="3">
        <v>128.51817963969199</v>
      </c>
      <c r="I720" t="s">
        <v>4485</v>
      </c>
      <c r="J720" t="s">
        <v>7844</v>
      </c>
      <c r="K720" t="s">
        <v>3720</v>
      </c>
      <c r="L720" t="s">
        <v>3366</v>
      </c>
      <c r="M720" t="s">
        <v>11898</v>
      </c>
      <c r="N720" t="s">
        <v>3360</v>
      </c>
      <c r="O720" t="s">
        <v>15211</v>
      </c>
      <c r="P720" t="s">
        <v>3359</v>
      </c>
      <c r="Q720" t="s">
        <v>3367</v>
      </c>
      <c r="R720" t="s">
        <v>15211</v>
      </c>
      <c r="S720" t="s">
        <v>15211</v>
      </c>
      <c r="T720" t="s">
        <v>3374</v>
      </c>
      <c r="U720" t="s">
        <v>12624</v>
      </c>
      <c r="V720" t="s">
        <v>15250</v>
      </c>
    </row>
    <row r="721" spans="1:22" ht="17.399999999999999" hidden="1">
      <c r="A721" t="s">
        <v>15380</v>
      </c>
      <c r="B721" t="s">
        <v>15443</v>
      </c>
      <c r="C721" t="s">
        <v>15468</v>
      </c>
      <c r="D721" t="s">
        <v>720</v>
      </c>
      <c r="E721" t="s">
        <v>3428</v>
      </c>
      <c r="F721" t="s">
        <v>3464</v>
      </c>
      <c r="G721" s="3">
        <v>37.765137854411897</v>
      </c>
      <c r="H721" s="3">
        <v>128.61271078098599</v>
      </c>
      <c r="I721" t="s">
        <v>4486</v>
      </c>
      <c r="J721" t="s">
        <v>7845</v>
      </c>
      <c r="K721" t="s">
        <v>11017</v>
      </c>
      <c r="L721" t="s">
        <v>3366</v>
      </c>
      <c r="M721" t="s">
        <v>11896</v>
      </c>
      <c r="N721" t="s">
        <v>3361</v>
      </c>
      <c r="O721" t="s">
        <v>15211</v>
      </c>
      <c r="P721" t="s">
        <v>3363</v>
      </c>
      <c r="Q721" t="s">
        <v>3367</v>
      </c>
      <c r="R721" t="s">
        <v>15211</v>
      </c>
      <c r="S721" t="s">
        <v>15211</v>
      </c>
      <c r="T721" t="s">
        <v>3379</v>
      </c>
      <c r="U721" t="s">
        <v>12625</v>
      </c>
      <c r="V721" t="s">
        <v>15251</v>
      </c>
    </row>
    <row r="722" spans="1:22" ht="17.399999999999999" hidden="1">
      <c r="A722" t="s">
        <v>15380</v>
      </c>
      <c r="B722" t="s">
        <v>15443</v>
      </c>
      <c r="C722" t="s">
        <v>15468</v>
      </c>
      <c r="D722" t="s">
        <v>721</v>
      </c>
      <c r="E722" t="s">
        <v>3436</v>
      </c>
      <c r="F722" t="s">
        <v>3464</v>
      </c>
      <c r="G722" s="3">
        <v>37.765137848247903</v>
      </c>
      <c r="H722" s="3">
        <v>128.61271077924999</v>
      </c>
      <c r="I722" t="s">
        <v>4487</v>
      </c>
      <c r="J722" t="s">
        <v>7846</v>
      </c>
      <c r="K722" t="s">
        <v>11017</v>
      </c>
      <c r="L722" t="s">
        <v>3366</v>
      </c>
      <c r="M722" t="s">
        <v>11896</v>
      </c>
      <c r="N722" t="s">
        <v>3361</v>
      </c>
      <c r="O722" t="s">
        <v>15211</v>
      </c>
      <c r="P722" t="s">
        <v>3363</v>
      </c>
      <c r="Q722" t="s">
        <v>3367</v>
      </c>
      <c r="R722" t="s">
        <v>15211</v>
      </c>
      <c r="S722" t="s">
        <v>15211</v>
      </c>
      <c r="T722" t="s">
        <v>3379</v>
      </c>
      <c r="U722" t="s">
        <v>12626</v>
      </c>
      <c r="V722" t="s">
        <v>15251</v>
      </c>
    </row>
    <row r="723" spans="1:22" ht="17.399999999999999" hidden="1">
      <c r="A723" t="s">
        <v>15380</v>
      </c>
      <c r="B723" t="s">
        <v>15443</v>
      </c>
      <c r="C723" t="s">
        <v>15468</v>
      </c>
      <c r="D723" t="s">
        <v>722</v>
      </c>
      <c r="E723" t="s">
        <v>3436</v>
      </c>
      <c r="F723" t="s">
        <v>3464</v>
      </c>
      <c r="G723" s="3">
        <v>37.765137839367199</v>
      </c>
      <c r="H723" s="3">
        <v>128.612710779933</v>
      </c>
      <c r="I723" t="s">
        <v>4488</v>
      </c>
      <c r="J723" t="s">
        <v>7847</v>
      </c>
      <c r="K723" t="s">
        <v>11017</v>
      </c>
      <c r="L723" t="s">
        <v>3366</v>
      </c>
      <c r="M723" t="s">
        <v>11896</v>
      </c>
      <c r="N723" t="s">
        <v>3361</v>
      </c>
      <c r="O723" t="s">
        <v>15211</v>
      </c>
      <c r="P723" t="s">
        <v>3363</v>
      </c>
      <c r="Q723" t="s">
        <v>3367</v>
      </c>
      <c r="R723" t="s">
        <v>15211</v>
      </c>
      <c r="S723" t="s">
        <v>15211</v>
      </c>
      <c r="T723" t="s">
        <v>3379</v>
      </c>
      <c r="U723" t="s">
        <v>12626</v>
      </c>
      <c r="V723" t="s">
        <v>15251</v>
      </c>
    </row>
    <row r="724" spans="1:22" ht="17.399999999999999">
      <c r="A724" t="s">
        <v>15380</v>
      </c>
      <c r="B724" t="s">
        <v>15443</v>
      </c>
      <c r="C724" t="s">
        <v>15452</v>
      </c>
      <c r="D724" t="s">
        <v>723</v>
      </c>
      <c r="E724" t="s">
        <v>3428</v>
      </c>
      <c r="F724" t="s">
        <v>3484</v>
      </c>
      <c r="G724" s="3">
        <v>37.765137881135502</v>
      </c>
      <c r="H724" s="3">
        <v>128.61271078046099</v>
      </c>
      <c r="I724" t="s">
        <v>4489</v>
      </c>
      <c r="J724" t="s">
        <v>7848</v>
      </c>
      <c r="K724" t="s">
        <v>11018</v>
      </c>
      <c r="L724" t="s">
        <v>3370</v>
      </c>
      <c r="M724" t="s">
        <v>11891</v>
      </c>
      <c r="N724" t="s">
        <v>3362</v>
      </c>
      <c r="O724" t="s">
        <v>15211</v>
      </c>
      <c r="P724" t="s">
        <v>3363</v>
      </c>
      <c r="Q724" t="s">
        <v>3367</v>
      </c>
      <c r="R724" t="s">
        <v>15211</v>
      </c>
      <c r="S724" t="s">
        <v>15211</v>
      </c>
      <c r="T724" t="s">
        <v>3380</v>
      </c>
      <c r="U724" t="s">
        <v>12627</v>
      </c>
      <c r="V724" t="s">
        <v>15220</v>
      </c>
    </row>
    <row r="725" spans="1:22" ht="17.399999999999999">
      <c r="A725" t="s">
        <v>15380</v>
      </c>
      <c r="B725" t="s">
        <v>15443</v>
      </c>
      <c r="C725" t="s">
        <v>15452</v>
      </c>
      <c r="D725" t="s">
        <v>724</v>
      </c>
      <c r="E725" t="s">
        <v>3428</v>
      </c>
      <c r="F725" t="s">
        <v>3484</v>
      </c>
      <c r="G725" s="3">
        <v>37.765137896094103</v>
      </c>
      <c r="H725" s="3">
        <v>128.61271077422199</v>
      </c>
      <c r="I725" t="s">
        <v>4490</v>
      </c>
      <c r="J725" t="s">
        <v>7849</v>
      </c>
      <c r="K725" t="s">
        <v>11019</v>
      </c>
      <c r="L725" t="s">
        <v>3366</v>
      </c>
      <c r="M725" t="s">
        <v>11893</v>
      </c>
      <c r="N725" t="s">
        <v>3362</v>
      </c>
      <c r="O725" t="s">
        <v>15211</v>
      </c>
      <c r="P725" t="s">
        <v>3363</v>
      </c>
      <c r="Q725" t="s">
        <v>3368</v>
      </c>
      <c r="R725" t="s">
        <v>15211</v>
      </c>
      <c r="S725" t="s">
        <v>15211</v>
      </c>
      <c r="T725" t="s">
        <v>3381</v>
      </c>
      <c r="U725" t="s">
        <v>12628</v>
      </c>
      <c r="V725" t="s">
        <v>15220</v>
      </c>
    </row>
    <row r="726" spans="1:22" ht="17.399999999999999">
      <c r="A726" t="s">
        <v>15380</v>
      </c>
      <c r="B726" t="s">
        <v>15443</v>
      </c>
      <c r="C726" t="s">
        <v>15452</v>
      </c>
      <c r="D726" t="s">
        <v>725</v>
      </c>
      <c r="E726" t="s">
        <v>3428</v>
      </c>
      <c r="F726" t="s">
        <v>3484</v>
      </c>
      <c r="G726" s="3">
        <v>37.7651378921841</v>
      </c>
      <c r="H726" s="3">
        <v>128.61271075862601</v>
      </c>
      <c r="I726" t="s">
        <v>4491</v>
      </c>
      <c r="J726" t="s">
        <v>7850</v>
      </c>
      <c r="K726" t="s">
        <v>11019</v>
      </c>
      <c r="L726" t="s">
        <v>3366</v>
      </c>
      <c r="M726" t="s">
        <v>11893</v>
      </c>
      <c r="N726" t="s">
        <v>3362</v>
      </c>
      <c r="O726" t="s">
        <v>15211</v>
      </c>
      <c r="P726" t="s">
        <v>3363</v>
      </c>
      <c r="Q726" t="s">
        <v>3368</v>
      </c>
      <c r="R726" t="s">
        <v>15211</v>
      </c>
      <c r="S726" t="s">
        <v>15211</v>
      </c>
      <c r="T726" t="s">
        <v>3381</v>
      </c>
      <c r="U726" t="s">
        <v>12629</v>
      </c>
      <c r="V726" t="s">
        <v>15220</v>
      </c>
    </row>
    <row r="727" spans="1:22" ht="17.399999999999999" hidden="1">
      <c r="A727" t="s">
        <v>15380</v>
      </c>
      <c r="B727" t="s">
        <v>15441</v>
      </c>
      <c r="C727" t="s">
        <v>15445</v>
      </c>
      <c r="D727" t="s">
        <v>726</v>
      </c>
      <c r="E727" t="s">
        <v>3431</v>
      </c>
      <c r="F727" t="s">
        <v>3579</v>
      </c>
      <c r="G727" s="3">
        <v>37.765137907019302</v>
      </c>
      <c r="H727" s="3">
        <v>128.61271014227401</v>
      </c>
      <c r="I727" t="s">
        <v>4492</v>
      </c>
      <c r="J727" t="s">
        <v>7851</v>
      </c>
      <c r="K727" t="s">
        <v>11020</v>
      </c>
      <c r="L727" t="s">
        <v>3366</v>
      </c>
      <c r="M727" t="s">
        <v>11885</v>
      </c>
      <c r="N727" t="s">
        <v>3362</v>
      </c>
      <c r="O727" t="s">
        <v>3362</v>
      </c>
      <c r="P727" t="s">
        <v>15211</v>
      </c>
      <c r="Q727" t="s">
        <v>15211</v>
      </c>
      <c r="R727" t="s">
        <v>15211</v>
      </c>
      <c r="S727" t="s">
        <v>15211</v>
      </c>
      <c r="T727" t="s">
        <v>3368</v>
      </c>
      <c r="U727" t="s">
        <v>12630</v>
      </c>
      <c r="V727" t="s">
        <v>15228</v>
      </c>
    </row>
    <row r="728" spans="1:22" ht="17.399999999999999" hidden="1">
      <c r="A728" t="s">
        <v>15380</v>
      </c>
      <c r="B728" t="s">
        <v>15441</v>
      </c>
      <c r="C728" t="s">
        <v>15445</v>
      </c>
      <c r="D728" t="s">
        <v>727</v>
      </c>
      <c r="E728" t="s">
        <v>3431</v>
      </c>
      <c r="F728" t="s">
        <v>3515</v>
      </c>
      <c r="G728" s="3">
        <v>37.765137920393201</v>
      </c>
      <c r="H728" s="3">
        <v>128.612710110606</v>
      </c>
      <c r="I728" t="s">
        <v>4493</v>
      </c>
      <c r="J728" t="s">
        <v>7852</v>
      </c>
      <c r="K728" t="s">
        <v>11021</v>
      </c>
      <c r="L728" t="s">
        <v>3366</v>
      </c>
      <c r="M728" t="s">
        <v>11885</v>
      </c>
      <c r="N728" t="s">
        <v>3362</v>
      </c>
      <c r="O728" t="s">
        <v>3362</v>
      </c>
      <c r="P728" t="s">
        <v>15211</v>
      </c>
      <c r="Q728" t="s">
        <v>15211</v>
      </c>
      <c r="R728" t="s">
        <v>15211</v>
      </c>
      <c r="S728" t="s">
        <v>15211</v>
      </c>
      <c r="T728" t="s">
        <v>3368</v>
      </c>
      <c r="U728" t="s">
        <v>12631</v>
      </c>
      <c r="V728" t="s">
        <v>15228</v>
      </c>
    </row>
    <row r="729" spans="1:22" ht="17.399999999999999" hidden="1">
      <c r="A729" t="s">
        <v>15380</v>
      </c>
      <c r="B729" t="s">
        <v>15441</v>
      </c>
      <c r="C729" t="s">
        <v>15446</v>
      </c>
      <c r="D729" t="s">
        <v>728</v>
      </c>
      <c r="E729" t="s">
        <v>3435</v>
      </c>
      <c r="F729" t="s">
        <v>3564</v>
      </c>
      <c r="G729" s="3">
        <v>37.765138002780702</v>
      </c>
      <c r="H729" s="3">
        <v>128.61271035459799</v>
      </c>
      <c r="I729" t="s">
        <v>4494</v>
      </c>
      <c r="J729" t="s">
        <v>7853</v>
      </c>
      <c r="K729" t="s">
        <v>11022</v>
      </c>
      <c r="L729" t="s">
        <v>3382</v>
      </c>
      <c r="M729" t="s">
        <v>11885</v>
      </c>
      <c r="N729" t="s">
        <v>3362</v>
      </c>
      <c r="O729" t="s">
        <v>3362</v>
      </c>
      <c r="P729" t="s">
        <v>15211</v>
      </c>
      <c r="Q729" t="s">
        <v>15211</v>
      </c>
      <c r="R729" t="s">
        <v>15211</v>
      </c>
      <c r="S729" t="s">
        <v>15211</v>
      </c>
      <c r="T729" t="s">
        <v>3368</v>
      </c>
      <c r="U729" t="s">
        <v>12632</v>
      </c>
      <c r="V729" t="s">
        <v>15229</v>
      </c>
    </row>
    <row r="730" spans="1:22" ht="17.399999999999999" hidden="1">
      <c r="A730" t="s">
        <v>15380</v>
      </c>
      <c r="B730" t="s">
        <v>15441</v>
      </c>
      <c r="C730" t="s">
        <v>15446</v>
      </c>
      <c r="D730" t="s">
        <v>729</v>
      </c>
      <c r="E730" t="s">
        <v>3425</v>
      </c>
      <c r="F730" t="s">
        <v>3579</v>
      </c>
      <c r="G730" s="3">
        <v>37.765137992587498</v>
      </c>
      <c r="H730" s="3">
        <v>128.612710361616</v>
      </c>
      <c r="I730" t="s">
        <v>4495</v>
      </c>
      <c r="J730" t="s">
        <v>7854</v>
      </c>
      <c r="K730" t="s">
        <v>11023</v>
      </c>
      <c r="L730" t="s">
        <v>3366</v>
      </c>
      <c r="M730" t="s">
        <v>11885</v>
      </c>
      <c r="N730" t="s">
        <v>3362</v>
      </c>
      <c r="O730" t="s">
        <v>3362</v>
      </c>
      <c r="P730" t="s">
        <v>15211</v>
      </c>
      <c r="Q730" t="s">
        <v>15211</v>
      </c>
      <c r="R730" t="s">
        <v>15211</v>
      </c>
      <c r="S730" t="s">
        <v>15211</v>
      </c>
      <c r="T730" t="s">
        <v>3368</v>
      </c>
      <c r="U730" t="s">
        <v>12633</v>
      </c>
      <c r="V730" t="s">
        <v>15229</v>
      </c>
    </row>
    <row r="731" spans="1:22" ht="17.399999999999999" hidden="1">
      <c r="A731" t="s">
        <v>15380</v>
      </c>
      <c r="B731" t="s">
        <v>15441</v>
      </c>
      <c r="C731" t="s">
        <v>15446</v>
      </c>
      <c r="D731" t="s">
        <v>730</v>
      </c>
      <c r="E731" t="s">
        <v>3431</v>
      </c>
      <c r="F731" t="s">
        <v>3515</v>
      </c>
      <c r="G731" s="3">
        <v>37.765138005391101</v>
      </c>
      <c r="H731" s="3">
        <v>128.61271039524499</v>
      </c>
      <c r="I731" t="s">
        <v>4496</v>
      </c>
      <c r="J731" t="s">
        <v>7855</v>
      </c>
      <c r="K731" t="s">
        <v>11024</v>
      </c>
      <c r="L731" t="s">
        <v>3366</v>
      </c>
      <c r="M731" t="s">
        <v>11885</v>
      </c>
      <c r="N731" t="s">
        <v>3362</v>
      </c>
      <c r="O731" t="s">
        <v>3362</v>
      </c>
      <c r="P731" t="s">
        <v>15211</v>
      </c>
      <c r="Q731" t="s">
        <v>15211</v>
      </c>
      <c r="R731" t="s">
        <v>15211</v>
      </c>
      <c r="S731" t="s">
        <v>15211</v>
      </c>
      <c r="T731" t="s">
        <v>3368</v>
      </c>
      <c r="U731" t="s">
        <v>12634</v>
      </c>
      <c r="V731" t="s">
        <v>15229</v>
      </c>
    </row>
    <row r="732" spans="1:22" ht="17.399999999999999" hidden="1">
      <c r="A732" t="s">
        <v>15380</v>
      </c>
      <c r="B732" t="s">
        <v>15441</v>
      </c>
      <c r="C732" t="s">
        <v>15448</v>
      </c>
      <c r="D732" t="s">
        <v>731</v>
      </c>
      <c r="E732" t="s">
        <v>3430</v>
      </c>
      <c r="F732" t="s">
        <v>3627</v>
      </c>
      <c r="G732" s="3">
        <v>37.765137944440397</v>
      </c>
      <c r="H732" s="3">
        <v>128.61271006623201</v>
      </c>
      <c r="I732" t="s">
        <v>4497</v>
      </c>
      <c r="J732" t="s">
        <v>7856</v>
      </c>
      <c r="K732" t="s">
        <v>10844</v>
      </c>
      <c r="L732" t="s">
        <v>3370</v>
      </c>
      <c r="M732" t="s">
        <v>11917</v>
      </c>
      <c r="N732" t="s">
        <v>3363</v>
      </c>
      <c r="O732" t="s">
        <v>3362</v>
      </c>
      <c r="P732" t="s">
        <v>3363</v>
      </c>
      <c r="Q732" t="s">
        <v>3371</v>
      </c>
      <c r="R732" t="s">
        <v>3358</v>
      </c>
      <c r="S732" t="s">
        <v>15211</v>
      </c>
      <c r="T732" t="s">
        <v>3393</v>
      </c>
      <c r="U732" t="s">
        <v>12635</v>
      </c>
      <c r="V732" t="s">
        <v>15230</v>
      </c>
    </row>
    <row r="733" spans="1:22" ht="17.399999999999999" hidden="1">
      <c r="A733" t="s">
        <v>15380</v>
      </c>
      <c r="B733" t="s">
        <v>15441</v>
      </c>
      <c r="C733" t="s">
        <v>15448</v>
      </c>
      <c r="D733" t="s">
        <v>732</v>
      </c>
      <c r="E733" t="s">
        <v>3429</v>
      </c>
      <c r="F733" t="s">
        <v>3551</v>
      </c>
      <c r="G733" s="3">
        <v>37.765137933037302</v>
      </c>
      <c r="H733" s="3">
        <v>128.612710102861</v>
      </c>
      <c r="I733" t="s">
        <v>4498</v>
      </c>
      <c r="J733" t="s">
        <v>7857</v>
      </c>
      <c r="K733" t="s">
        <v>10830</v>
      </c>
      <c r="L733" t="s">
        <v>3366</v>
      </c>
      <c r="M733" t="s">
        <v>11917</v>
      </c>
      <c r="N733" t="s">
        <v>3362</v>
      </c>
      <c r="O733" t="s">
        <v>3362</v>
      </c>
      <c r="P733" t="s">
        <v>3363</v>
      </c>
      <c r="Q733" t="s">
        <v>3371</v>
      </c>
      <c r="R733" t="s">
        <v>3358</v>
      </c>
      <c r="S733" t="s">
        <v>15211</v>
      </c>
      <c r="T733" t="s">
        <v>3392</v>
      </c>
      <c r="U733" t="s">
        <v>12636</v>
      </c>
      <c r="V733" t="s">
        <v>15230</v>
      </c>
    </row>
    <row r="734" spans="1:22" ht="17.399999999999999" hidden="1">
      <c r="A734" t="s">
        <v>15380</v>
      </c>
      <c r="B734" t="s">
        <v>15441</v>
      </c>
      <c r="C734" t="s">
        <v>15448</v>
      </c>
      <c r="D734" t="s">
        <v>733</v>
      </c>
      <c r="E734" t="s">
        <v>3429</v>
      </c>
      <c r="F734" t="s">
        <v>3493</v>
      </c>
      <c r="G734" s="3">
        <v>37.765137920282697</v>
      </c>
      <c r="H734" s="3">
        <v>128.612710117266</v>
      </c>
      <c r="I734" t="s">
        <v>4499</v>
      </c>
      <c r="J734" t="s">
        <v>7858</v>
      </c>
      <c r="K734" t="s">
        <v>11025</v>
      </c>
      <c r="L734" t="s">
        <v>3366</v>
      </c>
      <c r="M734" t="s">
        <v>11917</v>
      </c>
      <c r="N734" t="s">
        <v>3362</v>
      </c>
      <c r="O734" t="s">
        <v>3362</v>
      </c>
      <c r="P734" t="s">
        <v>3363</v>
      </c>
      <c r="Q734" t="s">
        <v>3371</v>
      </c>
      <c r="R734" t="s">
        <v>3358</v>
      </c>
      <c r="S734" t="s">
        <v>15211</v>
      </c>
      <c r="T734" t="s">
        <v>3392</v>
      </c>
      <c r="U734" t="s">
        <v>12637</v>
      </c>
      <c r="V734" t="s">
        <v>15230</v>
      </c>
    </row>
    <row r="735" spans="1:22" ht="17.399999999999999" hidden="1">
      <c r="A735" t="s">
        <v>15380</v>
      </c>
      <c r="B735" t="s">
        <v>15441</v>
      </c>
      <c r="C735" t="s">
        <v>15449</v>
      </c>
      <c r="D735" t="s">
        <v>734</v>
      </c>
      <c r="E735" t="s">
        <v>3425</v>
      </c>
      <c r="F735" t="s">
        <v>3579</v>
      </c>
      <c r="G735" s="3">
        <v>37.7651378233599</v>
      </c>
      <c r="H735" s="3">
        <v>128.612710266894</v>
      </c>
      <c r="I735" t="s">
        <v>4500</v>
      </c>
      <c r="J735" t="s">
        <v>7859</v>
      </c>
      <c r="K735" t="s">
        <v>3674</v>
      </c>
      <c r="L735" t="s">
        <v>3372</v>
      </c>
      <c r="M735" t="s">
        <v>11907</v>
      </c>
      <c r="N735" t="s">
        <v>3362</v>
      </c>
      <c r="O735" t="s">
        <v>3361</v>
      </c>
      <c r="P735" t="s">
        <v>3363</v>
      </c>
      <c r="Q735" t="s">
        <v>3367</v>
      </c>
      <c r="R735" t="s">
        <v>3357</v>
      </c>
      <c r="S735" t="s">
        <v>15211</v>
      </c>
      <c r="T735" t="s">
        <v>3386</v>
      </c>
      <c r="U735" t="s">
        <v>12638</v>
      </c>
      <c r="V735" t="s">
        <v>15231</v>
      </c>
    </row>
    <row r="736" spans="1:22" ht="17.399999999999999" hidden="1">
      <c r="A736" t="s">
        <v>15380</v>
      </c>
      <c r="B736" t="s">
        <v>15441</v>
      </c>
      <c r="C736" t="s">
        <v>15449</v>
      </c>
      <c r="D736" t="s">
        <v>735</v>
      </c>
      <c r="E736" t="s">
        <v>3425</v>
      </c>
      <c r="F736" t="s">
        <v>3478</v>
      </c>
      <c r="G736" s="3">
        <v>37.7651378176392</v>
      </c>
      <c r="H736" s="3">
        <v>128.61271027000299</v>
      </c>
      <c r="I736" t="s">
        <v>4501</v>
      </c>
      <c r="J736" t="s">
        <v>7860</v>
      </c>
      <c r="K736" t="s">
        <v>3674</v>
      </c>
      <c r="L736" t="s">
        <v>3366</v>
      </c>
      <c r="M736" t="s">
        <v>11907</v>
      </c>
      <c r="N736" t="s">
        <v>3362</v>
      </c>
      <c r="O736" t="s">
        <v>3361</v>
      </c>
      <c r="P736" t="s">
        <v>3363</v>
      </c>
      <c r="Q736" t="s">
        <v>3367</v>
      </c>
      <c r="R736" t="s">
        <v>3357</v>
      </c>
      <c r="S736" t="s">
        <v>15211</v>
      </c>
      <c r="T736" t="s">
        <v>3386</v>
      </c>
      <c r="U736" t="s">
        <v>12639</v>
      </c>
      <c r="V736" t="s">
        <v>15231</v>
      </c>
    </row>
    <row r="737" spans="1:22" ht="17.399999999999999" hidden="1">
      <c r="A737" t="s">
        <v>15380</v>
      </c>
      <c r="B737" t="s">
        <v>15441</v>
      </c>
      <c r="C737" t="s">
        <v>15449</v>
      </c>
      <c r="D737" t="s">
        <v>736</v>
      </c>
      <c r="E737" t="s">
        <v>3436</v>
      </c>
      <c r="F737" t="s">
        <v>3463</v>
      </c>
      <c r="G737" s="3">
        <v>37.765137816808497</v>
      </c>
      <c r="H737" s="3">
        <v>128.612710292088</v>
      </c>
      <c r="I737" t="s">
        <v>4502</v>
      </c>
      <c r="J737" t="s">
        <v>7861</v>
      </c>
      <c r="K737" t="s">
        <v>3505</v>
      </c>
      <c r="L737" t="s">
        <v>3366</v>
      </c>
      <c r="M737" t="s">
        <v>11913</v>
      </c>
      <c r="N737" t="s">
        <v>3363</v>
      </c>
      <c r="O737" t="s">
        <v>3361</v>
      </c>
      <c r="P737" t="s">
        <v>3363</v>
      </c>
      <c r="Q737" t="s">
        <v>3367</v>
      </c>
      <c r="R737" t="s">
        <v>3357</v>
      </c>
      <c r="S737" t="s">
        <v>15211</v>
      </c>
      <c r="T737" t="s">
        <v>3387</v>
      </c>
      <c r="U737" t="s">
        <v>12640</v>
      </c>
      <c r="V737" t="s">
        <v>15231</v>
      </c>
    </row>
    <row r="738" spans="1:22" ht="17.399999999999999" hidden="1">
      <c r="A738" t="s">
        <v>15380</v>
      </c>
      <c r="B738" t="s">
        <v>15444</v>
      </c>
      <c r="C738" t="s">
        <v>15445</v>
      </c>
      <c r="D738" t="s">
        <v>737</v>
      </c>
      <c r="E738" t="s">
        <v>3427</v>
      </c>
      <c r="F738" t="s">
        <v>3426</v>
      </c>
      <c r="G738" s="3">
        <v>37.765137971851701</v>
      </c>
      <c r="H738" s="3">
        <v>128.61271020285301</v>
      </c>
      <c r="I738" t="s">
        <v>4503</v>
      </c>
      <c r="J738" t="s">
        <v>7862</v>
      </c>
      <c r="K738" t="s">
        <v>11026</v>
      </c>
      <c r="L738" t="s">
        <v>3366</v>
      </c>
      <c r="M738" t="s">
        <v>11885</v>
      </c>
      <c r="N738" t="s">
        <v>3362</v>
      </c>
      <c r="O738" t="s">
        <v>3362</v>
      </c>
      <c r="P738" t="s">
        <v>15211</v>
      </c>
      <c r="Q738" t="s">
        <v>15211</v>
      </c>
      <c r="R738" t="s">
        <v>15211</v>
      </c>
      <c r="S738" t="s">
        <v>15211</v>
      </c>
      <c r="T738" t="s">
        <v>3368</v>
      </c>
      <c r="U738" t="s">
        <v>12641</v>
      </c>
      <c r="V738" t="s">
        <v>15242</v>
      </c>
    </row>
    <row r="739" spans="1:22" ht="17.399999999999999" hidden="1">
      <c r="A739" t="s">
        <v>15380</v>
      </c>
      <c r="B739" t="s">
        <v>15444</v>
      </c>
      <c r="C739" t="s">
        <v>15445</v>
      </c>
      <c r="D739" t="s">
        <v>738</v>
      </c>
      <c r="E739" t="s">
        <v>3427</v>
      </c>
      <c r="F739" t="s">
        <v>3462</v>
      </c>
      <c r="G739" s="3">
        <v>37.765137969876498</v>
      </c>
      <c r="H739" s="3">
        <v>128.61271021482699</v>
      </c>
      <c r="I739" t="s">
        <v>4504</v>
      </c>
      <c r="J739" t="s">
        <v>7863</v>
      </c>
      <c r="K739" t="s">
        <v>10808</v>
      </c>
      <c r="L739" t="s">
        <v>3366</v>
      </c>
      <c r="M739" t="s">
        <v>11885</v>
      </c>
      <c r="N739" t="s">
        <v>3362</v>
      </c>
      <c r="O739" t="s">
        <v>3361</v>
      </c>
      <c r="P739" t="s">
        <v>15211</v>
      </c>
      <c r="Q739" t="s">
        <v>15211</v>
      </c>
      <c r="R739" t="s">
        <v>15211</v>
      </c>
      <c r="S739" t="s">
        <v>15211</v>
      </c>
      <c r="T739" t="s">
        <v>3367</v>
      </c>
      <c r="U739" t="s">
        <v>12642</v>
      </c>
      <c r="V739" t="s">
        <v>15242</v>
      </c>
    </row>
    <row r="740" spans="1:22" ht="17.399999999999999" hidden="1">
      <c r="A740" t="s">
        <v>15380</v>
      </c>
      <c r="B740" t="s">
        <v>15444</v>
      </c>
      <c r="C740" t="s">
        <v>15445</v>
      </c>
      <c r="D740" t="s">
        <v>739</v>
      </c>
      <c r="E740" t="s">
        <v>3427</v>
      </c>
      <c r="F740" t="s">
        <v>3426</v>
      </c>
      <c r="G740" s="3">
        <v>37.7651379874358</v>
      </c>
      <c r="H740" s="3">
        <v>128.61271021605299</v>
      </c>
      <c r="I740" t="s">
        <v>4505</v>
      </c>
      <c r="J740" t="s">
        <v>7864</v>
      </c>
      <c r="K740" t="s">
        <v>11027</v>
      </c>
      <c r="L740" t="s">
        <v>3366</v>
      </c>
      <c r="M740" t="s">
        <v>11886</v>
      </c>
      <c r="N740" t="s">
        <v>3362</v>
      </c>
      <c r="O740" t="s">
        <v>3361</v>
      </c>
      <c r="P740" t="s">
        <v>15211</v>
      </c>
      <c r="Q740" t="s">
        <v>15211</v>
      </c>
      <c r="R740" t="s">
        <v>15211</v>
      </c>
      <c r="S740" t="s">
        <v>15211</v>
      </c>
      <c r="T740" t="s">
        <v>3367</v>
      </c>
      <c r="U740" t="s">
        <v>12643</v>
      </c>
      <c r="V740" t="s">
        <v>15242</v>
      </c>
    </row>
    <row r="741" spans="1:22" ht="17.399999999999999" hidden="1">
      <c r="A741" t="s">
        <v>15380</v>
      </c>
      <c r="B741" t="s">
        <v>15444</v>
      </c>
      <c r="C741" t="s">
        <v>15451</v>
      </c>
      <c r="D741" t="s">
        <v>740</v>
      </c>
      <c r="E741" t="s">
        <v>3438</v>
      </c>
      <c r="F741" t="s">
        <v>3433</v>
      </c>
      <c r="G741" s="3">
        <v>37.765137928842499</v>
      </c>
      <c r="H741" s="3">
        <v>128.612710093337</v>
      </c>
      <c r="I741" t="s">
        <v>4506</v>
      </c>
      <c r="J741" t="s">
        <v>7865</v>
      </c>
      <c r="K741" t="s">
        <v>10618</v>
      </c>
      <c r="L741" t="s">
        <v>3372</v>
      </c>
      <c r="M741" t="s">
        <v>11907</v>
      </c>
      <c r="N741" t="s">
        <v>3362</v>
      </c>
      <c r="O741" t="s">
        <v>3361</v>
      </c>
      <c r="P741" t="s">
        <v>3363</v>
      </c>
      <c r="Q741" t="s">
        <v>3368</v>
      </c>
      <c r="R741" t="s">
        <v>15211</v>
      </c>
      <c r="S741" t="s">
        <v>15211</v>
      </c>
      <c r="T741" t="s">
        <v>3386</v>
      </c>
      <c r="U741" t="s">
        <v>12644</v>
      </c>
      <c r="V741" t="s">
        <v>15241</v>
      </c>
    </row>
    <row r="742" spans="1:22" ht="17.399999999999999" hidden="1">
      <c r="A742" t="s">
        <v>15380</v>
      </c>
      <c r="B742" t="s">
        <v>15444</v>
      </c>
      <c r="C742" t="s">
        <v>15451</v>
      </c>
      <c r="D742" t="s">
        <v>741</v>
      </c>
      <c r="E742" t="s">
        <v>3438</v>
      </c>
      <c r="F742" t="s">
        <v>3432</v>
      </c>
      <c r="G742" s="3">
        <v>37.765137916134996</v>
      </c>
      <c r="H742" s="3">
        <v>128.61271009157099</v>
      </c>
      <c r="I742" t="s">
        <v>4507</v>
      </c>
      <c r="J742" t="s">
        <v>7866</v>
      </c>
      <c r="K742" t="s">
        <v>10617</v>
      </c>
      <c r="L742" t="s">
        <v>3366</v>
      </c>
      <c r="M742" t="s">
        <v>11907</v>
      </c>
      <c r="N742" t="s">
        <v>3362</v>
      </c>
      <c r="O742" t="s">
        <v>3361</v>
      </c>
      <c r="P742" t="s">
        <v>3363</v>
      </c>
      <c r="Q742" t="s">
        <v>3368</v>
      </c>
      <c r="R742" t="s">
        <v>15211</v>
      </c>
      <c r="S742" t="s">
        <v>15211</v>
      </c>
      <c r="T742" t="s">
        <v>3386</v>
      </c>
      <c r="U742" t="s">
        <v>12645</v>
      </c>
      <c r="V742" t="s">
        <v>15241</v>
      </c>
    </row>
    <row r="743" spans="1:22" ht="17.399999999999999" hidden="1">
      <c r="A743" t="s">
        <v>15380</v>
      </c>
      <c r="B743" t="s">
        <v>15444</v>
      </c>
      <c r="C743" t="s">
        <v>15451</v>
      </c>
      <c r="D743" t="s">
        <v>742</v>
      </c>
      <c r="E743" t="s">
        <v>3438</v>
      </c>
      <c r="F743" t="s">
        <v>3432</v>
      </c>
      <c r="G743" s="3">
        <v>37.765137921510501</v>
      </c>
      <c r="H743" s="3">
        <v>128.61271009525399</v>
      </c>
      <c r="I743" t="s">
        <v>4508</v>
      </c>
      <c r="J743" t="s">
        <v>7867</v>
      </c>
      <c r="K743" t="s">
        <v>10617</v>
      </c>
      <c r="L743" t="s">
        <v>3366</v>
      </c>
      <c r="M743" t="s">
        <v>11907</v>
      </c>
      <c r="N743" t="s">
        <v>3362</v>
      </c>
      <c r="O743" t="s">
        <v>3361</v>
      </c>
      <c r="P743" t="s">
        <v>3363</v>
      </c>
      <c r="Q743" t="s">
        <v>3368</v>
      </c>
      <c r="R743" t="s">
        <v>15211</v>
      </c>
      <c r="S743" t="s">
        <v>15211</v>
      </c>
      <c r="T743" t="s">
        <v>3386</v>
      </c>
      <c r="U743" t="s">
        <v>12646</v>
      </c>
      <c r="V743" t="s">
        <v>15241</v>
      </c>
    </row>
    <row r="744" spans="1:22" hidden="1">
      <c r="A744" t="s">
        <v>15368</v>
      </c>
      <c r="B744" t="s">
        <v>15441</v>
      </c>
      <c r="C744" t="s">
        <v>15447</v>
      </c>
      <c r="D744" t="s">
        <v>416</v>
      </c>
      <c r="E744" t="s">
        <v>3438</v>
      </c>
      <c r="F744" t="s">
        <v>3435</v>
      </c>
      <c r="G744" s="3">
        <v>35.796879216910199</v>
      </c>
      <c r="H744" s="3">
        <v>127.17788260599799</v>
      </c>
      <c r="I744" t="s">
        <v>4183</v>
      </c>
      <c r="J744" t="s">
        <v>7542</v>
      </c>
      <c r="K744" t="s">
        <v>10798</v>
      </c>
      <c r="L744" t="s">
        <v>3389</v>
      </c>
      <c r="M744" t="s">
        <v>11909</v>
      </c>
      <c r="N744" t="s">
        <v>3362</v>
      </c>
      <c r="O744" t="s">
        <v>15211</v>
      </c>
      <c r="P744" t="s">
        <v>15211</v>
      </c>
      <c r="Q744" t="s">
        <v>15211</v>
      </c>
      <c r="R744" t="s">
        <v>15211</v>
      </c>
      <c r="S744" t="s">
        <v>15211</v>
      </c>
      <c r="T744" t="s">
        <v>3362</v>
      </c>
      <c r="U744" t="s">
        <v>12326</v>
      </c>
      <c r="V744" t="s">
        <v>15235</v>
      </c>
    </row>
    <row r="745" spans="1:22" hidden="1">
      <c r="A745" t="s">
        <v>15368</v>
      </c>
      <c r="B745" t="s">
        <v>15441</v>
      </c>
      <c r="C745" t="s">
        <v>15448</v>
      </c>
      <c r="D745" t="s">
        <v>417</v>
      </c>
      <c r="E745" t="s">
        <v>3425</v>
      </c>
      <c r="F745" t="s">
        <v>3465</v>
      </c>
      <c r="G745" s="3">
        <v>35.796879036804</v>
      </c>
      <c r="H745" s="3">
        <v>127.17788221820901</v>
      </c>
      <c r="I745" t="s">
        <v>4184</v>
      </c>
      <c r="J745" t="s">
        <v>7543</v>
      </c>
      <c r="K745" t="s">
        <v>10757</v>
      </c>
      <c r="L745" t="s">
        <v>3366</v>
      </c>
      <c r="M745" t="s">
        <v>11893</v>
      </c>
      <c r="N745" t="s">
        <v>3363</v>
      </c>
      <c r="O745" t="s">
        <v>3363</v>
      </c>
      <c r="P745" t="s">
        <v>3360</v>
      </c>
      <c r="Q745" t="s">
        <v>3361</v>
      </c>
      <c r="R745" t="s">
        <v>3358</v>
      </c>
      <c r="S745" t="s">
        <v>15211</v>
      </c>
      <c r="T745" t="s">
        <v>3381</v>
      </c>
      <c r="U745" t="s">
        <v>12327</v>
      </c>
      <c r="V745" t="s">
        <v>15230</v>
      </c>
    </row>
    <row r="746" spans="1:22" hidden="1">
      <c r="A746" t="s">
        <v>15368</v>
      </c>
      <c r="B746" t="s">
        <v>15441</v>
      </c>
      <c r="C746" t="s">
        <v>15449</v>
      </c>
      <c r="D746" t="s">
        <v>418</v>
      </c>
      <c r="E746" t="s">
        <v>3440</v>
      </c>
      <c r="F746" t="s">
        <v>3435</v>
      </c>
      <c r="G746" s="3">
        <v>35.796879011876698</v>
      </c>
      <c r="H746" s="3">
        <v>127.177882217228</v>
      </c>
      <c r="I746" t="s">
        <v>4185</v>
      </c>
      <c r="J746" t="s">
        <v>7544</v>
      </c>
      <c r="K746" t="s">
        <v>10799</v>
      </c>
      <c r="L746" t="s">
        <v>3366</v>
      </c>
      <c r="M746" t="s">
        <v>11891</v>
      </c>
      <c r="N746" t="s">
        <v>3364</v>
      </c>
      <c r="O746" t="s">
        <v>3362</v>
      </c>
      <c r="P746" t="s">
        <v>3360</v>
      </c>
      <c r="Q746" t="s">
        <v>3361</v>
      </c>
      <c r="R746" t="s">
        <v>3358</v>
      </c>
      <c r="S746" t="s">
        <v>15211</v>
      </c>
      <c r="T746" t="s">
        <v>3381</v>
      </c>
      <c r="U746" t="s">
        <v>12328</v>
      </c>
      <c r="V746" t="s">
        <v>15231</v>
      </c>
    </row>
    <row r="747" spans="1:22" hidden="1">
      <c r="A747" t="s">
        <v>15368</v>
      </c>
      <c r="B747" t="s">
        <v>15442</v>
      </c>
      <c r="C747" t="s">
        <v>15450</v>
      </c>
      <c r="D747" t="s">
        <v>419</v>
      </c>
      <c r="E747" t="s">
        <v>3440</v>
      </c>
      <c r="F747" t="s">
        <v>3425</v>
      </c>
      <c r="G747" s="3">
        <v>35.7968790173082</v>
      </c>
      <c r="H747" s="3">
        <v>127.177882288977</v>
      </c>
      <c r="I747" t="s">
        <v>4186</v>
      </c>
      <c r="J747" t="s">
        <v>7545</v>
      </c>
      <c r="K747" t="s">
        <v>10800</v>
      </c>
      <c r="L747" t="s">
        <v>3366</v>
      </c>
      <c r="M747" t="s">
        <v>11903</v>
      </c>
      <c r="N747" t="s">
        <v>3365</v>
      </c>
      <c r="O747" t="s">
        <v>3363</v>
      </c>
      <c r="P747" t="s">
        <v>15211</v>
      </c>
      <c r="Q747" t="s">
        <v>15211</v>
      </c>
      <c r="R747" t="s">
        <v>15211</v>
      </c>
      <c r="S747" t="s">
        <v>15211</v>
      </c>
      <c r="T747" t="s">
        <v>3372</v>
      </c>
      <c r="U747" t="s">
        <v>12329</v>
      </c>
      <c r="V747" t="s">
        <v>15232</v>
      </c>
    </row>
    <row r="748" spans="1:22" hidden="1">
      <c r="A748" t="s">
        <v>15368</v>
      </c>
      <c r="B748" t="s">
        <v>15442</v>
      </c>
      <c r="C748" t="s">
        <v>15445</v>
      </c>
      <c r="D748" t="s">
        <v>420</v>
      </c>
      <c r="E748" t="s">
        <v>3439</v>
      </c>
      <c r="F748" t="s">
        <v>3427</v>
      </c>
      <c r="G748" s="3">
        <v>35.796878972533499</v>
      </c>
      <c r="H748" s="3">
        <v>127.177882325788</v>
      </c>
      <c r="I748" t="s">
        <v>4187</v>
      </c>
      <c r="J748" t="s">
        <v>7546</v>
      </c>
      <c r="K748" t="s">
        <v>10724</v>
      </c>
      <c r="L748" t="s">
        <v>3366</v>
      </c>
      <c r="M748" t="s">
        <v>11903</v>
      </c>
      <c r="N748" t="s">
        <v>3365</v>
      </c>
      <c r="O748" t="s">
        <v>3363</v>
      </c>
      <c r="P748" t="s">
        <v>15211</v>
      </c>
      <c r="Q748" t="s">
        <v>15211</v>
      </c>
      <c r="R748" t="s">
        <v>15211</v>
      </c>
      <c r="S748" t="s">
        <v>15211</v>
      </c>
      <c r="T748" t="s">
        <v>3372</v>
      </c>
      <c r="U748" t="s">
        <v>12330</v>
      </c>
      <c r="V748" t="s">
        <v>15233</v>
      </c>
    </row>
    <row r="749" spans="1:22" hidden="1">
      <c r="A749" t="s">
        <v>15368</v>
      </c>
      <c r="B749" t="s">
        <v>15442</v>
      </c>
      <c r="C749" t="s">
        <v>15451</v>
      </c>
      <c r="D749" t="s">
        <v>421</v>
      </c>
      <c r="E749" t="s">
        <v>3457</v>
      </c>
      <c r="F749" t="s">
        <v>3440</v>
      </c>
      <c r="G749" s="3">
        <v>35.796878999172101</v>
      </c>
      <c r="H749" s="3">
        <v>127.177882308747</v>
      </c>
      <c r="I749" t="s">
        <v>4188</v>
      </c>
      <c r="J749" t="s">
        <v>7547</v>
      </c>
      <c r="K749" t="s">
        <v>10801</v>
      </c>
      <c r="L749" t="s">
        <v>3366</v>
      </c>
      <c r="M749" t="s">
        <v>11893</v>
      </c>
      <c r="N749" t="s">
        <v>3365</v>
      </c>
      <c r="O749" t="s">
        <v>3363</v>
      </c>
      <c r="P749" t="s">
        <v>3360</v>
      </c>
      <c r="Q749" t="s">
        <v>3361</v>
      </c>
      <c r="R749" t="s">
        <v>15211</v>
      </c>
      <c r="S749" t="s">
        <v>15211</v>
      </c>
      <c r="T749" t="s">
        <v>3381</v>
      </c>
      <c r="U749" t="s">
        <v>12331</v>
      </c>
      <c r="V749" t="s">
        <v>15234</v>
      </c>
    </row>
    <row r="750" spans="1:22">
      <c r="A750" t="s">
        <v>15368</v>
      </c>
      <c r="B750" t="s">
        <v>15443</v>
      </c>
      <c r="C750" t="s">
        <v>15452</v>
      </c>
      <c r="D750" t="s">
        <v>422</v>
      </c>
      <c r="E750" t="s">
        <v>3439</v>
      </c>
      <c r="F750" t="s">
        <v>3428</v>
      </c>
      <c r="G750" s="3">
        <v>35.796879069378399</v>
      </c>
      <c r="H750" s="3">
        <v>127.177882269544</v>
      </c>
      <c r="I750" t="s">
        <v>4189</v>
      </c>
      <c r="J750" t="s">
        <v>7548</v>
      </c>
      <c r="K750" t="s">
        <v>10535</v>
      </c>
      <c r="L750" t="s">
        <v>3366</v>
      </c>
      <c r="M750" t="s">
        <v>11903</v>
      </c>
      <c r="N750" t="s">
        <v>3363</v>
      </c>
      <c r="O750" t="s">
        <v>15211</v>
      </c>
      <c r="P750" t="s">
        <v>3360</v>
      </c>
      <c r="Q750" t="s">
        <v>3360</v>
      </c>
      <c r="R750" t="s">
        <v>15211</v>
      </c>
      <c r="S750" t="s">
        <v>15211</v>
      </c>
      <c r="T750" t="s">
        <v>3371</v>
      </c>
      <c r="U750" t="s">
        <v>12332</v>
      </c>
      <c r="V750" t="s">
        <v>15220</v>
      </c>
    </row>
    <row r="751" spans="1:22" hidden="1">
      <c r="A751" t="s">
        <v>15376</v>
      </c>
      <c r="B751" t="s">
        <v>15441</v>
      </c>
      <c r="C751" t="s">
        <v>15445</v>
      </c>
      <c r="D751" t="s">
        <v>495</v>
      </c>
      <c r="E751" t="s">
        <v>3425</v>
      </c>
      <c r="F751" t="s">
        <v>3453</v>
      </c>
      <c r="G751" s="3">
        <v>35.648075008151501</v>
      </c>
      <c r="H751" s="3">
        <v>127.69315211325799</v>
      </c>
      <c r="I751" t="s">
        <v>4262</v>
      </c>
      <c r="J751" t="s">
        <v>7621</v>
      </c>
      <c r="K751" t="s">
        <v>10850</v>
      </c>
      <c r="L751" t="s">
        <v>3366</v>
      </c>
      <c r="M751" t="s">
        <v>11890</v>
      </c>
      <c r="N751" t="s">
        <v>3363</v>
      </c>
      <c r="O751" t="s">
        <v>3362</v>
      </c>
      <c r="P751" t="s">
        <v>15211</v>
      </c>
      <c r="Q751" t="s">
        <v>15211</v>
      </c>
      <c r="R751" t="s">
        <v>15211</v>
      </c>
      <c r="S751" t="s">
        <v>15211</v>
      </c>
      <c r="T751" t="s">
        <v>3369</v>
      </c>
      <c r="U751" t="s">
        <v>12405</v>
      </c>
      <c r="V751" t="s">
        <v>15228</v>
      </c>
    </row>
    <row r="752" spans="1:22" hidden="1">
      <c r="A752" t="s">
        <v>15376</v>
      </c>
      <c r="B752" t="s">
        <v>15441</v>
      </c>
      <c r="C752" t="s">
        <v>15446</v>
      </c>
      <c r="D752" t="s">
        <v>496</v>
      </c>
      <c r="E752" t="s">
        <v>3434</v>
      </c>
      <c r="F752" t="s">
        <v>3463</v>
      </c>
      <c r="G752" s="3">
        <v>35.648074971587903</v>
      </c>
      <c r="H752" s="3">
        <v>127.693152264521</v>
      </c>
      <c r="I752" t="s">
        <v>4263</v>
      </c>
      <c r="J752" t="s">
        <v>7622</v>
      </c>
      <c r="K752" t="s">
        <v>10851</v>
      </c>
      <c r="L752" t="s">
        <v>3366</v>
      </c>
      <c r="M752" t="s">
        <v>11890</v>
      </c>
      <c r="N752" t="s">
        <v>3363</v>
      </c>
      <c r="O752" t="s">
        <v>3362</v>
      </c>
      <c r="P752" t="s">
        <v>15211</v>
      </c>
      <c r="Q752" t="s">
        <v>15211</v>
      </c>
      <c r="R752" t="s">
        <v>15211</v>
      </c>
      <c r="S752" t="s">
        <v>15211</v>
      </c>
      <c r="T752" t="s">
        <v>3369</v>
      </c>
      <c r="U752" t="s">
        <v>12406</v>
      </c>
      <c r="V752" t="s">
        <v>15229</v>
      </c>
    </row>
    <row r="753" spans="1:22" ht="17.399999999999999" hidden="1">
      <c r="A753" t="s">
        <v>15407</v>
      </c>
      <c r="B753" t="s">
        <v>15441</v>
      </c>
      <c r="C753" t="s">
        <v>15445</v>
      </c>
      <c r="D753" t="s">
        <v>752</v>
      </c>
      <c r="E753" t="s">
        <v>3431</v>
      </c>
      <c r="F753" t="s">
        <v>3434</v>
      </c>
      <c r="G753" s="3">
        <v>38.020001008163</v>
      </c>
      <c r="H753" s="3">
        <v>128.553071724006</v>
      </c>
      <c r="I753" t="s">
        <v>4518</v>
      </c>
      <c r="J753" t="s">
        <v>7877</v>
      </c>
      <c r="K753" t="s">
        <v>11032</v>
      </c>
      <c r="L753" t="s">
        <v>3366</v>
      </c>
      <c r="M753" t="s">
        <v>11885</v>
      </c>
      <c r="N753" t="s">
        <v>3363</v>
      </c>
      <c r="O753" t="s">
        <v>3361</v>
      </c>
      <c r="P753" t="s">
        <v>15211</v>
      </c>
      <c r="Q753" t="s">
        <v>15211</v>
      </c>
      <c r="R753" t="s">
        <v>15211</v>
      </c>
      <c r="S753" t="s">
        <v>15211</v>
      </c>
      <c r="T753" t="s">
        <v>3368</v>
      </c>
      <c r="U753" t="s">
        <v>12656</v>
      </c>
      <c r="V753" t="s">
        <v>15228</v>
      </c>
    </row>
    <row r="754" spans="1:22" ht="17.399999999999999" hidden="1">
      <c r="A754" t="s">
        <v>15407</v>
      </c>
      <c r="B754" t="s">
        <v>15441</v>
      </c>
      <c r="C754" t="s">
        <v>15445</v>
      </c>
      <c r="D754" t="s">
        <v>753</v>
      </c>
      <c r="E754" t="s">
        <v>3425</v>
      </c>
      <c r="F754" t="s">
        <v>3434</v>
      </c>
      <c r="G754" s="3">
        <v>38.020001044788501</v>
      </c>
      <c r="H754" s="3">
        <v>128.55307171480399</v>
      </c>
      <c r="I754" t="s">
        <v>4519</v>
      </c>
      <c r="J754" t="s">
        <v>7878</v>
      </c>
      <c r="K754" t="s">
        <v>11033</v>
      </c>
      <c r="L754" t="s">
        <v>3366</v>
      </c>
      <c r="M754" t="s">
        <v>11885</v>
      </c>
      <c r="N754" t="s">
        <v>3363</v>
      </c>
      <c r="O754" t="s">
        <v>3361</v>
      </c>
      <c r="P754" t="s">
        <v>15211</v>
      </c>
      <c r="Q754" t="s">
        <v>15211</v>
      </c>
      <c r="R754" t="s">
        <v>15211</v>
      </c>
      <c r="S754" t="s">
        <v>15211</v>
      </c>
      <c r="T754" t="s">
        <v>3368</v>
      </c>
      <c r="U754" t="s">
        <v>12657</v>
      </c>
      <c r="V754" t="s">
        <v>15228</v>
      </c>
    </row>
    <row r="755" spans="1:22" ht="17.399999999999999" hidden="1">
      <c r="A755" t="s">
        <v>15407</v>
      </c>
      <c r="B755" t="s">
        <v>15441</v>
      </c>
      <c r="C755" t="s">
        <v>15445</v>
      </c>
      <c r="D755" t="s">
        <v>754</v>
      </c>
      <c r="E755" t="s">
        <v>3425</v>
      </c>
      <c r="F755" t="s">
        <v>3434</v>
      </c>
      <c r="G755" s="3">
        <v>38.0200010452348</v>
      </c>
      <c r="H755" s="3">
        <v>128.553071765211</v>
      </c>
      <c r="I755" t="s">
        <v>4520</v>
      </c>
      <c r="J755" t="s">
        <v>7879</v>
      </c>
      <c r="K755" t="s">
        <v>11034</v>
      </c>
      <c r="L755" t="s">
        <v>3366</v>
      </c>
      <c r="M755" t="s">
        <v>11885</v>
      </c>
      <c r="N755" t="s">
        <v>3363</v>
      </c>
      <c r="O755" t="s">
        <v>3361</v>
      </c>
      <c r="P755" t="s">
        <v>15211</v>
      </c>
      <c r="Q755" t="s">
        <v>15211</v>
      </c>
      <c r="R755" t="s">
        <v>15211</v>
      </c>
      <c r="S755" t="s">
        <v>15211</v>
      </c>
      <c r="T755" t="s">
        <v>3368</v>
      </c>
      <c r="U755" t="s">
        <v>12658</v>
      </c>
      <c r="V755" t="s">
        <v>15228</v>
      </c>
    </row>
    <row r="756" spans="1:22" ht="17.399999999999999" hidden="1">
      <c r="A756" t="s">
        <v>15407</v>
      </c>
      <c r="B756" t="s">
        <v>15441</v>
      </c>
      <c r="C756" t="s">
        <v>15446</v>
      </c>
      <c r="D756" t="s">
        <v>755</v>
      </c>
      <c r="E756" t="s">
        <v>3429</v>
      </c>
      <c r="F756" t="s">
        <v>3442</v>
      </c>
      <c r="G756" s="3">
        <v>38.0200010226106</v>
      </c>
      <c r="H756" s="3">
        <v>128.55307174026601</v>
      </c>
      <c r="I756" t="s">
        <v>4521</v>
      </c>
      <c r="J756" t="s">
        <v>7880</v>
      </c>
      <c r="K756" t="s">
        <v>11035</v>
      </c>
      <c r="L756" t="s">
        <v>3366</v>
      </c>
      <c r="M756" t="s">
        <v>11890</v>
      </c>
      <c r="N756" t="s">
        <v>3363</v>
      </c>
      <c r="O756" t="s">
        <v>3361</v>
      </c>
      <c r="P756" t="s">
        <v>15211</v>
      </c>
      <c r="Q756" t="s">
        <v>15211</v>
      </c>
      <c r="R756" t="s">
        <v>15211</v>
      </c>
      <c r="S756" t="s">
        <v>15211</v>
      </c>
      <c r="T756" t="s">
        <v>3368</v>
      </c>
      <c r="U756" t="s">
        <v>12659</v>
      </c>
      <c r="V756" t="s">
        <v>15229</v>
      </c>
    </row>
    <row r="757" spans="1:22" ht="17.399999999999999" hidden="1">
      <c r="A757" t="s">
        <v>15407</v>
      </c>
      <c r="B757" t="s">
        <v>15441</v>
      </c>
      <c r="C757" t="s">
        <v>15446</v>
      </c>
      <c r="D757" t="s">
        <v>756</v>
      </c>
      <c r="E757" t="s">
        <v>3429</v>
      </c>
      <c r="F757" t="s">
        <v>3442</v>
      </c>
      <c r="G757" s="3">
        <v>38.020001029626798</v>
      </c>
      <c r="H757" s="3">
        <v>128.55307173678099</v>
      </c>
      <c r="I757" t="s">
        <v>4522</v>
      </c>
      <c r="J757" t="s">
        <v>7881</v>
      </c>
      <c r="K757" t="s">
        <v>11036</v>
      </c>
      <c r="L757" t="s">
        <v>3366</v>
      </c>
      <c r="M757" t="s">
        <v>11890</v>
      </c>
      <c r="N757" t="s">
        <v>3363</v>
      </c>
      <c r="O757" t="s">
        <v>3362</v>
      </c>
      <c r="P757" t="s">
        <v>15211</v>
      </c>
      <c r="Q757" t="s">
        <v>15211</v>
      </c>
      <c r="R757" t="s">
        <v>15211</v>
      </c>
      <c r="S757" t="s">
        <v>15211</v>
      </c>
      <c r="T757" t="s">
        <v>3369</v>
      </c>
      <c r="U757" t="s">
        <v>12660</v>
      </c>
      <c r="V757" t="s">
        <v>15229</v>
      </c>
    </row>
    <row r="758" spans="1:22" ht="17.399999999999999" hidden="1">
      <c r="A758" t="s">
        <v>15407</v>
      </c>
      <c r="B758" t="s">
        <v>15441</v>
      </c>
      <c r="C758" t="s">
        <v>15446</v>
      </c>
      <c r="D758" t="s">
        <v>757</v>
      </c>
      <c r="E758" t="s">
        <v>3435</v>
      </c>
      <c r="F758" t="s">
        <v>3442</v>
      </c>
      <c r="G758" s="3">
        <v>38.020000999736197</v>
      </c>
      <c r="H758" s="3">
        <v>128.553071741575</v>
      </c>
      <c r="I758" t="s">
        <v>4523</v>
      </c>
      <c r="J758" t="s">
        <v>7882</v>
      </c>
      <c r="K758" t="s">
        <v>11037</v>
      </c>
      <c r="L758" t="s">
        <v>3366</v>
      </c>
      <c r="M758" t="s">
        <v>11890</v>
      </c>
      <c r="N758" t="s">
        <v>3363</v>
      </c>
      <c r="O758" t="s">
        <v>3362</v>
      </c>
      <c r="P758" t="s">
        <v>15211</v>
      </c>
      <c r="Q758" t="s">
        <v>15211</v>
      </c>
      <c r="R758" t="s">
        <v>15211</v>
      </c>
      <c r="S758" t="s">
        <v>15211</v>
      </c>
      <c r="T758" t="s">
        <v>3369</v>
      </c>
      <c r="U758" t="s">
        <v>12661</v>
      </c>
      <c r="V758" t="s">
        <v>15229</v>
      </c>
    </row>
    <row r="759" spans="1:22" ht="17.399999999999999" hidden="1">
      <c r="A759" t="s">
        <v>15407</v>
      </c>
      <c r="B759" t="s">
        <v>15441</v>
      </c>
      <c r="C759" t="s">
        <v>15448</v>
      </c>
      <c r="D759" t="s">
        <v>758</v>
      </c>
      <c r="E759" t="s">
        <v>3425</v>
      </c>
      <c r="F759" t="s">
        <v>3579</v>
      </c>
      <c r="G759" s="3">
        <v>38.0200010613285</v>
      </c>
      <c r="H759" s="3">
        <v>128.55307167033899</v>
      </c>
      <c r="I759" t="s">
        <v>4524</v>
      </c>
      <c r="J759" t="s">
        <v>7883</v>
      </c>
      <c r="K759" t="s">
        <v>11038</v>
      </c>
      <c r="L759" t="s">
        <v>3366</v>
      </c>
      <c r="M759" t="s">
        <v>11904</v>
      </c>
      <c r="N759" t="s">
        <v>3363</v>
      </c>
      <c r="O759" t="s">
        <v>3362</v>
      </c>
      <c r="P759" t="s">
        <v>3360</v>
      </c>
      <c r="Q759" t="s">
        <v>3368</v>
      </c>
      <c r="R759" t="s">
        <v>3359</v>
      </c>
      <c r="S759" t="s">
        <v>15211</v>
      </c>
      <c r="T759" t="s">
        <v>3388</v>
      </c>
      <c r="U759" t="s">
        <v>12662</v>
      </c>
      <c r="V759" t="s">
        <v>15230</v>
      </c>
    </row>
    <row r="760" spans="1:22" ht="17.399999999999999" hidden="1">
      <c r="A760" t="s">
        <v>15407</v>
      </c>
      <c r="B760" t="s">
        <v>15441</v>
      </c>
      <c r="C760" t="s">
        <v>15448</v>
      </c>
      <c r="D760" t="s">
        <v>759</v>
      </c>
      <c r="E760" t="s">
        <v>3425</v>
      </c>
      <c r="F760" t="s">
        <v>3484</v>
      </c>
      <c r="G760" s="3">
        <v>38.020001049513603</v>
      </c>
      <c r="H760" s="3">
        <v>128.55307163552601</v>
      </c>
      <c r="I760" t="s">
        <v>4525</v>
      </c>
      <c r="J760" t="s">
        <v>7884</v>
      </c>
      <c r="K760" t="s">
        <v>10849</v>
      </c>
      <c r="L760" t="s">
        <v>3366</v>
      </c>
      <c r="M760" t="s">
        <v>11913</v>
      </c>
      <c r="N760" t="s">
        <v>3362</v>
      </c>
      <c r="O760" t="s">
        <v>3362</v>
      </c>
      <c r="P760" t="s">
        <v>3360</v>
      </c>
      <c r="Q760" t="s">
        <v>3368</v>
      </c>
      <c r="R760" t="s">
        <v>3359</v>
      </c>
      <c r="S760" t="s">
        <v>15211</v>
      </c>
      <c r="T760" t="s">
        <v>3387</v>
      </c>
      <c r="U760" t="s">
        <v>12663</v>
      </c>
      <c r="V760" t="s">
        <v>15230</v>
      </c>
    </row>
    <row r="761" spans="1:22" ht="17.399999999999999" hidden="1">
      <c r="A761" t="s">
        <v>15407</v>
      </c>
      <c r="B761" t="s">
        <v>15441</v>
      </c>
      <c r="C761" t="s">
        <v>15448</v>
      </c>
      <c r="D761" t="s">
        <v>760</v>
      </c>
      <c r="E761" t="s">
        <v>3425</v>
      </c>
      <c r="F761" t="s">
        <v>3484</v>
      </c>
      <c r="G761" s="3">
        <v>38.020001047367899</v>
      </c>
      <c r="H761" s="3">
        <v>128.55307167663199</v>
      </c>
      <c r="I761" t="s">
        <v>4526</v>
      </c>
      <c r="J761" t="s">
        <v>7885</v>
      </c>
      <c r="K761" t="s">
        <v>10520</v>
      </c>
      <c r="L761" t="s">
        <v>3366</v>
      </c>
      <c r="M761" t="s">
        <v>11906</v>
      </c>
      <c r="N761" t="s">
        <v>3362</v>
      </c>
      <c r="O761" t="s">
        <v>3362</v>
      </c>
      <c r="P761" t="s">
        <v>3360</v>
      </c>
      <c r="Q761" t="s">
        <v>3369</v>
      </c>
      <c r="R761" t="s">
        <v>3359</v>
      </c>
      <c r="S761" t="s">
        <v>15211</v>
      </c>
      <c r="T761" t="s">
        <v>3388</v>
      </c>
      <c r="U761" t="s">
        <v>12664</v>
      </c>
      <c r="V761" t="s">
        <v>15230</v>
      </c>
    </row>
    <row r="762" spans="1:22" ht="17.399999999999999" hidden="1">
      <c r="A762" t="s">
        <v>15407</v>
      </c>
      <c r="B762" t="s">
        <v>15441</v>
      </c>
      <c r="C762" t="s">
        <v>15449</v>
      </c>
      <c r="D762" t="s">
        <v>761</v>
      </c>
      <c r="E762" t="s">
        <v>3440</v>
      </c>
      <c r="F762" t="s">
        <v>3434</v>
      </c>
      <c r="G762" s="3">
        <v>38.020001021078301</v>
      </c>
      <c r="H762" s="3">
        <v>128.55307168162199</v>
      </c>
      <c r="I762" t="s">
        <v>4527</v>
      </c>
      <c r="J762" t="s">
        <v>7886</v>
      </c>
      <c r="K762" t="s">
        <v>10577</v>
      </c>
      <c r="L762" t="s">
        <v>3366</v>
      </c>
      <c r="M762" t="s">
        <v>11912</v>
      </c>
      <c r="N762" t="s">
        <v>3361</v>
      </c>
      <c r="O762" t="s">
        <v>3359</v>
      </c>
      <c r="P762" t="s">
        <v>3360</v>
      </c>
      <c r="Q762" t="s">
        <v>3368</v>
      </c>
      <c r="R762" t="s">
        <v>3358</v>
      </c>
      <c r="S762" t="s">
        <v>15211</v>
      </c>
      <c r="T762" t="s">
        <v>3382</v>
      </c>
      <c r="U762" t="s">
        <v>12665</v>
      </c>
      <c r="V762" t="s">
        <v>15231</v>
      </c>
    </row>
    <row r="763" spans="1:22" ht="17.399999999999999" hidden="1">
      <c r="A763" t="s">
        <v>15407</v>
      </c>
      <c r="B763" t="s">
        <v>15441</v>
      </c>
      <c r="C763" t="s">
        <v>15449</v>
      </c>
      <c r="D763" t="s">
        <v>762</v>
      </c>
      <c r="E763" t="s">
        <v>3440</v>
      </c>
      <c r="F763" t="s">
        <v>3434</v>
      </c>
      <c r="G763" s="3">
        <v>38.020001033164803</v>
      </c>
      <c r="H763" s="3">
        <v>128.553071660564</v>
      </c>
      <c r="I763" t="s">
        <v>4528</v>
      </c>
      <c r="J763" t="s">
        <v>7887</v>
      </c>
      <c r="K763" t="s">
        <v>11039</v>
      </c>
      <c r="L763" t="s">
        <v>3366</v>
      </c>
      <c r="M763" t="s">
        <v>11912</v>
      </c>
      <c r="N763" t="s">
        <v>3361</v>
      </c>
      <c r="O763" t="s">
        <v>3359</v>
      </c>
      <c r="P763" t="s">
        <v>3360</v>
      </c>
      <c r="Q763" t="s">
        <v>3368</v>
      </c>
      <c r="R763" t="s">
        <v>3358</v>
      </c>
      <c r="S763" t="s">
        <v>15211</v>
      </c>
      <c r="T763" t="s">
        <v>3382</v>
      </c>
      <c r="U763" t="s">
        <v>12666</v>
      </c>
      <c r="V763" t="s">
        <v>15231</v>
      </c>
    </row>
    <row r="764" spans="1:22" ht="17.399999999999999" hidden="1">
      <c r="A764" t="s">
        <v>15407</v>
      </c>
      <c r="B764" t="s">
        <v>15441</v>
      </c>
      <c r="C764" t="s">
        <v>15449</v>
      </c>
      <c r="D764" t="s">
        <v>763</v>
      </c>
      <c r="E764" t="s">
        <v>3440</v>
      </c>
      <c r="F764" t="s">
        <v>3434</v>
      </c>
      <c r="G764" s="3">
        <v>38.020001031800199</v>
      </c>
      <c r="H764" s="3">
        <v>128.55307167868099</v>
      </c>
      <c r="I764" t="s">
        <v>4529</v>
      </c>
      <c r="J764" t="s">
        <v>7888</v>
      </c>
      <c r="K764" t="s">
        <v>10612</v>
      </c>
      <c r="L764" t="s">
        <v>3366</v>
      </c>
      <c r="M764" t="s">
        <v>11912</v>
      </c>
      <c r="N764" t="s">
        <v>3361</v>
      </c>
      <c r="O764" t="s">
        <v>3359</v>
      </c>
      <c r="P764" t="s">
        <v>3360</v>
      </c>
      <c r="Q764" t="s">
        <v>3368</v>
      </c>
      <c r="R764" t="s">
        <v>3358</v>
      </c>
      <c r="S764" t="s">
        <v>15211</v>
      </c>
      <c r="T764" t="s">
        <v>3382</v>
      </c>
      <c r="U764" t="s">
        <v>12667</v>
      </c>
      <c r="V764" t="s">
        <v>15231</v>
      </c>
    </row>
    <row r="765" spans="1:22" ht="17.399999999999999" hidden="1">
      <c r="A765" t="s">
        <v>15407</v>
      </c>
      <c r="B765" t="s">
        <v>15442</v>
      </c>
      <c r="C765" t="s">
        <v>15451</v>
      </c>
      <c r="D765" t="s">
        <v>764</v>
      </c>
      <c r="E765" t="s">
        <v>3428</v>
      </c>
      <c r="F765" t="s">
        <v>3441</v>
      </c>
      <c r="G765" s="3">
        <v>38.020001133376702</v>
      </c>
      <c r="H765" s="3">
        <v>128.55307164280001</v>
      </c>
      <c r="I765" t="s">
        <v>4530</v>
      </c>
      <c r="J765" t="s">
        <v>7889</v>
      </c>
      <c r="K765" t="s">
        <v>11040</v>
      </c>
      <c r="L765" t="s">
        <v>3366</v>
      </c>
      <c r="M765" t="s">
        <v>11913</v>
      </c>
      <c r="N765" t="s">
        <v>3362</v>
      </c>
      <c r="O765" t="s">
        <v>3362</v>
      </c>
      <c r="P765" t="s">
        <v>3361</v>
      </c>
      <c r="Q765" t="s">
        <v>3369</v>
      </c>
      <c r="R765" t="s">
        <v>15211</v>
      </c>
      <c r="S765" t="s">
        <v>15211</v>
      </c>
      <c r="T765" t="s">
        <v>3386</v>
      </c>
      <c r="U765" t="s">
        <v>12668</v>
      </c>
      <c r="V765" t="s">
        <v>15234</v>
      </c>
    </row>
    <row r="766" spans="1:22" ht="17.399999999999999" hidden="1">
      <c r="A766" t="s">
        <v>15407</v>
      </c>
      <c r="B766" t="s">
        <v>15442</v>
      </c>
      <c r="C766" t="s">
        <v>15451</v>
      </c>
      <c r="D766" t="s">
        <v>765</v>
      </c>
      <c r="E766" t="s">
        <v>3428</v>
      </c>
      <c r="F766" t="s">
        <v>3442</v>
      </c>
      <c r="G766" s="3">
        <v>38.020001159454303</v>
      </c>
      <c r="H766" s="3">
        <v>128.553071589658</v>
      </c>
      <c r="I766" t="s">
        <v>4531</v>
      </c>
      <c r="J766" t="s">
        <v>7890</v>
      </c>
      <c r="K766" t="s">
        <v>11040</v>
      </c>
      <c r="L766" t="s">
        <v>3366</v>
      </c>
      <c r="M766" t="s">
        <v>11913</v>
      </c>
      <c r="N766" t="s">
        <v>3362</v>
      </c>
      <c r="O766" t="s">
        <v>3362</v>
      </c>
      <c r="P766" t="s">
        <v>3362</v>
      </c>
      <c r="Q766" t="s">
        <v>3369</v>
      </c>
      <c r="R766" t="s">
        <v>15211</v>
      </c>
      <c r="S766" t="s">
        <v>15211</v>
      </c>
      <c r="T766" t="s">
        <v>3387</v>
      </c>
      <c r="U766" t="s">
        <v>12669</v>
      </c>
      <c r="V766" t="s">
        <v>15234</v>
      </c>
    </row>
    <row r="767" spans="1:22" ht="17.399999999999999" hidden="1">
      <c r="A767" t="s">
        <v>15407</v>
      </c>
      <c r="B767" t="s">
        <v>15442</v>
      </c>
      <c r="C767" t="s">
        <v>15451</v>
      </c>
      <c r="D767" t="s">
        <v>766</v>
      </c>
      <c r="E767" t="s">
        <v>3436</v>
      </c>
      <c r="F767" t="s">
        <v>3441</v>
      </c>
      <c r="G767" s="3">
        <v>38.020001165414399</v>
      </c>
      <c r="H767" s="3">
        <v>128.55307157381799</v>
      </c>
      <c r="I767" t="s">
        <v>4532</v>
      </c>
      <c r="J767" t="s">
        <v>7891</v>
      </c>
      <c r="K767" t="s">
        <v>10608</v>
      </c>
      <c r="L767" t="s">
        <v>3366</v>
      </c>
      <c r="M767" t="s">
        <v>11913</v>
      </c>
      <c r="N767" t="s">
        <v>3362</v>
      </c>
      <c r="O767" t="s">
        <v>3362</v>
      </c>
      <c r="P767" t="s">
        <v>3362</v>
      </c>
      <c r="Q767" t="s">
        <v>3369</v>
      </c>
      <c r="R767" t="s">
        <v>15211</v>
      </c>
      <c r="S767" t="s">
        <v>15211</v>
      </c>
      <c r="T767" t="s">
        <v>3387</v>
      </c>
      <c r="U767" t="s">
        <v>12670</v>
      </c>
      <c r="V767" t="s">
        <v>15234</v>
      </c>
    </row>
    <row r="768" spans="1:22" ht="17.399999999999999" hidden="1">
      <c r="A768" t="s">
        <v>15407</v>
      </c>
      <c r="B768" t="s">
        <v>15442</v>
      </c>
      <c r="C768" t="s">
        <v>15450</v>
      </c>
      <c r="D768" t="s">
        <v>767</v>
      </c>
      <c r="E768" t="s">
        <v>3428</v>
      </c>
      <c r="F768" t="s">
        <v>3435</v>
      </c>
      <c r="G768" s="3">
        <v>38.020001333809503</v>
      </c>
      <c r="H768" s="3">
        <v>128.553072040388</v>
      </c>
      <c r="I768" t="s">
        <v>4533</v>
      </c>
      <c r="J768" t="s">
        <v>7892</v>
      </c>
      <c r="K768" t="s">
        <v>11041</v>
      </c>
      <c r="L768" t="s">
        <v>3366</v>
      </c>
      <c r="M768" t="s">
        <v>11885</v>
      </c>
      <c r="N768" t="s">
        <v>3362</v>
      </c>
      <c r="O768" t="s">
        <v>3362</v>
      </c>
      <c r="P768" t="s">
        <v>15211</v>
      </c>
      <c r="Q768" t="s">
        <v>15211</v>
      </c>
      <c r="R768" t="s">
        <v>15211</v>
      </c>
      <c r="S768" t="s">
        <v>15211</v>
      </c>
      <c r="T768" t="s">
        <v>3368</v>
      </c>
      <c r="U768" t="s">
        <v>12671</v>
      </c>
      <c r="V768" t="s">
        <v>15232</v>
      </c>
    </row>
    <row r="769" spans="1:22" ht="17.399999999999999" hidden="1">
      <c r="A769" t="s">
        <v>15407</v>
      </c>
      <c r="B769" t="s">
        <v>15442</v>
      </c>
      <c r="C769" t="s">
        <v>15450</v>
      </c>
      <c r="D769" t="s">
        <v>768</v>
      </c>
      <c r="E769" t="s">
        <v>3428</v>
      </c>
      <c r="F769" t="s">
        <v>3435</v>
      </c>
      <c r="G769" s="3">
        <v>38.020001290266002</v>
      </c>
      <c r="H769" s="3">
        <v>128.55307198542201</v>
      </c>
      <c r="I769" t="s">
        <v>4534</v>
      </c>
      <c r="J769" t="s">
        <v>7893</v>
      </c>
      <c r="K769" t="s">
        <v>11041</v>
      </c>
      <c r="L769" t="s">
        <v>3366</v>
      </c>
      <c r="M769" t="s">
        <v>11885</v>
      </c>
      <c r="N769" t="s">
        <v>3362</v>
      </c>
      <c r="O769" t="s">
        <v>3362</v>
      </c>
      <c r="P769" t="s">
        <v>15211</v>
      </c>
      <c r="Q769" t="s">
        <v>15211</v>
      </c>
      <c r="R769" t="s">
        <v>15211</v>
      </c>
      <c r="S769" t="s">
        <v>15211</v>
      </c>
      <c r="T769" t="s">
        <v>3368</v>
      </c>
      <c r="U769" t="s">
        <v>12672</v>
      </c>
      <c r="V769" t="s">
        <v>15232</v>
      </c>
    </row>
    <row r="770" spans="1:22" ht="17.399999999999999" hidden="1">
      <c r="A770" t="s">
        <v>15407</v>
      </c>
      <c r="B770" t="s">
        <v>15442</v>
      </c>
      <c r="C770" t="s">
        <v>15450</v>
      </c>
      <c r="D770" t="s">
        <v>769</v>
      </c>
      <c r="E770" t="s">
        <v>3428</v>
      </c>
      <c r="F770" t="s">
        <v>3435</v>
      </c>
      <c r="G770" s="3">
        <v>38.0200013047589</v>
      </c>
      <c r="H770" s="3">
        <v>128.553071961347</v>
      </c>
      <c r="I770" t="s">
        <v>4535</v>
      </c>
      <c r="J770" t="s">
        <v>7894</v>
      </c>
      <c r="K770" t="s">
        <v>10480</v>
      </c>
      <c r="L770" t="s">
        <v>3366</v>
      </c>
      <c r="M770" t="s">
        <v>11885</v>
      </c>
      <c r="N770" t="s">
        <v>3362</v>
      </c>
      <c r="O770" t="s">
        <v>3362</v>
      </c>
      <c r="P770" t="s">
        <v>15211</v>
      </c>
      <c r="Q770" t="s">
        <v>15211</v>
      </c>
      <c r="R770" t="s">
        <v>15211</v>
      </c>
      <c r="S770" t="s">
        <v>15211</v>
      </c>
      <c r="T770" t="s">
        <v>3368</v>
      </c>
      <c r="U770" t="s">
        <v>12673</v>
      </c>
      <c r="V770" t="s">
        <v>15232</v>
      </c>
    </row>
    <row r="771" spans="1:22" ht="17.399999999999999" hidden="1">
      <c r="A771" t="s">
        <v>15407</v>
      </c>
      <c r="B771" t="s">
        <v>15442</v>
      </c>
      <c r="C771" t="s">
        <v>15445</v>
      </c>
      <c r="D771" t="s">
        <v>770</v>
      </c>
      <c r="E771" t="s">
        <v>3428</v>
      </c>
      <c r="F771" t="s">
        <v>3441</v>
      </c>
      <c r="G771" s="3">
        <v>38.020001052350601</v>
      </c>
      <c r="H771" s="3">
        <v>128.55307164148101</v>
      </c>
      <c r="I771" t="s">
        <v>4536</v>
      </c>
      <c r="J771" t="s">
        <v>7895</v>
      </c>
      <c r="K771" t="s">
        <v>11043</v>
      </c>
      <c r="L771" t="s">
        <v>3366</v>
      </c>
      <c r="M771" t="s">
        <v>11902</v>
      </c>
      <c r="N771" t="s">
        <v>3362</v>
      </c>
      <c r="O771" t="s">
        <v>3360</v>
      </c>
      <c r="P771" t="s">
        <v>15211</v>
      </c>
      <c r="Q771" t="s">
        <v>15211</v>
      </c>
      <c r="R771" t="s">
        <v>15211</v>
      </c>
      <c r="S771" t="s">
        <v>15211</v>
      </c>
      <c r="T771" t="s">
        <v>3366</v>
      </c>
      <c r="U771" t="s">
        <v>12674</v>
      </c>
      <c r="V771" t="s">
        <v>15233</v>
      </c>
    </row>
    <row r="772" spans="1:22" ht="17.399999999999999" hidden="1">
      <c r="A772" t="s">
        <v>15407</v>
      </c>
      <c r="B772" t="s">
        <v>15442</v>
      </c>
      <c r="C772" t="s">
        <v>15445</v>
      </c>
      <c r="D772" t="s">
        <v>771</v>
      </c>
      <c r="E772" t="s">
        <v>3436</v>
      </c>
      <c r="F772" t="s">
        <v>3453</v>
      </c>
      <c r="G772" s="3">
        <v>38.020001078824897</v>
      </c>
      <c r="H772" s="3">
        <v>128.55307164452401</v>
      </c>
      <c r="I772" t="s">
        <v>4537</v>
      </c>
      <c r="J772" t="s">
        <v>7896</v>
      </c>
      <c r="K772" t="s">
        <v>11044</v>
      </c>
      <c r="L772" t="s">
        <v>3366</v>
      </c>
      <c r="M772" t="s">
        <v>11902</v>
      </c>
      <c r="N772" t="s">
        <v>3362</v>
      </c>
      <c r="O772" t="s">
        <v>3360</v>
      </c>
      <c r="P772" t="s">
        <v>15211</v>
      </c>
      <c r="Q772" t="s">
        <v>15211</v>
      </c>
      <c r="R772" t="s">
        <v>15211</v>
      </c>
      <c r="S772" t="s">
        <v>15211</v>
      </c>
      <c r="T772" t="s">
        <v>3366</v>
      </c>
      <c r="U772" t="s">
        <v>12675</v>
      </c>
      <c r="V772" t="s">
        <v>15233</v>
      </c>
    </row>
    <row r="773" spans="1:22" ht="17.399999999999999" hidden="1">
      <c r="A773" t="s">
        <v>15407</v>
      </c>
      <c r="B773" t="s">
        <v>15442</v>
      </c>
      <c r="C773" t="s">
        <v>15445</v>
      </c>
      <c r="D773" t="s">
        <v>772</v>
      </c>
      <c r="E773" t="s">
        <v>3428</v>
      </c>
      <c r="F773" t="s">
        <v>3453</v>
      </c>
      <c r="G773" s="3">
        <v>38.020001063386502</v>
      </c>
      <c r="H773" s="3">
        <v>128.55307160699601</v>
      </c>
      <c r="I773" t="s">
        <v>4538</v>
      </c>
      <c r="J773" t="s">
        <v>7897</v>
      </c>
      <c r="K773" t="s">
        <v>11045</v>
      </c>
      <c r="L773" t="s">
        <v>3366</v>
      </c>
      <c r="M773" t="s">
        <v>11902</v>
      </c>
      <c r="N773" t="s">
        <v>3362</v>
      </c>
      <c r="O773" t="s">
        <v>3360</v>
      </c>
      <c r="P773" t="s">
        <v>15211</v>
      </c>
      <c r="Q773" t="s">
        <v>15211</v>
      </c>
      <c r="R773" t="s">
        <v>15211</v>
      </c>
      <c r="S773" t="s">
        <v>15211</v>
      </c>
      <c r="T773" t="s">
        <v>3366</v>
      </c>
      <c r="U773" t="s">
        <v>12676</v>
      </c>
      <c r="V773" t="s">
        <v>15233</v>
      </c>
    </row>
    <row r="774" spans="1:22" hidden="1">
      <c r="A774" t="s">
        <v>15376</v>
      </c>
      <c r="B774" t="s">
        <v>15441</v>
      </c>
      <c r="C774" t="s">
        <v>15447</v>
      </c>
      <c r="D774" t="s">
        <v>497</v>
      </c>
      <c r="E774" t="s">
        <v>3429</v>
      </c>
      <c r="F774" t="s">
        <v>3460</v>
      </c>
      <c r="G774" s="3">
        <v>35.6480750659913</v>
      </c>
      <c r="H774" s="3">
        <v>127.69315227375</v>
      </c>
      <c r="I774" t="s">
        <v>4264</v>
      </c>
      <c r="J774" t="s">
        <v>7623</v>
      </c>
      <c r="K774" t="s">
        <v>10852</v>
      </c>
      <c r="L774" t="s">
        <v>3366</v>
      </c>
      <c r="M774" t="s">
        <v>11892</v>
      </c>
      <c r="N774" t="s">
        <v>3364</v>
      </c>
      <c r="O774" t="s">
        <v>15211</v>
      </c>
      <c r="P774" t="s">
        <v>15211</v>
      </c>
      <c r="Q774" t="s">
        <v>15211</v>
      </c>
      <c r="R774" t="s">
        <v>15211</v>
      </c>
      <c r="S774" t="s">
        <v>15211</v>
      </c>
      <c r="T774" t="s">
        <v>3364</v>
      </c>
      <c r="U774" t="s">
        <v>12407</v>
      </c>
      <c r="V774" t="s">
        <v>15235</v>
      </c>
    </row>
    <row r="775" spans="1:22" hidden="1">
      <c r="A775" t="s">
        <v>15376</v>
      </c>
      <c r="B775" t="s">
        <v>15441</v>
      </c>
      <c r="C775" t="s">
        <v>15448</v>
      </c>
      <c r="D775" t="s">
        <v>498</v>
      </c>
      <c r="E775" t="s">
        <v>3452</v>
      </c>
      <c r="F775" t="s">
        <v>3458</v>
      </c>
      <c r="G775" s="3">
        <v>35.648075055708098</v>
      </c>
      <c r="H775" s="3">
        <v>127.69315220395001</v>
      </c>
      <c r="I775" t="s">
        <v>4265</v>
      </c>
      <c r="J775" t="s">
        <v>7624</v>
      </c>
      <c r="K775" t="s">
        <v>10853</v>
      </c>
      <c r="L775" t="s">
        <v>3366</v>
      </c>
      <c r="M775" t="s">
        <v>11891</v>
      </c>
      <c r="N775" t="s">
        <v>3363</v>
      </c>
      <c r="O775" t="s">
        <v>3361</v>
      </c>
      <c r="P775" t="s">
        <v>3363</v>
      </c>
      <c r="Q775" t="s">
        <v>3359</v>
      </c>
      <c r="R775" t="s">
        <v>3358</v>
      </c>
      <c r="S775" t="s">
        <v>15211</v>
      </c>
      <c r="T775" t="s">
        <v>3380</v>
      </c>
      <c r="U775" t="s">
        <v>12408</v>
      </c>
      <c r="V775" t="s">
        <v>15230</v>
      </c>
    </row>
    <row r="776" spans="1:22" hidden="1">
      <c r="A776" t="s">
        <v>15376</v>
      </c>
      <c r="B776" t="s">
        <v>15441</v>
      </c>
      <c r="C776" t="s">
        <v>15449</v>
      </c>
      <c r="D776" t="s">
        <v>499</v>
      </c>
      <c r="E776" t="s">
        <v>3434</v>
      </c>
      <c r="F776" t="s">
        <v>3450</v>
      </c>
      <c r="G776" s="3">
        <v>35.648075043937602</v>
      </c>
      <c r="H776" s="3">
        <v>127.693152179544</v>
      </c>
      <c r="I776" t="s">
        <v>4266</v>
      </c>
      <c r="J776" t="s">
        <v>7625</v>
      </c>
      <c r="K776" t="s">
        <v>10854</v>
      </c>
      <c r="L776" t="s">
        <v>3366</v>
      </c>
      <c r="M776" t="s">
        <v>11891</v>
      </c>
      <c r="N776" t="s">
        <v>3363</v>
      </c>
      <c r="O776" t="s">
        <v>3361</v>
      </c>
      <c r="P776" t="s">
        <v>3363</v>
      </c>
      <c r="Q776" t="s">
        <v>3359</v>
      </c>
      <c r="R776" t="s">
        <v>3358</v>
      </c>
      <c r="S776" t="s">
        <v>15211</v>
      </c>
      <c r="T776" t="s">
        <v>3380</v>
      </c>
      <c r="U776" t="s">
        <v>12409</v>
      </c>
      <c r="V776" t="s">
        <v>15231</v>
      </c>
    </row>
    <row r="777" spans="1:22" hidden="1">
      <c r="A777" t="s">
        <v>15376</v>
      </c>
      <c r="B777" t="s">
        <v>15442</v>
      </c>
      <c r="C777" t="s">
        <v>15445</v>
      </c>
      <c r="D777" t="s">
        <v>500</v>
      </c>
      <c r="E777" t="s">
        <v>3429</v>
      </c>
      <c r="F777" t="s">
        <v>3477</v>
      </c>
      <c r="G777" s="3">
        <v>35.648075015725802</v>
      </c>
      <c r="H777" s="3">
        <v>127.693152446792</v>
      </c>
      <c r="I777" t="s">
        <v>4267</v>
      </c>
      <c r="J777" t="s">
        <v>7626</v>
      </c>
      <c r="K777" t="s">
        <v>10855</v>
      </c>
      <c r="L777" t="s">
        <v>3375</v>
      </c>
      <c r="M777" t="s">
        <v>11885</v>
      </c>
      <c r="N777" t="s">
        <v>3363</v>
      </c>
      <c r="O777" t="s">
        <v>3361</v>
      </c>
      <c r="P777" t="s">
        <v>15211</v>
      </c>
      <c r="Q777" t="s">
        <v>15211</v>
      </c>
      <c r="R777" t="s">
        <v>15211</v>
      </c>
      <c r="S777" t="s">
        <v>15211</v>
      </c>
      <c r="T777" t="s">
        <v>3368</v>
      </c>
      <c r="U777" t="s">
        <v>12410</v>
      </c>
      <c r="V777" t="s">
        <v>15233</v>
      </c>
    </row>
    <row r="778" spans="1:22" hidden="1">
      <c r="A778" t="s">
        <v>15376</v>
      </c>
      <c r="B778" t="s">
        <v>15442</v>
      </c>
      <c r="C778" t="s">
        <v>15451</v>
      </c>
      <c r="D778" t="s">
        <v>501</v>
      </c>
      <c r="E778" t="s">
        <v>3438</v>
      </c>
      <c r="F778" t="s">
        <v>3442</v>
      </c>
      <c r="G778" s="3">
        <v>35.648075131557</v>
      </c>
      <c r="H778" s="3">
        <v>127.693152310633</v>
      </c>
      <c r="I778" t="s">
        <v>4268</v>
      </c>
      <c r="J778" t="s">
        <v>7627</v>
      </c>
      <c r="K778" t="s">
        <v>3652</v>
      </c>
      <c r="L778" t="s">
        <v>3366</v>
      </c>
      <c r="M778" t="s">
        <v>11908</v>
      </c>
      <c r="N778" t="s">
        <v>3364</v>
      </c>
      <c r="O778" t="s">
        <v>3362</v>
      </c>
      <c r="P778" t="s">
        <v>15211</v>
      </c>
      <c r="Q778" t="s">
        <v>15211</v>
      </c>
      <c r="R778" t="s">
        <v>15211</v>
      </c>
      <c r="S778" t="s">
        <v>15211</v>
      </c>
      <c r="T778" t="s">
        <v>3370</v>
      </c>
      <c r="U778" t="s">
        <v>12411</v>
      </c>
      <c r="V778" t="s">
        <v>15234</v>
      </c>
    </row>
    <row r="779" spans="1:22" hidden="1">
      <c r="A779" t="s">
        <v>15376</v>
      </c>
      <c r="B779" t="s">
        <v>15442</v>
      </c>
      <c r="C779" t="s">
        <v>15450</v>
      </c>
      <c r="D779" t="s">
        <v>502</v>
      </c>
      <c r="E779" t="s">
        <v>3434</v>
      </c>
      <c r="F779" t="s">
        <v>3460</v>
      </c>
      <c r="G779" s="3">
        <v>35.648074911875497</v>
      </c>
      <c r="H779" s="3">
        <v>127.69315283783899</v>
      </c>
      <c r="I779" t="s">
        <v>4269</v>
      </c>
      <c r="J779" t="s">
        <v>7628</v>
      </c>
      <c r="K779" t="s">
        <v>10856</v>
      </c>
      <c r="L779" t="s">
        <v>3402</v>
      </c>
      <c r="M779" t="s">
        <v>11890</v>
      </c>
      <c r="N779" t="s">
        <v>3364</v>
      </c>
      <c r="O779" t="s">
        <v>3362</v>
      </c>
      <c r="P779" t="s">
        <v>15211</v>
      </c>
      <c r="Q779" t="s">
        <v>15211</v>
      </c>
      <c r="R779" t="s">
        <v>15211</v>
      </c>
      <c r="S779" t="s">
        <v>15211</v>
      </c>
      <c r="T779" t="s">
        <v>3370</v>
      </c>
      <c r="U779" t="s">
        <v>12412</v>
      </c>
      <c r="V779" t="s">
        <v>15232</v>
      </c>
    </row>
    <row r="780" spans="1:22">
      <c r="A780" t="s">
        <v>15376</v>
      </c>
      <c r="B780" t="s">
        <v>15443</v>
      </c>
      <c r="C780" t="s">
        <v>15452</v>
      </c>
      <c r="D780" t="s">
        <v>503</v>
      </c>
      <c r="E780" t="s">
        <v>3434</v>
      </c>
      <c r="F780" t="s">
        <v>3463</v>
      </c>
      <c r="G780" s="3">
        <v>35.648075097172999</v>
      </c>
      <c r="H780" s="3">
        <v>127.693152204092</v>
      </c>
      <c r="I780" t="s">
        <v>4270</v>
      </c>
      <c r="J780" t="s">
        <v>7629</v>
      </c>
      <c r="K780" t="s">
        <v>10857</v>
      </c>
      <c r="L780" t="s">
        <v>3366</v>
      </c>
      <c r="M780" t="s">
        <v>11898</v>
      </c>
      <c r="N780" t="s">
        <v>3365</v>
      </c>
      <c r="O780" t="s">
        <v>3361</v>
      </c>
      <c r="P780" t="s">
        <v>15211</v>
      </c>
      <c r="Q780" t="s">
        <v>15211</v>
      </c>
      <c r="R780" t="s">
        <v>15211</v>
      </c>
      <c r="S780" t="s">
        <v>15211</v>
      </c>
      <c r="T780" t="s">
        <v>3370</v>
      </c>
      <c r="U780" t="s">
        <v>12413</v>
      </c>
      <c r="V780" t="s">
        <v>15220</v>
      </c>
    </row>
    <row r="781" spans="1:22" hidden="1">
      <c r="A781" t="s">
        <v>15376</v>
      </c>
      <c r="B781" t="s">
        <v>15443</v>
      </c>
      <c r="C781" t="s">
        <v>15463</v>
      </c>
      <c r="D781" t="s">
        <v>504</v>
      </c>
      <c r="E781" t="s">
        <v>3442</v>
      </c>
      <c r="F781" t="s">
        <v>3466</v>
      </c>
      <c r="G781" s="3">
        <v>35.6480750097287</v>
      </c>
      <c r="H781" s="3">
        <v>127.693152199547</v>
      </c>
      <c r="I781" t="s">
        <v>4271</v>
      </c>
      <c r="J781" t="s">
        <v>7630</v>
      </c>
      <c r="K781" t="s">
        <v>10858</v>
      </c>
      <c r="L781" t="s">
        <v>3366</v>
      </c>
      <c r="M781" t="s">
        <v>11901</v>
      </c>
      <c r="N781" t="s">
        <v>3365</v>
      </c>
      <c r="O781" t="s">
        <v>3361</v>
      </c>
      <c r="P781" t="s">
        <v>15211</v>
      </c>
      <c r="Q781" t="s">
        <v>15211</v>
      </c>
      <c r="R781" t="s">
        <v>15211</v>
      </c>
      <c r="S781" t="s">
        <v>15211</v>
      </c>
      <c r="T781" t="s">
        <v>3370</v>
      </c>
      <c r="U781" t="s">
        <v>12414</v>
      </c>
      <c r="V781" t="s">
        <v>15239</v>
      </c>
    </row>
    <row r="782" spans="1:22" hidden="1">
      <c r="A782" t="s">
        <v>15375</v>
      </c>
      <c r="B782" t="s">
        <v>15441</v>
      </c>
      <c r="C782" t="s">
        <v>15445</v>
      </c>
      <c r="D782" t="s">
        <v>476</v>
      </c>
      <c r="E782" t="s">
        <v>3427</v>
      </c>
      <c r="F782" t="s">
        <v>3434</v>
      </c>
      <c r="G782" s="3">
        <v>35.523154625338101</v>
      </c>
      <c r="H782" s="3">
        <v>127.789566280378</v>
      </c>
      <c r="I782" t="s">
        <v>4243</v>
      </c>
      <c r="J782" t="s">
        <v>7602</v>
      </c>
      <c r="K782" t="s">
        <v>10835</v>
      </c>
      <c r="L782" t="s">
        <v>3366</v>
      </c>
      <c r="M782" t="s">
        <v>11885</v>
      </c>
      <c r="N782" t="s">
        <v>3363</v>
      </c>
      <c r="O782" t="s">
        <v>3361</v>
      </c>
      <c r="P782" t="s">
        <v>15211</v>
      </c>
      <c r="Q782" t="s">
        <v>15211</v>
      </c>
      <c r="R782" t="s">
        <v>15211</v>
      </c>
      <c r="S782" t="s">
        <v>15211</v>
      </c>
      <c r="T782" t="s">
        <v>3368</v>
      </c>
      <c r="U782" t="s">
        <v>12386</v>
      </c>
      <c r="V782" t="s">
        <v>15228</v>
      </c>
    </row>
    <row r="783" spans="1:22" hidden="1">
      <c r="A783" t="s">
        <v>15375</v>
      </c>
      <c r="B783" t="s">
        <v>15441</v>
      </c>
      <c r="C783" t="s">
        <v>15446</v>
      </c>
      <c r="D783" t="s">
        <v>477</v>
      </c>
      <c r="E783" t="s">
        <v>3438</v>
      </c>
      <c r="F783" t="s">
        <v>3431</v>
      </c>
      <c r="G783" s="3">
        <v>35.523154644236698</v>
      </c>
      <c r="H783" s="3">
        <v>127.789566204379</v>
      </c>
      <c r="I783" t="s">
        <v>4244</v>
      </c>
      <c r="J783" t="s">
        <v>7603</v>
      </c>
      <c r="K783" t="s">
        <v>10710</v>
      </c>
      <c r="L783" t="s">
        <v>3366</v>
      </c>
      <c r="M783" t="s">
        <v>11885</v>
      </c>
      <c r="N783" t="s">
        <v>3363</v>
      </c>
      <c r="O783" t="s">
        <v>3361</v>
      </c>
      <c r="P783" t="s">
        <v>15211</v>
      </c>
      <c r="Q783" t="s">
        <v>15211</v>
      </c>
      <c r="R783" t="s">
        <v>15211</v>
      </c>
      <c r="S783" t="s">
        <v>15211</v>
      </c>
      <c r="T783" t="s">
        <v>3368</v>
      </c>
      <c r="U783" t="s">
        <v>12387</v>
      </c>
      <c r="V783" t="s">
        <v>15229</v>
      </c>
    </row>
    <row r="784" spans="1:22" hidden="1">
      <c r="A784" t="s">
        <v>15375</v>
      </c>
      <c r="B784" t="s">
        <v>15441</v>
      </c>
      <c r="C784" t="s">
        <v>15447</v>
      </c>
      <c r="D784" t="s">
        <v>478</v>
      </c>
      <c r="E784" t="s">
        <v>3462</v>
      </c>
      <c r="F784" t="s">
        <v>3467</v>
      </c>
      <c r="G784" s="3">
        <v>35.523154651980903</v>
      </c>
      <c r="H784" s="3">
        <v>127.789566142338</v>
      </c>
      <c r="I784" t="s">
        <v>4245</v>
      </c>
      <c r="J784" t="s">
        <v>7604</v>
      </c>
      <c r="K784" t="s">
        <v>10836</v>
      </c>
      <c r="L784" t="s">
        <v>3383</v>
      </c>
      <c r="M784" t="s">
        <v>11887</v>
      </c>
      <c r="N784" t="s">
        <v>3362</v>
      </c>
      <c r="O784" t="s">
        <v>15211</v>
      </c>
      <c r="P784" t="s">
        <v>15211</v>
      </c>
      <c r="Q784" t="s">
        <v>15211</v>
      </c>
      <c r="R784" t="s">
        <v>15211</v>
      </c>
      <c r="S784" t="s">
        <v>15211</v>
      </c>
      <c r="T784" t="s">
        <v>3362</v>
      </c>
      <c r="U784" t="s">
        <v>12388</v>
      </c>
      <c r="V784" t="s">
        <v>15235</v>
      </c>
    </row>
    <row r="785" spans="1:22" hidden="1">
      <c r="A785" t="s">
        <v>15375</v>
      </c>
      <c r="B785" t="s">
        <v>15441</v>
      </c>
      <c r="C785" t="s">
        <v>15448</v>
      </c>
      <c r="D785" t="s">
        <v>479</v>
      </c>
      <c r="E785" t="s">
        <v>3462</v>
      </c>
      <c r="F785" t="s">
        <v>3477</v>
      </c>
      <c r="G785" s="3">
        <v>35.5231546588086</v>
      </c>
      <c r="H785" s="3">
        <v>127.789566204319</v>
      </c>
      <c r="I785" t="s">
        <v>4246</v>
      </c>
      <c r="J785" t="s">
        <v>7605</v>
      </c>
      <c r="K785" t="s">
        <v>10837</v>
      </c>
      <c r="L785" t="s">
        <v>3366</v>
      </c>
      <c r="M785" t="s">
        <v>11914</v>
      </c>
      <c r="N785" t="s">
        <v>3363</v>
      </c>
      <c r="O785" t="s">
        <v>3361</v>
      </c>
      <c r="P785" t="s">
        <v>3364</v>
      </c>
      <c r="Q785" t="s">
        <v>3361</v>
      </c>
      <c r="R785" t="s">
        <v>3358</v>
      </c>
      <c r="S785" t="s">
        <v>15211</v>
      </c>
      <c r="T785" t="s">
        <v>3383</v>
      </c>
      <c r="U785" t="s">
        <v>12389</v>
      </c>
      <c r="V785" t="s">
        <v>15230</v>
      </c>
    </row>
    <row r="786" spans="1:22" hidden="1">
      <c r="A786" t="s">
        <v>15375</v>
      </c>
      <c r="B786" t="s">
        <v>15441</v>
      </c>
      <c r="C786" t="s">
        <v>15449</v>
      </c>
      <c r="D786" t="s">
        <v>480</v>
      </c>
      <c r="E786" t="s">
        <v>3453</v>
      </c>
      <c r="F786" t="s">
        <v>3460</v>
      </c>
      <c r="G786" s="3">
        <v>35.523154647574501</v>
      </c>
      <c r="H786" s="3">
        <v>127.789566175079</v>
      </c>
      <c r="I786" t="s">
        <v>4247</v>
      </c>
      <c r="J786" t="s">
        <v>7606</v>
      </c>
      <c r="K786" t="s">
        <v>10838</v>
      </c>
      <c r="L786" t="s">
        <v>3366</v>
      </c>
      <c r="M786" t="s">
        <v>11889</v>
      </c>
      <c r="N786" t="s">
        <v>3362</v>
      </c>
      <c r="O786" t="s">
        <v>15211</v>
      </c>
      <c r="P786" t="s">
        <v>3363</v>
      </c>
      <c r="Q786" t="s">
        <v>3361</v>
      </c>
      <c r="R786" t="s">
        <v>3358</v>
      </c>
      <c r="S786" t="s">
        <v>15211</v>
      </c>
      <c r="T786" t="s">
        <v>3376</v>
      </c>
      <c r="U786" t="s">
        <v>12390</v>
      </c>
      <c r="V786" t="s">
        <v>15231</v>
      </c>
    </row>
    <row r="787" spans="1:22" hidden="1">
      <c r="A787" t="s">
        <v>15375</v>
      </c>
      <c r="B787" t="s">
        <v>15442</v>
      </c>
      <c r="C787" t="s">
        <v>15450</v>
      </c>
      <c r="D787" t="s">
        <v>481</v>
      </c>
      <c r="E787" t="s">
        <v>3436</v>
      </c>
      <c r="F787" t="s">
        <v>3442</v>
      </c>
      <c r="G787" s="3">
        <v>35.523154892214301</v>
      </c>
      <c r="H787" s="3">
        <v>127.78956619071</v>
      </c>
      <c r="I787" t="s">
        <v>4248</v>
      </c>
      <c r="J787" t="s">
        <v>7607</v>
      </c>
      <c r="K787" t="s">
        <v>10839</v>
      </c>
      <c r="L787" t="s">
        <v>3366</v>
      </c>
      <c r="M787" t="s">
        <v>11885</v>
      </c>
      <c r="N787" t="s">
        <v>3364</v>
      </c>
      <c r="O787" t="s">
        <v>3361</v>
      </c>
      <c r="P787" t="s">
        <v>15211</v>
      </c>
      <c r="Q787" t="s">
        <v>15211</v>
      </c>
      <c r="R787" t="s">
        <v>15211</v>
      </c>
      <c r="S787" t="s">
        <v>15211</v>
      </c>
      <c r="T787" t="s">
        <v>3369</v>
      </c>
      <c r="U787" t="s">
        <v>12391</v>
      </c>
      <c r="V787" t="s">
        <v>15232</v>
      </c>
    </row>
    <row r="788" spans="1:22" hidden="1">
      <c r="A788" t="s">
        <v>15375</v>
      </c>
      <c r="B788" t="s">
        <v>15442</v>
      </c>
      <c r="C788" t="s">
        <v>15445</v>
      </c>
      <c r="D788" t="s">
        <v>482</v>
      </c>
      <c r="E788" t="s">
        <v>3436</v>
      </c>
      <c r="F788" t="s">
        <v>3435</v>
      </c>
      <c r="G788" s="3">
        <v>35.523154891513997</v>
      </c>
      <c r="H788" s="3">
        <v>127.789566193905</v>
      </c>
      <c r="I788" t="s">
        <v>4249</v>
      </c>
      <c r="J788" t="s">
        <v>7608</v>
      </c>
      <c r="K788" t="s">
        <v>10840</v>
      </c>
      <c r="L788" t="s">
        <v>3366</v>
      </c>
      <c r="M788" t="s">
        <v>11885</v>
      </c>
      <c r="N788" t="s">
        <v>3363</v>
      </c>
      <c r="O788" t="s">
        <v>3361</v>
      </c>
      <c r="P788" t="s">
        <v>15211</v>
      </c>
      <c r="Q788" t="s">
        <v>15211</v>
      </c>
      <c r="R788" t="s">
        <v>15211</v>
      </c>
      <c r="S788" t="s">
        <v>15211</v>
      </c>
      <c r="T788" t="s">
        <v>3368</v>
      </c>
      <c r="U788" t="s">
        <v>12392</v>
      </c>
      <c r="V788" t="s">
        <v>15233</v>
      </c>
    </row>
    <row r="789" spans="1:22" hidden="1">
      <c r="A789" t="s">
        <v>15375</v>
      </c>
      <c r="B789" t="s">
        <v>15442</v>
      </c>
      <c r="C789" t="s">
        <v>15451</v>
      </c>
      <c r="D789" t="s">
        <v>483</v>
      </c>
      <c r="E789" t="s">
        <v>3438</v>
      </c>
      <c r="F789" t="s">
        <v>3431</v>
      </c>
      <c r="G789" s="3">
        <v>35.523154812808201</v>
      </c>
      <c r="H789" s="3">
        <v>127.789566219538</v>
      </c>
      <c r="I789" t="s">
        <v>4250</v>
      </c>
      <c r="J789" t="s">
        <v>7609</v>
      </c>
      <c r="K789" t="s">
        <v>3637</v>
      </c>
      <c r="L789" t="s">
        <v>3366</v>
      </c>
      <c r="M789" t="s">
        <v>11893</v>
      </c>
      <c r="N789" t="s">
        <v>3365</v>
      </c>
      <c r="O789" t="s">
        <v>3361</v>
      </c>
      <c r="P789" t="s">
        <v>15211</v>
      </c>
      <c r="Q789" t="s">
        <v>15211</v>
      </c>
      <c r="R789" t="s">
        <v>15211</v>
      </c>
      <c r="S789" t="s">
        <v>15211</v>
      </c>
      <c r="T789" t="s">
        <v>3370</v>
      </c>
      <c r="U789" t="s">
        <v>12393</v>
      </c>
      <c r="V789" t="s">
        <v>15234</v>
      </c>
    </row>
    <row r="790" spans="1:22">
      <c r="A790" t="s">
        <v>15375</v>
      </c>
      <c r="B790" t="s">
        <v>15443</v>
      </c>
      <c r="C790" t="s">
        <v>15452</v>
      </c>
      <c r="D790" t="s">
        <v>484</v>
      </c>
      <c r="E790" t="s">
        <v>3435</v>
      </c>
      <c r="F790" t="s">
        <v>3426</v>
      </c>
      <c r="G790" s="3">
        <v>35.523154849360203</v>
      </c>
      <c r="H790" s="3">
        <v>127.789566338074</v>
      </c>
      <c r="I790" t="s">
        <v>4251</v>
      </c>
      <c r="J790" t="s">
        <v>7610</v>
      </c>
      <c r="K790" t="s">
        <v>10562</v>
      </c>
      <c r="L790" t="s">
        <v>3366</v>
      </c>
      <c r="M790" t="s">
        <v>11901</v>
      </c>
      <c r="N790" t="s">
        <v>3361</v>
      </c>
      <c r="O790" t="s">
        <v>15211</v>
      </c>
      <c r="P790" t="s">
        <v>3363</v>
      </c>
      <c r="Q790" t="s">
        <v>3361</v>
      </c>
      <c r="R790" t="s">
        <v>15211</v>
      </c>
      <c r="S790" t="s">
        <v>15211</v>
      </c>
      <c r="T790" t="s">
        <v>3373</v>
      </c>
      <c r="U790" t="s">
        <v>12394</v>
      </c>
      <c r="V790" t="s">
        <v>15220</v>
      </c>
    </row>
    <row r="791" spans="1:22" hidden="1">
      <c r="A791" t="s">
        <v>15372</v>
      </c>
      <c r="B791" t="s">
        <v>15441</v>
      </c>
      <c r="C791" t="s">
        <v>15445</v>
      </c>
      <c r="D791" t="s">
        <v>449</v>
      </c>
      <c r="E791" t="s">
        <v>3438</v>
      </c>
      <c r="F791" t="s">
        <v>3425</v>
      </c>
      <c r="G791" s="3">
        <v>35.345714293435101</v>
      </c>
      <c r="H791" s="3">
        <v>127.228238029338</v>
      </c>
      <c r="I791" t="s">
        <v>4216</v>
      </c>
      <c r="J791" t="s">
        <v>7575</v>
      </c>
      <c r="K791" t="s">
        <v>10817</v>
      </c>
      <c r="L791" t="s">
        <v>3366</v>
      </c>
      <c r="M791" t="s">
        <v>11890</v>
      </c>
      <c r="N791" t="s">
        <v>3364</v>
      </c>
      <c r="O791" t="s">
        <v>3361</v>
      </c>
      <c r="P791" t="s">
        <v>15211</v>
      </c>
      <c r="Q791" t="s">
        <v>15211</v>
      </c>
      <c r="R791" t="s">
        <v>15211</v>
      </c>
      <c r="S791" t="s">
        <v>15211</v>
      </c>
      <c r="T791" t="s">
        <v>3369</v>
      </c>
      <c r="U791" t="s">
        <v>12359</v>
      </c>
      <c r="V791" t="s">
        <v>15228</v>
      </c>
    </row>
    <row r="792" spans="1:22" hidden="1">
      <c r="A792" t="s">
        <v>15372</v>
      </c>
      <c r="B792" t="s">
        <v>15441</v>
      </c>
      <c r="C792" t="s">
        <v>15446</v>
      </c>
      <c r="D792" t="s">
        <v>450</v>
      </c>
      <c r="E792" t="s">
        <v>3428</v>
      </c>
      <c r="F792" t="s">
        <v>3435</v>
      </c>
      <c r="G792" s="3">
        <v>35.3457143241925</v>
      </c>
      <c r="H792" s="3">
        <v>127.228238071786</v>
      </c>
      <c r="I792" t="s">
        <v>4217</v>
      </c>
      <c r="J792" t="s">
        <v>7576</v>
      </c>
      <c r="K792" t="s">
        <v>10812</v>
      </c>
      <c r="L792" t="s">
        <v>3366</v>
      </c>
      <c r="M792" t="s">
        <v>11885</v>
      </c>
      <c r="N792" t="s">
        <v>3363</v>
      </c>
      <c r="O792" t="s">
        <v>3361</v>
      </c>
      <c r="P792" t="s">
        <v>15211</v>
      </c>
      <c r="Q792" t="s">
        <v>15211</v>
      </c>
      <c r="R792" t="s">
        <v>15211</v>
      </c>
      <c r="S792" t="s">
        <v>15211</v>
      </c>
      <c r="T792" t="s">
        <v>3368</v>
      </c>
      <c r="U792" t="s">
        <v>12360</v>
      </c>
      <c r="V792" t="s">
        <v>15229</v>
      </c>
    </row>
    <row r="793" spans="1:22" hidden="1">
      <c r="A793" t="s">
        <v>15372</v>
      </c>
      <c r="B793" t="s">
        <v>15441</v>
      </c>
      <c r="C793" t="s">
        <v>15447</v>
      </c>
      <c r="D793" t="s">
        <v>451</v>
      </c>
      <c r="E793" t="s">
        <v>3429</v>
      </c>
      <c r="F793" t="s">
        <v>3461</v>
      </c>
      <c r="G793" s="3">
        <v>35.345714262028899</v>
      </c>
      <c r="H793" s="3">
        <v>127.22823799266099</v>
      </c>
      <c r="I793" t="s">
        <v>4218</v>
      </c>
      <c r="J793" t="s">
        <v>7577</v>
      </c>
      <c r="K793" t="s">
        <v>10818</v>
      </c>
      <c r="L793" t="s">
        <v>3366</v>
      </c>
      <c r="M793" t="s">
        <v>11887</v>
      </c>
      <c r="N793" t="s">
        <v>3363</v>
      </c>
      <c r="O793" t="s">
        <v>15211</v>
      </c>
      <c r="P793" t="s">
        <v>15211</v>
      </c>
      <c r="Q793" t="s">
        <v>15211</v>
      </c>
      <c r="R793" t="s">
        <v>15211</v>
      </c>
      <c r="S793" t="s">
        <v>15211</v>
      </c>
      <c r="T793" t="s">
        <v>3363</v>
      </c>
      <c r="U793" t="s">
        <v>12361</v>
      </c>
      <c r="V793" t="s">
        <v>15235</v>
      </c>
    </row>
    <row r="794" spans="1:22" hidden="1">
      <c r="A794" t="s">
        <v>15372</v>
      </c>
      <c r="B794" t="s">
        <v>15441</v>
      </c>
      <c r="C794" t="s">
        <v>15448</v>
      </c>
      <c r="D794" t="s">
        <v>452</v>
      </c>
      <c r="E794" t="s">
        <v>3432</v>
      </c>
      <c r="F794" t="s">
        <v>3563</v>
      </c>
      <c r="G794" s="3">
        <v>35.345714293133</v>
      </c>
      <c r="H794" s="3">
        <v>127.228238237406</v>
      </c>
      <c r="I794" t="s">
        <v>4219</v>
      </c>
      <c r="J794" t="s">
        <v>7578</v>
      </c>
      <c r="K794" t="s">
        <v>3651</v>
      </c>
      <c r="L794" t="s">
        <v>3366</v>
      </c>
      <c r="M794" t="s">
        <v>11891</v>
      </c>
      <c r="N794" t="s">
        <v>3363</v>
      </c>
      <c r="O794" t="s">
        <v>3361</v>
      </c>
      <c r="P794" t="s">
        <v>3361</v>
      </c>
      <c r="Q794" t="s">
        <v>3361</v>
      </c>
      <c r="R794" t="s">
        <v>3358</v>
      </c>
      <c r="S794" t="s">
        <v>15211</v>
      </c>
      <c r="T794" t="s">
        <v>3380</v>
      </c>
      <c r="U794" t="s">
        <v>12362</v>
      </c>
      <c r="V794" t="s">
        <v>15230</v>
      </c>
    </row>
    <row r="795" spans="1:22" hidden="1">
      <c r="A795" t="s">
        <v>15411</v>
      </c>
      <c r="B795" t="s">
        <v>15441</v>
      </c>
      <c r="C795" t="s">
        <v>15445</v>
      </c>
      <c r="D795" t="s">
        <v>794</v>
      </c>
      <c r="E795" t="s">
        <v>3436</v>
      </c>
      <c r="F795" t="s">
        <v>3434</v>
      </c>
      <c r="G795" s="3">
        <v>38.139879821266597</v>
      </c>
      <c r="H795" s="3">
        <v>128.25754093252701</v>
      </c>
      <c r="I795" t="s">
        <v>4560</v>
      </c>
      <c r="J795" t="s">
        <v>7919</v>
      </c>
      <c r="K795" t="s">
        <v>11060</v>
      </c>
      <c r="L795" t="s">
        <v>3366</v>
      </c>
      <c r="M795" t="s">
        <v>11890</v>
      </c>
      <c r="N795" t="s">
        <v>3365</v>
      </c>
      <c r="O795" t="s">
        <v>3360</v>
      </c>
      <c r="P795" t="s">
        <v>15211</v>
      </c>
      <c r="Q795" t="s">
        <v>15211</v>
      </c>
      <c r="R795" t="s">
        <v>15211</v>
      </c>
      <c r="S795" t="s">
        <v>15211</v>
      </c>
      <c r="T795" t="s">
        <v>3369</v>
      </c>
      <c r="U795" t="s">
        <v>12698</v>
      </c>
      <c r="V795" t="s">
        <v>15228</v>
      </c>
    </row>
    <row r="796" spans="1:22" hidden="1">
      <c r="A796" t="s">
        <v>15411</v>
      </c>
      <c r="B796" t="s">
        <v>15441</v>
      </c>
      <c r="C796" t="s">
        <v>15445</v>
      </c>
      <c r="D796" t="s">
        <v>795</v>
      </c>
      <c r="E796" t="s">
        <v>3436</v>
      </c>
      <c r="F796" t="s">
        <v>3435</v>
      </c>
      <c r="G796" s="3">
        <v>38.139879820103197</v>
      </c>
      <c r="H796" s="3">
        <v>128.25754093223301</v>
      </c>
      <c r="I796" t="s">
        <v>4561</v>
      </c>
      <c r="J796" t="s">
        <v>7920</v>
      </c>
      <c r="K796" t="s">
        <v>10653</v>
      </c>
      <c r="L796" t="s">
        <v>3366</v>
      </c>
      <c r="M796" t="s">
        <v>11890</v>
      </c>
      <c r="N796" t="s">
        <v>3365</v>
      </c>
      <c r="O796" t="s">
        <v>3360</v>
      </c>
      <c r="P796" t="s">
        <v>15211</v>
      </c>
      <c r="Q796" t="s">
        <v>15211</v>
      </c>
      <c r="R796" t="s">
        <v>15211</v>
      </c>
      <c r="S796" t="s">
        <v>15211</v>
      </c>
      <c r="T796" t="s">
        <v>3369</v>
      </c>
      <c r="U796" t="s">
        <v>12699</v>
      </c>
      <c r="V796" t="s">
        <v>15228</v>
      </c>
    </row>
    <row r="797" spans="1:22" hidden="1">
      <c r="A797" t="s">
        <v>15411</v>
      </c>
      <c r="B797" t="s">
        <v>15441</v>
      </c>
      <c r="C797" t="s">
        <v>15445</v>
      </c>
      <c r="D797" t="s">
        <v>796</v>
      </c>
      <c r="E797" t="s">
        <v>3436</v>
      </c>
      <c r="F797" t="s">
        <v>3435</v>
      </c>
      <c r="G797" s="3">
        <v>38.139879817282797</v>
      </c>
      <c r="H797" s="3">
        <v>128.257540919642</v>
      </c>
      <c r="I797" t="s">
        <v>4562</v>
      </c>
      <c r="J797" t="s">
        <v>7921</v>
      </c>
      <c r="K797" t="s">
        <v>10960</v>
      </c>
      <c r="L797" t="s">
        <v>3366</v>
      </c>
      <c r="M797" t="s">
        <v>11890</v>
      </c>
      <c r="N797" t="s">
        <v>3365</v>
      </c>
      <c r="O797" t="s">
        <v>3360</v>
      </c>
      <c r="P797" t="s">
        <v>15211</v>
      </c>
      <c r="Q797" t="s">
        <v>15211</v>
      </c>
      <c r="R797" t="s">
        <v>15211</v>
      </c>
      <c r="S797" t="s">
        <v>15211</v>
      </c>
      <c r="T797" t="s">
        <v>3369</v>
      </c>
      <c r="U797" t="s">
        <v>12700</v>
      </c>
      <c r="V797" t="s">
        <v>15228</v>
      </c>
    </row>
    <row r="798" spans="1:22" hidden="1">
      <c r="A798" t="s">
        <v>15411</v>
      </c>
      <c r="B798" t="s">
        <v>15441</v>
      </c>
      <c r="C798" t="s">
        <v>15446</v>
      </c>
      <c r="D798" t="s">
        <v>797</v>
      </c>
      <c r="E798" t="s">
        <v>3436</v>
      </c>
      <c r="F798" t="s">
        <v>3429</v>
      </c>
      <c r="G798" s="3">
        <v>38.139879852744698</v>
      </c>
      <c r="H798" s="3">
        <v>128.25754095260001</v>
      </c>
      <c r="I798" t="s">
        <v>4563</v>
      </c>
      <c r="J798" t="s">
        <v>7922</v>
      </c>
      <c r="K798" t="s">
        <v>11061</v>
      </c>
      <c r="L798" t="s">
        <v>3366</v>
      </c>
      <c r="M798" t="s">
        <v>11890</v>
      </c>
      <c r="N798" t="s">
        <v>3365</v>
      </c>
      <c r="O798" t="s">
        <v>3360</v>
      </c>
      <c r="P798" t="s">
        <v>15211</v>
      </c>
      <c r="Q798" t="s">
        <v>15211</v>
      </c>
      <c r="R798" t="s">
        <v>15211</v>
      </c>
      <c r="S798" t="s">
        <v>15211</v>
      </c>
      <c r="T798" t="s">
        <v>3369</v>
      </c>
      <c r="U798" t="s">
        <v>12701</v>
      </c>
      <c r="V798" t="s">
        <v>15229</v>
      </c>
    </row>
    <row r="799" spans="1:22" hidden="1">
      <c r="A799" t="s">
        <v>15411</v>
      </c>
      <c r="B799" t="s">
        <v>15441</v>
      </c>
      <c r="C799" t="s">
        <v>15446</v>
      </c>
      <c r="D799" t="s">
        <v>798</v>
      </c>
      <c r="E799" t="s">
        <v>3436</v>
      </c>
      <c r="F799" t="s">
        <v>3429</v>
      </c>
      <c r="G799" s="3">
        <v>38.139879848535401</v>
      </c>
      <c r="H799" s="3">
        <v>128.25754095358701</v>
      </c>
      <c r="I799" t="s">
        <v>4564</v>
      </c>
      <c r="J799" t="s">
        <v>7923</v>
      </c>
      <c r="K799" t="s">
        <v>11062</v>
      </c>
      <c r="L799" t="s">
        <v>3366</v>
      </c>
      <c r="M799" t="s">
        <v>11890</v>
      </c>
      <c r="N799" t="s">
        <v>3365</v>
      </c>
      <c r="O799" t="s">
        <v>3360</v>
      </c>
      <c r="P799" t="s">
        <v>15211</v>
      </c>
      <c r="Q799" t="s">
        <v>15211</v>
      </c>
      <c r="R799" t="s">
        <v>15211</v>
      </c>
      <c r="S799" t="s">
        <v>15211</v>
      </c>
      <c r="T799" t="s">
        <v>3369</v>
      </c>
      <c r="U799" t="s">
        <v>12702</v>
      </c>
      <c r="V799" t="s">
        <v>15229</v>
      </c>
    </row>
    <row r="800" spans="1:22" hidden="1">
      <c r="A800" t="s">
        <v>15411</v>
      </c>
      <c r="B800" t="s">
        <v>15441</v>
      </c>
      <c r="C800" t="s">
        <v>15446</v>
      </c>
      <c r="D800" t="s">
        <v>799</v>
      </c>
      <c r="E800" t="s">
        <v>3436</v>
      </c>
      <c r="F800" t="s">
        <v>3429</v>
      </c>
      <c r="G800" s="3">
        <v>38.139879828785901</v>
      </c>
      <c r="H800" s="3">
        <v>128.257540969388</v>
      </c>
      <c r="I800" t="s">
        <v>4565</v>
      </c>
      <c r="J800" t="s">
        <v>7924</v>
      </c>
      <c r="K800" t="s">
        <v>11063</v>
      </c>
      <c r="L800" t="s">
        <v>3366</v>
      </c>
      <c r="M800" t="s">
        <v>11890</v>
      </c>
      <c r="N800" t="s">
        <v>3365</v>
      </c>
      <c r="O800" t="s">
        <v>3360</v>
      </c>
      <c r="P800" t="s">
        <v>15211</v>
      </c>
      <c r="Q800" t="s">
        <v>15211</v>
      </c>
      <c r="R800" t="s">
        <v>15211</v>
      </c>
      <c r="S800" t="s">
        <v>15211</v>
      </c>
      <c r="T800" t="s">
        <v>3369</v>
      </c>
      <c r="U800" t="s">
        <v>12702</v>
      </c>
      <c r="V800" t="s">
        <v>15229</v>
      </c>
    </row>
    <row r="801" spans="1:22" hidden="1">
      <c r="A801" t="s">
        <v>15411</v>
      </c>
      <c r="B801" t="s">
        <v>15441</v>
      </c>
      <c r="C801" t="s">
        <v>15448</v>
      </c>
      <c r="D801" t="s">
        <v>800</v>
      </c>
      <c r="E801" t="s">
        <v>3436</v>
      </c>
      <c r="F801" t="s">
        <v>3452</v>
      </c>
      <c r="G801" s="3">
        <v>38.139879779398598</v>
      </c>
      <c r="H801" s="3">
        <v>128.25754100017801</v>
      </c>
      <c r="I801" t="s">
        <v>4566</v>
      </c>
      <c r="J801" t="s">
        <v>7925</v>
      </c>
      <c r="K801" t="s">
        <v>11064</v>
      </c>
      <c r="L801" t="s">
        <v>3366</v>
      </c>
      <c r="M801" t="s">
        <v>11911</v>
      </c>
      <c r="N801" t="s">
        <v>3365</v>
      </c>
      <c r="O801" t="s">
        <v>3360</v>
      </c>
      <c r="P801" t="s">
        <v>3362</v>
      </c>
      <c r="Q801" t="s">
        <v>3363</v>
      </c>
      <c r="R801" t="s">
        <v>3359</v>
      </c>
      <c r="S801" t="s">
        <v>15211</v>
      </c>
      <c r="T801" t="s">
        <v>3385</v>
      </c>
      <c r="U801" t="s">
        <v>12703</v>
      </c>
      <c r="V801" t="s">
        <v>15230</v>
      </c>
    </row>
    <row r="802" spans="1:22" hidden="1">
      <c r="A802" t="s">
        <v>15411</v>
      </c>
      <c r="B802" t="s">
        <v>15441</v>
      </c>
      <c r="C802" t="s">
        <v>15448</v>
      </c>
      <c r="D802" t="s">
        <v>801</v>
      </c>
      <c r="E802" t="s">
        <v>3436</v>
      </c>
      <c r="F802" t="s">
        <v>3452</v>
      </c>
      <c r="G802" s="3">
        <v>38.1398797719025</v>
      </c>
      <c r="H802" s="3">
        <v>128.257540996122</v>
      </c>
      <c r="I802" t="s">
        <v>4567</v>
      </c>
      <c r="J802" t="s">
        <v>7926</v>
      </c>
      <c r="K802" t="s">
        <v>11064</v>
      </c>
      <c r="L802" t="s">
        <v>3366</v>
      </c>
      <c r="M802" t="s">
        <v>11911</v>
      </c>
      <c r="N802" t="s">
        <v>3365</v>
      </c>
      <c r="O802" t="s">
        <v>3360</v>
      </c>
      <c r="P802" t="s">
        <v>3362</v>
      </c>
      <c r="Q802" t="s">
        <v>3363</v>
      </c>
      <c r="R802" t="s">
        <v>3359</v>
      </c>
      <c r="S802" t="s">
        <v>15211</v>
      </c>
      <c r="T802" t="s">
        <v>3385</v>
      </c>
      <c r="U802" t="s">
        <v>12704</v>
      </c>
      <c r="V802" t="s">
        <v>15230</v>
      </c>
    </row>
    <row r="803" spans="1:22" hidden="1">
      <c r="A803" t="s">
        <v>15411</v>
      </c>
      <c r="B803" t="s">
        <v>15441</v>
      </c>
      <c r="C803" t="s">
        <v>15448</v>
      </c>
      <c r="D803" t="s">
        <v>802</v>
      </c>
      <c r="E803" t="s">
        <v>3436</v>
      </c>
      <c r="F803" t="s">
        <v>3452</v>
      </c>
      <c r="G803" s="3">
        <v>38.139879798715398</v>
      </c>
      <c r="H803" s="3">
        <v>128.25754097011401</v>
      </c>
      <c r="I803" t="s">
        <v>4568</v>
      </c>
      <c r="J803" t="s">
        <v>7927</v>
      </c>
      <c r="K803" t="s">
        <v>11064</v>
      </c>
      <c r="L803" t="s">
        <v>3366</v>
      </c>
      <c r="M803" t="s">
        <v>11911</v>
      </c>
      <c r="N803" t="s">
        <v>3365</v>
      </c>
      <c r="O803" t="s">
        <v>3360</v>
      </c>
      <c r="P803" t="s">
        <v>3362</v>
      </c>
      <c r="Q803" t="s">
        <v>3363</v>
      </c>
      <c r="R803" t="s">
        <v>3359</v>
      </c>
      <c r="S803" t="s">
        <v>15211</v>
      </c>
      <c r="T803" t="s">
        <v>3385</v>
      </c>
      <c r="U803" t="s">
        <v>12705</v>
      </c>
      <c r="V803" t="s">
        <v>15230</v>
      </c>
    </row>
    <row r="804" spans="1:22" hidden="1">
      <c r="A804" t="s">
        <v>15411</v>
      </c>
      <c r="B804" t="s">
        <v>15441</v>
      </c>
      <c r="C804" t="s">
        <v>15449</v>
      </c>
      <c r="D804" t="s">
        <v>803</v>
      </c>
      <c r="E804" t="s">
        <v>3438</v>
      </c>
      <c r="F804" t="s">
        <v>3431</v>
      </c>
      <c r="G804" s="3">
        <v>38.139879848180698</v>
      </c>
      <c r="H804" s="3">
        <v>128.25754084851999</v>
      </c>
      <c r="I804" t="s">
        <v>4569</v>
      </c>
      <c r="J804" t="s">
        <v>7928</v>
      </c>
      <c r="K804" t="s">
        <v>10791</v>
      </c>
      <c r="L804" t="s">
        <v>3366</v>
      </c>
      <c r="M804" t="s">
        <v>11899</v>
      </c>
      <c r="N804" t="s">
        <v>3364</v>
      </c>
      <c r="O804" t="s">
        <v>15211</v>
      </c>
      <c r="P804" t="s">
        <v>3361</v>
      </c>
      <c r="Q804" t="s">
        <v>3360</v>
      </c>
      <c r="R804" t="s">
        <v>3358</v>
      </c>
      <c r="S804" t="s">
        <v>15211</v>
      </c>
      <c r="T804" t="s">
        <v>3375</v>
      </c>
      <c r="U804" t="s">
        <v>12706</v>
      </c>
      <c r="V804" t="s">
        <v>15231</v>
      </c>
    </row>
    <row r="805" spans="1:22" hidden="1">
      <c r="A805" t="s">
        <v>15411</v>
      </c>
      <c r="B805" t="s">
        <v>15441</v>
      </c>
      <c r="C805" t="s">
        <v>15449</v>
      </c>
      <c r="D805" t="s">
        <v>804</v>
      </c>
      <c r="E805" t="s">
        <v>3428</v>
      </c>
      <c r="F805" t="s">
        <v>3429</v>
      </c>
      <c r="G805" s="3">
        <v>38.139879876206699</v>
      </c>
      <c r="H805" s="3">
        <v>128.25754082929799</v>
      </c>
      <c r="I805" t="s">
        <v>4570</v>
      </c>
      <c r="J805" t="s">
        <v>7929</v>
      </c>
      <c r="K805" t="s">
        <v>10791</v>
      </c>
      <c r="L805" t="s">
        <v>3366</v>
      </c>
      <c r="M805" t="s">
        <v>11899</v>
      </c>
      <c r="N805" t="s">
        <v>3364</v>
      </c>
      <c r="O805" t="s">
        <v>15211</v>
      </c>
      <c r="P805" t="s">
        <v>3361</v>
      </c>
      <c r="Q805" t="s">
        <v>3360</v>
      </c>
      <c r="R805" t="s">
        <v>3358</v>
      </c>
      <c r="S805" t="s">
        <v>15211</v>
      </c>
      <c r="T805" t="s">
        <v>3375</v>
      </c>
      <c r="U805" t="s">
        <v>12707</v>
      </c>
      <c r="V805" t="s">
        <v>15231</v>
      </c>
    </row>
    <row r="806" spans="1:22" hidden="1">
      <c r="A806" t="s">
        <v>15411</v>
      </c>
      <c r="B806" t="s">
        <v>15441</v>
      </c>
      <c r="C806" t="s">
        <v>15449</v>
      </c>
      <c r="D806" t="s">
        <v>805</v>
      </c>
      <c r="E806" t="s">
        <v>3436</v>
      </c>
      <c r="F806" t="s">
        <v>3441</v>
      </c>
      <c r="G806" s="3">
        <v>38.139879871603803</v>
      </c>
      <c r="H806" s="3">
        <v>128.25754082477101</v>
      </c>
      <c r="I806" t="s">
        <v>4571</v>
      </c>
      <c r="J806" t="s">
        <v>7930</v>
      </c>
      <c r="K806" t="s">
        <v>10791</v>
      </c>
      <c r="L806" t="s">
        <v>3366</v>
      </c>
      <c r="M806" t="s">
        <v>11899</v>
      </c>
      <c r="N806" t="s">
        <v>3364</v>
      </c>
      <c r="O806" t="s">
        <v>15211</v>
      </c>
      <c r="P806" t="s">
        <v>3361</v>
      </c>
      <c r="Q806" t="s">
        <v>3360</v>
      </c>
      <c r="R806" t="s">
        <v>3358</v>
      </c>
      <c r="S806" t="s">
        <v>15211</v>
      </c>
      <c r="T806" t="s">
        <v>3375</v>
      </c>
      <c r="U806" t="s">
        <v>12708</v>
      </c>
      <c r="V806" t="s">
        <v>15231</v>
      </c>
    </row>
    <row r="807" spans="1:22" hidden="1">
      <c r="A807" t="s">
        <v>15411</v>
      </c>
      <c r="B807" t="s">
        <v>15442</v>
      </c>
      <c r="C807" t="s">
        <v>15450</v>
      </c>
      <c r="D807" t="s">
        <v>806</v>
      </c>
      <c r="E807" t="s">
        <v>3440</v>
      </c>
      <c r="F807" t="s">
        <v>3425</v>
      </c>
      <c r="G807" s="3">
        <v>38.139879668492199</v>
      </c>
      <c r="H807" s="3">
        <v>128.25754067306499</v>
      </c>
      <c r="I807" t="s">
        <v>4572</v>
      </c>
      <c r="J807" t="s">
        <v>7931</v>
      </c>
      <c r="K807" t="s">
        <v>11065</v>
      </c>
      <c r="L807" t="s">
        <v>3366</v>
      </c>
      <c r="M807" t="s">
        <v>11890</v>
      </c>
      <c r="N807" t="s">
        <v>3365</v>
      </c>
      <c r="O807" t="s">
        <v>3360</v>
      </c>
      <c r="P807" t="s">
        <v>15211</v>
      </c>
      <c r="Q807" t="s">
        <v>15211</v>
      </c>
      <c r="R807" t="s">
        <v>15211</v>
      </c>
      <c r="S807" t="s">
        <v>15211</v>
      </c>
      <c r="T807" t="s">
        <v>3369</v>
      </c>
      <c r="U807" t="s">
        <v>12709</v>
      </c>
      <c r="V807" t="s">
        <v>15232</v>
      </c>
    </row>
    <row r="808" spans="1:22" hidden="1">
      <c r="A808" t="s">
        <v>15411</v>
      </c>
      <c r="B808" t="s">
        <v>15442</v>
      </c>
      <c r="C808" t="s">
        <v>15450</v>
      </c>
      <c r="D808" t="s">
        <v>807</v>
      </c>
      <c r="E808" t="s">
        <v>3440</v>
      </c>
      <c r="F808" t="s">
        <v>3431</v>
      </c>
      <c r="G808" s="3">
        <v>38.139879655250901</v>
      </c>
      <c r="H808" s="3">
        <v>128.257540622005</v>
      </c>
      <c r="I808" t="s">
        <v>4573</v>
      </c>
      <c r="J808" t="s">
        <v>7932</v>
      </c>
      <c r="K808" t="s">
        <v>11066</v>
      </c>
      <c r="L808" t="s">
        <v>3366</v>
      </c>
      <c r="M808" t="s">
        <v>11890</v>
      </c>
      <c r="N808" t="s">
        <v>3365</v>
      </c>
      <c r="O808" t="s">
        <v>3360</v>
      </c>
      <c r="P808" t="s">
        <v>15211</v>
      </c>
      <c r="Q808" t="s">
        <v>15211</v>
      </c>
      <c r="R808" t="s">
        <v>15211</v>
      </c>
      <c r="S808" t="s">
        <v>15211</v>
      </c>
      <c r="T808" t="s">
        <v>3369</v>
      </c>
      <c r="U808" t="s">
        <v>12710</v>
      </c>
      <c r="V808" t="s">
        <v>15232</v>
      </c>
    </row>
    <row r="809" spans="1:22" hidden="1">
      <c r="A809" t="s">
        <v>15411</v>
      </c>
      <c r="B809" t="s">
        <v>15442</v>
      </c>
      <c r="C809" t="s">
        <v>15450</v>
      </c>
      <c r="D809" t="s">
        <v>808</v>
      </c>
      <c r="E809" t="s">
        <v>3438</v>
      </c>
      <c r="F809" t="s">
        <v>3434</v>
      </c>
      <c r="G809" s="3">
        <v>38.139879629876503</v>
      </c>
      <c r="H809" s="3">
        <v>128.25754062813499</v>
      </c>
      <c r="I809" t="s">
        <v>4574</v>
      </c>
      <c r="J809" t="s">
        <v>7933</v>
      </c>
      <c r="K809" t="s">
        <v>11067</v>
      </c>
      <c r="L809" t="s">
        <v>3366</v>
      </c>
      <c r="M809" t="s">
        <v>11890</v>
      </c>
      <c r="N809" t="s">
        <v>3365</v>
      </c>
      <c r="O809" t="s">
        <v>3360</v>
      </c>
      <c r="P809" t="s">
        <v>15211</v>
      </c>
      <c r="Q809" t="s">
        <v>15211</v>
      </c>
      <c r="R809" t="s">
        <v>15211</v>
      </c>
      <c r="S809" t="s">
        <v>15211</v>
      </c>
      <c r="T809" t="s">
        <v>3369</v>
      </c>
      <c r="U809" t="s">
        <v>12711</v>
      </c>
      <c r="V809" t="s">
        <v>15232</v>
      </c>
    </row>
    <row r="810" spans="1:22" hidden="1">
      <c r="A810" t="s">
        <v>15411</v>
      </c>
      <c r="B810" t="s">
        <v>15442</v>
      </c>
      <c r="C810" t="s">
        <v>15445</v>
      </c>
      <c r="D810" t="s">
        <v>809</v>
      </c>
      <c r="E810" t="s">
        <v>3440</v>
      </c>
      <c r="F810" t="s">
        <v>3431</v>
      </c>
      <c r="G810" s="3">
        <v>38.139879871530297</v>
      </c>
      <c r="H810" s="3">
        <v>128.25754084498899</v>
      </c>
      <c r="I810" t="s">
        <v>4575</v>
      </c>
      <c r="J810" t="s">
        <v>7934</v>
      </c>
      <c r="K810" t="s">
        <v>10797</v>
      </c>
      <c r="L810" t="s">
        <v>3366</v>
      </c>
      <c r="M810" t="s">
        <v>11890</v>
      </c>
      <c r="N810" t="s">
        <v>3365</v>
      </c>
      <c r="O810" t="s">
        <v>3360</v>
      </c>
      <c r="P810" t="s">
        <v>15211</v>
      </c>
      <c r="Q810" t="s">
        <v>15211</v>
      </c>
      <c r="R810" t="s">
        <v>15211</v>
      </c>
      <c r="S810" t="s">
        <v>15211</v>
      </c>
      <c r="T810" t="s">
        <v>3369</v>
      </c>
      <c r="U810" t="s">
        <v>12712</v>
      </c>
      <c r="V810" t="s">
        <v>15233</v>
      </c>
    </row>
    <row r="811" spans="1:22" hidden="1">
      <c r="A811" t="s">
        <v>15411</v>
      </c>
      <c r="B811" t="s">
        <v>15442</v>
      </c>
      <c r="C811" t="s">
        <v>15445</v>
      </c>
      <c r="D811" t="s">
        <v>810</v>
      </c>
      <c r="E811" t="s">
        <v>3440</v>
      </c>
      <c r="F811" t="s">
        <v>3431</v>
      </c>
      <c r="G811" s="3">
        <v>38.139879848685901</v>
      </c>
      <c r="H811" s="3">
        <v>128.25754082213601</v>
      </c>
      <c r="I811" t="s">
        <v>4576</v>
      </c>
      <c r="J811" t="s">
        <v>7935</v>
      </c>
      <c r="K811" t="s">
        <v>11068</v>
      </c>
      <c r="L811" t="s">
        <v>3366</v>
      </c>
      <c r="M811" t="s">
        <v>11890</v>
      </c>
      <c r="N811" t="s">
        <v>3365</v>
      </c>
      <c r="O811" t="s">
        <v>3360</v>
      </c>
      <c r="P811" t="s">
        <v>15211</v>
      </c>
      <c r="Q811" t="s">
        <v>15211</v>
      </c>
      <c r="R811" t="s">
        <v>15211</v>
      </c>
      <c r="S811" t="s">
        <v>15211</v>
      </c>
      <c r="T811" t="s">
        <v>3369</v>
      </c>
      <c r="U811" t="s">
        <v>12713</v>
      </c>
      <c r="V811" t="s">
        <v>15233</v>
      </c>
    </row>
    <row r="812" spans="1:22" hidden="1">
      <c r="A812" t="s">
        <v>15411</v>
      </c>
      <c r="B812" t="s">
        <v>15442</v>
      </c>
      <c r="C812" t="s">
        <v>15445</v>
      </c>
      <c r="D812" t="s">
        <v>811</v>
      </c>
      <c r="E812" t="s">
        <v>3440</v>
      </c>
      <c r="F812" t="s">
        <v>3431</v>
      </c>
      <c r="G812" s="3">
        <v>38.139879850306897</v>
      </c>
      <c r="H812" s="3">
        <v>128.25754081724301</v>
      </c>
      <c r="I812" t="s">
        <v>4577</v>
      </c>
      <c r="J812" t="s">
        <v>7936</v>
      </c>
      <c r="K812" t="s">
        <v>11069</v>
      </c>
      <c r="L812" t="s">
        <v>3366</v>
      </c>
      <c r="M812" t="s">
        <v>11890</v>
      </c>
      <c r="N812" t="s">
        <v>3365</v>
      </c>
      <c r="O812" t="s">
        <v>3360</v>
      </c>
      <c r="P812" t="s">
        <v>15211</v>
      </c>
      <c r="Q812" t="s">
        <v>15211</v>
      </c>
      <c r="R812" t="s">
        <v>15211</v>
      </c>
      <c r="S812" t="s">
        <v>15211</v>
      </c>
      <c r="T812" t="s">
        <v>3369</v>
      </c>
      <c r="U812" t="s">
        <v>12714</v>
      </c>
      <c r="V812" t="s">
        <v>15233</v>
      </c>
    </row>
    <row r="813" spans="1:22" hidden="1">
      <c r="A813" t="s">
        <v>15411</v>
      </c>
      <c r="B813" t="s">
        <v>15442</v>
      </c>
      <c r="C813" t="s">
        <v>15451</v>
      </c>
      <c r="D813" t="s">
        <v>812</v>
      </c>
      <c r="E813" t="s">
        <v>3439</v>
      </c>
      <c r="F813" t="s">
        <v>3427</v>
      </c>
      <c r="G813" s="3">
        <v>38.1398798330247</v>
      </c>
      <c r="H813" s="3">
        <v>128.25754085309401</v>
      </c>
      <c r="I813" t="s">
        <v>4578</v>
      </c>
      <c r="J813" t="s">
        <v>7937</v>
      </c>
      <c r="K813" t="s">
        <v>11070</v>
      </c>
      <c r="L813" t="s">
        <v>3366</v>
      </c>
      <c r="M813" t="s">
        <v>11912</v>
      </c>
      <c r="N813" t="s">
        <v>3365</v>
      </c>
      <c r="O813" t="s">
        <v>3360</v>
      </c>
      <c r="P813" t="s">
        <v>3362</v>
      </c>
      <c r="Q813" t="s">
        <v>3363</v>
      </c>
      <c r="R813" t="s">
        <v>15211</v>
      </c>
      <c r="S813" t="s">
        <v>15211</v>
      </c>
      <c r="T813" t="s">
        <v>3382</v>
      </c>
      <c r="U813" t="s">
        <v>12715</v>
      </c>
      <c r="V813" t="s">
        <v>15234</v>
      </c>
    </row>
    <row r="814" spans="1:22" hidden="1">
      <c r="A814" t="s">
        <v>15411</v>
      </c>
      <c r="B814" t="s">
        <v>15442</v>
      </c>
      <c r="C814" t="s">
        <v>15451</v>
      </c>
      <c r="D814" t="s">
        <v>813</v>
      </c>
      <c r="E814" t="s">
        <v>3439</v>
      </c>
      <c r="F814" t="s">
        <v>3427</v>
      </c>
      <c r="G814" s="3">
        <v>38.1398798127967</v>
      </c>
      <c r="H814" s="3">
        <v>128.257540873447</v>
      </c>
      <c r="I814" t="s">
        <v>4579</v>
      </c>
      <c r="J814" t="s">
        <v>7938</v>
      </c>
      <c r="K814" t="s">
        <v>11070</v>
      </c>
      <c r="L814" t="s">
        <v>3366</v>
      </c>
      <c r="M814" t="s">
        <v>11912</v>
      </c>
      <c r="N814" t="s">
        <v>3365</v>
      </c>
      <c r="O814" t="s">
        <v>3360</v>
      </c>
      <c r="P814" t="s">
        <v>3362</v>
      </c>
      <c r="Q814" t="s">
        <v>3363</v>
      </c>
      <c r="R814" t="s">
        <v>15211</v>
      </c>
      <c r="S814" t="s">
        <v>15211</v>
      </c>
      <c r="T814" t="s">
        <v>3382</v>
      </c>
      <c r="U814" t="s">
        <v>12716</v>
      </c>
      <c r="V814" t="s">
        <v>15234</v>
      </c>
    </row>
    <row r="815" spans="1:22" hidden="1">
      <c r="A815" t="s">
        <v>15411</v>
      </c>
      <c r="B815" t="s">
        <v>15442</v>
      </c>
      <c r="C815" t="s">
        <v>15451</v>
      </c>
      <c r="D815" t="s">
        <v>814</v>
      </c>
      <c r="E815" t="s">
        <v>3439</v>
      </c>
      <c r="F815" t="s">
        <v>3427</v>
      </c>
      <c r="G815" s="3">
        <v>38.139879855270202</v>
      </c>
      <c r="H815" s="3">
        <v>128.257540896558</v>
      </c>
      <c r="I815" t="s">
        <v>4580</v>
      </c>
      <c r="J815" t="s">
        <v>7939</v>
      </c>
      <c r="K815" t="s">
        <v>11070</v>
      </c>
      <c r="L815" t="s">
        <v>3366</v>
      </c>
      <c r="M815" t="s">
        <v>11912</v>
      </c>
      <c r="N815" t="s">
        <v>3365</v>
      </c>
      <c r="O815" t="s">
        <v>3360</v>
      </c>
      <c r="P815" t="s">
        <v>3362</v>
      </c>
      <c r="Q815" t="s">
        <v>3363</v>
      </c>
      <c r="R815" t="s">
        <v>15211</v>
      </c>
      <c r="S815" t="s">
        <v>15211</v>
      </c>
      <c r="T815" t="s">
        <v>3382</v>
      </c>
      <c r="U815" t="s">
        <v>12717</v>
      </c>
      <c r="V815" t="s">
        <v>15234</v>
      </c>
    </row>
    <row r="816" spans="1:22">
      <c r="A816" t="s">
        <v>15382</v>
      </c>
      <c r="B816" t="s">
        <v>15443</v>
      </c>
      <c r="C816" t="s">
        <v>15452</v>
      </c>
      <c r="D816" t="s">
        <v>815</v>
      </c>
      <c r="E816" t="s">
        <v>3428</v>
      </c>
      <c r="F816" t="s">
        <v>3478</v>
      </c>
      <c r="G816" s="3">
        <v>37.4692751225679</v>
      </c>
      <c r="H816" s="3">
        <v>128.80019142126699</v>
      </c>
      <c r="I816" t="s">
        <v>4581</v>
      </c>
      <c r="J816" t="s">
        <v>7940</v>
      </c>
      <c r="K816" t="s">
        <v>11072</v>
      </c>
      <c r="L816" t="s">
        <v>3366</v>
      </c>
      <c r="M816" t="s">
        <v>11910</v>
      </c>
      <c r="N816" t="s">
        <v>3364</v>
      </c>
      <c r="O816" t="s">
        <v>15211</v>
      </c>
      <c r="P816" t="s">
        <v>3363</v>
      </c>
      <c r="Q816" t="s">
        <v>3369</v>
      </c>
      <c r="R816" t="s">
        <v>15211</v>
      </c>
      <c r="S816" t="s">
        <v>15211</v>
      </c>
      <c r="T816" t="s">
        <v>3384</v>
      </c>
      <c r="U816" t="s">
        <v>12718</v>
      </c>
      <c r="V816" t="s">
        <v>15220</v>
      </c>
    </row>
    <row r="817" spans="1:22">
      <c r="A817" t="s">
        <v>15382</v>
      </c>
      <c r="B817" t="s">
        <v>15443</v>
      </c>
      <c r="C817" t="s">
        <v>15452</v>
      </c>
      <c r="D817" t="s">
        <v>816</v>
      </c>
      <c r="E817" t="s">
        <v>3428</v>
      </c>
      <c r="F817" t="s">
        <v>3484</v>
      </c>
      <c r="G817" s="3">
        <v>37.469275120915803</v>
      </c>
      <c r="H817" s="3">
        <v>128.80019140447601</v>
      </c>
      <c r="I817" t="s">
        <v>4582</v>
      </c>
      <c r="J817" t="s">
        <v>7941</v>
      </c>
      <c r="K817" t="s">
        <v>10910</v>
      </c>
      <c r="L817" t="s">
        <v>3366</v>
      </c>
      <c r="M817" t="s">
        <v>11910</v>
      </c>
      <c r="N817" t="s">
        <v>3364</v>
      </c>
      <c r="O817" t="s">
        <v>15211</v>
      </c>
      <c r="P817" t="s">
        <v>3363</v>
      </c>
      <c r="Q817" t="s">
        <v>3369</v>
      </c>
      <c r="R817" t="s">
        <v>15211</v>
      </c>
      <c r="S817" t="s">
        <v>15211</v>
      </c>
      <c r="T817" t="s">
        <v>3384</v>
      </c>
      <c r="U817" t="s">
        <v>12719</v>
      </c>
      <c r="V817" t="s">
        <v>15220</v>
      </c>
    </row>
    <row r="818" spans="1:22">
      <c r="A818" t="s">
        <v>15382</v>
      </c>
      <c r="B818" t="s">
        <v>15443</v>
      </c>
      <c r="C818" t="s">
        <v>15452</v>
      </c>
      <c r="D818" t="s">
        <v>817</v>
      </c>
      <c r="E818" t="s">
        <v>3428</v>
      </c>
      <c r="F818" t="s">
        <v>3484</v>
      </c>
      <c r="G818" s="3">
        <v>37.4692751355376</v>
      </c>
      <c r="H818" s="3">
        <v>128.80019137604199</v>
      </c>
      <c r="I818" t="s">
        <v>4583</v>
      </c>
      <c r="J818" t="s">
        <v>7942</v>
      </c>
      <c r="K818" t="s">
        <v>10910</v>
      </c>
      <c r="L818" t="s">
        <v>3366</v>
      </c>
      <c r="M818" t="s">
        <v>11910</v>
      </c>
      <c r="N818" t="s">
        <v>3364</v>
      </c>
      <c r="O818" t="s">
        <v>15211</v>
      </c>
      <c r="P818" t="s">
        <v>3363</v>
      </c>
      <c r="Q818" t="s">
        <v>3369</v>
      </c>
      <c r="R818" t="s">
        <v>15211</v>
      </c>
      <c r="S818" t="s">
        <v>15211</v>
      </c>
      <c r="T818" t="s">
        <v>3384</v>
      </c>
      <c r="U818" t="s">
        <v>12720</v>
      </c>
      <c r="V818" t="s">
        <v>15220</v>
      </c>
    </row>
    <row r="819" spans="1:22" hidden="1">
      <c r="A819" t="s">
        <v>15382</v>
      </c>
      <c r="B819" t="s">
        <v>15443</v>
      </c>
      <c r="C819" t="s">
        <v>15469</v>
      </c>
      <c r="D819" t="s">
        <v>818</v>
      </c>
      <c r="E819" t="s">
        <v>3436</v>
      </c>
      <c r="F819" t="s">
        <v>3484</v>
      </c>
      <c r="G819" s="3">
        <v>37.469275048849198</v>
      </c>
      <c r="H819" s="3">
        <v>128.800191371126</v>
      </c>
      <c r="I819" t="s">
        <v>4584</v>
      </c>
      <c r="J819" t="s">
        <v>7943</v>
      </c>
      <c r="K819" t="s">
        <v>11073</v>
      </c>
      <c r="L819" t="s">
        <v>3366</v>
      </c>
      <c r="M819" t="s">
        <v>11912</v>
      </c>
      <c r="N819" t="s">
        <v>3364</v>
      </c>
      <c r="O819" t="s">
        <v>15211</v>
      </c>
      <c r="P819" t="s">
        <v>3363</v>
      </c>
      <c r="Q819" t="s">
        <v>3367</v>
      </c>
      <c r="R819" t="s">
        <v>15211</v>
      </c>
      <c r="S819" t="s">
        <v>15211</v>
      </c>
      <c r="T819" t="s">
        <v>3382</v>
      </c>
      <c r="U819" t="s">
        <v>12721</v>
      </c>
      <c r="V819" t="s">
        <v>15252</v>
      </c>
    </row>
    <row r="820" spans="1:22" hidden="1">
      <c r="A820" t="s">
        <v>15382</v>
      </c>
      <c r="B820" t="s">
        <v>15443</v>
      </c>
      <c r="C820" t="s">
        <v>15469</v>
      </c>
      <c r="D820" t="s">
        <v>819</v>
      </c>
      <c r="E820" t="s">
        <v>3428</v>
      </c>
      <c r="F820" t="s">
        <v>3484</v>
      </c>
      <c r="G820" s="3">
        <v>37.469275045896197</v>
      </c>
      <c r="H820" s="3">
        <v>128.800191376459</v>
      </c>
      <c r="I820" t="s">
        <v>4585</v>
      </c>
      <c r="J820" t="s">
        <v>7944</v>
      </c>
      <c r="K820" t="s">
        <v>11074</v>
      </c>
      <c r="L820" t="s">
        <v>3366</v>
      </c>
      <c r="M820" t="s">
        <v>11912</v>
      </c>
      <c r="N820" t="s">
        <v>3364</v>
      </c>
      <c r="O820" t="s">
        <v>15211</v>
      </c>
      <c r="P820" t="s">
        <v>3363</v>
      </c>
      <c r="Q820" t="s">
        <v>3367</v>
      </c>
      <c r="R820" t="s">
        <v>15211</v>
      </c>
      <c r="S820" t="s">
        <v>15211</v>
      </c>
      <c r="T820" t="s">
        <v>3382</v>
      </c>
      <c r="U820" t="s">
        <v>12722</v>
      </c>
      <c r="V820" t="s">
        <v>15252</v>
      </c>
    </row>
    <row r="821" spans="1:22" hidden="1">
      <c r="A821" t="s">
        <v>15382</v>
      </c>
      <c r="B821" t="s">
        <v>15443</v>
      </c>
      <c r="C821" t="s">
        <v>15469</v>
      </c>
      <c r="D821" t="s">
        <v>820</v>
      </c>
      <c r="E821" t="s">
        <v>3428</v>
      </c>
      <c r="F821" t="s">
        <v>3484</v>
      </c>
      <c r="G821" s="3">
        <v>37.469275042213702</v>
      </c>
      <c r="H821" s="3">
        <v>128.80019141021</v>
      </c>
      <c r="I821" t="s">
        <v>4586</v>
      </c>
      <c r="J821" t="s">
        <v>7945</v>
      </c>
      <c r="K821" t="s">
        <v>11075</v>
      </c>
      <c r="L821" t="s">
        <v>3366</v>
      </c>
      <c r="M821" t="s">
        <v>11914</v>
      </c>
      <c r="N821" t="s">
        <v>3364</v>
      </c>
      <c r="O821" t="s">
        <v>15211</v>
      </c>
      <c r="P821" t="s">
        <v>3363</v>
      </c>
      <c r="Q821" t="s">
        <v>3368</v>
      </c>
      <c r="R821" t="s">
        <v>15211</v>
      </c>
      <c r="S821" t="s">
        <v>15211</v>
      </c>
      <c r="T821" t="s">
        <v>3383</v>
      </c>
      <c r="U821" t="s">
        <v>12723</v>
      </c>
      <c r="V821" t="s">
        <v>15252</v>
      </c>
    </row>
    <row r="822" spans="1:22" hidden="1">
      <c r="A822" t="s">
        <v>15382</v>
      </c>
      <c r="B822" t="s">
        <v>15441</v>
      </c>
      <c r="C822" t="s">
        <v>15445</v>
      </c>
      <c r="D822" t="s">
        <v>821</v>
      </c>
      <c r="E822" t="s">
        <v>3431</v>
      </c>
      <c r="F822" t="s">
        <v>3432</v>
      </c>
      <c r="G822" s="3">
        <v>37.469275193565998</v>
      </c>
      <c r="H822" s="3">
        <v>128.800191490841</v>
      </c>
      <c r="I822" t="s">
        <v>4587</v>
      </c>
      <c r="J822" t="s">
        <v>7946</v>
      </c>
      <c r="K822" t="s">
        <v>11076</v>
      </c>
      <c r="L822" t="s">
        <v>3366</v>
      </c>
      <c r="M822" t="s">
        <v>11903</v>
      </c>
      <c r="N822" t="s">
        <v>3365</v>
      </c>
      <c r="O822" t="s">
        <v>3363</v>
      </c>
      <c r="P822" t="s">
        <v>15211</v>
      </c>
      <c r="Q822" t="s">
        <v>15211</v>
      </c>
      <c r="R822" t="s">
        <v>15211</v>
      </c>
      <c r="S822" t="s">
        <v>15211</v>
      </c>
      <c r="T822" t="s">
        <v>3372</v>
      </c>
      <c r="U822" t="s">
        <v>12724</v>
      </c>
      <c r="V822" t="s">
        <v>15228</v>
      </c>
    </row>
    <row r="823" spans="1:22" hidden="1">
      <c r="A823" t="s">
        <v>15382</v>
      </c>
      <c r="B823" t="s">
        <v>15441</v>
      </c>
      <c r="C823" t="s">
        <v>15445</v>
      </c>
      <c r="D823" t="s">
        <v>822</v>
      </c>
      <c r="E823" t="s">
        <v>3431</v>
      </c>
      <c r="F823" t="s">
        <v>3453</v>
      </c>
      <c r="G823" s="3">
        <v>37.469275205552201</v>
      </c>
      <c r="H823" s="3">
        <v>128.80019147509901</v>
      </c>
      <c r="I823" t="s">
        <v>4588</v>
      </c>
      <c r="J823" t="s">
        <v>7947</v>
      </c>
      <c r="K823" t="s">
        <v>11077</v>
      </c>
      <c r="L823" t="s">
        <v>3366</v>
      </c>
      <c r="M823" t="s">
        <v>11903</v>
      </c>
      <c r="N823" t="s">
        <v>3365</v>
      </c>
      <c r="O823" t="s">
        <v>3363</v>
      </c>
      <c r="P823" t="s">
        <v>15211</v>
      </c>
      <c r="Q823" t="s">
        <v>15211</v>
      </c>
      <c r="R823" t="s">
        <v>15211</v>
      </c>
      <c r="S823" t="s">
        <v>15211</v>
      </c>
      <c r="T823" t="s">
        <v>3372</v>
      </c>
      <c r="U823" t="s">
        <v>12725</v>
      </c>
      <c r="V823" t="s">
        <v>15228</v>
      </c>
    </row>
    <row r="824" spans="1:22" hidden="1">
      <c r="A824" t="s">
        <v>15382</v>
      </c>
      <c r="B824" t="s">
        <v>15441</v>
      </c>
      <c r="C824" t="s">
        <v>15445</v>
      </c>
      <c r="D824" t="s">
        <v>823</v>
      </c>
      <c r="E824" t="s">
        <v>3431</v>
      </c>
      <c r="F824" t="s">
        <v>3453</v>
      </c>
      <c r="G824" s="3">
        <v>37.4692752157558</v>
      </c>
      <c r="H824" s="3">
        <v>128.80019146505001</v>
      </c>
      <c r="I824" t="s">
        <v>4589</v>
      </c>
      <c r="J824" t="s">
        <v>7948</v>
      </c>
      <c r="K824" t="s">
        <v>11077</v>
      </c>
      <c r="L824" t="s">
        <v>3366</v>
      </c>
      <c r="M824" t="s">
        <v>11903</v>
      </c>
      <c r="N824" t="s">
        <v>3365</v>
      </c>
      <c r="O824" t="s">
        <v>3363</v>
      </c>
      <c r="P824" t="s">
        <v>15211</v>
      </c>
      <c r="Q824" t="s">
        <v>15211</v>
      </c>
      <c r="R824" t="s">
        <v>15211</v>
      </c>
      <c r="S824" t="s">
        <v>15211</v>
      </c>
      <c r="T824" t="s">
        <v>3372</v>
      </c>
      <c r="U824" t="s">
        <v>12726</v>
      </c>
      <c r="V824" t="s">
        <v>15228</v>
      </c>
    </row>
    <row r="825" spans="1:22" hidden="1">
      <c r="A825" t="s">
        <v>15382</v>
      </c>
      <c r="B825" t="s">
        <v>15441</v>
      </c>
      <c r="C825" t="s">
        <v>15446</v>
      </c>
      <c r="D825" t="s">
        <v>824</v>
      </c>
      <c r="E825" t="s">
        <v>3431</v>
      </c>
      <c r="F825" t="s">
        <v>3441</v>
      </c>
      <c r="G825" s="3">
        <v>37.469274900527203</v>
      </c>
      <c r="H825" s="3">
        <v>128.800191674198</v>
      </c>
      <c r="I825" t="s">
        <v>4590</v>
      </c>
      <c r="J825" t="s">
        <v>7949</v>
      </c>
      <c r="K825" t="s">
        <v>11078</v>
      </c>
      <c r="L825" t="s">
        <v>3366</v>
      </c>
      <c r="M825" t="s">
        <v>11903</v>
      </c>
      <c r="N825" t="s">
        <v>3365</v>
      </c>
      <c r="O825" t="s">
        <v>3363</v>
      </c>
      <c r="P825" t="s">
        <v>15211</v>
      </c>
      <c r="Q825" t="s">
        <v>15211</v>
      </c>
      <c r="R825" t="s">
        <v>15211</v>
      </c>
      <c r="S825" t="s">
        <v>15211</v>
      </c>
      <c r="T825" t="s">
        <v>3372</v>
      </c>
      <c r="U825" t="s">
        <v>12727</v>
      </c>
      <c r="V825" t="s">
        <v>15229</v>
      </c>
    </row>
    <row r="826" spans="1:22" hidden="1">
      <c r="A826" t="s">
        <v>15382</v>
      </c>
      <c r="B826" t="s">
        <v>15441</v>
      </c>
      <c r="C826" t="s">
        <v>15446</v>
      </c>
      <c r="D826" t="s">
        <v>825</v>
      </c>
      <c r="E826" t="s">
        <v>3431</v>
      </c>
      <c r="F826" t="s">
        <v>3441</v>
      </c>
      <c r="G826" s="3">
        <v>37.469274909329997</v>
      </c>
      <c r="H826" s="3">
        <v>128.80019169005499</v>
      </c>
      <c r="I826" t="s">
        <v>4591</v>
      </c>
      <c r="J826" t="s">
        <v>7950</v>
      </c>
      <c r="K826" t="s">
        <v>10853</v>
      </c>
      <c r="L826" t="s">
        <v>3366</v>
      </c>
      <c r="M826" t="s">
        <v>11903</v>
      </c>
      <c r="N826" t="s">
        <v>3365</v>
      </c>
      <c r="O826" t="s">
        <v>3363</v>
      </c>
      <c r="P826" t="s">
        <v>15211</v>
      </c>
      <c r="Q826" t="s">
        <v>15211</v>
      </c>
      <c r="R826" t="s">
        <v>15211</v>
      </c>
      <c r="S826" t="s">
        <v>15211</v>
      </c>
      <c r="T826" t="s">
        <v>3372</v>
      </c>
      <c r="U826" t="s">
        <v>12728</v>
      </c>
      <c r="V826" t="s">
        <v>15229</v>
      </c>
    </row>
    <row r="827" spans="1:22" hidden="1">
      <c r="A827" t="s">
        <v>15382</v>
      </c>
      <c r="B827" t="s">
        <v>15441</v>
      </c>
      <c r="C827" t="s">
        <v>15446</v>
      </c>
      <c r="D827" t="s">
        <v>826</v>
      </c>
      <c r="E827" t="s">
        <v>3431</v>
      </c>
      <c r="F827" t="s">
        <v>3453</v>
      </c>
      <c r="G827" s="3">
        <v>37.4692749395264</v>
      </c>
      <c r="H827" s="3">
        <v>128.800191673467</v>
      </c>
      <c r="I827" t="s">
        <v>4592</v>
      </c>
      <c r="J827" t="s">
        <v>7951</v>
      </c>
      <c r="K827" t="s">
        <v>10854</v>
      </c>
      <c r="L827" t="s">
        <v>3366</v>
      </c>
      <c r="M827" t="s">
        <v>11903</v>
      </c>
      <c r="N827" t="s">
        <v>3365</v>
      </c>
      <c r="O827" t="s">
        <v>3363</v>
      </c>
      <c r="P827" t="s">
        <v>15211</v>
      </c>
      <c r="Q827" t="s">
        <v>15211</v>
      </c>
      <c r="R827" t="s">
        <v>15211</v>
      </c>
      <c r="S827" t="s">
        <v>15211</v>
      </c>
      <c r="T827" t="s">
        <v>3372</v>
      </c>
      <c r="U827" t="s">
        <v>12729</v>
      </c>
      <c r="V827" t="s">
        <v>15229</v>
      </c>
    </row>
    <row r="828" spans="1:22" hidden="1">
      <c r="A828" t="s">
        <v>15382</v>
      </c>
      <c r="B828" t="s">
        <v>15441</v>
      </c>
      <c r="C828" t="s">
        <v>15448</v>
      </c>
      <c r="D828" t="s">
        <v>827</v>
      </c>
      <c r="E828" t="s">
        <v>3429</v>
      </c>
      <c r="F828" t="s">
        <v>3464</v>
      </c>
      <c r="G828" s="3">
        <v>37.469275100760903</v>
      </c>
      <c r="H828" s="3">
        <v>128.80019154870999</v>
      </c>
      <c r="I828" t="s">
        <v>4593</v>
      </c>
      <c r="J828" t="s">
        <v>7952</v>
      </c>
      <c r="K828" t="s">
        <v>11079</v>
      </c>
      <c r="L828" t="s">
        <v>3366</v>
      </c>
      <c r="M828" t="s">
        <v>11920</v>
      </c>
      <c r="N828" t="s">
        <v>3365</v>
      </c>
      <c r="O828" t="s">
        <v>3363</v>
      </c>
      <c r="P828" t="s">
        <v>3364</v>
      </c>
      <c r="Q828" t="s">
        <v>3369</v>
      </c>
      <c r="R828" t="s">
        <v>3359</v>
      </c>
      <c r="S828" t="s">
        <v>15211</v>
      </c>
      <c r="T828" t="s">
        <v>3396</v>
      </c>
      <c r="U828" t="s">
        <v>12730</v>
      </c>
      <c r="V828" t="s">
        <v>15230</v>
      </c>
    </row>
    <row r="829" spans="1:22" hidden="1">
      <c r="A829" t="s">
        <v>15382</v>
      </c>
      <c r="B829" t="s">
        <v>15441</v>
      </c>
      <c r="C829" t="s">
        <v>15448</v>
      </c>
      <c r="D829" t="s">
        <v>828</v>
      </c>
      <c r="E829" t="s">
        <v>3429</v>
      </c>
      <c r="F829" t="s">
        <v>3464</v>
      </c>
      <c r="G829" s="3">
        <v>37.469275097626898</v>
      </c>
      <c r="H829" s="3">
        <v>128.80019151664001</v>
      </c>
      <c r="I829" t="s">
        <v>4594</v>
      </c>
      <c r="J829" t="s">
        <v>7953</v>
      </c>
      <c r="K829" t="s">
        <v>11079</v>
      </c>
      <c r="L829" t="s">
        <v>3366</v>
      </c>
      <c r="M829" t="s">
        <v>11920</v>
      </c>
      <c r="N829" t="s">
        <v>3365</v>
      </c>
      <c r="O829" t="s">
        <v>3363</v>
      </c>
      <c r="P829" t="s">
        <v>3364</v>
      </c>
      <c r="Q829" t="s">
        <v>3369</v>
      </c>
      <c r="R829" t="s">
        <v>3359</v>
      </c>
      <c r="S829" t="s">
        <v>15211</v>
      </c>
      <c r="T829" t="s">
        <v>3396</v>
      </c>
      <c r="U829" t="s">
        <v>12731</v>
      </c>
      <c r="V829" t="s">
        <v>15230</v>
      </c>
    </row>
    <row r="830" spans="1:22" hidden="1">
      <c r="A830" t="s">
        <v>15382</v>
      </c>
      <c r="B830" t="s">
        <v>15441</v>
      </c>
      <c r="C830" t="s">
        <v>15448</v>
      </c>
      <c r="D830" t="s">
        <v>829</v>
      </c>
      <c r="E830" t="s">
        <v>3435</v>
      </c>
      <c r="F830" t="s">
        <v>3464</v>
      </c>
      <c r="G830" s="3">
        <v>37.469275111227297</v>
      </c>
      <c r="H830" s="3">
        <v>128.80019152707001</v>
      </c>
      <c r="I830" t="s">
        <v>4595</v>
      </c>
      <c r="J830" t="s">
        <v>7954</v>
      </c>
      <c r="K830" t="s">
        <v>11080</v>
      </c>
      <c r="L830" t="s">
        <v>3366</v>
      </c>
      <c r="M830" t="s">
        <v>11921</v>
      </c>
      <c r="N830" t="s">
        <v>3365</v>
      </c>
      <c r="O830" t="s">
        <v>3363</v>
      </c>
      <c r="P830" t="s">
        <v>3364</v>
      </c>
      <c r="Q830" t="s">
        <v>3369</v>
      </c>
      <c r="R830" t="s">
        <v>3359</v>
      </c>
      <c r="S830" t="s">
        <v>15211</v>
      </c>
      <c r="T830" t="s">
        <v>3396</v>
      </c>
      <c r="U830" t="s">
        <v>12732</v>
      </c>
      <c r="V830" t="s">
        <v>15230</v>
      </c>
    </row>
    <row r="831" spans="1:22" hidden="1">
      <c r="A831" t="s">
        <v>15382</v>
      </c>
      <c r="B831" t="s">
        <v>15441</v>
      </c>
      <c r="C831" t="s">
        <v>15449</v>
      </c>
      <c r="D831" t="s">
        <v>830</v>
      </c>
      <c r="E831" t="s">
        <v>3438</v>
      </c>
      <c r="F831" t="s">
        <v>3434</v>
      </c>
      <c r="G831" s="3">
        <v>37.469275177930598</v>
      </c>
      <c r="H831" s="3">
        <v>128.800191416784</v>
      </c>
      <c r="I831" t="s">
        <v>4596</v>
      </c>
      <c r="J831" t="s">
        <v>7955</v>
      </c>
      <c r="K831" t="s">
        <v>3680</v>
      </c>
      <c r="L831" t="s">
        <v>3366</v>
      </c>
      <c r="M831" t="s">
        <v>11916</v>
      </c>
      <c r="N831" t="s">
        <v>3363</v>
      </c>
      <c r="O831" t="s">
        <v>3362</v>
      </c>
      <c r="P831" t="s">
        <v>3364</v>
      </c>
      <c r="Q831" t="s">
        <v>3368</v>
      </c>
      <c r="R831" t="s">
        <v>3358</v>
      </c>
      <c r="S831" t="s">
        <v>15211</v>
      </c>
      <c r="T831" t="s">
        <v>3391</v>
      </c>
      <c r="U831" t="s">
        <v>12733</v>
      </c>
      <c r="V831" t="s">
        <v>15231</v>
      </c>
    </row>
    <row r="832" spans="1:22" hidden="1">
      <c r="A832" t="s">
        <v>15382</v>
      </c>
      <c r="B832" t="s">
        <v>15441</v>
      </c>
      <c r="C832" t="s">
        <v>15449</v>
      </c>
      <c r="D832" t="s">
        <v>831</v>
      </c>
      <c r="E832" t="s">
        <v>3438</v>
      </c>
      <c r="F832" t="s">
        <v>3435</v>
      </c>
      <c r="G832" s="3">
        <v>37.469275183009103</v>
      </c>
      <c r="H832" s="3">
        <v>128.80019137219401</v>
      </c>
      <c r="I832" t="s">
        <v>4597</v>
      </c>
      <c r="J832" t="s">
        <v>7956</v>
      </c>
      <c r="K832" t="s">
        <v>11011</v>
      </c>
      <c r="L832" t="s">
        <v>3366</v>
      </c>
      <c r="M832" t="s">
        <v>11905</v>
      </c>
      <c r="N832" t="s">
        <v>3363</v>
      </c>
      <c r="O832" t="s">
        <v>3362</v>
      </c>
      <c r="P832" t="s">
        <v>3364</v>
      </c>
      <c r="Q832" t="s">
        <v>3367</v>
      </c>
      <c r="R832" t="s">
        <v>3358</v>
      </c>
      <c r="S832" t="s">
        <v>15211</v>
      </c>
      <c r="T832" t="s">
        <v>3390</v>
      </c>
      <c r="U832" t="s">
        <v>12734</v>
      </c>
      <c r="V832" t="s">
        <v>15231</v>
      </c>
    </row>
    <row r="833" spans="1:22" hidden="1">
      <c r="A833" t="s">
        <v>15382</v>
      </c>
      <c r="B833" t="s">
        <v>15441</v>
      </c>
      <c r="C833" t="s">
        <v>15449</v>
      </c>
      <c r="D833" t="s">
        <v>832</v>
      </c>
      <c r="E833" t="s">
        <v>3427</v>
      </c>
      <c r="F833" t="s">
        <v>3429</v>
      </c>
      <c r="G833" s="3">
        <v>37.469275160487697</v>
      </c>
      <c r="H833" s="3">
        <v>128.80019133824601</v>
      </c>
      <c r="I833" t="s">
        <v>4598</v>
      </c>
      <c r="J833" t="s">
        <v>7957</v>
      </c>
      <c r="K833" t="s">
        <v>11081</v>
      </c>
      <c r="L833" t="s">
        <v>3366</v>
      </c>
      <c r="M833" t="s">
        <v>11905</v>
      </c>
      <c r="N833" t="s">
        <v>3363</v>
      </c>
      <c r="O833" t="s">
        <v>3362</v>
      </c>
      <c r="P833" t="s">
        <v>3364</v>
      </c>
      <c r="Q833" t="s">
        <v>3367</v>
      </c>
      <c r="R833" t="s">
        <v>3358</v>
      </c>
      <c r="S833" t="s">
        <v>15211</v>
      </c>
      <c r="T833" t="s">
        <v>3390</v>
      </c>
      <c r="U833" t="s">
        <v>12735</v>
      </c>
      <c r="V833" t="s">
        <v>15231</v>
      </c>
    </row>
    <row r="834" spans="1:22" hidden="1">
      <c r="A834" t="s">
        <v>15383</v>
      </c>
      <c r="B834" t="s">
        <v>15443</v>
      </c>
      <c r="C834" t="s">
        <v>15470</v>
      </c>
      <c r="D834" t="s">
        <v>833</v>
      </c>
      <c r="E834" t="s">
        <v>3434</v>
      </c>
      <c r="F834" t="s">
        <v>3476</v>
      </c>
      <c r="G834" s="3">
        <v>37.463435503858697</v>
      </c>
      <c r="H834" s="3">
        <v>128.68366578839601</v>
      </c>
      <c r="I834" t="s">
        <v>4599</v>
      </c>
      <c r="J834" t="s">
        <v>7958</v>
      </c>
      <c r="K834" t="s">
        <v>11082</v>
      </c>
      <c r="L834" t="s">
        <v>3366</v>
      </c>
      <c r="M834" t="s">
        <v>11914</v>
      </c>
      <c r="N834" t="s">
        <v>3362</v>
      </c>
      <c r="O834" t="s">
        <v>15211</v>
      </c>
      <c r="P834" t="s">
        <v>3364</v>
      </c>
      <c r="Q834" t="s">
        <v>3369</v>
      </c>
      <c r="R834" t="s">
        <v>15211</v>
      </c>
      <c r="S834" t="s">
        <v>15211</v>
      </c>
      <c r="T834" t="s">
        <v>3383</v>
      </c>
      <c r="U834" t="s">
        <v>12736</v>
      </c>
      <c r="V834" t="s">
        <v>15253</v>
      </c>
    </row>
    <row r="835" spans="1:22" hidden="1">
      <c r="A835" t="s">
        <v>15383</v>
      </c>
      <c r="B835" t="s">
        <v>15443</v>
      </c>
      <c r="C835" t="s">
        <v>15470</v>
      </c>
      <c r="D835" t="s">
        <v>834</v>
      </c>
      <c r="E835" t="s">
        <v>3431</v>
      </c>
      <c r="F835" t="s">
        <v>3464</v>
      </c>
      <c r="G835" s="3">
        <v>37.463435478709201</v>
      </c>
      <c r="H835" s="3">
        <v>128.683665748339</v>
      </c>
      <c r="I835" t="s">
        <v>4600</v>
      </c>
      <c r="J835" t="s">
        <v>7959</v>
      </c>
      <c r="K835" t="s">
        <v>11082</v>
      </c>
      <c r="L835" t="s">
        <v>3366</v>
      </c>
      <c r="M835" t="s">
        <v>11914</v>
      </c>
      <c r="N835" t="s">
        <v>3362</v>
      </c>
      <c r="O835" t="s">
        <v>15211</v>
      </c>
      <c r="P835" t="s">
        <v>3364</v>
      </c>
      <c r="Q835" t="s">
        <v>3369</v>
      </c>
      <c r="R835" t="s">
        <v>15211</v>
      </c>
      <c r="S835" t="s">
        <v>15211</v>
      </c>
      <c r="T835" t="s">
        <v>3383</v>
      </c>
      <c r="U835" t="s">
        <v>12737</v>
      </c>
      <c r="V835" t="s">
        <v>15253</v>
      </c>
    </row>
    <row r="836" spans="1:22" hidden="1">
      <c r="A836" t="s">
        <v>15383</v>
      </c>
      <c r="B836" t="s">
        <v>15443</v>
      </c>
      <c r="C836" t="s">
        <v>15470</v>
      </c>
      <c r="D836" t="s">
        <v>835</v>
      </c>
      <c r="E836" t="s">
        <v>3431</v>
      </c>
      <c r="F836" t="s">
        <v>3464</v>
      </c>
      <c r="G836" s="3">
        <v>37.463435470920302</v>
      </c>
      <c r="H836" s="3">
        <v>128.68366571905099</v>
      </c>
      <c r="I836" t="s">
        <v>4601</v>
      </c>
      <c r="J836" t="s">
        <v>7960</v>
      </c>
      <c r="K836" t="s">
        <v>11083</v>
      </c>
      <c r="L836" t="s">
        <v>3366</v>
      </c>
      <c r="M836" t="s">
        <v>11914</v>
      </c>
      <c r="N836" t="s">
        <v>3362</v>
      </c>
      <c r="O836" t="s">
        <v>15211</v>
      </c>
      <c r="P836" t="s">
        <v>3364</v>
      </c>
      <c r="Q836" t="s">
        <v>3369</v>
      </c>
      <c r="R836" t="s">
        <v>15211</v>
      </c>
      <c r="S836" t="s">
        <v>15211</v>
      </c>
      <c r="T836" t="s">
        <v>3383</v>
      </c>
      <c r="U836" t="s">
        <v>12738</v>
      </c>
      <c r="V836" t="s">
        <v>15253</v>
      </c>
    </row>
    <row r="837" spans="1:22">
      <c r="A837" t="s">
        <v>15383</v>
      </c>
      <c r="B837" t="s">
        <v>15443</v>
      </c>
      <c r="C837" t="s">
        <v>15452</v>
      </c>
      <c r="D837" t="s">
        <v>836</v>
      </c>
      <c r="E837" t="s">
        <v>3431</v>
      </c>
      <c r="F837" t="s">
        <v>3476</v>
      </c>
      <c r="G837" s="3">
        <v>37.463435520158598</v>
      </c>
      <c r="H837" s="3">
        <v>128.683665698174</v>
      </c>
      <c r="I837" t="s">
        <v>4602</v>
      </c>
      <c r="J837" t="s">
        <v>7961</v>
      </c>
      <c r="K837" t="s">
        <v>11084</v>
      </c>
      <c r="L837" t="s">
        <v>3387</v>
      </c>
      <c r="M837" t="s">
        <v>11910</v>
      </c>
      <c r="N837" t="s">
        <v>3363</v>
      </c>
      <c r="O837" t="s">
        <v>15211</v>
      </c>
      <c r="P837" t="s">
        <v>3364</v>
      </c>
      <c r="Q837" t="s">
        <v>3369</v>
      </c>
      <c r="R837" t="s">
        <v>15211</v>
      </c>
      <c r="S837" t="s">
        <v>15211</v>
      </c>
      <c r="T837" t="s">
        <v>3384</v>
      </c>
      <c r="U837" t="s">
        <v>12739</v>
      </c>
      <c r="V837" t="s">
        <v>15220</v>
      </c>
    </row>
    <row r="838" spans="1:22">
      <c r="A838" t="s">
        <v>15383</v>
      </c>
      <c r="B838" t="s">
        <v>15443</v>
      </c>
      <c r="C838" t="s">
        <v>15452</v>
      </c>
      <c r="D838" t="s">
        <v>837</v>
      </c>
      <c r="E838" t="s">
        <v>3425</v>
      </c>
      <c r="F838" t="s">
        <v>3464</v>
      </c>
      <c r="G838" s="3">
        <v>37.463435517203997</v>
      </c>
      <c r="H838" s="3">
        <v>128.683665663618</v>
      </c>
      <c r="I838" t="s">
        <v>4603</v>
      </c>
      <c r="J838" t="s">
        <v>7962</v>
      </c>
      <c r="K838" t="s">
        <v>11084</v>
      </c>
      <c r="L838" t="s">
        <v>3366</v>
      </c>
      <c r="M838" t="s">
        <v>11910</v>
      </c>
      <c r="N838" t="s">
        <v>3363</v>
      </c>
      <c r="O838" t="s">
        <v>15211</v>
      </c>
      <c r="P838" t="s">
        <v>3364</v>
      </c>
      <c r="Q838" t="s">
        <v>3369</v>
      </c>
      <c r="R838" t="s">
        <v>15211</v>
      </c>
      <c r="S838" t="s">
        <v>15211</v>
      </c>
      <c r="T838" t="s">
        <v>3384</v>
      </c>
      <c r="U838" t="s">
        <v>12740</v>
      </c>
      <c r="V838" t="s">
        <v>15220</v>
      </c>
    </row>
    <row r="839" spans="1:22">
      <c r="A839" t="s">
        <v>15383</v>
      </c>
      <c r="B839" t="s">
        <v>15443</v>
      </c>
      <c r="C839" t="s">
        <v>15452</v>
      </c>
      <c r="D839" t="s">
        <v>838</v>
      </c>
      <c r="E839" t="s">
        <v>3425</v>
      </c>
      <c r="F839" t="s">
        <v>3579</v>
      </c>
      <c r="G839" s="3">
        <v>37.463435528161703</v>
      </c>
      <c r="H839" s="3">
        <v>128.68366568745401</v>
      </c>
      <c r="I839" t="s">
        <v>4604</v>
      </c>
      <c r="J839" t="s">
        <v>7963</v>
      </c>
      <c r="K839" t="s">
        <v>11085</v>
      </c>
      <c r="L839" t="s">
        <v>3366</v>
      </c>
      <c r="M839" t="s">
        <v>11910</v>
      </c>
      <c r="N839" t="s">
        <v>3363</v>
      </c>
      <c r="O839" t="s">
        <v>15211</v>
      </c>
      <c r="P839" t="s">
        <v>3364</v>
      </c>
      <c r="Q839" t="s">
        <v>3368</v>
      </c>
      <c r="R839" t="s">
        <v>15211</v>
      </c>
      <c r="S839" t="s">
        <v>15211</v>
      </c>
      <c r="T839" t="s">
        <v>3383</v>
      </c>
      <c r="U839" t="s">
        <v>12741</v>
      </c>
      <c r="V839" t="s">
        <v>15220</v>
      </c>
    </row>
    <row r="840" spans="1:22" hidden="1">
      <c r="A840" t="s">
        <v>15383</v>
      </c>
      <c r="B840" t="s">
        <v>15442</v>
      </c>
      <c r="C840" t="s">
        <v>15450</v>
      </c>
      <c r="D840" t="s">
        <v>839</v>
      </c>
      <c r="E840" t="s">
        <v>3428</v>
      </c>
      <c r="F840" t="s">
        <v>3429</v>
      </c>
      <c r="G840" s="3">
        <v>37.463435229941503</v>
      </c>
      <c r="H840" s="3">
        <v>128.683665551822</v>
      </c>
      <c r="I840" t="s">
        <v>4605</v>
      </c>
      <c r="J840" t="s">
        <v>7964</v>
      </c>
      <c r="K840" t="s">
        <v>3638</v>
      </c>
      <c r="L840" t="s">
        <v>3371</v>
      </c>
      <c r="M840" t="s">
        <v>11895</v>
      </c>
      <c r="N840" t="s">
        <v>3364</v>
      </c>
      <c r="O840" t="s">
        <v>3361</v>
      </c>
      <c r="P840" t="s">
        <v>3357</v>
      </c>
      <c r="Q840" t="s">
        <v>3358</v>
      </c>
      <c r="R840" t="s">
        <v>15211</v>
      </c>
      <c r="S840" t="s">
        <v>15211</v>
      </c>
      <c r="T840" t="s">
        <v>3372</v>
      </c>
      <c r="U840" t="s">
        <v>12742</v>
      </c>
      <c r="V840" t="s">
        <v>15232</v>
      </c>
    </row>
    <row r="841" spans="1:22" hidden="1">
      <c r="A841" t="s">
        <v>15383</v>
      </c>
      <c r="B841" t="s">
        <v>15442</v>
      </c>
      <c r="C841" t="s">
        <v>15450</v>
      </c>
      <c r="D841" t="s">
        <v>840</v>
      </c>
      <c r="E841" t="s">
        <v>3425</v>
      </c>
      <c r="F841" t="s">
        <v>3430</v>
      </c>
      <c r="G841" s="3">
        <v>37.4634352543885</v>
      </c>
      <c r="H841" s="3">
        <v>128.68366554899501</v>
      </c>
      <c r="I841" t="s">
        <v>4606</v>
      </c>
      <c r="J841" t="s">
        <v>7965</v>
      </c>
      <c r="K841" t="s">
        <v>11007</v>
      </c>
      <c r="L841" t="s">
        <v>3366</v>
      </c>
      <c r="M841" t="s">
        <v>11895</v>
      </c>
      <c r="N841" t="s">
        <v>3364</v>
      </c>
      <c r="O841" t="s">
        <v>3363</v>
      </c>
      <c r="P841" t="s">
        <v>15211</v>
      </c>
      <c r="Q841" t="s">
        <v>15211</v>
      </c>
      <c r="R841" t="s">
        <v>15211</v>
      </c>
      <c r="S841" t="s">
        <v>15211</v>
      </c>
      <c r="T841" t="s">
        <v>3371</v>
      </c>
      <c r="U841" t="s">
        <v>12743</v>
      </c>
      <c r="V841" t="s">
        <v>15232</v>
      </c>
    </row>
    <row r="842" spans="1:22" hidden="1">
      <c r="A842" t="s">
        <v>15383</v>
      </c>
      <c r="B842" t="s">
        <v>15442</v>
      </c>
      <c r="C842" t="s">
        <v>15450</v>
      </c>
      <c r="D842" t="s">
        <v>841</v>
      </c>
      <c r="E842" t="s">
        <v>3434</v>
      </c>
      <c r="F842" t="s">
        <v>3441</v>
      </c>
      <c r="G842" s="3">
        <v>37.4634352504793</v>
      </c>
      <c r="H842" s="3">
        <v>128.68366553396501</v>
      </c>
      <c r="I842" t="s">
        <v>4607</v>
      </c>
      <c r="J842" t="s">
        <v>7966</v>
      </c>
      <c r="K842" t="s">
        <v>11006</v>
      </c>
      <c r="L842" t="s">
        <v>3366</v>
      </c>
      <c r="M842" t="s">
        <v>11895</v>
      </c>
      <c r="N842" t="s">
        <v>3364</v>
      </c>
      <c r="O842" t="s">
        <v>3363</v>
      </c>
      <c r="P842" t="s">
        <v>15211</v>
      </c>
      <c r="Q842" t="s">
        <v>15211</v>
      </c>
      <c r="R842" t="s">
        <v>15211</v>
      </c>
      <c r="S842" t="s">
        <v>15211</v>
      </c>
      <c r="T842" t="s">
        <v>3371</v>
      </c>
      <c r="U842" t="s">
        <v>12744</v>
      </c>
      <c r="V842" t="s">
        <v>15232</v>
      </c>
    </row>
    <row r="843" spans="1:22" hidden="1">
      <c r="A843" t="s">
        <v>15383</v>
      </c>
      <c r="B843" t="s">
        <v>15442</v>
      </c>
      <c r="C843" t="s">
        <v>15445</v>
      </c>
      <c r="D843" t="s">
        <v>842</v>
      </c>
      <c r="E843" t="s">
        <v>3436</v>
      </c>
      <c r="F843" t="s">
        <v>3434</v>
      </c>
      <c r="G843" s="3">
        <v>37.4634354735432</v>
      </c>
      <c r="H843" s="3">
        <v>128.683665616772</v>
      </c>
      <c r="I843" t="s">
        <v>4608</v>
      </c>
      <c r="J843" t="s">
        <v>7967</v>
      </c>
      <c r="K843" t="s">
        <v>11086</v>
      </c>
      <c r="L843" t="s">
        <v>3372</v>
      </c>
      <c r="M843" t="s">
        <v>11894</v>
      </c>
      <c r="N843" t="s">
        <v>3364</v>
      </c>
      <c r="O843" t="s">
        <v>3362</v>
      </c>
      <c r="P843" t="s">
        <v>15211</v>
      </c>
      <c r="Q843" t="s">
        <v>15211</v>
      </c>
      <c r="R843" t="s">
        <v>15211</v>
      </c>
      <c r="S843" t="s">
        <v>15211</v>
      </c>
      <c r="T843" t="s">
        <v>3370</v>
      </c>
      <c r="U843" t="s">
        <v>12745</v>
      </c>
      <c r="V843" t="s">
        <v>15233</v>
      </c>
    </row>
    <row r="844" spans="1:22" hidden="1">
      <c r="A844" t="s">
        <v>15383</v>
      </c>
      <c r="B844" t="s">
        <v>15442</v>
      </c>
      <c r="C844" t="s">
        <v>15445</v>
      </c>
      <c r="D844" t="s">
        <v>843</v>
      </c>
      <c r="E844" t="s">
        <v>3436</v>
      </c>
      <c r="F844" t="s">
        <v>3429</v>
      </c>
      <c r="G844" s="3">
        <v>37.463435460025202</v>
      </c>
      <c r="H844" s="3">
        <v>128.68366559906701</v>
      </c>
      <c r="I844" t="s">
        <v>4609</v>
      </c>
      <c r="J844" t="s">
        <v>7968</v>
      </c>
      <c r="K844" t="s">
        <v>11087</v>
      </c>
      <c r="L844" t="s">
        <v>3366</v>
      </c>
      <c r="M844" t="s">
        <v>11894</v>
      </c>
      <c r="N844" t="s">
        <v>3364</v>
      </c>
      <c r="O844" t="s">
        <v>3362</v>
      </c>
      <c r="P844" t="s">
        <v>15211</v>
      </c>
      <c r="Q844" t="s">
        <v>15211</v>
      </c>
      <c r="R844" t="s">
        <v>15211</v>
      </c>
      <c r="S844" t="s">
        <v>15211</v>
      </c>
      <c r="T844" t="s">
        <v>3370</v>
      </c>
      <c r="U844" t="s">
        <v>12746</v>
      </c>
      <c r="V844" t="s">
        <v>15233</v>
      </c>
    </row>
    <row r="845" spans="1:22" hidden="1">
      <c r="A845" t="s">
        <v>15383</v>
      </c>
      <c r="B845" t="s">
        <v>15442</v>
      </c>
      <c r="C845" t="s">
        <v>15445</v>
      </c>
      <c r="D845" t="s">
        <v>844</v>
      </c>
      <c r="E845" t="s">
        <v>3425</v>
      </c>
      <c r="F845" t="s">
        <v>3429</v>
      </c>
      <c r="G845" s="3">
        <v>37.463435468919002</v>
      </c>
      <c r="H845" s="3">
        <v>128.68366556271701</v>
      </c>
      <c r="I845" t="s">
        <v>4610</v>
      </c>
      <c r="J845" t="s">
        <v>7969</v>
      </c>
      <c r="K845" t="s">
        <v>11088</v>
      </c>
      <c r="L845" t="s">
        <v>3366</v>
      </c>
      <c r="M845" t="s">
        <v>11890</v>
      </c>
      <c r="N845" t="s">
        <v>3364</v>
      </c>
      <c r="O845" t="s">
        <v>3361</v>
      </c>
      <c r="P845" t="s">
        <v>15211</v>
      </c>
      <c r="Q845" t="s">
        <v>15211</v>
      </c>
      <c r="R845" t="s">
        <v>15211</v>
      </c>
      <c r="S845" t="s">
        <v>15211</v>
      </c>
      <c r="T845" t="s">
        <v>3369</v>
      </c>
      <c r="U845" t="s">
        <v>12747</v>
      </c>
      <c r="V845" t="s">
        <v>15233</v>
      </c>
    </row>
    <row r="846" spans="1:22" hidden="1">
      <c r="A846" t="s">
        <v>15383</v>
      </c>
      <c r="B846" t="s">
        <v>15442</v>
      </c>
      <c r="C846" t="s">
        <v>15451</v>
      </c>
      <c r="D846" t="s">
        <v>845</v>
      </c>
      <c r="E846" t="s">
        <v>3438</v>
      </c>
      <c r="F846" t="s">
        <v>3425</v>
      </c>
      <c r="G846" s="3">
        <v>37.463435537821297</v>
      </c>
      <c r="H846" s="3">
        <v>128.68366555365799</v>
      </c>
      <c r="I846" t="s">
        <v>4611</v>
      </c>
      <c r="J846" t="s">
        <v>7970</v>
      </c>
      <c r="K846" t="s">
        <v>11089</v>
      </c>
      <c r="L846" t="s">
        <v>3373</v>
      </c>
      <c r="M846" t="s">
        <v>11905</v>
      </c>
      <c r="N846" t="s">
        <v>3364</v>
      </c>
      <c r="O846" t="s">
        <v>3361</v>
      </c>
      <c r="P846" t="s">
        <v>3364</v>
      </c>
      <c r="Q846" t="s">
        <v>3369</v>
      </c>
      <c r="R846" t="s">
        <v>15211</v>
      </c>
      <c r="S846" t="s">
        <v>15211</v>
      </c>
      <c r="T846" t="s">
        <v>3390</v>
      </c>
      <c r="U846" t="s">
        <v>12748</v>
      </c>
      <c r="V846" t="s">
        <v>15234</v>
      </c>
    </row>
    <row r="847" spans="1:22" hidden="1">
      <c r="A847" t="s">
        <v>15383</v>
      </c>
      <c r="B847" t="s">
        <v>15442</v>
      </c>
      <c r="C847" t="s">
        <v>15451</v>
      </c>
      <c r="D847" t="s">
        <v>846</v>
      </c>
      <c r="E847" t="s">
        <v>3438</v>
      </c>
      <c r="F847" t="s">
        <v>3425</v>
      </c>
      <c r="G847" s="3">
        <v>37.4634355500081</v>
      </c>
      <c r="H847" s="3">
        <v>128.683665578411</v>
      </c>
      <c r="I847" t="s">
        <v>4612</v>
      </c>
      <c r="J847" t="s">
        <v>7971</v>
      </c>
      <c r="K847" t="s">
        <v>11089</v>
      </c>
      <c r="L847" t="s">
        <v>3366</v>
      </c>
      <c r="M847" t="s">
        <v>11905</v>
      </c>
      <c r="N847" t="s">
        <v>3364</v>
      </c>
      <c r="O847" t="s">
        <v>3361</v>
      </c>
      <c r="P847" t="s">
        <v>3364</v>
      </c>
      <c r="Q847" t="s">
        <v>3369</v>
      </c>
      <c r="R847" t="s">
        <v>15211</v>
      </c>
      <c r="S847" t="s">
        <v>15211</v>
      </c>
      <c r="T847" t="s">
        <v>3390</v>
      </c>
      <c r="U847" t="s">
        <v>12749</v>
      </c>
      <c r="V847" t="s">
        <v>15234</v>
      </c>
    </row>
    <row r="848" spans="1:22" hidden="1">
      <c r="A848" t="s">
        <v>15383</v>
      </c>
      <c r="B848" t="s">
        <v>15442</v>
      </c>
      <c r="C848" t="s">
        <v>15451</v>
      </c>
      <c r="D848" t="s">
        <v>847</v>
      </c>
      <c r="E848" t="s">
        <v>3428</v>
      </c>
      <c r="F848" t="s">
        <v>3431</v>
      </c>
      <c r="G848" s="3">
        <v>37.463435509552397</v>
      </c>
      <c r="H848" s="3">
        <v>128.68366558956399</v>
      </c>
      <c r="I848" t="s">
        <v>4613</v>
      </c>
      <c r="J848" t="s">
        <v>7972</v>
      </c>
      <c r="K848" t="s">
        <v>11029</v>
      </c>
      <c r="L848" t="s">
        <v>3366</v>
      </c>
      <c r="M848" t="s">
        <v>11904</v>
      </c>
      <c r="N848" t="s">
        <v>3364</v>
      </c>
      <c r="O848" t="s">
        <v>3361</v>
      </c>
      <c r="P848" t="s">
        <v>3364</v>
      </c>
      <c r="Q848" t="s">
        <v>3368</v>
      </c>
      <c r="R848" t="s">
        <v>15211</v>
      </c>
      <c r="S848" t="s">
        <v>15211</v>
      </c>
      <c r="T848" t="s">
        <v>3389</v>
      </c>
      <c r="U848" t="s">
        <v>12750</v>
      </c>
      <c r="V848" t="s">
        <v>15234</v>
      </c>
    </row>
    <row r="849" spans="1:22" hidden="1">
      <c r="A849" t="s">
        <v>15383</v>
      </c>
      <c r="B849" t="s">
        <v>15441</v>
      </c>
      <c r="C849" t="s">
        <v>15445</v>
      </c>
      <c r="D849" t="s">
        <v>848</v>
      </c>
      <c r="E849" t="s">
        <v>3431</v>
      </c>
      <c r="F849" t="s">
        <v>3435</v>
      </c>
      <c r="G849" s="3">
        <v>37.463435687209497</v>
      </c>
      <c r="H849" s="3">
        <v>128.683665698499</v>
      </c>
      <c r="I849" t="s">
        <v>4614</v>
      </c>
      <c r="J849" t="s">
        <v>7973</v>
      </c>
      <c r="K849" t="s">
        <v>11090</v>
      </c>
      <c r="L849" t="s">
        <v>3368</v>
      </c>
      <c r="M849" t="s">
        <v>11890</v>
      </c>
      <c r="N849" t="s">
        <v>3364</v>
      </c>
      <c r="O849" t="s">
        <v>3361</v>
      </c>
      <c r="P849" t="s">
        <v>3358</v>
      </c>
      <c r="Q849" t="s">
        <v>3359</v>
      </c>
      <c r="R849" t="s">
        <v>15211</v>
      </c>
      <c r="S849" t="s">
        <v>15211</v>
      </c>
      <c r="T849" t="s">
        <v>3374</v>
      </c>
      <c r="U849" t="s">
        <v>12748</v>
      </c>
      <c r="V849" t="s">
        <v>15228</v>
      </c>
    </row>
    <row r="850" spans="1:22" hidden="1">
      <c r="A850" t="s">
        <v>15383</v>
      </c>
      <c r="B850" t="s">
        <v>15441</v>
      </c>
      <c r="C850" t="s">
        <v>15445</v>
      </c>
      <c r="D850" t="s">
        <v>849</v>
      </c>
      <c r="E850" t="s">
        <v>3431</v>
      </c>
      <c r="F850" t="s">
        <v>3435</v>
      </c>
      <c r="G850" s="3">
        <v>37.463435696972503</v>
      </c>
      <c r="H850" s="3">
        <v>128.68366570318</v>
      </c>
      <c r="I850" t="s">
        <v>4615</v>
      </c>
      <c r="J850" t="s">
        <v>7974</v>
      </c>
      <c r="K850" t="s">
        <v>11091</v>
      </c>
      <c r="L850" t="s">
        <v>3366</v>
      </c>
      <c r="M850" t="s">
        <v>11890</v>
      </c>
      <c r="N850" t="s">
        <v>3364</v>
      </c>
      <c r="O850" t="s">
        <v>3361</v>
      </c>
      <c r="P850" t="s">
        <v>15211</v>
      </c>
      <c r="Q850" t="s">
        <v>15211</v>
      </c>
      <c r="R850" t="s">
        <v>15211</v>
      </c>
      <c r="S850" t="s">
        <v>15211</v>
      </c>
      <c r="T850" t="s">
        <v>3369</v>
      </c>
      <c r="U850" t="s">
        <v>12751</v>
      </c>
      <c r="V850" t="s">
        <v>15228</v>
      </c>
    </row>
    <row r="851" spans="1:22" hidden="1">
      <c r="A851" t="s">
        <v>15383</v>
      </c>
      <c r="B851" t="s">
        <v>15441</v>
      </c>
      <c r="C851" t="s">
        <v>15445</v>
      </c>
      <c r="D851" t="s">
        <v>850</v>
      </c>
      <c r="E851" t="s">
        <v>3434</v>
      </c>
      <c r="F851" t="s">
        <v>3429</v>
      </c>
      <c r="G851" s="3">
        <v>37.463435664190499</v>
      </c>
      <c r="H851" s="3">
        <v>128.68366570230901</v>
      </c>
      <c r="I851" t="s">
        <v>4616</v>
      </c>
      <c r="J851" t="s">
        <v>7975</v>
      </c>
      <c r="K851" t="s">
        <v>11092</v>
      </c>
      <c r="L851" t="s">
        <v>3366</v>
      </c>
      <c r="M851" t="s">
        <v>11890</v>
      </c>
      <c r="N851" t="s">
        <v>3364</v>
      </c>
      <c r="O851" t="s">
        <v>3361</v>
      </c>
      <c r="P851" t="s">
        <v>15211</v>
      </c>
      <c r="Q851" t="s">
        <v>15211</v>
      </c>
      <c r="R851" t="s">
        <v>15211</v>
      </c>
      <c r="S851" t="s">
        <v>15211</v>
      </c>
      <c r="T851" t="s">
        <v>3369</v>
      </c>
      <c r="U851" t="s">
        <v>12752</v>
      </c>
      <c r="V851" t="s">
        <v>15228</v>
      </c>
    </row>
    <row r="852" spans="1:22" hidden="1">
      <c r="A852" t="s">
        <v>15383</v>
      </c>
      <c r="B852" t="s">
        <v>15441</v>
      </c>
      <c r="C852" t="s">
        <v>15446</v>
      </c>
      <c r="D852" t="s">
        <v>851</v>
      </c>
      <c r="E852" t="s">
        <v>3434</v>
      </c>
      <c r="F852" t="s">
        <v>3453</v>
      </c>
      <c r="G852" s="3">
        <v>37.463435826008499</v>
      </c>
      <c r="H852" s="3">
        <v>128.68366566374101</v>
      </c>
      <c r="I852" t="s">
        <v>4617</v>
      </c>
      <c r="J852" t="s">
        <v>7976</v>
      </c>
      <c r="K852" t="s">
        <v>11093</v>
      </c>
      <c r="L852" t="s">
        <v>3387</v>
      </c>
      <c r="M852" t="s">
        <v>11890</v>
      </c>
      <c r="N852" t="s">
        <v>3364</v>
      </c>
      <c r="O852" t="s">
        <v>3361</v>
      </c>
      <c r="P852" t="s">
        <v>15211</v>
      </c>
      <c r="Q852" t="s">
        <v>15211</v>
      </c>
      <c r="R852" t="s">
        <v>15211</v>
      </c>
      <c r="S852" t="s">
        <v>15211</v>
      </c>
      <c r="T852" t="s">
        <v>3369</v>
      </c>
      <c r="U852" t="s">
        <v>12753</v>
      </c>
      <c r="V852" t="s">
        <v>15229</v>
      </c>
    </row>
    <row r="853" spans="1:22" hidden="1">
      <c r="A853" t="s">
        <v>15383</v>
      </c>
      <c r="B853" t="s">
        <v>15441</v>
      </c>
      <c r="C853" t="s">
        <v>15446</v>
      </c>
      <c r="D853" t="s">
        <v>852</v>
      </c>
      <c r="E853" t="s">
        <v>3431</v>
      </c>
      <c r="F853" t="s">
        <v>3441</v>
      </c>
      <c r="G853" s="3">
        <v>37.463435837441097</v>
      </c>
      <c r="H853" s="3">
        <v>128.68366568155</v>
      </c>
      <c r="I853" t="s">
        <v>4618</v>
      </c>
      <c r="J853" t="s">
        <v>7977</v>
      </c>
      <c r="K853" t="s">
        <v>11094</v>
      </c>
      <c r="L853" t="s">
        <v>3366</v>
      </c>
      <c r="M853" t="s">
        <v>11890</v>
      </c>
      <c r="N853" t="s">
        <v>3364</v>
      </c>
      <c r="O853" t="s">
        <v>3361</v>
      </c>
      <c r="P853" t="s">
        <v>15211</v>
      </c>
      <c r="Q853" t="s">
        <v>15211</v>
      </c>
      <c r="R853" t="s">
        <v>15211</v>
      </c>
      <c r="S853" t="s">
        <v>15211</v>
      </c>
      <c r="T853" t="s">
        <v>3369</v>
      </c>
      <c r="U853" t="s">
        <v>12754</v>
      </c>
      <c r="V853" t="s">
        <v>15229</v>
      </c>
    </row>
    <row r="854" spans="1:22" hidden="1">
      <c r="A854" t="s">
        <v>15383</v>
      </c>
      <c r="B854" t="s">
        <v>15441</v>
      </c>
      <c r="C854" t="s">
        <v>15446</v>
      </c>
      <c r="D854" t="s">
        <v>853</v>
      </c>
      <c r="E854" t="s">
        <v>3431</v>
      </c>
      <c r="F854" t="s">
        <v>3441</v>
      </c>
      <c r="G854" s="3">
        <v>37.463435846470503</v>
      </c>
      <c r="H854" s="3">
        <v>128.68366569631601</v>
      </c>
      <c r="I854" t="s">
        <v>4619</v>
      </c>
      <c r="J854" t="s">
        <v>7978</v>
      </c>
      <c r="K854" t="s">
        <v>11095</v>
      </c>
      <c r="L854" t="s">
        <v>3366</v>
      </c>
      <c r="M854" t="s">
        <v>11890</v>
      </c>
      <c r="N854" t="s">
        <v>3364</v>
      </c>
      <c r="O854" t="s">
        <v>3361</v>
      </c>
      <c r="P854" t="s">
        <v>15211</v>
      </c>
      <c r="Q854" t="s">
        <v>15211</v>
      </c>
      <c r="R854" t="s">
        <v>15211</v>
      </c>
      <c r="S854" t="s">
        <v>15211</v>
      </c>
      <c r="T854" t="s">
        <v>3369</v>
      </c>
      <c r="U854" t="s">
        <v>12755</v>
      </c>
      <c r="V854" t="s">
        <v>15229</v>
      </c>
    </row>
    <row r="855" spans="1:22" hidden="1">
      <c r="A855" t="s">
        <v>15383</v>
      </c>
      <c r="B855" t="s">
        <v>15441</v>
      </c>
      <c r="C855" t="s">
        <v>15448</v>
      </c>
      <c r="D855" t="s">
        <v>854</v>
      </c>
      <c r="E855" t="s">
        <v>3431</v>
      </c>
      <c r="F855" t="s">
        <v>3449</v>
      </c>
      <c r="G855" s="3">
        <v>37.463435561336503</v>
      </c>
      <c r="H855" s="3">
        <v>128.683665652364</v>
      </c>
      <c r="I855" t="s">
        <v>4620</v>
      </c>
      <c r="J855" t="s">
        <v>7979</v>
      </c>
      <c r="K855" t="s">
        <v>10613</v>
      </c>
      <c r="L855" t="s">
        <v>3366</v>
      </c>
      <c r="M855" t="s">
        <v>11921</v>
      </c>
      <c r="N855" t="s">
        <v>3365</v>
      </c>
      <c r="O855" t="s">
        <v>3360</v>
      </c>
      <c r="P855" t="s">
        <v>3365</v>
      </c>
      <c r="Q855" t="s">
        <v>3370</v>
      </c>
      <c r="R855" t="s">
        <v>3359</v>
      </c>
      <c r="S855" t="s">
        <v>15211</v>
      </c>
      <c r="T855" t="s">
        <v>3395</v>
      </c>
      <c r="U855" t="s">
        <v>12756</v>
      </c>
      <c r="V855" t="s">
        <v>15230</v>
      </c>
    </row>
    <row r="856" spans="1:22" hidden="1">
      <c r="A856" t="s">
        <v>15383</v>
      </c>
      <c r="B856" t="s">
        <v>15441</v>
      </c>
      <c r="C856" t="s">
        <v>15448</v>
      </c>
      <c r="D856" t="s">
        <v>855</v>
      </c>
      <c r="E856" t="s">
        <v>3431</v>
      </c>
      <c r="F856" t="s">
        <v>3460</v>
      </c>
      <c r="G856" s="3">
        <v>37.463435533600702</v>
      </c>
      <c r="H856" s="3">
        <v>128.68366568741601</v>
      </c>
      <c r="I856" t="s">
        <v>4621</v>
      </c>
      <c r="J856" t="s">
        <v>7980</v>
      </c>
      <c r="K856" t="s">
        <v>10613</v>
      </c>
      <c r="L856" t="s">
        <v>3366</v>
      </c>
      <c r="M856" t="s">
        <v>11921</v>
      </c>
      <c r="N856" t="s">
        <v>3365</v>
      </c>
      <c r="O856" t="s">
        <v>3360</v>
      </c>
      <c r="P856" t="s">
        <v>3365</v>
      </c>
      <c r="Q856" t="s">
        <v>3370</v>
      </c>
      <c r="R856" t="s">
        <v>3359</v>
      </c>
      <c r="S856" t="s">
        <v>15211</v>
      </c>
      <c r="T856" t="s">
        <v>3395</v>
      </c>
      <c r="U856" t="s">
        <v>12757</v>
      </c>
      <c r="V856" t="s">
        <v>15230</v>
      </c>
    </row>
    <row r="857" spans="1:22" hidden="1">
      <c r="A857" t="s">
        <v>15383</v>
      </c>
      <c r="B857" t="s">
        <v>15441</v>
      </c>
      <c r="C857" t="s">
        <v>15448</v>
      </c>
      <c r="D857" t="s">
        <v>856</v>
      </c>
      <c r="E857" t="s">
        <v>3431</v>
      </c>
      <c r="F857" t="s">
        <v>3460</v>
      </c>
      <c r="G857" s="3">
        <v>37.463435562235901</v>
      </c>
      <c r="H857" s="3">
        <v>128.68366569313801</v>
      </c>
      <c r="I857" t="s">
        <v>4622</v>
      </c>
      <c r="J857" t="s">
        <v>7981</v>
      </c>
      <c r="K857" t="s">
        <v>10613</v>
      </c>
      <c r="L857" t="s">
        <v>3366</v>
      </c>
      <c r="M857" t="s">
        <v>11921</v>
      </c>
      <c r="N857" t="s">
        <v>3365</v>
      </c>
      <c r="O857" t="s">
        <v>3360</v>
      </c>
      <c r="P857" t="s">
        <v>3365</v>
      </c>
      <c r="Q857" t="s">
        <v>3370</v>
      </c>
      <c r="R857" t="s">
        <v>3359</v>
      </c>
      <c r="S857" t="s">
        <v>15211</v>
      </c>
      <c r="T857" t="s">
        <v>3395</v>
      </c>
      <c r="U857" t="s">
        <v>12758</v>
      </c>
      <c r="V857" t="s">
        <v>15230</v>
      </c>
    </row>
    <row r="858" spans="1:22" hidden="1">
      <c r="A858" t="s">
        <v>15383</v>
      </c>
      <c r="B858" t="s">
        <v>15441</v>
      </c>
      <c r="C858" t="s">
        <v>15449</v>
      </c>
      <c r="D858" t="s">
        <v>857</v>
      </c>
      <c r="E858" t="s">
        <v>3440</v>
      </c>
      <c r="F858" t="s">
        <v>3436</v>
      </c>
      <c r="G858" s="3">
        <v>37.4634355663351</v>
      </c>
      <c r="H858" s="3">
        <v>128.68366570821101</v>
      </c>
      <c r="I858" t="s">
        <v>4623</v>
      </c>
      <c r="J858" t="s">
        <v>7982</v>
      </c>
      <c r="K858" t="s">
        <v>11096</v>
      </c>
      <c r="L858" t="s">
        <v>3366</v>
      </c>
      <c r="M858" t="s">
        <v>11916</v>
      </c>
      <c r="N858" t="s">
        <v>3364</v>
      </c>
      <c r="O858" t="s">
        <v>3359</v>
      </c>
      <c r="P858" t="s">
        <v>3365</v>
      </c>
      <c r="Q858" t="s">
        <v>3368</v>
      </c>
      <c r="R858" t="s">
        <v>3358</v>
      </c>
      <c r="S858" t="s">
        <v>15211</v>
      </c>
      <c r="T858" t="s">
        <v>3390</v>
      </c>
      <c r="U858" t="s">
        <v>12759</v>
      </c>
      <c r="V858" t="s">
        <v>15231</v>
      </c>
    </row>
    <row r="859" spans="1:22" hidden="1">
      <c r="A859" t="s">
        <v>15383</v>
      </c>
      <c r="B859" t="s">
        <v>15441</v>
      </c>
      <c r="C859" t="s">
        <v>15449</v>
      </c>
      <c r="D859" t="s">
        <v>858</v>
      </c>
      <c r="E859" t="s">
        <v>3440</v>
      </c>
      <c r="F859" t="s">
        <v>3436</v>
      </c>
      <c r="G859" s="3">
        <v>37.463435572861997</v>
      </c>
      <c r="H859" s="3">
        <v>128.68366571433501</v>
      </c>
      <c r="I859" t="s">
        <v>4624</v>
      </c>
      <c r="J859" t="s">
        <v>7983</v>
      </c>
      <c r="K859" t="s">
        <v>11025</v>
      </c>
      <c r="L859" t="s">
        <v>3366</v>
      </c>
      <c r="M859" t="s">
        <v>11905</v>
      </c>
      <c r="N859" t="s">
        <v>3364</v>
      </c>
      <c r="O859" t="s">
        <v>3359</v>
      </c>
      <c r="P859" t="s">
        <v>3365</v>
      </c>
      <c r="Q859" t="s">
        <v>3368</v>
      </c>
      <c r="R859" t="s">
        <v>3358</v>
      </c>
      <c r="S859" t="s">
        <v>15211</v>
      </c>
      <c r="T859" t="s">
        <v>3390</v>
      </c>
      <c r="U859" t="s">
        <v>12760</v>
      </c>
      <c r="V859" t="s">
        <v>15231</v>
      </c>
    </row>
    <row r="860" spans="1:22" hidden="1">
      <c r="A860" t="s">
        <v>15383</v>
      </c>
      <c r="B860" t="s">
        <v>15441</v>
      </c>
      <c r="C860" t="s">
        <v>15449</v>
      </c>
      <c r="D860" t="s">
        <v>859</v>
      </c>
      <c r="E860" t="s">
        <v>3440</v>
      </c>
      <c r="F860" t="s">
        <v>3425</v>
      </c>
      <c r="G860" s="3">
        <v>37.4634355649697</v>
      </c>
      <c r="H860" s="3">
        <v>128.68366572553299</v>
      </c>
      <c r="I860" t="s">
        <v>4625</v>
      </c>
      <c r="J860" t="s">
        <v>7984</v>
      </c>
      <c r="K860" t="s">
        <v>3657</v>
      </c>
      <c r="L860" t="s">
        <v>3366</v>
      </c>
      <c r="M860" t="s">
        <v>11916</v>
      </c>
      <c r="N860" t="s">
        <v>3364</v>
      </c>
      <c r="O860" t="s">
        <v>3359</v>
      </c>
      <c r="P860" t="s">
        <v>3365</v>
      </c>
      <c r="Q860" t="s">
        <v>3368</v>
      </c>
      <c r="R860" t="s">
        <v>3358</v>
      </c>
      <c r="S860" t="s">
        <v>15211</v>
      </c>
      <c r="T860" t="s">
        <v>3390</v>
      </c>
      <c r="U860" t="s">
        <v>12761</v>
      </c>
      <c r="V860" t="s">
        <v>15231</v>
      </c>
    </row>
    <row r="861" spans="1:22" hidden="1">
      <c r="A861" t="s">
        <v>15384</v>
      </c>
      <c r="B861" t="s">
        <v>15443</v>
      </c>
      <c r="C861" t="s">
        <v>15471</v>
      </c>
      <c r="D861" t="s">
        <v>860</v>
      </c>
      <c r="E861" t="s">
        <v>3431</v>
      </c>
      <c r="F861" t="s">
        <v>3540</v>
      </c>
      <c r="G861" s="3">
        <v>37.533612797360497</v>
      </c>
      <c r="H861" s="3">
        <v>128.45634233007601</v>
      </c>
      <c r="I861" t="s">
        <v>4626</v>
      </c>
      <c r="J861" t="s">
        <v>7985</v>
      </c>
      <c r="K861" t="s">
        <v>11039</v>
      </c>
      <c r="L861" t="s">
        <v>3366</v>
      </c>
      <c r="M861" t="s">
        <v>11889</v>
      </c>
      <c r="N861" t="s">
        <v>3360</v>
      </c>
      <c r="O861" t="s">
        <v>15211</v>
      </c>
      <c r="P861" t="s">
        <v>3361</v>
      </c>
      <c r="Q861" t="s">
        <v>3368</v>
      </c>
      <c r="R861" t="s">
        <v>15211</v>
      </c>
      <c r="S861" t="s">
        <v>15211</v>
      </c>
      <c r="T861" t="s">
        <v>3377</v>
      </c>
      <c r="U861" t="s">
        <v>12762</v>
      </c>
      <c r="V861" t="s">
        <v>15254</v>
      </c>
    </row>
    <row r="862" spans="1:22" hidden="1">
      <c r="A862" t="s">
        <v>15384</v>
      </c>
      <c r="B862" t="s">
        <v>15443</v>
      </c>
      <c r="C862" t="s">
        <v>15471</v>
      </c>
      <c r="D862" t="s">
        <v>861</v>
      </c>
      <c r="E862" t="s">
        <v>3431</v>
      </c>
      <c r="F862" t="s">
        <v>3540</v>
      </c>
      <c r="G862" s="3">
        <v>37.533612811588299</v>
      </c>
      <c r="H862" s="3">
        <v>128.456342321672</v>
      </c>
      <c r="I862" t="s">
        <v>4627</v>
      </c>
      <c r="J862" t="s">
        <v>7986</v>
      </c>
      <c r="K862" t="s">
        <v>10762</v>
      </c>
      <c r="L862" t="s">
        <v>3366</v>
      </c>
      <c r="M862" t="s">
        <v>11888</v>
      </c>
      <c r="N862" t="s">
        <v>3360</v>
      </c>
      <c r="O862" t="s">
        <v>15211</v>
      </c>
      <c r="P862" t="s">
        <v>3361</v>
      </c>
      <c r="Q862" t="s">
        <v>3369</v>
      </c>
      <c r="R862" t="s">
        <v>15211</v>
      </c>
      <c r="S862" t="s">
        <v>15211</v>
      </c>
      <c r="T862" t="s">
        <v>3378</v>
      </c>
      <c r="U862" t="s">
        <v>12763</v>
      </c>
      <c r="V862" t="s">
        <v>15254</v>
      </c>
    </row>
    <row r="863" spans="1:22" hidden="1">
      <c r="A863" t="s">
        <v>15384</v>
      </c>
      <c r="B863" t="s">
        <v>15443</v>
      </c>
      <c r="C863" t="s">
        <v>15471</v>
      </c>
      <c r="D863" t="s">
        <v>862</v>
      </c>
      <c r="E863" t="s">
        <v>3431</v>
      </c>
      <c r="F863" t="s">
        <v>3540</v>
      </c>
      <c r="G863" s="3">
        <v>37.533612839872298</v>
      </c>
      <c r="H863" s="3">
        <v>128.456342333001</v>
      </c>
      <c r="I863" t="s">
        <v>4628</v>
      </c>
      <c r="J863" t="s">
        <v>7987</v>
      </c>
      <c r="K863" t="s">
        <v>11097</v>
      </c>
      <c r="L863" t="s">
        <v>3366</v>
      </c>
      <c r="M863" t="s">
        <v>11889</v>
      </c>
      <c r="N863" t="s">
        <v>3359</v>
      </c>
      <c r="O863" t="s">
        <v>15211</v>
      </c>
      <c r="P863" t="s">
        <v>3361</v>
      </c>
      <c r="Q863" t="s">
        <v>3369</v>
      </c>
      <c r="R863" t="s">
        <v>15211</v>
      </c>
      <c r="S863" t="s">
        <v>15211</v>
      </c>
      <c r="T863" t="s">
        <v>3377</v>
      </c>
      <c r="U863" t="s">
        <v>12764</v>
      </c>
      <c r="V863" t="s">
        <v>15254</v>
      </c>
    </row>
    <row r="864" spans="1:22">
      <c r="A864" t="s">
        <v>15384</v>
      </c>
      <c r="B864" t="s">
        <v>15443</v>
      </c>
      <c r="C864" t="s">
        <v>15452</v>
      </c>
      <c r="D864" t="s">
        <v>863</v>
      </c>
      <c r="E864" t="s">
        <v>3431</v>
      </c>
      <c r="F864" t="s">
        <v>3590</v>
      </c>
      <c r="G864" s="3">
        <v>37.533612811432199</v>
      </c>
      <c r="H864" s="3">
        <v>128.45634232895</v>
      </c>
      <c r="I864" t="s">
        <v>4629</v>
      </c>
      <c r="J864" t="s">
        <v>7988</v>
      </c>
      <c r="K864" t="s">
        <v>11098</v>
      </c>
      <c r="L864" t="s">
        <v>3389</v>
      </c>
      <c r="M864" t="s">
        <v>11908</v>
      </c>
      <c r="N864" t="s">
        <v>3359</v>
      </c>
      <c r="O864" t="s">
        <v>15211</v>
      </c>
      <c r="P864" t="s">
        <v>3361</v>
      </c>
      <c r="Q864" t="s">
        <v>3369</v>
      </c>
      <c r="R864" t="s">
        <v>15211</v>
      </c>
      <c r="S864" t="s">
        <v>15211</v>
      </c>
      <c r="T864" t="s">
        <v>3377</v>
      </c>
      <c r="U864" t="s">
        <v>12765</v>
      </c>
      <c r="V864" t="s">
        <v>15220</v>
      </c>
    </row>
    <row r="865" spans="1:22">
      <c r="A865" t="s">
        <v>15384</v>
      </c>
      <c r="B865" t="s">
        <v>15443</v>
      </c>
      <c r="C865" t="s">
        <v>15452</v>
      </c>
      <c r="D865" t="s">
        <v>864</v>
      </c>
      <c r="E865" t="s">
        <v>3431</v>
      </c>
      <c r="F865" t="s">
        <v>3590</v>
      </c>
      <c r="G865" s="3">
        <v>37.533612780542001</v>
      </c>
      <c r="H865" s="3">
        <v>128.45634231079899</v>
      </c>
      <c r="I865" t="s">
        <v>4630</v>
      </c>
      <c r="J865" t="s">
        <v>7989</v>
      </c>
      <c r="K865" t="s">
        <v>10506</v>
      </c>
      <c r="L865" t="s">
        <v>3366</v>
      </c>
      <c r="M865" t="s">
        <v>11908</v>
      </c>
      <c r="N865" t="s">
        <v>3359</v>
      </c>
      <c r="O865" t="s">
        <v>15211</v>
      </c>
      <c r="P865" t="s">
        <v>3361</v>
      </c>
      <c r="Q865" t="s">
        <v>3368</v>
      </c>
      <c r="R865" t="s">
        <v>15211</v>
      </c>
      <c r="S865" t="s">
        <v>15211</v>
      </c>
      <c r="T865" t="s">
        <v>3376</v>
      </c>
      <c r="U865" t="s">
        <v>12766</v>
      </c>
      <c r="V865" t="s">
        <v>15220</v>
      </c>
    </row>
    <row r="866" spans="1:22">
      <c r="A866" t="s">
        <v>15384</v>
      </c>
      <c r="B866" t="s">
        <v>15443</v>
      </c>
      <c r="C866" t="s">
        <v>15452</v>
      </c>
      <c r="D866" t="s">
        <v>865</v>
      </c>
      <c r="E866" t="s">
        <v>3425</v>
      </c>
      <c r="F866" t="s">
        <v>3611</v>
      </c>
      <c r="G866" s="3">
        <v>37.5336127871294</v>
      </c>
      <c r="H866" s="3">
        <v>128.456342274816</v>
      </c>
      <c r="I866" t="s">
        <v>4631</v>
      </c>
      <c r="J866" t="s">
        <v>7990</v>
      </c>
      <c r="K866" t="s">
        <v>11099</v>
      </c>
      <c r="L866" t="s">
        <v>3366</v>
      </c>
      <c r="M866" t="s">
        <v>11889</v>
      </c>
      <c r="N866" t="s">
        <v>3360</v>
      </c>
      <c r="O866" t="s">
        <v>15211</v>
      </c>
      <c r="P866" t="s">
        <v>3361</v>
      </c>
      <c r="Q866" t="s">
        <v>3368</v>
      </c>
      <c r="R866" t="s">
        <v>15211</v>
      </c>
      <c r="S866" t="s">
        <v>15211</v>
      </c>
      <c r="T866" t="s">
        <v>3377</v>
      </c>
      <c r="U866" t="s">
        <v>12767</v>
      </c>
      <c r="V866" t="s">
        <v>15220</v>
      </c>
    </row>
    <row r="867" spans="1:22" hidden="1">
      <c r="A867" t="s">
        <v>15384</v>
      </c>
      <c r="B867" t="s">
        <v>15441</v>
      </c>
      <c r="C867" t="s">
        <v>15445</v>
      </c>
      <c r="D867" t="s">
        <v>866</v>
      </c>
      <c r="E867" t="s">
        <v>3431</v>
      </c>
      <c r="F867" t="s">
        <v>3462</v>
      </c>
      <c r="G867" s="3">
        <v>37.533612979499097</v>
      </c>
      <c r="H867" s="3">
        <v>128.456342361921</v>
      </c>
      <c r="I867" t="s">
        <v>4632</v>
      </c>
      <c r="J867" t="s">
        <v>7991</v>
      </c>
      <c r="K867" t="s">
        <v>11100</v>
      </c>
      <c r="L867" t="s">
        <v>3367</v>
      </c>
      <c r="M867" t="s">
        <v>11902</v>
      </c>
      <c r="N867" t="s">
        <v>3362</v>
      </c>
      <c r="O867" t="s">
        <v>3360</v>
      </c>
      <c r="P867" t="s">
        <v>15211</v>
      </c>
      <c r="Q867" t="s">
        <v>15211</v>
      </c>
      <c r="R867" t="s">
        <v>15211</v>
      </c>
      <c r="S867" t="s">
        <v>15211</v>
      </c>
      <c r="T867" t="s">
        <v>3366</v>
      </c>
      <c r="U867" t="s">
        <v>12768</v>
      </c>
      <c r="V867" t="s">
        <v>15228</v>
      </c>
    </row>
    <row r="868" spans="1:22" hidden="1">
      <c r="A868" t="s">
        <v>15384</v>
      </c>
      <c r="B868" t="s">
        <v>15441</v>
      </c>
      <c r="C868" t="s">
        <v>15445</v>
      </c>
      <c r="D868" t="s">
        <v>867</v>
      </c>
      <c r="E868" t="s">
        <v>3425</v>
      </c>
      <c r="F868" t="s">
        <v>3461</v>
      </c>
      <c r="G868" s="3">
        <v>37.533612997687896</v>
      </c>
      <c r="H868" s="3">
        <v>128.45634231375701</v>
      </c>
      <c r="I868" t="s">
        <v>4633</v>
      </c>
      <c r="J868" t="s">
        <v>7992</v>
      </c>
      <c r="K868" t="s">
        <v>11100</v>
      </c>
      <c r="L868" t="s">
        <v>3366</v>
      </c>
      <c r="M868" t="s">
        <v>11902</v>
      </c>
      <c r="N868" t="s">
        <v>3362</v>
      </c>
      <c r="O868" t="s">
        <v>3360</v>
      </c>
      <c r="P868" t="s">
        <v>15211</v>
      </c>
      <c r="Q868" t="s">
        <v>15211</v>
      </c>
      <c r="R868" t="s">
        <v>15211</v>
      </c>
      <c r="S868" t="s">
        <v>15211</v>
      </c>
      <c r="T868" t="s">
        <v>3366</v>
      </c>
      <c r="U868" t="s">
        <v>12769</v>
      </c>
      <c r="V868" t="s">
        <v>15228</v>
      </c>
    </row>
    <row r="869" spans="1:22" hidden="1">
      <c r="A869" t="s">
        <v>15384</v>
      </c>
      <c r="B869" t="s">
        <v>15441</v>
      </c>
      <c r="C869" t="s">
        <v>15445</v>
      </c>
      <c r="D869" t="s">
        <v>868</v>
      </c>
      <c r="E869" t="s">
        <v>3425</v>
      </c>
      <c r="F869" t="s">
        <v>3452</v>
      </c>
      <c r="G869" s="3">
        <v>37.533613012637304</v>
      </c>
      <c r="H869" s="3">
        <v>128.45634232210699</v>
      </c>
      <c r="I869" t="s">
        <v>4634</v>
      </c>
      <c r="J869" t="s">
        <v>7993</v>
      </c>
      <c r="K869" t="s">
        <v>11101</v>
      </c>
      <c r="L869" t="s">
        <v>3366</v>
      </c>
      <c r="M869" t="s">
        <v>11902</v>
      </c>
      <c r="N869" t="s">
        <v>3362</v>
      </c>
      <c r="O869" t="s">
        <v>3360</v>
      </c>
      <c r="P869" t="s">
        <v>15211</v>
      </c>
      <c r="Q869" t="s">
        <v>15211</v>
      </c>
      <c r="R869" t="s">
        <v>15211</v>
      </c>
      <c r="S869" t="s">
        <v>15211</v>
      </c>
      <c r="T869" t="s">
        <v>3366</v>
      </c>
      <c r="U869" t="s">
        <v>12770</v>
      </c>
      <c r="V869" t="s">
        <v>15228</v>
      </c>
    </row>
    <row r="870" spans="1:22" hidden="1">
      <c r="A870" t="s">
        <v>15384</v>
      </c>
      <c r="B870" t="s">
        <v>15441</v>
      </c>
      <c r="C870" t="s">
        <v>15446</v>
      </c>
      <c r="D870" t="s">
        <v>869</v>
      </c>
      <c r="E870" t="s">
        <v>3431</v>
      </c>
      <c r="F870" t="s">
        <v>3462</v>
      </c>
      <c r="G870" s="3">
        <v>37.533612977964303</v>
      </c>
      <c r="H870" s="3">
        <v>128.45634219160601</v>
      </c>
      <c r="I870" t="s">
        <v>4635</v>
      </c>
      <c r="J870" t="s">
        <v>7994</v>
      </c>
      <c r="K870" t="s">
        <v>11102</v>
      </c>
      <c r="L870" t="s">
        <v>3377</v>
      </c>
      <c r="M870" t="s">
        <v>11902</v>
      </c>
      <c r="N870" t="s">
        <v>3362</v>
      </c>
      <c r="O870" t="s">
        <v>3360</v>
      </c>
      <c r="P870" t="s">
        <v>15211</v>
      </c>
      <c r="Q870" t="s">
        <v>15211</v>
      </c>
      <c r="R870" t="s">
        <v>15211</v>
      </c>
      <c r="S870" t="s">
        <v>15211</v>
      </c>
      <c r="T870" t="s">
        <v>3366</v>
      </c>
      <c r="U870" t="s">
        <v>12771</v>
      </c>
      <c r="V870" t="s">
        <v>15229</v>
      </c>
    </row>
    <row r="871" spans="1:22" hidden="1">
      <c r="A871" t="s">
        <v>15384</v>
      </c>
      <c r="B871" t="s">
        <v>15441</v>
      </c>
      <c r="C871" t="s">
        <v>15446</v>
      </c>
      <c r="D871" t="s">
        <v>870</v>
      </c>
      <c r="E871" t="s">
        <v>3435</v>
      </c>
      <c r="F871" t="s">
        <v>3465</v>
      </c>
      <c r="G871" s="3">
        <v>37.533612961130999</v>
      </c>
      <c r="H871" s="3">
        <v>128.45634203389099</v>
      </c>
      <c r="I871" t="s">
        <v>4636</v>
      </c>
      <c r="J871" t="s">
        <v>7995</v>
      </c>
      <c r="K871" t="s">
        <v>11102</v>
      </c>
      <c r="L871" t="s">
        <v>3366</v>
      </c>
      <c r="M871" t="s">
        <v>11902</v>
      </c>
      <c r="N871" t="s">
        <v>3362</v>
      </c>
      <c r="O871" t="s">
        <v>3360</v>
      </c>
      <c r="P871" t="s">
        <v>15211</v>
      </c>
      <c r="Q871" t="s">
        <v>15211</v>
      </c>
      <c r="R871" t="s">
        <v>15211</v>
      </c>
      <c r="S871" t="s">
        <v>15211</v>
      </c>
      <c r="T871" t="s">
        <v>3366</v>
      </c>
      <c r="U871" t="s">
        <v>12772</v>
      </c>
      <c r="V871" t="s">
        <v>15229</v>
      </c>
    </row>
    <row r="872" spans="1:22" hidden="1">
      <c r="A872" t="s">
        <v>15384</v>
      </c>
      <c r="B872" t="s">
        <v>15441</v>
      </c>
      <c r="C872" t="s">
        <v>15446</v>
      </c>
      <c r="D872" t="s">
        <v>871</v>
      </c>
      <c r="E872" t="s">
        <v>3429</v>
      </c>
      <c r="F872" t="s">
        <v>3460</v>
      </c>
      <c r="G872" s="3">
        <v>37.533612960326202</v>
      </c>
      <c r="H872" s="3">
        <v>128.45634201541199</v>
      </c>
      <c r="I872" t="s">
        <v>4637</v>
      </c>
      <c r="J872" t="s">
        <v>7996</v>
      </c>
      <c r="K872" t="s">
        <v>11102</v>
      </c>
      <c r="L872" t="s">
        <v>3366</v>
      </c>
      <c r="M872" t="s">
        <v>11902</v>
      </c>
      <c r="N872" t="s">
        <v>3362</v>
      </c>
      <c r="O872" t="s">
        <v>3360</v>
      </c>
      <c r="P872" t="s">
        <v>15211</v>
      </c>
      <c r="Q872" t="s">
        <v>15211</v>
      </c>
      <c r="R872" t="s">
        <v>15211</v>
      </c>
      <c r="S872" t="s">
        <v>15211</v>
      </c>
      <c r="T872" t="s">
        <v>3366</v>
      </c>
      <c r="U872" t="s">
        <v>12773</v>
      </c>
      <c r="V872" t="s">
        <v>15229</v>
      </c>
    </row>
    <row r="873" spans="1:22" hidden="1">
      <c r="A873" t="s">
        <v>15384</v>
      </c>
      <c r="B873" t="s">
        <v>15441</v>
      </c>
      <c r="C873" t="s">
        <v>15448</v>
      </c>
      <c r="D873" t="s">
        <v>872</v>
      </c>
      <c r="E873" t="s">
        <v>3439</v>
      </c>
      <c r="F873" t="s">
        <v>3428</v>
      </c>
      <c r="G873" s="3">
        <v>37.5336128544849</v>
      </c>
      <c r="H873" s="3">
        <v>128.45634224102099</v>
      </c>
      <c r="I873" t="s">
        <v>4638</v>
      </c>
      <c r="J873" t="s">
        <v>7997</v>
      </c>
      <c r="K873" t="s">
        <v>11103</v>
      </c>
      <c r="L873" t="s">
        <v>3371</v>
      </c>
      <c r="M873" t="s">
        <v>11906</v>
      </c>
      <c r="N873" t="s">
        <v>3362</v>
      </c>
      <c r="O873" t="s">
        <v>3360</v>
      </c>
      <c r="P873" t="s">
        <v>3362</v>
      </c>
      <c r="Q873" t="s">
        <v>3370</v>
      </c>
      <c r="R873" t="s">
        <v>3358</v>
      </c>
      <c r="S873" t="s">
        <v>15211</v>
      </c>
      <c r="T873" t="s">
        <v>3388</v>
      </c>
      <c r="U873" t="s">
        <v>12774</v>
      </c>
      <c r="V873" t="s">
        <v>15230</v>
      </c>
    </row>
    <row r="874" spans="1:22" hidden="1">
      <c r="A874" t="s">
        <v>15384</v>
      </c>
      <c r="B874" t="s">
        <v>15441</v>
      </c>
      <c r="C874" t="s">
        <v>15448</v>
      </c>
      <c r="D874" t="s">
        <v>873</v>
      </c>
      <c r="E874" t="s">
        <v>3439</v>
      </c>
      <c r="F874" t="s">
        <v>3427</v>
      </c>
      <c r="G874" s="3">
        <v>37.533612843842299</v>
      </c>
      <c r="H874" s="3">
        <v>128.45634224215601</v>
      </c>
      <c r="I874" t="s">
        <v>4639</v>
      </c>
      <c r="J874" t="s">
        <v>7998</v>
      </c>
      <c r="K874" t="s">
        <v>10543</v>
      </c>
      <c r="L874" t="s">
        <v>3366</v>
      </c>
      <c r="M874" t="s">
        <v>11913</v>
      </c>
      <c r="N874" t="s">
        <v>3362</v>
      </c>
      <c r="O874" t="s">
        <v>3360</v>
      </c>
      <c r="P874" t="s">
        <v>3362</v>
      </c>
      <c r="Q874" t="s">
        <v>3370</v>
      </c>
      <c r="R874" t="s">
        <v>3358</v>
      </c>
      <c r="S874" t="s">
        <v>15211</v>
      </c>
      <c r="T874" t="s">
        <v>3388</v>
      </c>
      <c r="U874" t="s">
        <v>12775</v>
      </c>
      <c r="V874" t="s">
        <v>15230</v>
      </c>
    </row>
    <row r="875" spans="1:22" hidden="1">
      <c r="A875" t="s">
        <v>15384</v>
      </c>
      <c r="B875" t="s">
        <v>15441</v>
      </c>
      <c r="C875" t="s">
        <v>15448</v>
      </c>
      <c r="D875" t="s">
        <v>874</v>
      </c>
      <c r="E875" t="s">
        <v>3439</v>
      </c>
      <c r="F875" t="s">
        <v>3428</v>
      </c>
      <c r="G875" s="3">
        <v>37.5336128265429</v>
      </c>
      <c r="H875" s="3">
        <v>128.45634223808801</v>
      </c>
      <c r="I875" t="s">
        <v>4640</v>
      </c>
      <c r="J875" t="s">
        <v>7999</v>
      </c>
      <c r="K875" t="s">
        <v>11085</v>
      </c>
      <c r="L875" t="s">
        <v>3366</v>
      </c>
      <c r="M875" t="s">
        <v>11906</v>
      </c>
      <c r="N875" t="s">
        <v>3362</v>
      </c>
      <c r="O875" t="s">
        <v>3360</v>
      </c>
      <c r="P875" t="s">
        <v>3362</v>
      </c>
      <c r="Q875" t="s">
        <v>3370</v>
      </c>
      <c r="R875" t="s">
        <v>3358</v>
      </c>
      <c r="S875" t="s">
        <v>15211</v>
      </c>
      <c r="T875" t="s">
        <v>3388</v>
      </c>
      <c r="U875" t="s">
        <v>12776</v>
      </c>
      <c r="V875" t="s">
        <v>15230</v>
      </c>
    </row>
    <row r="876" spans="1:22" hidden="1">
      <c r="A876" t="s">
        <v>15384</v>
      </c>
      <c r="B876" t="s">
        <v>15441</v>
      </c>
      <c r="C876" t="s">
        <v>15449</v>
      </c>
      <c r="D876" t="s">
        <v>875</v>
      </c>
      <c r="E876" t="s">
        <v>3439</v>
      </c>
      <c r="F876" t="s">
        <v>3427</v>
      </c>
      <c r="G876" s="3">
        <v>37.533612818707297</v>
      </c>
      <c r="H876" s="3">
        <v>128.45634220595801</v>
      </c>
      <c r="I876" t="s">
        <v>4641</v>
      </c>
      <c r="J876" t="s">
        <v>8000</v>
      </c>
      <c r="K876" t="s">
        <v>3634</v>
      </c>
      <c r="L876" t="s">
        <v>3374</v>
      </c>
      <c r="M876" t="s">
        <v>11907</v>
      </c>
      <c r="N876" t="s">
        <v>3362</v>
      </c>
      <c r="O876" t="s">
        <v>3360</v>
      </c>
      <c r="P876" t="s">
        <v>3362</v>
      </c>
      <c r="Q876" t="s">
        <v>3369</v>
      </c>
      <c r="R876" t="s">
        <v>3357</v>
      </c>
      <c r="S876" t="s">
        <v>15211</v>
      </c>
      <c r="T876" t="s">
        <v>3386</v>
      </c>
      <c r="U876" t="s">
        <v>12777</v>
      </c>
      <c r="V876" t="s">
        <v>15231</v>
      </c>
    </row>
    <row r="877" spans="1:22" hidden="1">
      <c r="A877" t="s">
        <v>15384</v>
      </c>
      <c r="B877" t="s">
        <v>15441</v>
      </c>
      <c r="C877" t="s">
        <v>15449</v>
      </c>
      <c r="D877" t="s">
        <v>876</v>
      </c>
      <c r="E877" t="s">
        <v>3439</v>
      </c>
      <c r="F877" t="s">
        <v>3427</v>
      </c>
      <c r="G877" s="3">
        <v>37.533612800447699</v>
      </c>
      <c r="H877" s="3">
        <v>128.456342218424</v>
      </c>
      <c r="I877" t="s">
        <v>4642</v>
      </c>
      <c r="J877" t="s">
        <v>8001</v>
      </c>
      <c r="K877" t="s">
        <v>3636</v>
      </c>
      <c r="L877" t="s">
        <v>3366</v>
      </c>
      <c r="M877" t="s">
        <v>11911</v>
      </c>
      <c r="N877" t="s">
        <v>3362</v>
      </c>
      <c r="O877" t="s">
        <v>3360</v>
      </c>
      <c r="P877" t="s">
        <v>3362</v>
      </c>
      <c r="Q877" t="s">
        <v>3368</v>
      </c>
      <c r="R877" t="s">
        <v>3357</v>
      </c>
      <c r="S877" t="s">
        <v>15211</v>
      </c>
      <c r="T877" t="s">
        <v>3385</v>
      </c>
      <c r="U877" t="s">
        <v>12778</v>
      </c>
      <c r="V877" t="s">
        <v>15231</v>
      </c>
    </row>
    <row r="878" spans="1:22" hidden="1">
      <c r="A878" t="s">
        <v>15384</v>
      </c>
      <c r="B878" t="s">
        <v>15441</v>
      </c>
      <c r="C878" t="s">
        <v>15449</v>
      </c>
      <c r="D878" t="s">
        <v>877</v>
      </c>
      <c r="E878" t="s">
        <v>3439</v>
      </c>
      <c r="F878" t="s">
        <v>3427</v>
      </c>
      <c r="G878" s="3">
        <v>37.533612805107502</v>
      </c>
      <c r="H878" s="3">
        <v>128.45634221747599</v>
      </c>
      <c r="I878" t="s">
        <v>4643</v>
      </c>
      <c r="J878" t="s">
        <v>8002</v>
      </c>
      <c r="K878" t="s">
        <v>11104</v>
      </c>
      <c r="L878" t="s">
        <v>3366</v>
      </c>
      <c r="M878" t="s">
        <v>11907</v>
      </c>
      <c r="N878" t="s">
        <v>3362</v>
      </c>
      <c r="O878" t="s">
        <v>3360</v>
      </c>
      <c r="P878" t="s">
        <v>3362</v>
      </c>
      <c r="Q878" t="s">
        <v>3369</v>
      </c>
      <c r="R878" t="s">
        <v>3357</v>
      </c>
      <c r="S878" t="s">
        <v>15211</v>
      </c>
      <c r="T878" t="s">
        <v>3386</v>
      </c>
      <c r="U878" t="s">
        <v>12779</v>
      </c>
      <c r="V878" t="s">
        <v>15231</v>
      </c>
    </row>
    <row r="879" spans="1:22" hidden="1">
      <c r="A879" t="s">
        <v>15384</v>
      </c>
      <c r="B879" t="s">
        <v>15442</v>
      </c>
      <c r="C879" t="s">
        <v>15445</v>
      </c>
      <c r="D879" t="s">
        <v>878</v>
      </c>
      <c r="E879" t="s">
        <v>3437</v>
      </c>
      <c r="F879" t="s">
        <v>3428</v>
      </c>
      <c r="G879" s="3">
        <v>37.533612982179903</v>
      </c>
      <c r="H879" s="3">
        <v>128.45634217598101</v>
      </c>
      <c r="I879" t="s">
        <v>4644</v>
      </c>
      <c r="J879" t="s">
        <v>8003</v>
      </c>
      <c r="K879" t="s">
        <v>11105</v>
      </c>
      <c r="L879" t="s">
        <v>3369</v>
      </c>
      <c r="M879" t="s">
        <v>11886</v>
      </c>
      <c r="N879" t="s">
        <v>3363</v>
      </c>
      <c r="O879" t="s">
        <v>3360</v>
      </c>
      <c r="P879" t="s">
        <v>15211</v>
      </c>
      <c r="Q879" t="s">
        <v>15211</v>
      </c>
      <c r="R879" t="s">
        <v>15211</v>
      </c>
      <c r="S879" t="s">
        <v>15211</v>
      </c>
      <c r="T879" t="s">
        <v>3367</v>
      </c>
      <c r="U879" t="s">
        <v>12780</v>
      </c>
      <c r="V879" t="s">
        <v>15233</v>
      </c>
    </row>
    <row r="880" spans="1:22" hidden="1">
      <c r="A880" t="s">
        <v>15384</v>
      </c>
      <c r="B880" t="s">
        <v>15442</v>
      </c>
      <c r="C880" t="s">
        <v>15445</v>
      </c>
      <c r="D880" t="s">
        <v>879</v>
      </c>
      <c r="E880" t="s">
        <v>3437</v>
      </c>
      <c r="F880" t="s">
        <v>3436</v>
      </c>
      <c r="G880" s="3">
        <v>37.533613018046204</v>
      </c>
      <c r="H880" s="3">
        <v>128.45634217888201</v>
      </c>
      <c r="I880" t="s">
        <v>4645</v>
      </c>
      <c r="J880" t="s">
        <v>8004</v>
      </c>
      <c r="K880" t="s">
        <v>10972</v>
      </c>
      <c r="L880" t="s">
        <v>3366</v>
      </c>
      <c r="M880" t="s">
        <v>11886</v>
      </c>
      <c r="N880" t="s">
        <v>3363</v>
      </c>
      <c r="O880" t="s">
        <v>3360</v>
      </c>
      <c r="P880" t="s">
        <v>15211</v>
      </c>
      <c r="Q880" t="s">
        <v>15211</v>
      </c>
      <c r="R880" t="s">
        <v>15211</v>
      </c>
      <c r="S880" t="s">
        <v>15211</v>
      </c>
      <c r="T880" t="s">
        <v>3367</v>
      </c>
      <c r="U880" t="s">
        <v>12781</v>
      </c>
      <c r="V880" t="s">
        <v>15233</v>
      </c>
    </row>
    <row r="881" spans="1:22" hidden="1">
      <c r="A881" t="s">
        <v>15384</v>
      </c>
      <c r="B881" t="s">
        <v>15442</v>
      </c>
      <c r="C881" t="s">
        <v>15445</v>
      </c>
      <c r="D881" t="s">
        <v>880</v>
      </c>
      <c r="E881" t="s">
        <v>3437</v>
      </c>
      <c r="F881" t="s">
        <v>3436</v>
      </c>
      <c r="G881" s="3">
        <v>37.533612983206702</v>
      </c>
      <c r="H881" s="3">
        <v>128.45634218446199</v>
      </c>
      <c r="I881" t="s">
        <v>4646</v>
      </c>
      <c r="J881" t="s">
        <v>8005</v>
      </c>
      <c r="K881" t="s">
        <v>10961</v>
      </c>
      <c r="L881" t="s">
        <v>3366</v>
      </c>
      <c r="M881" t="s">
        <v>11902</v>
      </c>
      <c r="N881" t="s">
        <v>3363</v>
      </c>
      <c r="O881" t="s">
        <v>3359</v>
      </c>
      <c r="P881" t="s">
        <v>15211</v>
      </c>
      <c r="Q881" t="s">
        <v>15211</v>
      </c>
      <c r="R881" t="s">
        <v>15211</v>
      </c>
      <c r="S881" t="s">
        <v>15211</v>
      </c>
      <c r="T881" t="s">
        <v>3366</v>
      </c>
      <c r="U881" t="s">
        <v>12782</v>
      </c>
      <c r="V881" t="s">
        <v>15233</v>
      </c>
    </row>
    <row r="882" spans="1:22" hidden="1">
      <c r="A882" t="s">
        <v>15384</v>
      </c>
      <c r="B882" t="s">
        <v>15442</v>
      </c>
      <c r="C882" t="s">
        <v>15451</v>
      </c>
      <c r="D882" t="s">
        <v>881</v>
      </c>
      <c r="E882" t="s">
        <v>3439</v>
      </c>
      <c r="F882" t="s">
        <v>3438</v>
      </c>
      <c r="G882" s="3">
        <v>37.533612956799601</v>
      </c>
      <c r="H882" s="3">
        <v>128.456342128698</v>
      </c>
      <c r="I882" t="s">
        <v>4647</v>
      </c>
      <c r="J882" t="s">
        <v>8006</v>
      </c>
      <c r="K882" t="s">
        <v>11106</v>
      </c>
      <c r="L882" t="s">
        <v>3366</v>
      </c>
      <c r="M882" t="s">
        <v>11907</v>
      </c>
      <c r="N882" t="s">
        <v>3363</v>
      </c>
      <c r="O882" t="s">
        <v>3359</v>
      </c>
      <c r="P882" t="s">
        <v>3362</v>
      </c>
      <c r="Q882" t="s">
        <v>3369</v>
      </c>
      <c r="R882" t="s">
        <v>15211</v>
      </c>
      <c r="S882" t="s">
        <v>15211</v>
      </c>
      <c r="T882" t="s">
        <v>3385</v>
      </c>
      <c r="U882" t="s">
        <v>12783</v>
      </c>
      <c r="V882" t="s">
        <v>15234</v>
      </c>
    </row>
    <row r="883" spans="1:22" hidden="1">
      <c r="A883" t="s">
        <v>15384</v>
      </c>
      <c r="B883" t="s">
        <v>15442</v>
      </c>
      <c r="C883" t="s">
        <v>15451</v>
      </c>
      <c r="D883" t="s">
        <v>882</v>
      </c>
      <c r="E883" t="s">
        <v>3439</v>
      </c>
      <c r="F883" t="s">
        <v>3438</v>
      </c>
      <c r="G883" s="3">
        <v>37.533612933451998</v>
      </c>
      <c r="H883" s="3">
        <v>128.45634209946201</v>
      </c>
      <c r="I883" t="s">
        <v>4648</v>
      </c>
      <c r="J883" t="s">
        <v>8007</v>
      </c>
      <c r="K883" t="s">
        <v>3626</v>
      </c>
      <c r="L883" t="s">
        <v>3366</v>
      </c>
      <c r="M883" t="s">
        <v>11911</v>
      </c>
      <c r="N883" t="s">
        <v>3363</v>
      </c>
      <c r="O883" t="s">
        <v>3359</v>
      </c>
      <c r="P883" t="s">
        <v>3362</v>
      </c>
      <c r="Q883" t="s">
        <v>3369</v>
      </c>
      <c r="R883" t="s">
        <v>15211</v>
      </c>
      <c r="S883" t="s">
        <v>15211</v>
      </c>
      <c r="T883" t="s">
        <v>3385</v>
      </c>
      <c r="U883" t="s">
        <v>12784</v>
      </c>
      <c r="V883" t="s">
        <v>15234</v>
      </c>
    </row>
    <row r="884" spans="1:22" hidden="1">
      <c r="A884" t="s">
        <v>15385</v>
      </c>
      <c r="B884" t="s">
        <v>15442</v>
      </c>
      <c r="C884" t="s">
        <v>15450</v>
      </c>
      <c r="D884" t="s">
        <v>883</v>
      </c>
      <c r="E884" t="s">
        <v>3438</v>
      </c>
      <c r="F884" t="s">
        <v>3435</v>
      </c>
      <c r="G884" s="3">
        <v>37.435651379115598</v>
      </c>
      <c r="H884" s="3">
        <v>128.055023095916</v>
      </c>
      <c r="I884" t="s">
        <v>4649</v>
      </c>
      <c r="J884" t="s">
        <v>8008</v>
      </c>
      <c r="K884" t="s">
        <v>11032</v>
      </c>
      <c r="L884" t="s">
        <v>3366</v>
      </c>
      <c r="M884" t="s">
        <v>11885</v>
      </c>
      <c r="N884" t="s">
        <v>3363</v>
      </c>
      <c r="O884" t="s">
        <v>3361</v>
      </c>
      <c r="P884" t="s">
        <v>15211</v>
      </c>
      <c r="Q884" t="s">
        <v>15211</v>
      </c>
      <c r="R884" t="s">
        <v>15211</v>
      </c>
      <c r="S884" t="s">
        <v>15211</v>
      </c>
      <c r="T884" t="s">
        <v>3368</v>
      </c>
      <c r="U884" t="s">
        <v>12785</v>
      </c>
      <c r="V884" t="s">
        <v>15232</v>
      </c>
    </row>
    <row r="885" spans="1:22" hidden="1">
      <c r="A885" t="s">
        <v>15385</v>
      </c>
      <c r="B885" t="s">
        <v>15442</v>
      </c>
      <c r="C885" t="s">
        <v>15450</v>
      </c>
      <c r="D885" t="s">
        <v>884</v>
      </c>
      <c r="E885" t="s">
        <v>3438</v>
      </c>
      <c r="F885" t="s">
        <v>3435</v>
      </c>
      <c r="G885" s="3">
        <v>37.435651348291799</v>
      </c>
      <c r="H885" s="3">
        <v>128.0550231373</v>
      </c>
      <c r="I885" t="s">
        <v>4650</v>
      </c>
      <c r="J885" t="s">
        <v>8009</v>
      </c>
      <c r="K885" t="s">
        <v>10820</v>
      </c>
      <c r="L885" t="s">
        <v>3366</v>
      </c>
      <c r="M885" t="s">
        <v>11885</v>
      </c>
      <c r="N885" t="s">
        <v>3363</v>
      </c>
      <c r="O885" t="s">
        <v>3361</v>
      </c>
      <c r="P885" t="s">
        <v>15211</v>
      </c>
      <c r="Q885" t="s">
        <v>15211</v>
      </c>
      <c r="R885" t="s">
        <v>15211</v>
      </c>
      <c r="S885" t="s">
        <v>15211</v>
      </c>
      <c r="T885" t="s">
        <v>3368</v>
      </c>
      <c r="U885" t="s">
        <v>12786</v>
      </c>
      <c r="V885" t="s">
        <v>15232</v>
      </c>
    </row>
    <row r="886" spans="1:22" hidden="1">
      <c r="A886" t="s">
        <v>15385</v>
      </c>
      <c r="B886" t="s">
        <v>15442</v>
      </c>
      <c r="C886" t="s">
        <v>15450</v>
      </c>
      <c r="D886" t="s">
        <v>885</v>
      </c>
      <c r="E886" t="s">
        <v>3438</v>
      </c>
      <c r="F886" t="s">
        <v>3435</v>
      </c>
      <c r="G886" s="3">
        <v>37.435651370986498</v>
      </c>
      <c r="H886" s="3">
        <v>128.05502318225399</v>
      </c>
      <c r="I886" t="s">
        <v>4651</v>
      </c>
      <c r="J886" t="s">
        <v>8010</v>
      </c>
      <c r="K886" t="s">
        <v>10820</v>
      </c>
      <c r="L886" t="s">
        <v>3366</v>
      </c>
      <c r="M886" t="s">
        <v>11885</v>
      </c>
      <c r="N886" t="s">
        <v>3363</v>
      </c>
      <c r="O886" t="s">
        <v>3361</v>
      </c>
      <c r="P886" t="s">
        <v>15211</v>
      </c>
      <c r="Q886" t="s">
        <v>15211</v>
      </c>
      <c r="R886" t="s">
        <v>15211</v>
      </c>
      <c r="S886" t="s">
        <v>15211</v>
      </c>
      <c r="T886" t="s">
        <v>3368</v>
      </c>
      <c r="U886" t="s">
        <v>12787</v>
      </c>
      <c r="V886" t="s">
        <v>15232</v>
      </c>
    </row>
    <row r="887" spans="1:22" hidden="1">
      <c r="A887" t="s">
        <v>15385</v>
      </c>
      <c r="B887" t="s">
        <v>15442</v>
      </c>
      <c r="C887" t="s">
        <v>15445</v>
      </c>
      <c r="D887" t="s">
        <v>886</v>
      </c>
      <c r="E887" t="s">
        <v>3438</v>
      </c>
      <c r="F887" t="s">
        <v>3429</v>
      </c>
      <c r="G887" s="3">
        <v>37.435651609898699</v>
      </c>
      <c r="H887" s="3">
        <v>128.055023360413</v>
      </c>
      <c r="I887" t="s">
        <v>4652</v>
      </c>
      <c r="J887" t="s">
        <v>8011</v>
      </c>
      <c r="K887" t="s">
        <v>11107</v>
      </c>
      <c r="L887" t="s">
        <v>3374</v>
      </c>
      <c r="M887" t="s">
        <v>11886</v>
      </c>
      <c r="N887" t="s">
        <v>3363</v>
      </c>
      <c r="O887" t="s">
        <v>3360</v>
      </c>
      <c r="P887" t="s">
        <v>15211</v>
      </c>
      <c r="Q887" t="s">
        <v>15211</v>
      </c>
      <c r="R887" t="s">
        <v>15211</v>
      </c>
      <c r="S887" t="s">
        <v>15211</v>
      </c>
      <c r="T887" t="s">
        <v>3367</v>
      </c>
      <c r="U887" t="s">
        <v>12788</v>
      </c>
      <c r="V887" t="s">
        <v>15233</v>
      </c>
    </row>
    <row r="888" spans="1:22" hidden="1">
      <c r="A888" t="s">
        <v>15385</v>
      </c>
      <c r="B888" t="s">
        <v>15442</v>
      </c>
      <c r="C888" t="s">
        <v>15445</v>
      </c>
      <c r="D888" t="s">
        <v>887</v>
      </c>
      <c r="E888" t="s">
        <v>3427</v>
      </c>
      <c r="F888" t="s">
        <v>3429</v>
      </c>
      <c r="G888" s="3">
        <v>37.435651613539399</v>
      </c>
      <c r="H888" s="3">
        <v>128.05502334430301</v>
      </c>
      <c r="I888" t="s">
        <v>4653</v>
      </c>
      <c r="J888" t="s">
        <v>8012</v>
      </c>
      <c r="K888" t="s">
        <v>11108</v>
      </c>
      <c r="L888" t="s">
        <v>3366</v>
      </c>
      <c r="M888" t="s">
        <v>11886</v>
      </c>
      <c r="N888" t="s">
        <v>3363</v>
      </c>
      <c r="O888" t="s">
        <v>3360</v>
      </c>
      <c r="P888" t="s">
        <v>15211</v>
      </c>
      <c r="Q888" t="s">
        <v>15211</v>
      </c>
      <c r="R888" t="s">
        <v>15211</v>
      </c>
      <c r="S888" t="s">
        <v>15211</v>
      </c>
      <c r="T888" t="s">
        <v>3367</v>
      </c>
      <c r="U888" t="s">
        <v>12789</v>
      </c>
      <c r="V888" t="s">
        <v>15233</v>
      </c>
    </row>
    <row r="889" spans="1:22" hidden="1">
      <c r="A889" t="s">
        <v>15385</v>
      </c>
      <c r="B889" t="s">
        <v>15442</v>
      </c>
      <c r="C889" t="s">
        <v>15445</v>
      </c>
      <c r="D889" t="s">
        <v>888</v>
      </c>
      <c r="E889" t="s">
        <v>3427</v>
      </c>
      <c r="F889" t="s">
        <v>3430</v>
      </c>
      <c r="G889" s="3">
        <v>37.435651604145598</v>
      </c>
      <c r="H889" s="3">
        <v>128.05502333171901</v>
      </c>
      <c r="I889" t="s">
        <v>4654</v>
      </c>
      <c r="J889" t="s">
        <v>8013</v>
      </c>
      <c r="K889" t="s">
        <v>10779</v>
      </c>
      <c r="L889" t="s">
        <v>3366</v>
      </c>
      <c r="M889" t="s">
        <v>11886</v>
      </c>
      <c r="N889" t="s">
        <v>3363</v>
      </c>
      <c r="O889" t="s">
        <v>3360</v>
      </c>
      <c r="P889" t="s">
        <v>15211</v>
      </c>
      <c r="Q889" t="s">
        <v>15211</v>
      </c>
      <c r="R889" t="s">
        <v>15211</v>
      </c>
      <c r="S889" t="s">
        <v>15211</v>
      </c>
      <c r="T889" t="s">
        <v>3367</v>
      </c>
      <c r="U889" t="s">
        <v>12790</v>
      </c>
      <c r="V889" t="s">
        <v>15233</v>
      </c>
    </row>
    <row r="890" spans="1:22" hidden="1">
      <c r="A890" t="s">
        <v>15385</v>
      </c>
      <c r="B890" t="s">
        <v>15442</v>
      </c>
      <c r="C890" t="s">
        <v>15451</v>
      </c>
      <c r="D890" t="s">
        <v>889</v>
      </c>
      <c r="E890" t="s">
        <v>3427</v>
      </c>
      <c r="F890" t="s">
        <v>3435</v>
      </c>
      <c r="G890" s="3">
        <v>37.435651618829397</v>
      </c>
      <c r="H890" s="3">
        <v>128.055023346556</v>
      </c>
      <c r="I890" t="s">
        <v>4655</v>
      </c>
      <c r="J890" t="s">
        <v>8014</v>
      </c>
      <c r="K890" t="s">
        <v>10782</v>
      </c>
      <c r="L890" t="s">
        <v>3368</v>
      </c>
      <c r="M890" t="s">
        <v>11893</v>
      </c>
      <c r="N890" t="s">
        <v>3362</v>
      </c>
      <c r="O890" t="s">
        <v>3361</v>
      </c>
      <c r="P890" t="s">
        <v>3361</v>
      </c>
      <c r="Q890" t="s">
        <v>3362</v>
      </c>
      <c r="R890" t="s">
        <v>15211</v>
      </c>
      <c r="S890" t="s">
        <v>15211</v>
      </c>
      <c r="T890" t="s">
        <v>3378</v>
      </c>
      <c r="U890" t="s">
        <v>12791</v>
      </c>
      <c r="V890" t="s">
        <v>15234</v>
      </c>
    </row>
    <row r="891" spans="1:22" hidden="1">
      <c r="A891" t="s">
        <v>15385</v>
      </c>
      <c r="B891" t="s">
        <v>15442</v>
      </c>
      <c r="C891" t="s">
        <v>15451</v>
      </c>
      <c r="D891" t="s">
        <v>890</v>
      </c>
      <c r="E891" t="s">
        <v>3428</v>
      </c>
      <c r="F891" t="s">
        <v>3429</v>
      </c>
      <c r="G891" s="3">
        <v>37.435651672201097</v>
      </c>
      <c r="H891" s="3">
        <v>128.05502335831699</v>
      </c>
      <c r="I891" t="s">
        <v>4656</v>
      </c>
      <c r="J891" t="s">
        <v>8015</v>
      </c>
      <c r="K891" t="s">
        <v>10782</v>
      </c>
      <c r="L891" t="s">
        <v>3366</v>
      </c>
      <c r="M891" t="s">
        <v>11893</v>
      </c>
      <c r="N891" t="s">
        <v>3363</v>
      </c>
      <c r="O891" t="s">
        <v>3361</v>
      </c>
      <c r="P891" t="s">
        <v>3362</v>
      </c>
      <c r="Q891" t="s">
        <v>3363</v>
      </c>
      <c r="R891" t="s">
        <v>15211</v>
      </c>
      <c r="S891" t="s">
        <v>15211</v>
      </c>
      <c r="T891" t="s">
        <v>3381</v>
      </c>
      <c r="U891" t="s">
        <v>12792</v>
      </c>
      <c r="V891" t="s">
        <v>15234</v>
      </c>
    </row>
    <row r="892" spans="1:22" hidden="1">
      <c r="A892" t="s">
        <v>15385</v>
      </c>
      <c r="B892" t="s">
        <v>15442</v>
      </c>
      <c r="C892" t="s">
        <v>15451</v>
      </c>
      <c r="D892" t="s">
        <v>891</v>
      </c>
      <c r="E892" t="s">
        <v>3428</v>
      </c>
      <c r="F892" t="s">
        <v>3429</v>
      </c>
      <c r="G892" s="3">
        <v>37.435651670520201</v>
      </c>
      <c r="H892" s="3">
        <v>128.05502337791799</v>
      </c>
      <c r="I892" t="s">
        <v>4657</v>
      </c>
      <c r="J892" t="s">
        <v>8016</v>
      </c>
      <c r="K892" t="s">
        <v>11109</v>
      </c>
      <c r="L892" t="s">
        <v>3366</v>
      </c>
      <c r="M892" t="s">
        <v>11893</v>
      </c>
      <c r="N892" t="s">
        <v>3363</v>
      </c>
      <c r="O892" t="s">
        <v>3361</v>
      </c>
      <c r="P892" t="s">
        <v>3362</v>
      </c>
      <c r="Q892" t="s">
        <v>3363</v>
      </c>
      <c r="R892" t="s">
        <v>15211</v>
      </c>
      <c r="S892" t="s">
        <v>15211</v>
      </c>
      <c r="T892" t="s">
        <v>3381</v>
      </c>
      <c r="U892" t="s">
        <v>12793</v>
      </c>
      <c r="V892" t="s">
        <v>15234</v>
      </c>
    </row>
    <row r="893" spans="1:22">
      <c r="A893" t="s">
        <v>15385</v>
      </c>
      <c r="B893" t="s">
        <v>15443</v>
      </c>
      <c r="C893" t="s">
        <v>15452</v>
      </c>
      <c r="D893" t="s">
        <v>892</v>
      </c>
      <c r="E893" t="s">
        <v>3431</v>
      </c>
      <c r="F893" t="s">
        <v>3426</v>
      </c>
      <c r="G893" s="3">
        <v>37.435651568166001</v>
      </c>
      <c r="H893" s="3">
        <v>128.05502346335001</v>
      </c>
      <c r="I893" t="s">
        <v>4658</v>
      </c>
      <c r="J893" t="s">
        <v>8017</v>
      </c>
      <c r="K893" t="s">
        <v>11110</v>
      </c>
      <c r="L893" t="s">
        <v>3386</v>
      </c>
      <c r="M893" t="s">
        <v>11908</v>
      </c>
      <c r="N893" t="s">
        <v>3363</v>
      </c>
      <c r="O893" t="s">
        <v>3357</v>
      </c>
      <c r="P893" t="s">
        <v>3362</v>
      </c>
      <c r="Q893" t="s">
        <v>3365</v>
      </c>
      <c r="R893" t="s">
        <v>15211</v>
      </c>
      <c r="S893" t="s">
        <v>15211</v>
      </c>
      <c r="T893" t="s">
        <v>3379</v>
      </c>
      <c r="U893" t="s">
        <v>12794</v>
      </c>
      <c r="V893" t="s">
        <v>15220</v>
      </c>
    </row>
    <row r="894" spans="1:22">
      <c r="A894" t="s">
        <v>15385</v>
      </c>
      <c r="B894" t="s">
        <v>15443</v>
      </c>
      <c r="C894" t="s">
        <v>15452</v>
      </c>
      <c r="D894" t="s">
        <v>893</v>
      </c>
      <c r="E894" t="s">
        <v>3431</v>
      </c>
      <c r="F894" t="s">
        <v>3462</v>
      </c>
      <c r="G894" s="3">
        <v>37.4356515578162</v>
      </c>
      <c r="H894" s="3">
        <v>128.055023468885</v>
      </c>
      <c r="I894" t="s">
        <v>4659</v>
      </c>
      <c r="J894" t="s">
        <v>8018</v>
      </c>
      <c r="K894" t="s">
        <v>11110</v>
      </c>
      <c r="L894" t="s">
        <v>3366</v>
      </c>
      <c r="M894" t="s">
        <v>11908</v>
      </c>
      <c r="N894" t="s">
        <v>3363</v>
      </c>
      <c r="O894" t="s">
        <v>15211</v>
      </c>
      <c r="P894" t="s">
        <v>3362</v>
      </c>
      <c r="Q894" t="s">
        <v>3363</v>
      </c>
      <c r="R894" t="s">
        <v>15211</v>
      </c>
      <c r="S894" t="s">
        <v>15211</v>
      </c>
      <c r="T894" t="s">
        <v>3376</v>
      </c>
      <c r="U894" t="s">
        <v>12795</v>
      </c>
      <c r="V894" t="s">
        <v>15220</v>
      </c>
    </row>
    <row r="895" spans="1:22">
      <c r="A895" t="s">
        <v>15385</v>
      </c>
      <c r="B895" t="s">
        <v>15443</v>
      </c>
      <c r="C895" t="s">
        <v>15452</v>
      </c>
      <c r="D895" t="s">
        <v>894</v>
      </c>
      <c r="E895" t="s">
        <v>3425</v>
      </c>
      <c r="F895" t="s">
        <v>3461</v>
      </c>
      <c r="G895" s="3">
        <v>37.435651545812803</v>
      </c>
      <c r="H895" s="3">
        <v>128.05502352293399</v>
      </c>
      <c r="I895" t="s">
        <v>4660</v>
      </c>
      <c r="J895" t="s">
        <v>8019</v>
      </c>
      <c r="K895" t="s">
        <v>11017</v>
      </c>
      <c r="L895" t="s">
        <v>3366</v>
      </c>
      <c r="M895" t="s">
        <v>11908</v>
      </c>
      <c r="N895" t="s">
        <v>3363</v>
      </c>
      <c r="O895" t="s">
        <v>15211</v>
      </c>
      <c r="P895" t="s">
        <v>3362</v>
      </c>
      <c r="Q895" t="s">
        <v>3363</v>
      </c>
      <c r="R895" t="s">
        <v>15211</v>
      </c>
      <c r="S895" t="s">
        <v>15211</v>
      </c>
      <c r="T895" t="s">
        <v>3376</v>
      </c>
      <c r="U895" t="s">
        <v>12796</v>
      </c>
      <c r="V895" t="s">
        <v>15220</v>
      </c>
    </row>
    <row r="896" spans="1:22" hidden="1">
      <c r="A896" t="s">
        <v>15385</v>
      </c>
      <c r="B896" t="s">
        <v>15441</v>
      </c>
      <c r="C896" t="s">
        <v>15445</v>
      </c>
      <c r="D896" t="s">
        <v>895</v>
      </c>
      <c r="E896" t="s">
        <v>3435</v>
      </c>
      <c r="F896" t="s">
        <v>3461</v>
      </c>
      <c r="G896" s="3">
        <v>37.435651499268197</v>
      </c>
      <c r="H896" s="3">
        <v>128.055023384397</v>
      </c>
      <c r="I896" t="s">
        <v>4661</v>
      </c>
      <c r="J896" t="s">
        <v>8020</v>
      </c>
      <c r="K896" t="s">
        <v>11111</v>
      </c>
      <c r="L896" t="s">
        <v>3371</v>
      </c>
      <c r="M896" t="s">
        <v>11885</v>
      </c>
      <c r="N896" t="s">
        <v>3363</v>
      </c>
      <c r="O896" t="s">
        <v>3361</v>
      </c>
      <c r="P896" t="s">
        <v>15211</v>
      </c>
      <c r="Q896" t="s">
        <v>3357</v>
      </c>
      <c r="R896" t="s">
        <v>15211</v>
      </c>
      <c r="S896" t="s">
        <v>15211</v>
      </c>
      <c r="T896" t="s">
        <v>3369</v>
      </c>
      <c r="U896" t="s">
        <v>12797</v>
      </c>
      <c r="V896" t="s">
        <v>15228</v>
      </c>
    </row>
    <row r="897" spans="1:22" hidden="1">
      <c r="A897" t="s">
        <v>15385</v>
      </c>
      <c r="B897" t="s">
        <v>15441</v>
      </c>
      <c r="C897" t="s">
        <v>15445</v>
      </c>
      <c r="D897" t="s">
        <v>896</v>
      </c>
      <c r="E897" t="s">
        <v>3434</v>
      </c>
      <c r="F897" t="s">
        <v>3452</v>
      </c>
      <c r="G897" s="3">
        <v>37.435651526524602</v>
      </c>
      <c r="H897" s="3">
        <v>128.055023423552</v>
      </c>
      <c r="I897" t="s">
        <v>4662</v>
      </c>
      <c r="J897" t="s">
        <v>8021</v>
      </c>
      <c r="K897" t="s">
        <v>11111</v>
      </c>
      <c r="L897" t="s">
        <v>3366</v>
      </c>
      <c r="M897" t="s">
        <v>11885</v>
      </c>
      <c r="N897" t="s">
        <v>3363</v>
      </c>
      <c r="O897" t="s">
        <v>3361</v>
      </c>
      <c r="P897" t="s">
        <v>15211</v>
      </c>
      <c r="Q897" t="s">
        <v>15211</v>
      </c>
      <c r="R897" t="s">
        <v>15211</v>
      </c>
      <c r="S897" t="s">
        <v>15211</v>
      </c>
      <c r="T897" t="s">
        <v>3368</v>
      </c>
      <c r="U897" t="s">
        <v>12798</v>
      </c>
      <c r="V897" t="s">
        <v>15228</v>
      </c>
    </row>
    <row r="898" spans="1:22" hidden="1">
      <c r="A898" t="s">
        <v>15385</v>
      </c>
      <c r="B898" t="s">
        <v>15441</v>
      </c>
      <c r="C898" t="s">
        <v>15445</v>
      </c>
      <c r="D898" t="s">
        <v>897</v>
      </c>
      <c r="E898" t="s">
        <v>3434</v>
      </c>
      <c r="F898" t="s">
        <v>3452</v>
      </c>
      <c r="G898" s="3">
        <v>37.435651499078702</v>
      </c>
      <c r="H898" s="3">
        <v>128.05502343679399</v>
      </c>
      <c r="I898" t="s">
        <v>4663</v>
      </c>
      <c r="J898" t="s">
        <v>8022</v>
      </c>
      <c r="K898" t="s">
        <v>11111</v>
      </c>
      <c r="L898" t="s">
        <v>3366</v>
      </c>
      <c r="M898" t="s">
        <v>11885</v>
      </c>
      <c r="N898" t="s">
        <v>3363</v>
      </c>
      <c r="O898" t="s">
        <v>3361</v>
      </c>
      <c r="P898" t="s">
        <v>15211</v>
      </c>
      <c r="Q898" t="s">
        <v>15211</v>
      </c>
      <c r="R898" t="s">
        <v>15211</v>
      </c>
      <c r="S898" t="s">
        <v>15211</v>
      </c>
      <c r="T898" t="s">
        <v>3368</v>
      </c>
      <c r="U898" t="s">
        <v>12799</v>
      </c>
      <c r="V898" t="s">
        <v>15228</v>
      </c>
    </row>
    <row r="899" spans="1:22" hidden="1">
      <c r="A899" t="s">
        <v>15385</v>
      </c>
      <c r="B899" t="s">
        <v>15441</v>
      </c>
      <c r="C899" t="s">
        <v>15446</v>
      </c>
      <c r="D899" t="s">
        <v>898</v>
      </c>
      <c r="E899" t="s">
        <v>3435</v>
      </c>
      <c r="F899" t="s">
        <v>3426</v>
      </c>
      <c r="G899" s="3">
        <v>37.4356515279337</v>
      </c>
      <c r="H899" s="3">
        <v>128.055023431987</v>
      </c>
      <c r="I899" t="s">
        <v>4664</v>
      </c>
      <c r="J899" t="s">
        <v>8023</v>
      </c>
      <c r="K899" t="s">
        <v>11094</v>
      </c>
      <c r="L899" t="s">
        <v>3386</v>
      </c>
      <c r="M899" t="s">
        <v>11886</v>
      </c>
      <c r="N899" t="s">
        <v>3362</v>
      </c>
      <c r="O899" t="s">
        <v>3361</v>
      </c>
      <c r="P899" t="s">
        <v>15211</v>
      </c>
      <c r="Q899" t="s">
        <v>15211</v>
      </c>
      <c r="R899" t="s">
        <v>15211</v>
      </c>
      <c r="S899" t="s">
        <v>15211</v>
      </c>
      <c r="T899" t="s">
        <v>3367</v>
      </c>
      <c r="U899" t="s">
        <v>12800</v>
      </c>
      <c r="V899" t="s">
        <v>15229</v>
      </c>
    </row>
    <row r="900" spans="1:22" hidden="1">
      <c r="A900" t="s">
        <v>15385</v>
      </c>
      <c r="B900" t="s">
        <v>15441</v>
      </c>
      <c r="C900" t="s">
        <v>15446</v>
      </c>
      <c r="D900" t="s">
        <v>899</v>
      </c>
      <c r="E900" t="s">
        <v>3435</v>
      </c>
      <c r="F900" t="s">
        <v>3462</v>
      </c>
      <c r="G900" s="3">
        <v>37.435651523934602</v>
      </c>
      <c r="H900" s="3">
        <v>128.055023421085</v>
      </c>
      <c r="I900" t="s">
        <v>4665</v>
      </c>
      <c r="J900" t="s">
        <v>8024</v>
      </c>
      <c r="K900" t="s">
        <v>11094</v>
      </c>
      <c r="L900" t="s">
        <v>3366</v>
      </c>
      <c r="M900" t="s">
        <v>11886</v>
      </c>
      <c r="N900" t="s">
        <v>3362</v>
      </c>
      <c r="O900" t="s">
        <v>3361</v>
      </c>
      <c r="P900" t="s">
        <v>15211</v>
      </c>
      <c r="Q900" t="s">
        <v>15211</v>
      </c>
      <c r="R900" t="s">
        <v>15211</v>
      </c>
      <c r="S900" t="s">
        <v>15211</v>
      </c>
      <c r="T900" t="s">
        <v>3367</v>
      </c>
      <c r="U900" t="s">
        <v>12801</v>
      </c>
      <c r="V900" t="s">
        <v>15229</v>
      </c>
    </row>
    <row r="901" spans="1:22" hidden="1">
      <c r="A901" t="s">
        <v>15385</v>
      </c>
      <c r="B901" t="s">
        <v>15441</v>
      </c>
      <c r="C901" t="s">
        <v>15446</v>
      </c>
      <c r="D901" t="s">
        <v>900</v>
      </c>
      <c r="E901" t="s">
        <v>3435</v>
      </c>
      <c r="F901" t="s">
        <v>3426</v>
      </c>
      <c r="G901" s="3">
        <v>37.4356514874464</v>
      </c>
      <c r="H901" s="3">
        <v>128.05502338599101</v>
      </c>
      <c r="I901" t="s">
        <v>4666</v>
      </c>
      <c r="J901" t="s">
        <v>8025</v>
      </c>
      <c r="K901" t="s">
        <v>11112</v>
      </c>
      <c r="L901" t="s">
        <v>3366</v>
      </c>
      <c r="M901" t="s">
        <v>11885</v>
      </c>
      <c r="N901" t="s">
        <v>3363</v>
      </c>
      <c r="O901" t="s">
        <v>3361</v>
      </c>
      <c r="P901" t="s">
        <v>15211</v>
      </c>
      <c r="Q901" t="s">
        <v>15211</v>
      </c>
      <c r="R901" t="s">
        <v>15211</v>
      </c>
      <c r="S901" t="s">
        <v>15211</v>
      </c>
      <c r="T901" t="s">
        <v>3368</v>
      </c>
      <c r="U901" t="s">
        <v>12802</v>
      </c>
      <c r="V901" t="s">
        <v>15229</v>
      </c>
    </row>
    <row r="902" spans="1:22" hidden="1">
      <c r="A902" t="s">
        <v>15385</v>
      </c>
      <c r="B902" t="s">
        <v>15441</v>
      </c>
      <c r="C902" t="s">
        <v>15448</v>
      </c>
      <c r="D902" t="s">
        <v>901</v>
      </c>
      <c r="E902" t="s">
        <v>3429</v>
      </c>
      <c r="F902" t="s">
        <v>3466</v>
      </c>
      <c r="G902" s="3">
        <v>37.435651517781601</v>
      </c>
      <c r="H902" s="3">
        <v>128.055023147866</v>
      </c>
      <c r="I902" t="s">
        <v>4667</v>
      </c>
      <c r="J902" t="s">
        <v>8026</v>
      </c>
      <c r="K902" t="s">
        <v>11113</v>
      </c>
      <c r="L902" t="s">
        <v>3373</v>
      </c>
      <c r="M902" t="s">
        <v>11914</v>
      </c>
      <c r="N902" t="s">
        <v>3364</v>
      </c>
      <c r="O902" t="s">
        <v>3361</v>
      </c>
      <c r="P902" t="s">
        <v>3362</v>
      </c>
      <c r="Q902" t="s">
        <v>3365</v>
      </c>
      <c r="R902" t="s">
        <v>3357</v>
      </c>
      <c r="S902" t="s">
        <v>15211</v>
      </c>
      <c r="T902" t="s">
        <v>3385</v>
      </c>
      <c r="U902" t="s">
        <v>12803</v>
      </c>
      <c r="V902" t="s">
        <v>15230</v>
      </c>
    </row>
    <row r="903" spans="1:22" hidden="1">
      <c r="A903" t="s">
        <v>15385</v>
      </c>
      <c r="B903" t="s">
        <v>15441</v>
      </c>
      <c r="C903" t="s">
        <v>15448</v>
      </c>
      <c r="D903" t="s">
        <v>902</v>
      </c>
      <c r="E903" t="s">
        <v>3435</v>
      </c>
      <c r="F903" t="s">
        <v>3464</v>
      </c>
      <c r="G903" s="3">
        <v>37.435651520970602</v>
      </c>
      <c r="H903" s="3">
        <v>128.05502314024</v>
      </c>
      <c r="I903" t="s">
        <v>4668</v>
      </c>
      <c r="J903" t="s">
        <v>8027</v>
      </c>
      <c r="K903" t="s">
        <v>11113</v>
      </c>
      <c r="L903" t="s">
        <v>3366</v>
      </c>
      <c r="M903" t="s">
        <v>11914</v>
      </c>
      <c r="N903" t="s">
        <v>3364</v>
      </c>
      <c r="O903" t="s">
        <v>3361</v>
      </c>
      <c r="P903" t="s">
        <v>3362</v>
      </c>
      <c r="Q903" t="s">
        <v>3363</v>
      </c>
      <c r="R903" t="s">
        <v>3357</v>
      </c>
      <c r="S903" t="s">
        <v>15211</v>
      </c>
      <c r="T903" t="s">
        <v>3383</v>
      </c>
      <c r="U903" t="s">
        <v>12804</v>
      </c>
      <c r="V903" t="s">
        <v>15230</v>
      </c>
    </row>
    <row r="904" spans="1:22" hidden="1">
      <c r="A904" t="s">
        <v>15385</v>
      </c>
      <c r="B904" t="s">
        <v>15441</v>
      </c>
      <c r="C904" t="s">
        <v>15448</v>
      </c>
      <c r="D904" t="s">
        <v>903</v>
      </c>
      <c r="E904" t="s">
        <v>3435</v>
      </c>
      <c r="F904" t="s">
        <v>3464</v>
      </c>
      <c r="G904" s="3">
        <v>37.435651517547299</v>
      </c>
      <c r="H904" s="3">
        <v>128.055023124744</v>
      </c>
      <c r="I904" t="s">
        <v>4669</v>
      </c>
      <c r="J904" t="s">
        <v>8028</v>
      </c>
      <c r="K904" t="s">
        <v>11113</v>
      </c>
      <c r="L904" t="s">
        <v>3366</v>
      </c>
      <c r="M904" t="s">
        <v>11914</v>
      </c>
      <c r="N904" t="s">
        <v>3364</v>
      </c>
      <c r="O904" t="s">
        <v>3361</v>
      </c>
      <c r="P904" t="s">
        <v>3362</v>
      </c>
      <c r="Q904" t="s">
        <v>3363</v>
      </c>
      <c r="R904" t="s">
        <v>3357</v>
      </c>
      <c r="S904" t="s">
        <v>15211</v>
      </c>
      <c r="T904" t="s">
        <v>3383</v>
      </c>
      <c r="U904" t="s">
        <v>12805</v>
      </c>
      <c r="V904" t="s">
        <v>15230</v>
      </c>
    </row>
    <row r="905" spans="1:22" hidden="1">
      <c r="A905" t="s">
        <v>15385</v>
      </c>
      <c r="B905" t="s">
        <v>15441</v>
      </c>
      <c r="C905" t="s">
        <v>15449</v>
      </c>
      <c r="D905" t="s">
        <v>904</v>
      </c>
      <c r="E905" t="s">
        <v>3427</v>
      </c>
      <c r="F905" t="s">
        <v>3435</v>
      </c>
      <c r="G905" s="3">
        <v>37.435651458293101</v>
      </c>
      <c r="H905" s="3">
        <v>128.05502317729699</v>
      </c>
      <c r="I905" t="s">
        <v>4670</v>
      </c>
      <c r="J905" t="s">
        <v>8029</v>
      </c>
      <c r="K905" t="s">
        <v>10644</v>
      </c>
      <c r="L905" t="s">
        <v>3372</v>
      </c>
      <c r="M905" t="s">
        <v>11899</v>
      </c>
      <c r="N905" t="s">
        <v>3362</v>
      </c>
      <c r="O905" t="s">
        <v>3360</v>
      </c>
      <c r="P905" t="s">
        <v>3362</v>
      </c>
      <c r="Q905" t="s">
        <v>3359</v>
      </c>
      <c r="R905" t="s">
        <v>15211</v>
      </c>
      <c r="S905" t="s">
        <v>15211</v>
      </c>
      <c r="T905" t="s">
        <v>3375</v>
      </c>
      <c r="U905" t="s">
        <v>12806</v>
      </c>
      <c r="V905" t="s">
        <v>15231</v>
      </c>
    </row>
    <row r="906" spans="1:22" hidden="1">
      <c r="A906" t="s">
        <v>15385</v>
      </c>
      <c r="B906" t="s">
        <v>15441</v>
      </c>
      <c r="C906" t="s">
        <v>15449</v>
      </c>
      <c r="D906" t="s">
        <v>905</v>
      </c>
      <c r="E906" t="s">
        <v>3427</v>
      </c>
      <c r="F906" t="s">
        <v>3429</v>
      </c>
      <c r="G906" s="3">
        <v>37.4356514312706</v>
      </c>
      <c r="H906" s="3">
        <v>128.055023158496</v>
      </c>
      <c r="I906" t="s">
        <v>4671</v>
      </c>
      <c r="J906" t="s">
        <v>8030</v>
      </c>
      <c r="K906" t="s">
        <v>10644</v>
      </c>
      <c r="L906" t="s">
        <v>3366</v>
      </c>
      <c r="M906" t="s">
        <v>11899</v>
      </c>
      <c r="N906" t="s">
        <v>3362</v>
      </c>
      <c r="O906" t="s">
        <v>3360</v>
      </c>
      <c r="P906" t="s">
        <v>3362</v>
      </c>
      <c r="Q906" t="s">
        <v>3359</v>
      </c>
      <c r="R906" t="s">
        <v>15211</v>
      </c>
      <c r="S906" t="s">
        <v>15211</v>
      </c>
      <c r="T906" t="s">
        <v>3375</v>
      </c>
      <c r="U906" t="s">
        <v>12807</v>
      </c>
      <c r="V906" t="s">
        <v>15231</v>
      </c>
    </row>
    <row r="907" spans="1:22" hidden="1">
      <c r="A907" t="s">
        <v>15385</v>
      </c>
      <c r="B907" t="s">
        <v>15441</v>
      </c>
      <c r="C907" t="s">
        <v>15449</v>
      </c>
      <c r="D907" t="s">
        <v>906</v>
      </c>
      <c r="E907" t="s">
        <v>3427</v>
      </c>
      <c r="F907" t="s">
        <v>3430</v>
      </c>
      <c r="G907" s="3">
        <v>37.435651427381103</v>
      </c>
      <c r="H907" s="3">
        <v>128.05502315860201</v>
      </c>
      <c r="I907" t="s">
        <v>4672</v>
      </c>
      <c r="J907" t="s">
        <v>8031</v>
      </c>
      <c r="K907" t="s">
        <v>10644</v>
      </c>
      <c r="L907" t="s">
        <v>3366</v>
      </c>
      <c r="M907" t="s">
        <v>11899</v>
      </c>
      <c r="N907" t="s">
        <v>3362</v>
      </c>
      <c r="O907" t="s">
        <v>3360</v>
      </c>
      <c r="P907" t="s">
        <v>3362</v>
      </c>
      <c r="Q907" t="s">
        <v>3359</v>
      </c>
      <c r="R907" t="s">
        <v>15211</v>
      </c>
      <c r="S907" t="s">
        <v>15211</v>
      </c>
      <c r="T907" t="s">
        <v>3375</v>
      </c>
      <c r="U907" t="s">
        <v>12808</v>
      </c>
      <c r="V907" t="s">
        <v>15231</v>
      </c>
    </row>
    <row r="908" spans="1:22" hidden="1">
      <c r="A908" t="s">
        <v>15307</v>
      </c>
      <c r="B908" t="s">
        <v>15441</v>
      </c>
      <c r="C908" t="s">
        <v>15445</v>
      </c>
      <c r="D908" t="s">
        <v>907</v>
      </c>
      <c r="E908" t="s">
        <v>3457</v>
      </c>
      <c r="F908" t="s">
        <v>3439</v>
      </c>
      <c r="G908" s="3">
        <v>36.211279649709802</v>
      </c>
      <c r="H908" s="3">
        <v>127.110627487459</v>
      </c>
      <c r="I908" t="s">
        <v>4673</v>
      </c>
      <c r="J908" t="s">
        <v>8032</v>
      </c>
      <c r="K908" t="s">
        <v>10621</v>
      </c>
      <c r="L908" t="s">
        <v>3366</v>
      </c>
      <c r="M908" t="s">
        <v>11903</v>
      </c>
      <c r="N908" t="s">
        <v>3366</v>
      </c>
      <c r="O908" t="s">
        <v>3362</v>
      </c>
      <c r="P908" t="s">
        <v>15211</v>
      </c>
      <c r="Q908" t="s">
        <v>15211</v>
      </c>
      <c r="R908" t="s">
        <v>15211</v>
      </c>
      <c r="S908" t="s">
        <v>15211</v>
      </c>
      <c r="T908" t="s">
        <v>3372</v>
      </c>
      <c r="U908" t="s">
        <v>12809</v>
      </c>
      <c r="V908" t="s">
        <v>15228</v>
      </c>
    </row>
    <row r="909" spans="1:22" hidden="1">
      <c r="A909" t="s">
        <v>15307</v>
      </c>
      <c r="B909" t="s">
        <v>15441</v>
      </c>
      <c r="C909" t="s">
        <v>15445</v>
      </c>
      <c r="D909" t="s">
        <v>908</v>
      </c>
      <c r="E909" t="s">
        <v>3457</v>
      </c>
      <c r="F909" t="s">
        <v>3439</v>
      </c>
      <c r="G909" s="3">
        <v>36.211279654060903</v>
      </c>
      <c r="H909" s="3">
        <v>127.110627501099</v>
      </c>
      <c r="I909" t="s">
        <v>4674</v>
      </c>
      <c r="J909" t="s">
        <v>8033</v>
      </c>
      <c r="K909" t="s">
        <v>3658</v>
      </c>
      <c r="L909" t="s">
        <v>3366</v>
      </c>
      <c r="M909" t="s">
        <v>11903</v>
      </c>
      <c r="N909" t="s">
        <v>3366</v>
      </c>
      <c r="O909" t="s">
        <v>3362</v>
      </c>
      <c r="P909" t="s">
        <v>15211</v>
      </c>
      <c r="Q909" t="s">
        <v>15211</v>
      </c>
      <c r="R909" t="s">
        <v>15211</v>
      </c>
      <c r="S909" t="s">
        <v>15211</v>
      </c>
      <c r="T909" t="s">
        <v>3372</v>
      </c>
      <c r="U909" t="s">
        <v>12810</v>
      </c>
      <c r="V909" t="s">
        <v>15228</v>
      </c>
    </row>
    <row r="910" spans="1:22" hidden="1">
      <c r="A910" t="s">
        <v>15307</v>
      </c>
      <c r="B910" t="s">
        <v>15441</v>
      </c>
      <c r="C910" t="s">
        <v>15445</v>
      </c>
      <c r="D910" t="s">
        <v>909</v>
      </c>
      <c r="E910" t="s">
        <v>3457</v>
      </c>
      <c r="F910" t="s">
        <v>3437</v>
      </c>
      <c r="G910" s="3">
        <v>36.211279657000901</v>
      </c>
      <c r="H910" s="3">
        <v>127.11062749326599</v>
      </c>
      <c r="I910" t="s">
        <v>4675</v>
      </c>
      <c r="J910" t="s">
        <v>8034</v>
      </c>
      <c r="K910" t="s">
        <v>3658</v>
      </c>
      <c r="L910" t="s">
        <v>3366</v>
      </c>
      <c r="M910" t="s">
        <v>11903</v>
      </c>
      <c r="N910" t="s">
        <v>3366</v>
      </c>
      <c r="O910" t="s">
        <v>3362</v>
      </c>
      <c r="P910" t="s">
        <v>15211</v>
      </c>
      <c r="Q910" t="s">
        <v>15211</v>
      </c>
      <c r="R910" t="s">
        <v>15211</v>
      </c>
      <c r="S910" t="s">
        <v>15211</v>
      </c>
      <c r="T910" t="s">
        <v>3372</v>
      </c>
      <c r="U910" t="s">
        <v>12811</v>
      </c>
      <c r="V910" t="s">
        <v>15228</v>
      </c>
    </row>
    <row r="911" spans="1:22" hidden="1">
      <c r="A911" t="s">
        <v>15307</v>
      </c>
      <c r="B911" t="s">
        <v>15441</v>
      </c>
      <c r="C911" t="s">
        <v>15446</v>
      </c>
      <c r="D911" t="s">
        <v>910</v>
      </c>
      <c r="E911" t="s">
        <v>3457</v>
      </c>
      <c r="F911" t="s">
        <v>3439</v>
      </c>
      <c r="G911" s="3">
        <v>36.211279684439603</v>
      </c>
      <c r="H911" s="3">
        <v>127.110627489078</v>
      </c>
      <c r="I911" t="s">
        <v>4676</v>
      </c>
      <c r="J911" t="s">
        <v>8035</v>
      </c>
      <c r="K911" t="s">
        <v>3761</v>
      </c>
      <c r="L911" t="s">
        <v>3366</v>
      </c>
      <c r="M911" t="s">
        <v>11903</v>
      </c>
      <c r="N911" t="s">
        <v>3366</v>
      </c>
      <c r="O911" t="s">
        <v>3362</v>
      </c>
      <c r="P911" t="s">
        <v>15211</v>
      </c>
      <c r="Q911" t="s">
        <v>15211</v>
      </c>
      <c r="R911" t="s">
        <v>15211</v>
      </c>
      <c r="S911" t="s">
        <v>15211</v>
      </c>
      <c r="T911" t="s">
        <v>3372</v>
      </c>
      <c r="U911" t="s">
        <v>12812</v>
      </c>
      <c r="V911" t="s">
        <v>15229</v>
      </c>
    </row>
    <row r="912" spans="1:22" hidden="1">
      <c r="A912" t="s">
        <v>15307</v>
      </c>
      <c r="B912" t="s">
        <v>15441</v>
      </c>
      <c r="C912" t="s">
        <v>15446</v>
      </c>
      <c r="D912" t="s">
        <v>911</v>
      </c>
      <c r="E912" t="s">
        <v>3457</v>
      </c>
      <c r="F912" t="s">
        <v>3439</v>
      </c>
      <c r="G912" s="3">
        <v>36.211279675714302</v>
      </c>
      <c r="H912" s="3">
        <v>127.110627486795</v>
      </c>
      <c r="I912" t="s">
        <v>4677</v>
      </c>
      <c r="J912" t="s">
        <v>8036</v>
      </c>
      <c r="K912" t="s">
        <v>3761</v>
      </c>
      <c r="L912" t="s">
        <v>3366</v>
      </c>
      <c r="M912" t="s">
        <v>11903</v>
      </c>
      <c r="N912" t="s">
        <v>3366</v>
      </c>
      <c r="O912" t="s">
        <v>3362</v>
      </c>
      <c r="P912" t="s">
        <v>15211</v>
      </c>
      <c r="Q912" t="s">
        <v>15211</v>
      </c>
      <c r="R912" t="s">
        <v>15211</v>
      </c>
      <c r="S912" t="s">
        <v>15211</v>
      </c>
      <c r="T912" t="s">
        <v>3372</v>
      </c>
      <c r="U912" t="s">
        <v>12812</v>
      </c>
      <c r="V912" t="s">
        <v>15229</v>
      </c>
    </row>
    <row r="913" spans="1:22" hidden="1">
      <c r="A913" t="s">
        <v>15307</v>
      </c>
      <c r="B913" t="s">
        <v>15441</v>
      </c>
      <c r="C913" t="s">
        <v>15446</v>
      </c>
      <c r="D913" t="s">
        <v>912</v>
      </c>
      <c r="E913" t="s">
        <v>3457</v>
      </c>
      <c r="F913" t="s">
        <v>3439</v>
      </c>
      <c r="G913" s="3">
        <v>36.211279660111799</v>
      </c>
      <c r="H913" s="3">
        <v>127.110627500379</v>
      </c>
      <c r="I913" t="s">
        <v>4678</v>
      </c>
      <c r="J913" t="s">
        <v>8037</v>
      </c>
      <c r="K913" t="s">
        <v>3761</v>
      </c>
      <c r="L913" t="s">
        <v>3366</v>
      </c>
      <c r="M913" t="s">
        <v>11903</v>
      </c>
      <c r="N913" t="s">
        <v>3366</v>
      </c>
      <c r="O913" t="s">
        <v>3362</v>
      </c>
      <c r="P913" t="s">
        <v>15211</v>
      </c>
      <c r="Q913" t="s">
        <v>15211</v>
      </c>
      <c r="R913" t="s">
        <v>15211</v>
      </c>
      <c r="S913" t="s">
        <v>15211</v>
      </c>
      <c r="T913" t="s">
        <v>3372</v>
      </c>
      <c r="U913" t="s">
        <v>12813</v>
      </c>
      <c r="V913" t="s">
        <v>15229</v>
      </c>
    </row>
    <row r="914" spans="1:22" hidden="1">
      <c r="A914" t="s">
        <v>15307</v>
      </c>
      <c r="B914" t="s">
        <v>15441</v>
      </c>
      <c r="C914" t="s">
        <v>15447</v>
      </c>
      <c r="D914" t="s">
        <v>913</v>
      </c>
      <c r="E914" t="s">
        <v>3457</v>
      </c>
      <c r="F914" t="s">
        <v>3439</v>
      </c>
      <c r="G914" s="3">
        <v>36.2112796756116</v>
      </c>
      <c r="H914" s="3">
        <v>127.110627498607</v>
      </c>
      <c r="I914" t="s">
        <v>4679</v>
      </c>
      <c r="J914" t="s">
        <v>8038</v>
      </c>
      <c r="K914" t="s">
        <v>11114</v>
      </c>
      <c r="L914" t="s">
        <v>3366</v>
      </c>
      <c r="M914" t="s">
        <v>11902</v>
      </c>
      <c r="N914" t="s">
        <v>3366</v>
      </c>
      <c r="O914" t="s">
        <v>15211</v>
      </c>
      <c r="P914" t="s">
        <v>15211</v>
      </c>
      <c r="Q914" t="s">
        <v>15211</v>
      </c>
      <c r="R914" t="s">
        <v>15211</v>
      </c>
      <c r="S914" t="s">
        <v>15211</v>
      </c>
      <c r="T914" t="s">
        <v>3366</v>
      </c>
      <c r="U914" t="s">
        <v>12814</v>
      </c>
      <c r="V914" t="s">
        <v>15235</v>
      </c>
    </row>
    <row r="915" spans="1:22" hidden="1">
      <c r="A915" t="s">
        <v>15307</v>
      </c>
      <c r="B915" t="s">
        <v>15441</v>
      </c>
      <c r="C915" t="s">
        <v>15447</v>
      </c>
      <c r="D915" t="s">
        <v>914</v>
      </c>
      <c r="E915" t="s">
        <v>3457</v>
      </c>
      <c r="F915" t="s">
        <v>3439</v>
      </c>
      <c r="G915" s="3">
        <v>36.211279662118599</v>
      </c>
      <c r="H915" s="3">
        <v>127.110627495735</v>
      </c>
      <c r="I915" t="s">
        <v>4680</v>
      </c>
      <c r="J915" t="s">
        <v>8039</v>
      </c>
      <c r="K915" t="s">
        <v>11114</v>
      </c>
      <c r="L915" t="s">
        <v>3366</v>
      </c>
      <c r="M915" t="s">
        <v>11902</v>
      </c>
      <c r="N915" t="s">
        <v>3366</v>
      </c>
      <c r="O915" t="s">
        <v>15211</v>
      </c>
      <c r="P915" t="s">
        <v>15211</v>
      </c>
      <c r="Q915" t="s">
        <v>15211</v>
      </c>
      <c r="R915" t="s">
        <v>15211</v>
      </c>
      <c r="S915" t="s">
        <v>15211</v>
      </c>
      <c r="T915" t="s">
        <v>3366</v>
      </c>
      <c r="U915" t="s">
        <v>12815</v>
      </c>
      <c r="V915" t="s">
        <v>15235</v>
      </c>
    </row>
    <row r="916" spans="1:22" hidden="1">
      <c r="A916" t="s">
        <v>15307</v>
      </c>
      <c r="B916" t="s">
        <v>15441</v>
      </c>
      <c r="C916" t="s">
        <v>15447</v>
      </c>
      <c r="D916" t="s">
        <v>915</v>
      </c>
      <c r="E916" t="s">
        <v>3443</v>
      </c>
      <c r="F916" t="s">
        <v>3437</v>
      </c>
      <c r="G916" s="3">
        <v>36.211279680729</v>
      </c>
      <c r="H916" s="3">
        <v>127.11062747101001</v>
      </c>
      <c r="I916" t="s">
        <v>4681</v>
      </c>
      <c r="J916" t="s">
        <v>8040</v>
      </c>
      <c r="K916" t="s">
        <v>11114</v>
      </c>
      <c r="L916" t="s">
        <v>3366</v>
      </c>
      <c r="M916" t="s">
        <v>11902</v>
      </c>
      <c r="N916" t="s">
        <v>3366</v>
      </c>
      <c r="O916" t="s">
        <v>15211</v>
      </c>
      <c r="P916" t="s">
        <v>15211</v>
      </c>
      <c r="Q916" t="s">
        <v>15211</v>
      </c>
      <c r="R916" t="s">
        <v>15211</v>
      </c>
      <c r="S916" t="s">
        <v>15211</v>
      </c>
      <c r="T916" t="s">
        <v>3366</v>
      </c>
      <c r="U916" t="s">
        <v>12816</v>
      </c>
      <c r="V916" t="s">
        <v>15235</v>
      </c>
    </row>
    <row r="917" spans="1:22" hidden="1">
      <c r="A917" t="s">
        <v>15307</v>
      </c>
      <c r="B917" t="s">
        <v>15441</v>
      </c>
      <c r="C917" t="s">
        <v>15448</v>
      </c>
      <c r="D917" t="s">
        <v>916</v>
      </c>
      <c r="E917" t="s">
        <v>3437</v>
      </c>
      <c r="F917" t="s">
        <v>3428</v>
      </c>
      <c r="G917" s="3">
        <v>36.2112796305939</v>
      </c>
      <c r="H917" s="3">
        <v>127.110627498528</v>
      </c>
      <c r="I917" t="s">
        <v>4682</v>
      </c>
      <c r="J917" t="s">
        <v>8041</v>
      </c>
      <c r="K917" t="s">
        <v>11115</v>
      </c>
      <c r="L917" t="s">
        <v>3366</v>
      </c>
      <c r="M917" t="s">
        <v>11913</v>
      </c>
      <c r="N917" t="s">
        <v>3366</v>
      </c>
      <c r="O917" t="s">
        <v>3362</v>
      </c>
      <c r="P917" t="s">
        <v>3363</v>
      </c>
      <c r="Q917" t="s">
        <v>3362</v>
      </c>
      <c r="R917" t="s">
        <v>3358</v>
      </c>
      <c r="S917" t="s">
        <v>15211</v>
      </c>
      <c r="T917" t="s">
        <v>3387</v>
      </c>
      <c r="U917" t="s">
        <v>12817</v>
      </c>
      <c r="V917" t="s">
        <v>15230</v>
      </c>
    </row>
    <row r="918" spans="1:22" hidden="1">
      <c r="A918" t="s">
        <v>15307</v>
      </c>
      <c r="B918" t="s">
        <v>15441</v>
      </c>
      <c r="C918" t="s">
        <v>15448</v>
      </c>
      <c r="D918" t="s">
        <v>917</v>
      </c>
      <c r="E918" t="s">
        <v>3437</v>
      </c>
      <c r="F918" t="s">
        <v>3436</v>
      </c>
      <c r="G918" s="3">
        <v>36.211279639250101</v>
      </c>
      <c r="H918" s="3">
        <v>127.110627492237</v>
      </c>
      <c r="I918" t="s">
        <v>4683</v>
      </c>
      <c r="J918" t="s">
        <v>8042</v>
      </c>
      <c r="K918" t="s">
        <v>11116</v>
      </c>
      <c r="L918" t="s">
        <v>3366</v>
      </c>
      <c r="M918" t="s">
        <v>11913</v>
      </c>
      <c r="N918" t="s">
        <v>3366</v>
      </c>
      <c r="O918" t="s">
        <v>3362</v>
      </c>
      <c r="P918" t="s">
        <v>3363</v>
      </c>
      <c r="Q918" t="s">
        <v>3363</v>
      </c>
      <c r="R918" t="s">
        <v>3358</v>
      </c>
      <c r="S918" t="s">
        <v>15211</v>
      </c>
      <c r="T918" t="s">
        <v>3388</v>
      </c>
      <c r="U918" t="s">
        <v>12818</v>
      </c>
      <c r="V918" t="s">
        <v>15230</v>
      </c>
    </row>
    <row r="919" spans="1:22" hidden="1">
      <c r="A919" t="s">
        <v>15307</v>
      </c>
      <c r="B919" t="s">
        <v>15441</v>
      </c>
      <c r="C919" t="s">
        <v>15448</v>
      </c>
      <c r="D919" t="s">
        <v>918</v>
      </c>
      <c r="E919" t="s">
        <v>3440</v>
      </c>
      <c r="F919" t="s">
        <v>3425</v>
      </c>
      <c r="G919" s="3">
        <v>36.211279642251597</v>
      </c>
      <c r="H919" s="3">
        <v>127.110627487824</v>
      </c>
      <c r="I919" t="s">
        <v>4684</v>
      </c>
      <c r="J919" t="s">
        <v>8043</v>
      </c>
      <c r="K919" t="s">
        <v>10804</v>
      </c>
      <c r="L919" t="s">
        <v>3366</v>
      </c>
      <c r="M919" t="s">
        <v>11906</v>
      </c>
      <c r="N919" t="s">
        <v>3366</v>
      </c>
      <c r="O919" t="s">
        <v>3362</v>
      </c>
      <c r="P919" t="s">
        <v>3363</v>
      </c>
      <c r="Q919" t="s">
        <v>3363</v>
      </c>
      <c r="R919" t="s">
        <v>3358</v>
      </c>
      <c r="S919" t="s">
        <v>15211</v>
      </c>
      <c r="T919" t="s">
        <v>3388</v>
      </c>
      <c r="U919" t="s">
        <v>12819</v>
      </c>
      <c r="V919" t="s">
        <v>15230</v>
      </c>
    </row>
    <row r="920" spans="1:22" hidden="1">
      <c r="A920" t="s">
        <v>15307</v>
      </c>
      <c r="B920" t="s">
        <v>15441</v>
      </c>
      <c r="C920" t="s">
        <v>15449</v>
      </c>
      <c r="D920" t="s">
        <v>919</v>
      </c>
      <c r="E920" t="s">
        <v>3443</v>
      </c>
      <c r="F920" t="s">
        <v>3438</v>
      </c>
      <c r="G920" s="3">
        <v>36.2112796494783</v>
      </c>
      <c r="H920" s="3">
        <v>127.110627476891</v>
      </c>
      <c r="I920" t="s">
        <v>4685</v>
      </c>
      <c r="J920" t="s">
        <v>8044</v>
      </c>
      <c r="K920" t="s">
        <v>11117</v>
      </c>
      <c r="L920" t="s">
        <v>3366</v>
      </c>
      <c r="M920" t="s">
        <v>11913</v>
      </c>
      <c r="N920" t="s">
        <v>3365</v>
      </c>
      <c r="O920" t="s">
        <v>3362</v>
      </c>
      <c r="P920" t="s">
        <v>3363</v>
      </c>
      <c r="Q920" t="s">
        <v>3363</v>
      </c>
      <c r="R920" t="s">
        <v>3358</v>
      </c>
      <c r="S920" t="s">
        <v>15211</v>
      </c>
      <c r="T920" t="s">
        <v>3387</v>
      </c>
      <c r="U920" t="s">
        <v>12820</v>
      </c>
      <c r="V920" t="s">
        <v>15231</v>
      </c>
    </row>
    <row r="921" spans="1:22" hidden="1">
      <c r="A921" t="s">
        <v>15307</v>
      </c>
      <c r="B921" t="s">
        <v>15441</v>
      </c>
      <c r="C921" t="s">
        <v>15449</v>
      </c>
      <c r="D921" t="s">
        <v>920</v>
      </c>
      <c r="E921" t="s">
        <v>3443</v>
      </c>
      <c r="F921" t="s">
        <v>3438</v>
      </c>
      <c r="G921" s="3">
        <v>36.211279646511201</v>
      </c>
      <c r="H921" s="3">
        <v>127.110627473283</v>
      </c>
      <c r="I921" t="s">
        <v>4686</v>
      </c>
      <c r="J921" t="s">
        <v>8045</v>
      </c>
      <c r="K921" t="s">
        <v>11118</v>
      </c>
      <c r="L921" t="s">
        <v>3366</v>
      </c>
      <c r="M921" t="s">
        <v>11907</v>
      </c>
      <c r="N921" t="s">
        <v>3365</v>
      </c>
      <c r="O921" t="s">
        <v>3362</v>
      </c>
      <c r="P921" t="s">
        <v>3363</v>
      </c>
      <c r="Q921" t="s">
        <v>3363</v>
      </c>
      <c r="R921" t="s">
        <v>3358</v>
      </c>
      <c r="S921" t="s">
        <v>15211</v>
      </c>
      <c r="T921" t="s">
        <v>3387</v>
      </c>
      <c r="U921" t="s">
        <v>12821</v>
      </c>
      <c r="V921" t="s">
        <v>15231</v>
      </c>
    </row>
    <row r="922" spans="1:22" hidden="1">
      <c r="A922" t="s">
        <v>15307</v>
      </c>
      <c r="B922" t="s">
        <v>15441</v>
      </c>
      <c r="C922" t="s">
        <v>15449</v>
      </c>
      <c r="D922" t="s">
        <v>921</v>
      </c>
      <c r="E922" t="s">
        <v>3439</v>
      </c>
      <c r="F922" t="s">
        <v>3427</v>
      </c>
      <c r="G922" s="3">
        <v>36.211279652055403</v>
      </c>
      <c r="H922" s="3">
        <v>127.110627472876</v>
      </c>
      <c r="I922" t="s">
        <v>4687</v>
      </c>
      <c r="J922" t="s">
        <v>8046</v>
      </c>
      <c r="K922" t="s">
        <v>11118</v>
      </c>
      <c r="L922" t="s">
        <v>3366</v>
      </c>
      <c r="M922" t="s">
        <v>11907</v>
      </c>
      <c r="N922" t="s">
        <v>3365</v>
      </c>
      <c r="O922" t="s">
        <v>3362</v>
      </c>
      <c r="P922" t="s">
        <v>3363</v>
      </c>
      <c r="Q922" t="s">
        <v>3362</v>
      </c>
      <c r="R922" t="s">
        <v>3358</v>
      </c>
      <c r="S922" t="s">
        <v>15211</v>
      </c>
      <c r="T922" t="s">
        <v>3386</v>
      </c>
      <c r="U922" t="s">
        <v>12822</v>
      </c>
      <c r="V922" t="s">
        <v>15231</v>
      </c>
    </row>
    <row r="923" spans="1:22" hidden="1">
      <c r="A923" t="s">
        <v>15307</v>
      </c>
      <c r="B923" t="s">
        <v>15442</v>
      </c>
      <c r="C923" t="s">
        <v>15450</v>
      </c>
      <c r="D923" t="s">
        <v>922</v>
      </c>
      <c r="E923" t="s">
        <v>3443</v>
      </c>
      <c r="F923" t="s">
        <v>3437</v>
      </c>
      <c r="G923" s="3">
        <v>36.211279610366802</v>
      </c>
      <c r="H923" s="3">
        <v>127.110627451884</v>
      </c>
      <c r="I923" t="s">
        <v>4688</v>
      </c>
      <c r="J923" t="s">
        <v>8047</v>
      </c>
      <c r="K923" t="s">
        <v>10550</v>
      </c>
      <c r="L923" t="s">
        <v>3366</v>
      </c>
      <c r="M923" t="s">
        <v>11895</v>
      </c>
      <c r="N923" t="s">
        <v>3365</v>
      </c>
      <c r="O923" t="s">
        <v>3362</v>
      </c>
      <c r="P923" t="s">
        <v>15211</v>
      </c>
      <c r="Q923" t="s">
        <v>15211</v>
      </c>
      <c r="R923" t="s">
        <v>15211</v>
      </c>
      <c r="S923" t="s">
        <v>15211</v>
      </c>
      <c r="T923" t="s">
        <v>3371</v>
      </c>
      <c r="U923" t="s">
        <v>12823</v>
      </c>
      <c r="V923" t="s">
        <v>15232</v>
      </c>
    </row>
    <row r="924" spans="1:22" hidden="1">
      <c r="A924" t="s">
        <v>15307</v>
      </c>
      <c r="B924" t="s">
        <v>15442</v>
      </c>
      <c r="C924" t="s">
        <v>15450</v>
      </c>
      <c r="D924" t="s">
        <v>923</v>
      </c>
      <c r="E924" t="s">
        <v>3443</v>
      </c>
      <c r="F924" t="s">
        <v>3437</v>
      </c>
      <c r="G924" s="3">
        <v>36.2112795880129</v>
      </c>
      <c r="H924" s="3">
        <v>127.11062745131299</v>
      </c>
      <c r="I924" t="s">
        <v>4689</v>
      </c>
      <c r="J924" t="s">
        <v>8048</v>
      </c>
      <c r="K924" t="s">
        <v>10564</v>
      </c>
      <c r="L924" t="s">
        <v>3366</v>
      </c>
      <c r="M924" t="s">
        <v>11903</v>
      </c>
      <c r="N924" t="s">
        <v>3365</v>
      </c>
      <c r="O924" t="s">
        <v>3363</v>
      </c>
      <c r="P924" t="s">
        <v>15211</v>
      </c>
      <c r="Q924" t="s">
        <v>15211</v>
      </c>
      <c r="R924" t="s">
        <v>15211</v>
      </c>
      <c r="S924" t="s">
        <v>15211</v>
      </c>
      <c r="T924" t="s">
        <v>3372</v>
      </c>
      <c r="U924" t="s">
        <v>12824</v>
      </c>
      <c r="V924" t="s">
        <v>15232</v>
      </c>
    </row>
    <row r="925" spans="1:22" hidden="1">
      <c r="A925" t="s">
        <v>15307</v>
      </c>
      <c r="B925" t="s">
        <v>15442</v>
      </c>
      <c r="C925" t="s">
        <v>15450</v>
      </c>
      <c r="D925" t="s">
        <v>924</v>
      </c>
      <c r="E925" t="s">
        <v>3443</v>
      </c>
      <c r="F925" t="s">
        <v>3437</v>
      </c>
      <c r="G925" s="3">
        <v>36.211279598990401</v>
      </c>
      <c r="H925" s="3">
        <v>127.110627473889</v>
      </c>
      <c r="I925" t="s">
        <v>4690</v>
      </c>
      <c r="J925" t="s">
        <v>8049</v>
      </c>
      <c r="K925" t="s">
        <v>10564</v>
      </c>
      <c r="L925" t="s">
        <v>3366</v>
      </c>
      <c r="M925" t="s">
        <v>11903</v>
      </c>
      <c r="N925" t="s">
        <v>3365</v>
      </c>
      <c r="O925" t="s">
        <v>3363</v>
      </c>
      <c r="P925" t="s">
        <v>15211</v>
      </c>
      <c r="Q925" t="s">
        <v>15211</v>
      </c>
      <c r="R925" t="s">
        <v>15211</v>
      </c>
      <c r="S925" t="s">
        <v>15211</v>
      </c>
      <c r="T925" t="s">
        <v>3372</v>
      </c>
      <c r="U925" t="s">
        <v>12825</v>
      </c>
      <c r="V925" t="s">
        <v>15232</v>
      </c>
    </row>
    <row r="926" spans="1:22" hidden="1">
      <c r="A926" t="s">
        <v>15307</v>
      </c>
      <c r="B926" t="s">
        <v>15442</v>
      </c>
      <c r="C926" t="s">
        <v>15445</v>
      </c>
      <c r="D926" t="s">
        <v>925</v>
      </c>
      <c r="E926" t="s">
        <v>3457</v>
      </c>
      <c r="F926" t="s">
        <v>3439</v>
      </c>
      <c r="G926" s="3">
        <v>36.211279617558198</v>
      </c>
      <c r="H926" s="3">
        <v>127.11062745266101</v>
      </c>
      <c r="I926" t="s">
        <v>4691</v>
      </c>
      <c r="J926" t="s">
        <v>8050</v>
      </c>
      <c r="K926" t="s">
        <v>10604</v>
      </c>
      <c r="L926" t="s">
        <v>3366</v>
      </c>
      <c r="M926" t="s">
        <v>11903</v>
      </c>
      <c r="N926" t="s">
        <v>3365</v>
      </c>
      <c r="O926" t="s">
        <v>3363</v>
      </c>
      <c r="P926" t="s">
        <v>15211</v>
      </c>
      <c r="Q926" t="s">
        <v>15211</v>
      </c>
      <c r="R926" t="s">
        <v>15211</v>
      </c>
      <c r="S926" t="s">
        <v>15211</v>
      </c>
      <c r="T926" t="s">
        <v>3372</v>
      </c>
      <c r="U926" t="s">
        <v>12826</v>
      </c>
      <c r="V926" t="s">
        <v>15233</v>
      </c>
    </row>
    <row r="927" spans="1:22" hidden="1">
      <c r="A927" t="s">
        <v>15307</v>
      </c>
      <c r="B927" t="s">
        <v>15442</v>
      </c>
      <c r="C927" t="s">
        <v>15445</v>
      </c>
      <c r="D927" t="s">
        <v>926</v>
      </c>
      <c r="E927" t="s">
        <v>3457</v>
      </c>
      <c r="F927" t="s">
        <v>3439</v>
      </c>
      <c r="G927" s="3">
        <v>36.211279611278101</v>
      </c>
      <c r="H927" s="3">
        <v>127.110627482049</v>
      </c>
      <c r="I927" t="s">
        <v>4692</v>
      </c>
      <c r="J927" t="s">
        <v>8051</v>
      </c>
      <c r="K927" t="s">
        <v>11119</v>
      </c>
      <c r="L927" t="s">
        <v>3366</v>
      </c>
      <c r="M927" t="s">
        <v>11903</v>
      </c>
      <c r="N927" t="s">
        <v>3365</v>
      </c>
      <c r="O927" t="s">
        <v>3363</v>
      </c>
      <c r="P927" t="s">
        <v>15211</v>
      </c>
      <c r="Q927" t="s">
        <v>15211</v>
      </c>
      <c r="R927" t="s">
        <v>15211</v>
      </c>
      <c r="S927" t="s">
        <v>15211</v>
      </c>
      <c r="T927" t="s">
        <v>3372</v>
      </c>
      <c r="U927" t="s">
        <v>12827</v>
      </c>
      <c r="V927" t="s">
        <v>15233</v>
      </c>
    </row>
    <row r="928" spans="1:22" hidden="1">
      <c r="A928" t="s">
        <v>15307</v>
      </c>
      <c r="B928" t="s">
        <v>15442</v>
      </c>
      <c r="C928" t="s">
        <v>15445</v>
      </c>
      <c r="D928" t="s">
        <v>927</v>
      </c>
      <c r="E928" t="s">
        <v>3457</v>
      </c>
      <c r="F928" t="s">
        <v>3439</v>
      </c>
      <c r="G928" s="3">
        <v>36.211279599228298</v>
      </c>
      <c r="H928" s="3">
        <v>127.110627487565</v>
      </c>
      <c r="I928" t="s">
        <v>4693</v>
      </c>
      <c r="J928" t="s">
        <v>8052</v>
      </c>
      <c r="K928" t="s">
        <v>11120</v>
      </c>
      <c r="L928" t="s">
        <v>3366</v>
      </c>
      <c r="M928" t="s">
        <v>11903</v>
      </c>
      <c r="N928" t="s">
        <v>3365</v>
      </c>
      <c r="O928" t="s">
        <v>3363</v>
      </c>
      <c r="P928" t="s">
        <v>15211</v>
      </c>
      <c r="Q928" t="s">
        <v>15211</v>
      </c>
      <c r="R928" t="s">
        <v>15211</v>
      </c>
      <c r="S928" t="s">
        <v>15211</v>
      </c>
      <c r="T928" t="s">
        <v>3372</v>
      </c>
      <c r="U928" t="s">
        <v>12828</v>
      </c>
      <c r="V928" t="s">
        <v>15233</v>
      </c>
    </row>
    <row r="929" spans="1:22" hidden="1">
      <c r="A929" t="s">
        <v>15307</v>
      </c>
      <c r="B929" t="s">
        <v>15442</v>
      </c>
      <c r="C929" t="s">
        <v>15451</v>
      </c>
      <c r="D929" t="s">
        <v>928</v>
      </c>
      <c r="E929" t="s">
        <v>3459</v>
      </c>
      <c r="F929" t="s">
        <v>3443</v>
      </c>
      <c r="G929" s="3">
        <v>36.2112796400395</v>
      </c>
      <c r="H929" s="3">
        <v>127.110627502683</v>
      </c>
      <c r="I929" t="s">
        <v>4694</v>
      </c>
      <c r="J929" t="s">
        <v>8053</v>
      </c>
      <c r="K929" t="s">
        <v>11121</v>
      </c>
      <c r="L929" t="s">
        <v>3366</v>
      </c>
      <c r="M929" t="s">
        <v>11911</v>
      </c>
      <c r="N929" t="s">
        <v>3365</v>
      </c>
      <c r="O929" t="s">
        <v>3363</v>
      </c>
      <c r="P929" t="s">
        <v>3363</v>
      </c>
      <c r="Q929" t="s">
        <v>3362</v>
      </c>
      <c r="R929" t="s">
        <v>15211</v>
      </c>
      <c r="S929" t="s">
        <v>15211</v>
      </c>
      <c r="T929" t="s">
        <v>3385</v>
      </c>
      <c r="U929" t="s">
        <v>12829</v>
      </c>
      <c r="V929" t="s">
        <v>15234</v>
      </c>
    </row>
    <row r="930" spans="1:22" hidden="1">
      <c r="A930" t="s">
        <v>15307</v>
      </c>
      <c r="B930" t="s">
        <v>15442</v>
      </c>
      <c r="C930" t="s">
        <v>15451</v>
      </c>
      <c r="D930" t="s">
        <v>929</v>
      </c>
      <c r="E930" t="s">
        <v>3459</v>
      </c>
      <c r="F930" t="s">
        <v>3439</v>
      </c>
      <c r="G930" s="3">
        <v>36.211279647165298</v>
      </c>
      <c r="H930" s="3">
        <v>127.110627497271</v>
      </c>
      <c r="I930" t="s">
        <v>4695</v>
      </c>
      <c r="J930" t="s">
        <v>8054</v>
      </c>
      <c r="K930" t="s">
        <v>11075</v>
      </c>
      <c r="L930" t="s">
        <v>3366</v>
      </c>
      <c r="M930" t="s">
        <v>11907</v>
      </c>
      <c r="N930" t="s">
        <v>3365</v>
      </c>
      <c r="O930" t="s">
        <v>3363</v>
      </c>
      <c r="P930" t="s">
        <v>3363</v>
      </c>
      <c r="Q930" t="s">
        <v>3363</v>
      </c>
      <c r="R930" t="s">
        <v>15211</v>
      </c>
      <c r="S930" t="s">
        <v>15211</v>
      </c>
      <c r="T930" t="s">
        <v>3386</v>
      </c>
      <c r="U930" t="s">
        <v>12830</v>
      </c>
      <c r="V930" t="s">
        <v>15234</v>
      </c>
    </row>
    <row r="931" spans="1:22" hidden="1">
      <c r="A931" t="s">
        <v>15307</v>
      </c>
      <c r="B931" t="s">
        <v>15442</v>
      </c>
      <c r="C931" t="s">
        <v>15451</v>
      </c>
      <c r="D931" t="s">
        <v>930</v>
      </c>
      <c r="E931" t="s">
        <v>3457</v>
      </c>
      <c r="F931" t="s">
        <v>3439</v>
      </c>
      <c r="G931" s="3">
        <v>36.211279642652002</v>
      </c>
      <c r="H931" s="3">
        <v>127.110627493064</v>
      </c>
      <c r="I931" t="s">
        <v>4696</v>
      </c>
      <c r="J931" t="s">
        <v>8055</v>
      </c>
      <c r="K931" t="s">
        <v>11122</v>
      </c>
      <c r="L931" t="s">
        <v>3366</v>
      </c>
      <c r="M931" t="s">
        <v>11911</v>
      </c>
      <c r="N931" t="s">
        <v>3365</v>
      </c>
      <c r="O931" t="s">
        <v>3363</v>
      </c>
      <c r="P931" t="s">
        <v>3363</v>
      </c>
      <c r="Q931" t="s">
        <v>3362</v>
      </c>
      <c r="R931" t="s">
        <v>15211</v>
      </c>
      <c r="S931" t="s">
        <v>15211</v>
      </c>
      <c r="T931" t="s">
        <v>3385</v>
      </c>
      <c r="U931" t="s">
        <v>12831</v>
      </c>
      <c r="V931" t="s">
        <v>15234</v>
      </c>
    </row>
    <row r="932" spans="1:22">
      <c r="A932" t="s">
        <v>15307</v>
      </c>
      <c r="B932" t="s">
        <v>15443</v>
      </c>
      <c r="C932" t="s">
        <v>15452</v>
      </c>
      <c r="D932" t="s">
        <v>931</v>
      </c>
      <c r="E932" t="s">
        <v>3438</v>
      </c>
      <c r="F932" t="s">
        <v>3435</v>
      </c>
      <c r="G932" s="3">
        <v>36.2112796045311</v>
      </c>
      <c r="H932" s="3">
        <v>127.11062748129299</v>
      </c>
      <c r="I932" t="s">
        <v>4697</v>
      </c>
      <c r="J932" t="s">
        <v>8056</v>
      </c>
      <c r="K932" t="s">
        <v>11123</v>
      </c>
      <c r="L932" t="s">
        <v>3366</v>
      </c>
      <c r="M932" t="s">
        <v>11901</v>
      </c>
      <c r="N932" t="s">
        <v>3361</v>
      </c>
      <c r="O932" t="s">
        <v>15211</v>
      </c>
      <c r="P932" t="s">
        <v>3362</v>
      </c>
      <c r="Q932" t="s">
        <v>3362</v>
      </c>
      <c r="R932" t="s">
        <v>15211</v>
      </c>
      <c r="S932" t="s">
        <v>15211</v>
      </c>
      <c r="T932" t="s">
        <v>3373</v>
      </c>
      <c r="U932" t="s">
        <v>12832</v>
      </c>
      <c r="V932" t="s">
        <v>15220</v>
      </c>
    </row>
    <row r="933" spans="1:22">
      <c r="A933" t="s">
        <v>15307</v>
      </c>
      <c r="B933" t="s">
        <v>15443</v>
      </c>
      <c r="C933" t="s">
        <v>15452</v>
      </c>
      <c r="D933" t="s">
        <v>932</v>
      </c>
      <c r="E933" t="s">
        <v>3438</v>
      </c>
      <c r="F933" t="s">
        <v>3430</v>
      </c>
      <c r="G933" s="3">
        <v>36.211279605630097</v>
      </c>
      <c r="H933" s="3">
        <v>127.11062746946401</v>
      </c>
      <c r="I933" t="s">
        <v>4698</v>
      </c>
      <c r="J933" t="s">
        <v>8057</v>
      </c>
      <c r="K933" t="s">
        <v>11124</v>
      </c>
      <c r="L933" t="s">
        <v>3366</v>
      </c>
      <c r="M933" t="s">
        <v>11901</v>
      </c>
      <c r="N933" t="s">
        <v>3361</v>
      </c>
      <c r="O933" t="s">
        <v>15211</v>
      </c>
      <c r="P933" t="s">
        <v>3362</v>
      </c>
      <c r="Q933" t="s">
        <v>3362</v>
      </c>
      <c r="R933" t="s">
        <v>15211</v>
      </c>
      <c r="S933" t="s">
        <v>15211</v>
      </c>
      <c r="T933" t="s">
        <v>3373</v>
      </c>
      <c r="U933" t="s">
        <v>12833</v>
      </c>
      <c r="V933" t="s">
        <v>15220</v>
      </c>
    </row>
    <row r="934" spans="1:22">
      <c r="A934" t="s">
        <v>15307</v>
      </c>
      <c r="B934" t="s">
        <v>15443</v>
      </c>
      <c r="C934" t="s">
        <v>15452</v>
      </c>
      <c r="D934" t="s">
        <v>933</v>
      </c>
      <c r="E934" t="s">
        <v>3427</v>
      </c>
      <c r="F934" t="s">
        <v>3442</v>
      </c>
      <c r="G934" s="3">
        <v>36.211279599742902</v>
      </c>
      <c r="H934" s="3">
        <v>127.110627442891</v>
      </c>
      <c r="I934" t="s">
        <v>4699</v>
      </c>
      <c r="J934" t="s">
        <v>8058</v>
      </c>
      <c r="K934" t="s">
        <v>11125</v>
      </c>
      <c r="L934" t="s">
        <v>3366</v>
      </c>
      <c r="M934" t="s">
        <v>11901</v>
      </c>
      <c r="N934" t="s">
        <v>3361</v>
      </c>
      <c r="O934" t="s">
        <v>15211</v>
      </c>
      <c r="P934" t="s">
        <v>3362</v>
      </c>
      <c r="Q934" t="s">
        <v>3362</v>
      </c>
      <c r="R934" t="s">
        <v>15211</v>
      </c>
      <c r="S934" t="s">
        <v>15211</v>
      </c>
      <c r="T934" t="s">
        <v>3373</v>
      </c>
      <c r="U934" t="s">
        <v>12834</v>
      </c>
      <c r="V934" t="s">
        <v>15220</v>
      </c>
    </row>
    <row r="935" spans="1:22" hidden="1">
      <c r="A935" t="s">
        <v>15308</v>
      </c>
      <c r="B935" t="s">
        <v>15441</v>
      </c>
      <c r="C935" t="s">
        <v>15445</v>
      </c>
      <c r="D935" t="s">
        <v>934</v>
      </c>
      <c r="E935" t="s">
        <v>3440</v>
      </c>
      <c r="F935" t="s">
        <v>3434</v>
      </c>
      <c r="G935" s="3">
        <v>35.772203445306502</v>
      </c>
      <c r="H935" s="3">
        <v>127.385465775573</v>
      </c>
      <c r="I935" t="s">
        <v>4700</v>
      </c>
      <c r="J935" t="s">
        <v>8059</v>
      </c>
      <c r="K935" t="s">
        <v>11126</v>
      </c>
      <c r="L935" t="s">
        <v>3366</v>
      </c>
      <c r="M935" t="s">
        <v>11890</v>
      </c>
      <c r="N935" t="s">
        <v>3365</v>
      </c>
      <c r="O935" t="s">
        <v>3360</v>
      </c>
      <c r="P935" t="s">
        <v>15211</v>
      </c>
      <c r="Q935" t="s">
        <v>15211</v>
      </c>
      <c r="R935" t="s">
        <v>15211</v>
      </c>
      <c r="S935" t="s">
        <v>15211</v>
      </c>
      <c r="T935" t="s">
        <v>3369</v>
      </c>
      <c r="U935" t="s">
        <v>12835</v>
      </c>
      <c r="V935" t="s">
        <v>15228</v>
      </c>
    </row>
    <row r="936" spans="1:22" hidden="1">
      <c r="A936" t="s">
        <v>15308</v>
      </c>
      <c r="B936" t="s">
        <v>15441</v>
      </c>
      <c r="C936" t="s">
        <v>15445</v>
      </c>
      <c r="D936" t="s">
        <v>935</v>
      </c>
      <c r="E936" t="s">
        <v>3440</v>
      </c>
      <c r="F936" t="s">
        <v>3434</v>
      </c>
      <c r="G936" s="3">
        <v>35.772203467367</v>
      </c>
      <c r="H936" s="3">
        <v>127.385465715024</v>
      </c>
      <c r="I936" t="s">
        <v>4701</v>
      </c>
      <c r="J936" t="s">
        <v>8060</v>
      </c>
      <c r="K936" t="s">
        <v>11126</v>
      </c>
      <c r="L936" t="s">
        <v>3366</v>
      </c>
      <c r="M936" t="s">
        <v>11890</v>
      </c>
      <c r="N936" t="s">
        <v>3365</v>
      </c>
      <c r="O936" t="s">
        <v>3360</v>
      </c>
      <c r="P936" t="s">
        <v>15211</v>
      </c>
      <c r="Q936" t="s">
        <v>15211</v>
      </c>
      <c r="R936" t="s">
        <v>15211</v>
      </c>
      <c r="S936" t="s">
        <v>15211</v>
      </c>
      <c r="T936" t="s">
        <v>3369</v>
      </c>
      <c r="U936" t="s">
        <v>12836</v>
      </c>
      <c r="V936" t="s">
        <v>15228</v>
      </c>
    </row>
    <row r="937" spans="1:22" hidden="1">
      <c r="A937" t="s">
        <v>15308</v>
      </c>
      <c r="B937" t="s">
        <v>15441</v>
      </c>
      <c r="C937" t="s">
        <v>15445</v>
      </c>
      <c r="D937" t="s">
        <v>936</v>
      </c>
      <c r="E937" t="s">
        <v>3440</v>
      </c>
      <c r="F937" t="s">
        <v>3434</v>
      </c>
      <c r="G937" s="3">
        <v>35.772203463814797</v>
      </c>
      <c r="H937" s="3">
        <v>127.385465717427</v>
      </c>
      <c r="I937" t="s">
        <v>4702</v>
      </c>
      <c r="J937" t="s">
        <v>8061</v>
      </c>
      <c r="K937" t="s">
        <v>11126</v>
      </c>
      <c r="L937" t="s">
        <v>3366</v>
      </c>
      <c r="M937" t="s">
        <v>11890</v>
      </c>
      <c r="N937" t="s">
        <v>3365</v>
      </c>
      <c r="O937" t="s">
        <v>3360</v>
      </c>
      <c r="P937" t="s">
        <v>15211</v>
      </c>
      <c r="Q937" t="s">
        <v>15211</v>
      </c>
      <c r="R937" t="s">
        <v>15211</v>
      </c>
      <c r="S937" t="s">
        <v>15211</v>
      </c>
      <c r="T937" t="s">
        <v>3369</v>
      </c>
      <c r="U937" t="s">
        <v>12837</v>
      </c>
      <c r="V937" t="s">
        <v>15228</v>
      </c>
    </row>
    <row r="938" spans="1:22" hidden="1">
      <c r="A938" t="s">
        <v>15308</v>
      </c>
      <c r="B938" t="s">
        <v>15441</v>
      </c>
      <c r="C938" t="s">
        <v>15446</v>
      </c>
      <c r="D938" t="s">
        <v>937</v>
      </c>
      <c r="E938" t="s">
        <v>3440</v>
      </c>
      <c r="F938" t="s">
        <v>3435</v>
      </c>
      <c r="G938" s="3">
        <v>35.772203518024803</v>
      </c>
      <c r="H938" s="3">
        <v>127.38546568267</v>
      </c>
      <c r="I938" t="s">
        <v>4703</v>
      </c>
      <c r="J938" t="s">
        <v>8062</v>
      </c>
      <c r="K938" t="s">
        <v>11126</v>
      </c>
      <c r="L938" t="s">
        <v>3366</v>
      </c>
      <c r="M938" t="s">
        <v>11890</v>
      </c>
      <c r="N938" t="s">
        <v>3365</v>
      </c>
      <c r="O938" t="s">
        <v>3360</v>
      </c>
      <c r="P938" t="s">
        <v>15211</v>
      </c>
      <c r="Q938" t="s">
        <v>15211</v>
      </c>
      <c r="R938" t="s">
        <v>15211</v>
      </c>
      <c r="S938" t="s">
        <v>15211</v>
      </c>
      <c r="T938" t="s">
        <v>3369</v>
      </c>
      <c r="U938" t="s">
        <v>12838</v>
      </c>
      <c r="V938" t="s">
        <v>15229</v>
      </c>
    </row>
    <row r="939" spans="1:22" hidden="1">
      <c r="A939" t="s">
        <v>15308</v>
      </c>
      <c r="B939" t="s">
        <v>15441</v>
      </c>
      <c r="C939" t="s">
        <v>15446</v>
      </c>
      <c r="D939" t="s">
        <v>938</v>
      </c>
      <c r="E939" t="s">
        <v>3438</v>
      </c>
      <c r="F939" t="s">
        <v>3429</v>
      </c>
      <c r="G939" s="3">
        <v>35.77220346488</v>
      </c>
      <c r="H939" s="3">
        <v>127.385465669201</v>
      </c>
      <c r="I939" t="s">
        <v>4704</v>
      </c>
      <c r="J939" t="s">
        <v>8063</v>
      </c>
      <c r="K939" t="s">
        <v>11126</v>
      </c>
      <c r="L939" t="s">
        <v>3366</v>
      </c>
      <c r="M939" t="s">
        <v>11890</v>
      </c>
      <c r="N939" t="s">
        <v>3365</v>
      </c>
      <c r="O939" t="s">
        <v>3360</v>
      </c>
      <c r="P939" t="s">
        <v>15211</v>
      </c>
      <c r="Q939" t="s">
        <v>15211</v>
      </c>
      <c r="R939" t="s">
        <v>15211</v>
      </c>
      <c r="S939" t="s">
        <v>15211</v>
      </c>
      <c r="T939" t="s">
        <v>3369</v>
      </c>
      <c r="U939" t="s">
        <v>12839</v>
      </c>
      <c r="V939" t="s">
        <v>15229</v>
      </c>
    </row>
    <row r="940" spans="1:22" hidden="1">
      <c r="A940" t="s">
        <v>15308</v>
      </c>
      <c r="B940" t="s">
        <v>15441</v>
      </c>
      <c r="C940" t="s">
        <v>15446</v>
      </c>
      <c r="D940" t="s">
        <v>939</v>
      </c>
      <c r="E940" t="s">
        <v>3438</v>
      </c>
      <c r="F940" t="s">
        <v>3435</v>
      </c>
      <c r="G940" s="3">
        <v>35.772203444985301</v>
      </c>
      <c r="H940" s="3">
        <v>127.385465650897</v>
      </c>
      <c r="I940" t="s">
        <v>4705</v>
      </c>
      <c r="J940" t="s">
        <v>8064</v>
      </c>
      <c r="K940" t="s">
        <v>11126</v>
      </c>
      <c r="L940" t="s">
        <v>3366</v>
      </c>
      <c r="M940" t="s">
        <v>11890</v>
      </c>
      <c r="N940" t="s">
        <v>3365</v>
      </c>
      <c r="O940" t="s">
        <v>3360</v>
      </c>
      <c r="P940" t="s">
        <v>15211</v>
      </c>
      <c r="Q940" t="s">
        <v>15211</v>
      </c>
      <c r="R940" t="s">
        <v>15211</v>
      </c>
      <c r="S940" t="s">
        <v>15211</v>
      </c>
      <c r="T940" t="s">
        <v>3369</v>
      </c>
      <c r="U940" t="s">
        <v>12840</v>
      </c>
      <c r="V940" t="s">
        <v>15229</v>
      </c>
    </row>
    <row r="941" spans="1:22" hidden="1">
      <c r="A941" t="s">
        <v>15308</v>
      </c>
      <c r="B941" t="s">
        <v>15441</v>
      </c>
      <c r="C941" t="s">
        <v>15447</v>
      </c>
      <c r="D941" t="s">
        <v>940</v>
      </c>
      <c r="E941" t="s">
        <v>3427</v>
      </c>
      <c r="F941" t="s">
        <v>3453</v>
      </c>
      <c r="G941" s="3">
        <v>35.772203555154</v>
      </c>
      <c r="H941" s="3">
        <v>127.385465657845</v>
      </c>
      <c r="I941" t="s">
        <v>4706</v>
      </c>
      <c r="J941" t="s">
        <v>8065</v>
      </c>
      <c r="K941" t="s">
        <v>10966</v>
      </c>
      <c r="L941" t="s">
        <v>3366</v>
      </c>
      <c r="M941" t="s">
        <v>11900</v>
      </c>
      <c r="N941" t="s">
        <v>3365</v>
      </c>
      <c r="O941" t="s">
        <v>15211</v>
      </c>
      <c r="P941" t="s">
        <v>15211</v>
      </c>
      <c r="Q941" t="s">
        <v>15211</v>
      </c>
      <c r="R941" t="s">
        <v>15211</v>
      </c>
      <c r="S941" t="s">
        <v>15211</v>
      </c>
      <c r="T941" t="s">
        <v>3365</v>
      </c>
      <c r="U941" t="s">
        <v>12841</v>
      </c>
      <c r="V941" t="s">
        <v>15235</v>
      </c>
    </row>
    <row r="942" spans="1:22" hidden="1">
      <c r="A942" t="s">
        <v>15308</v>
      </c>
      <c r="B942" t="s">
        <v>15441</v>
      </c>
      <c r="C942" t="s">
        <v>15447</v>
      </c>
      <c r="D942" t="s">
        <v>941</v>
      </c>
      <c r="E942" t="s">
        <v>3427</v>
      </c>
      <c r="F942" t="s">
        <v>3453</v>
      </c>
      <c r="G942" s="3">
        <v>35.772203539908801</v>
      </c>
      <c r="H942" s="3">
        <v>127.38546569421</v>
      </c>
      <c r="I942" t="s">
        <v>4707</v>
      </c>
      <c r="J942" t="s">
        <v>8066</v>
      </c>
      <c r="K942" t="s">
        <v>11127</v>
      </c>
      <c r="L942" t="s">
        <v>3366</v>
      </c>
      <c r="M942" t="s">
        <v>11900</v>
      </c>
      <c r="N942" t="s">
        <v>3365</v>
      </c>
      <c r="O942" t="s">
        <v>15211</v>
      </c>
      <c r="P942" t="s">
        <v>15211</v>
      </c>
      <c r="Q942" t="s">
        <v>15211</v>
      </c>
      <c r="R942" t="s">
        <v>15211</v>
      </c>
      <c r="S942" t="s">
        <v>15211</v>
      </c>
      <c r="T942" t="s">
        <v>3365</v>
      </c>
      <c r="U942" t="s">
        <v>12842</v>
      </c>
      <c r="V942" t="s">
        <v>15235</v>
      </c>
    </row>
    <row r="943" spans="1:22" hidden="1">
      <c r="A943" t="s">
        <v>15308</v>
      </c>
      <c r="B943" t="s">
        <v>15441</v>
      </c>
      <c r="C943" t="s">
        <v>15447</v>
      </c>
      <c r="D943" t="s">
        <v>942</v>
      </c>
      <c r="E943" t="s">
        <v>3427</v>
      </c>
      <c r="F943" t="s">
        <v>3442</v>
      </c>
      <c r="G943" s="3">
        <v>35.772203562035301</v>
      </c>
      <c r="H943" s="3">
        <v>127.385465693157</v>
      </c>
      <c r="I943" t="s">
        <v>4708</v>
      </c>
      <c r="J943" t="s">
        <v>8067</v>
      </c>
      <c r="K943" t="s">
        <v>11128</v>
      </c>
      <c r="L943" t="s">
        <v>3366</v>
      </c>
      <c r="M943" t="s">
        <v>11900</v>
      </c>
      <c r="N943" t="s">
        <v>3365</v>
      </c>
      <c r="O943" t="s">
        <v>15211</v>
      </c>
      <c r="P943" t="s">
        <v>15211</v>
      </c>
      <c r="Q943" t="s">
        <v>15211</v>
      </c>
      <c r="R943" t="s">
        <v>15211</v>
      </c>
      <c r="S943" t="s">
        <v>15211</v>
      </c>
      <c r="T943" t="s">
        <v>3365</v>
      </c>
      <c r="U943" t="s">
        <v>12843</v>
      </c>
      <c r="V943" t="s">
        <v>15235</v>
      </c>
    </row>
    <row r="944" spans="1:22" hidden="1">
      <c r="A944" t="s">
        <v>15308</v>
      </c>
      <c r="B944" t="s">
        <v>15441</v>
      </c>
      <c r="C944" t="s">
        <v>15448</v>
      </c>
      <c r="D944" t="s">
        <v>943</v>
      </c>
      <c r="E944" t="s">
        <v>3430</v>
      </c>
      <c r="F944" t="s">
        <v>3476</v>
      </c>
      <c r="G944" s="3">
        <v>35.772203331820897</v>
      </c>
      <c r="H944" s="3">
        <v>127.385465691398</v>
      </c>
      <c r="I944" t="s">
        <v>4709</v>
      </c>
      <c r="J944" t="s">
        <v>8068</v>
      </c>
      <c r="K944" t="s">
        <v>11109</v>
      </c>
      <c r="L944" t="s">
        <v>3366</v>
      </c>
      <c r="M944" t="s">
        <v>11914</v>
      </c>
      <c r="N944" t="s">
        <v>3365</v>
      </c>
      <c r="O944" t="s">
        <v>3360</v>
      </c>
      <c r="P944" t="s">
        <v>3363</v>
      </c>
      <c r="Q944" t="s">
        <v>3361</v>
      </c>
      <c r="R944" t="s">
        <v>3358</v>
      </c>
      <c r="S944" t="s">
        <v>15211</v>
      </c>
      <c r="T944" t="s">
        <v>3383</v>
      </c>
      <c r="U944" t="s">
        <v>12844</v>
      </c>
      <c r="V944" t="s">
        <v>15230</v>
      </c>
    </row>
    <row r="945" spans="1:22" hidden="1">
      <c r="A945" t="s">
        <v>15308</v>
      </c>
      <c r="B945" t="s">
        <v>15441</v>
      </c>
      <c r="C945" t="s">
        <v>15448</v>
      </c>
      <c r="D945" t="s">
        <v>944</v>
      </c>
      <c r="E945" t="s">
        <v>3442</v>
      </c>
      <c r="F945" t="s">
        <v>3466</v>
      </c>
      <c r="G945" s="3">
        <v>35.772203337927998</v>
      </c>
      <c r="H945" s="3">
        <v>127.38546571180601</v>
      </c>
      <c r="I945" t="s">
        <v>4710</v>
      </c>
      <c r="J945" t="s">
        <v>8069</v>
      </c>
      <c r="K945" t="s">
        <v>11129</v>
      </c>
      <c r="L945" t="s">
        <v>3366</v>
      </c>
      <c r="M945" t="s">
        <v>11912</v>
      </c>
      <c r="N945" t="s">
        <v>3365</v>
      </c>
      <c r="O945" t="s">
        <v>3360</v>
      </c>
      <c r="P945" t="s">
        <v>3363</v>
      </c>
      <c r="Q945" t="s">
        <v>3360</v>
      </c>
      <c r="R945" t="s">
        <v>3358</v>
      </c>
      <c r="S945" t="s">
        <v>15211</v>
      </c>
      <c r="T945" t="s">
        <v>3382</v>
      </c>
      <c r="U945" t="s">
        <v>12845</v>
      </c>
      <c r="V945" t="s">
        <v>15230</v>
      </c>
    </row>
    <row r="946" spans="1:22" hidden="1">
      <c r="A946" t="s">
        <v>15308</v>
      </c>
      <c r="B946" t="s">
        <v>15441</v>
      </c>
      <c r="C946" t="s">
        <v>15448</v>
      </c>
      <c r="D946" t="s">
        <v>945</v>
      </c>
      <c r="E946" t="s">
        <v>3442</v>
      </c>
      <c r="F946" t="s">
        <v>3466</v>
      </c>
      <c r="G946" s="3">
        <v>35.772203346717902</v>
      </c>
      <c r="H946" s="3">
        <v>127.385465728059</v>
      </c>
      <c r="I946" t="s">
        <v>4711</v>
      </c>
      <c r="J946" t="s">
        <v>8070</v>
      </c>
      <c r="K946" t="s">
        <v>11109</v>
      </c>
      <c r="L946" t="s">
        <v>3366</v>
      </c>
      <c r="M946" t="s">
        <v>11914</v>
      </c>
      <c r="N946" t="s">
        <v>3365</v>
      </c>
      <c r="O946" t="s">
        <v>3360</v>
      </c>
      <c r="P946" t="s">
        <v>3363</v>
      </c>
      <c r="Q946" t="s">
        <v>3361</v>
      </c>
      <c r="R946" t="s">
        <v>3358</v>
      </c>
      <c r="S946" t="s">
        <v>15211</v>
      </c>
      <c r="T946" t="s">
        <v>3383</v>
      </c>
      <c r="U946" t="s">
        <v>12846</v>
      </c>
      <c r="V946" t="s">
        <v>15230</v>
      </c>
    </row>
    <row r="947" spans="1:22" hidden="1">
      <c r="A947" t="s">
        <v>15308</v>
      </c>
      <c r="B947" t="s">
        <v>15441</v>
      </c>
      <c r="C947" t="s">
        <v>15449</v>
      </c>
      <c r="D947" t="s">
        <v>946</v>
      </c>
      <c r="E947" t="s">
        <v>3425</v>
      </c>
      <c r="F947" t="s">
        <v>3461</v>
      </c>
      <c r="G947" s="3">
        <v>35.772203322182399</v>
      </c>
      <c r="H947" s="3">
        <v>127.385465708553</v>
      </c>
      <c r="I947" t="s">
        <v>4712</v>
      </c>
      <c r="J947" t="s">
        <v>8071</v>
      </c>
      <c r="K947" t="s">
        <v>10866</v>
      </c>
      <c r="L947" t="s">
        <v>3366</v>
      </c>
      <c r="M947" t="s">
        <v>11889</v>
      </c>
      <c r="N947" t="s">
        <v>3365</v>
      </c>
      <c r="O947" t="s">
        <v>15211</v>
      </c>
      <c r="P947" t="s">
        <v>3363</v>
      </c>
      <c r="Q947" t="s">
        <v>3359</v>
      </c>
      <c r="R947" t="s">
        <v>3358</v>
      </c>
      <c r="S947" t="s">
        <v>15211</v>
      </c>
      <c r="T947" t="s">
        <v>3377</v>
      </c>
      <c r="U947" t="s">
        <v>12847</v>
      </c>
      <c r="V947" t="s">
        <v>15231</v>
      </c>
    </row>
    <row r="948" spans="1:22" hidden="1">
      <c r="A948" t="s">
        <v>15308</v>
      </c>
      <c r="B948" t="s">
        <v>15441</v>
      </c>
      <c r="C948" t="s">
        <v>15449</v>
      </c>
      <c r="D948" t="s">
        <v>947</v>
      </c>
      <c r="E948" t="s">
        <v>3431</v>
      </c>
      <c r="F948" t="s">
        <v>3426</v>
      </c>
      <c r="G948" s="3">
        <v>35.772203352325697</v>
      </c>
      <c r="H948" s="3">
        <v>127.385465708997</v>
      </c>
      <c r="I948" t="s">
        <v>4713</v>
      </c>
      <c r="J948" t="s">
        <v>8072</v>
      </c>
      <c r="K948" t="s">
        <v>3622</v>
      </c>
      <c r="L948" t="s">
        <v>3366</v>
      </c>
      <c r="M948" t="s">
        <v>11889</v>
      </c>
      <c r="N948" t="s">
        <v>3365</v>
      </c>
      <c r="O948" t="s">
        <v>15211</v>
      </c>
      <c r="P948" t="s">
        <v>3363</v>
      </c>
      <c r="Q948" t="s">
        <v>3359</v>
      </c>
      <c r="R948" t="s">
        <v>3358</v>
      </c>
      <c r="S948" t="s">
        <v>15211</v>
      </c>
      <c r="T948" t="s">
        <v>3377</v>
      </c>
      <c r="U948" t="s">
        <v>12848</v>
      </c>
      <c r="V948" t="s">
        <v>15231</v>
      </c>
    </row>
    <row r="949" spans="1:22" hidden="1">
      <c r="A949" t="s">
        <v>15308</v>
      </c>
      <c r="B949" t="s">
        <v>15441</v>
      </c>
      <c r="C949" t="s">
        <v>15449</v>
      </c>
      <c r="D949" t="s">
        <v>948</v>
      </c>
      <c r="E949" t="s">
        <v>3434</v>
      </c>
      <c r="F949" t="s">
        <v>3450</v>
      </c>
      <c r="G949" s="3">
        <v>35.772203356907099</v>
      </c>
      <c r="H949" s="3">
        <v>127.385465714101</v>
      </c>
      <c r="I949" t="s">
        <v>4714</v>
      </c>
      <c r="J949" t="s">
        <v>8073</v>
      </c>
      <c r="K949" t="s">
        <v>3623</v>
      </c>
      <c r="L949" t="s">
        <v>3366</v>
      </c>
      <c r="M949" t="s">
        <v>11889</v>
      </c>
      <c r="N949" t="s">
        <v>3365</v>
      </c>
      <c r="O949" t="s">
        <v>15211</v>
      </c>
      <c r="P949" t="s">
        <v>3363</v>
      </c>
      <c r="Q949" t="s">
        <v>3359</v>
      </c>
      <c r="R949" t="s">
        <v>3358</v>
      </c>
      <c r="S949" t="s">
        <v>15211</v>
      </c>
      <c r="T949" t="s">
        <v>3377</v>
      </c>
      <c r="U949" t="s">
        <v>12849</v>
      </c>
      <c r="V949" t="s">
        <v>15231</v>
      </c>
    </row>
    <row r="950" spans="1:22" hidden="1">
      <c r="A950" t="s">
        <v>15308</v>
      </c>
      <c r="B950" t="s">
        <v>15442</v>
      </c>
      <c r="C950" t="s">
        <v>15445</v>
      </c>
      <c r="D950" t="s">
        <v>949</v>
      </c>
      <c r="E950" t="s">
        <v>3440</v>
      </c>
      <c r="F950" t="s">
        <v>3435</v>
      </c>
      <c r="G950" s="3">
        <v>35.772203420602402</v>
      </c>
      <c r="H950" s="3">
        <v>127.385465511335</v>
      </c>
      <c r="I950" t="s">
        <v>4715</v>
      </c>
      <c r="J950" t="s">
        <v>8074</v>
      </c>
      <c r="K950" t="s">
        <v>11130</v>
      </c>
      <c r="L950" t="s">
        <v>3366</v>
      </c>
      <c r="M950" t="s">
        <v>11890</v>
      </c>
      <c r="N950" t="s">
        <v>3365</v>
      </c>
      <c r="O950" t="s">
        <v>3360</v>
      </c>
      <c r="P950" t="s">
        <v>15211</v>
      </c>
      <c r="Q950" t="s">
        <v>15211</v>
      </c>
      <c r="R950" t="s">
        <v>15211</v>
      </c>
      <c r="S950" t="s">
        <v>15211</v>
      </c>
      <c r="T950" t="s">
        <v>3369</v>
      </c>
      <c r="U950" t="s">
        <v>12850</v>
      </c>
      <c r="V950" t="s">
        <v>15233</v>
      </c>
    </row>
    <row r="951" spans="1:22" hidden="1">
      <c r="A951" t="s">
        <v>15308</v>
      </c>
      <c r="B951" t="s">
        <v>15442</v>
      </c>
      <c r="C951" t="s">
        <v>15445</v>
      </c>
      <c r="D951" t="s">
        <v>950</v>
      </c>
      <c r="E951" t="s">
        <v>3440</v>
      </c>
      <c r="F951" t="s">
        <v>3435</v>
      </c>
      <c r="G951" s="3">
        <v>35.772203415374499</v>
      </c>
      <c r="H951" s="3">
        <v>127.38546549036199</v>
      </c>
      <c r="I951" t="s">
        <v>4716</v>
      </c>
      <c r="J951" t="s">
        <v>8075</v>
      </c>
      <c r="K951" t="s">
        <v>11130</v>
      </c>
      <c r="L951" t="s">
        <v>3366</v>
      </c>
      <c r="M951" t="s">
        <v>11890</v>
      </c>
      <c r="N951" t="s">
        <v>3365</v>
      </c>
      <c r="O951" t="s">
        <v>3360</v>
      </c>
      <c r="P951" t="s">
        <v>15211</v>
      </c>
      <c r="Q951" t="s">
        <v>15211</v>
      </c>
      <c r="R951" t="s">
        <v>15211</v>
      </c>
      <c r="S951" t="s">
        <v>15211</v>
      </c>
      <c r="T951" t="s">
        <v>3369</v>
      </c>
      <c r="U951" t="s">
        <v>12851</v>
      </c>
      <c r="V951" t="s">
        <v>15233</v>
      </c>
    </row>
    <row r="952" spans="1:22" hidden="1">
      <c r="A952" t="s">
        <v>15308</v>
      </c>
      <c r="B952" t="s">
        <v>15442</v>
      </c>
      <c r="C952" t="s">
        <v>15445</v>
      </c>
      <c r="D952" t="s">
        <v>951</v>
      </c>
      <c r="E952" t="s">
        <v>3438</v>
      </c>
      <c r="F952" t="s">
        <v>3429</v>
      </c>
      <c r="G952" s="3">
        <v>35.772203406255002</v>
      </c>
      <c r="H952" s="3">
        <v>127.385465488661</v>
      </c>
      <c r="I952" t="s">
        <v>4717</v>
      </c>
      <c r="J952" t="s">
        <v>8076</v>
      </c>
      <c r="K952" t="s">
        <v>10997</v>
      </c>
      <c r="L952" t="s">
        <v>3366</v>
      </c>
      <c r="M952" t="s">
        <v>11890</v>
      </c>
      <c r="N952" t="s">
        <v>3365</v>
      </c>
      <c r="O952" t="s">
        <v>3360</v>
      </c>
      <c r="P952" t="s">
        <v>15211</v>
      </c>
      <c r="Q952" t="s">
        <v>15211</v>
      </c>
      <c r="R952" t="s">
        <v>15211</v>
      </c>
      <c r="S952" t="s">
        <v>15211</v>
      </c>
      <c r="T952" t="s">
        <v>3369</v>
      </c>
      <c r="U952" t="s">
        <v>12852</v>
      </c>
      <c r="V952" t="s">
        <v>15233</v>
      </c>
    </row>
    <row r="953" spans="1:22" hidden="1">
      <c r="A953" t="s">
        <v>15308</v>
      </c>
      <c r="B953" t="s">
        <v>15442</v>
      </c>
      <c r="C953" t="s">
        <v>15451</v>
      </c>
      <c r="D953" t="s">
        <v>952</v>
      </c>
      <c r="E953" t="s">
        <v>3437</v>
      </c>
      <c r="F953" t="s">
        <v>3431</v>
      </c>
      <c r="G953" s="3">
        <v>35.772203372656698</v>
      </c>
      <c r="H953" s="3">
        <v>127.385465598414</v>
      </c>
      <c r="I953" t="s">
        <v>4718</v>
      </c>
      <c r="J953" t="s">
        <v>8077</v>
      </c>
      <c r="K953" t="s">
        <v>3634</v>
      </c>
      <c r="L953" t="s">
        <v>3366</v>
      </c>
      <c r="M953" t="s">
        <v>11888</v>
      </c>
      <c r="N953" t="s">
        <v>3365</v>
      </c>
      <c r="O953" t="s">
        <v>3360</v>
      </c>
      <c r="P953" t="s">
        <v>3363</v>
      </c>
      <c r="Q953" t="s">
        <v>3358</v>
      </c>
      <c r="R953" t="s">
        <v>15211</v>
      </c>
      <c r="S953" t="s">
        <v>15211</v>
      </c>
      <c r="T953" t="s">
        <v>3378</v>
      </c>
      <c r="U953" t="s">
        <v>12853</v>
      </c>
      <c r="V953" t="s">
        <v>15234</v>
      </c>
    </row>
    <row r="954" spans="1:22" hidden="1">
      <c r="A954" t="s">
        <v>15308</v>
      </c>
      <c r="B954" t="s">
        <v>15442</v>
      </c>
      <c r="C954" t="s">
        <v>15451</v>
      </c>
      <c r="D954" t="s">
        <v>953</v>
      </c>
      <c r="E954" t="s">
        <v>3437</v>
      </c>
      <c r="F954" t="s">
        <v>3431</v>
      </c>
      <c r="G954" s="3">
        <v>35.772203362955601</v>
      </c>
      <c r="H954" s="3">
        <v>127.385465591748</v>
      </c>
      <c r="I954" t="s">
        <v>4719</v>
      </c>
      <c r="J954" t="s">
        <v>8078</v>
      </c>
      <c r="K954" t="s">
        <v>11131</v>
      </c>
      <c r="L954" t="s">
        <v>3366</v>
      </c>
      <c r="M954" t="s">
        <v>11888</v>
      </c>
      <c r="N954" t="s">
        <v>3365</v>
      </c>
      <c r="O954" t="s">
        <v>3360</v>
      </c>
      <c r="P954" t="s">
        <v>3363</v>
      </c>
      <c r="Q954" t="s">
        <v>3358</v>
      </c>
      <c r="R954" t="s">
        <v>15211</v>
      </c>
      <c r="S954" t="s">
        <v>15211</v>
      </c>
      <c r="T954" t="s">
        <v>3378</v>
      </c>
      <c r="U954" t="s">
        <v>12854</v>
      </c>
      <c r="V954" t="s">
        <v>15234</v>
      </c>
    </row>
    <row r="955" spans="1:22" hidden="1">
      <c r="A955" t="s">
        <v>15308</v>
      </c>
      <c r="B955" t="s">
        <v>15442</v>
      </c>
      <c r="C955" t="s">
        <v>15451</v>
      </c>
      <c r="D955" t="s">
        <v>954</v>
      </c>
      <c r="E955" t="s">
        <v>3437</v>
      </c>
      <c r="F955" t="s">
        <v>3431</v>
      </c>
      <c r="G955" s="3">
        <v>35.772203347837902</v>
      </c>
      <c r="H955" s="3">
        <v>127.385465595526</v>
      </c>
      <c r="I955" t="s">
        <v>4720</v>
      </c>
      <c r="J955" t="s">
        <v>8079</v>
      </c>
      <c r="K955" t="s">
        <v>10790</v>
      </c>
      <c r="L955" t="s">
        <v>3366</v>
      </c>
      <c r="M955" t="s">
        <v>11888</v>
      </c>
      <c r="N955" t="s">
        <v>3365</v>
      </c>
      <c r="O955" t="s">
        <v>3360</v>
      </c>
      <c r="P955" t="s">
        <v>3363</v>
      </c>
      <c r="Q955" t="s">
        <v>3358</v>
      </c>
      <c r="R955" t="s">
        <v>15211</v>
      </c>
      <c r="S955" t="s">
        <v>15211</v>
      </c>
      <c r="T955" t="s">
        <v>3378</v>
      </c>
      <c r="U955" t="s">
        <v>12855</v>
      </c>
      <c r="V955" t="s">
        <v>15234</v>
      </c>
    </row>
    <row r="956" spans="1:22">
      <c r="A956" t="s">
        <v>15308</v>
      </c>
      <c r="B956" t="s">
        <v>15443</v>
      </c>
      <c r="C956" t="s">
        <v>15452</v>
      </c>
      <c r="D956" t="s">
        <v>955</v>
      </c>
      <c r="E956" t="s">
        <v>3431</v>
      </c>
      <c r="F956" t="s">
        <v>3477</v>
      </c>
      <c r="G956" s="3">
        <v>35.772203465173803</v>
      </c>
      <c r="H956" s="3">
        <v>127.385465846926</v>
      </c>
      <c r="I956" t="s">
        <v>4721</v>
      </c>
      <c r="J956" t="s">
        <v>8080</v>
      </c>
      <c r="K956" t="s">
        <v>10555</v>
      </c>
      <c r="L956" t="s">
        <v>3366</v>
      </c>
      <c r="M956" t="s">
        <v>11898</v>
      </c>
      <c r="N956" t="s">
        <v>3362</v>
      </c>
      <c r="O956" t="s">
        <v>15211</v>
      </c>
      <c r="P956" t="s">
        <v>3363</v>
      </c>
      <c r="Q956" t="s">
        <v>3361</v>
      </c>
      <c r="R956" t="s">
        <v>15211</v>
      </c>
      <c r="S956" t="s">
        <v>15211</v>
      </c>
      <c r="T956" t="s">
        <v>3374</v>
      </c>
      <c r="U956" t="s">
        <v>12856</v>
      </c>
      <c r="V956" t="s">
        <v>15220</v>
      </c>
    </row>
    <row r="957" spans="1:22">
      <c r="A957" t="s">
        <v>15308</v>
      </c>
      <c r="B957" t="s">
        <v>15443</v>
      </c>
      <c r="C957" t="s">
        <v>15452</v>
      </c>
      <c r="D957" t="s">
        <v>956</v>
      </c>
      <c r="E957" t="s">
        <v>3431</v>
      </c>
      <c r="F957" t="s">
        <v>3477</v>
      </c>
      <c r="G957" s="3">
        <v>35.772203470016699</v>
      </c>
      <c r="H957" s="3">
        <v>127.38546580193901</v>
      </c>
      <c r="I957" t="s">
        <v>4722</v>
      </c>
      <c r="J957" t="s">
        <v>8081</v>
      </c>
      <c r="K957" t="s">
        <v>10553</v>
      </c>
      <c r="L957" t="s">
        <v>3366</v>
      </c>
      <c r="M957" t="s">
        <v>11898</v>
      </c>
      <c r="N957" t="s">
        <v>3362</v>
      </c>
      <c r="O957" t="s">
        <v>15211</v>
      </c>
      <c r="P957" t="s">
        <v>3363</v>
      </c>
      <c r="Q957" t="s">
        <v>3361</v>
      </c>
      <c r="R957" t="s">
        <v>15211</v>
      </c>
      <c r="S957" t="s">
        <v>15211</v>
      </c>
      <c r="T957" t="s">
        <v>3374</v>
      </c>
      <c r="U957" t="s">
        <v>12857</v>
      </c>
      <c r="V957" t="s">
        <v>15220</v>
      </c>
    </row>
    <row r="958" spans="1:22">
      <c r="A958" t="s">
        <v>15308</v>
      </c>
      <c r="B958" t="s">
        <v>15443</v>
      </c>
      <c r="C958" t="s">
        <v>15452</v>
      </c>
      <c r="D958" t="s">
        <v>957</v>
      </c>
      <c r="E958" t="s">
        <v>3431</v>
      </c>
      <c r="F958" t="s">
        <v>3467</v>
      </c>
      <c r="G958" s="3">
        <v>35.772203499600103</v>
      </c>
      <c r="H958" s="3">
        <v>127.385465777779</v>
      </c>
      <c r="I958" t="s">
        <v>4723</v>
      </c>
      <c r="J958" t="s">
        <v>8082</v>
      </c>
      <c r="K958" t="s">
        <v>10997</v>
      </c>
      <c r="L958" t="s">
        <v>3366</v>
      </c>
      <c r="M958" t="s">
        <v>11901</v>
      </c>
      <c r="N958" t="s">
        <v>3361</v>
      </c>
      <c r="O958" t="s">
        <v>15211</v>
      </c>
      <c r="P958" t="s">
        <v>3363</v>
      </c>
      <c r="Q958" t="s">
        <v>3361</v>
      </c>
      <c r="R958" t="s">
        <v>15211</v>
      </c>
      <c r="S958" t="s">
        <v>15211</v>
      </c>
      <c r="T958" t="s">
        <v>3373</v>
      </c>
      <c r="U958" t="s">
        <v>12858</v>
      </c>
      <c r="V958" t="s">
        <v>15220</v>
      </c>
    </row>
    <row r="959" spans="1:22" hidden="1">
      <c r="A959" t="s">
        <v>15309</v>
      </c>
      <c r="B959" t="s">
        <v>15441</v>
      </c>
      <c r="C959" t="s">
        <v>15445</v>
      </c>
      <c r="D959" t="s">
        <v>958</v>
      </c>
      <c r="E959" t="s">
        <v>3428</v>
      </c>
      <c r="F959" t="s">
        <v>3429</v>
      </c>
      <c r="G959" s="3">
        <v>35.827195093386202</v>
      </c>
      <c r="H959" s="3">
        <v>127.639044741755</v>
      </c>
      <c r="I959" t="s">
        <v>4724</v>
      </c>
      <c r="J959" t="s">
        <v>8083</v>
      </c>
      <c r="K959" t="s">
        <v>11132</v>
      </c>
      <c r="L959" t="s">
        <v>3366</v>
      </c>
      <c r="M959" t="s">
        <v>11886</v>
      </c>
      <c r="N959" t="s">
        <v>3363</v>
      </c>
      <c r="O959" t="s">
        <v>3360</v>
      </c>
      <c r="P959" t="s">
        <v>15211</v>
      </c>
      <c r="Q959" t="s">
        <v>15211</v>
      </c>
      <c r="R959" t="s">
        <v>15211</v>
      </c>
      <c r="S959" t="s">
        <v>15211</v>
      </c>
      <c r="T959" t="s">
        <v>3367</v>
      </c>
      <c r="U959" t="s">
        <v>12859</v>
      </c>
      <c r="V959" t="s">
        <v>15228</v>
      </c>
    </row>
    <row r="960" spans="1:22" hidden="1">
      <c r="A960" t="s">
        <v>15309</v>
      </c>
      <c r="B960" t="s">
        <v>15441</v>
      </c>
      <c r="C960" t="s">
        <v>15445</v>
      </c>
      <c r="D960" t="s">
        <v>959</v>
      </c>
      <c r="E960" t="s">
        <v>3428</v>
      </c>
      <c r="F960" t="s">
        <v>3429</v>
      </c>
      <c r="G960" s="3">
        <v>35.827195055917301</v>
      </c>
      <c r="H960" s="3">
        <v>127.639044755412</v>
      </c>
      <c r="I960" t="s">
        <v>4725</v>
      </c>
      <c r="J960" t="s">
        <v>8084</v>
      </c>
      <c r="K960" t="s">
        <v>10958</v>
      </c>
      <c r="L960" t="s">
        <v>3366</v>
      </c>
      <c r="M960" t="s">
        <v>11886</v>
      </c>
      <c r="N960" t="s">
        <v>3363</v>
      </c>
      <c r="O960" t="s">
        <v>3360</v>
      </c>
      <c r="P960" t="s">
        <v>15211</v>
      </c>
      <c r="Q960" t="s">
        <v>15211</v>
      </c>
      <c r="R960" t="s">
        <v>15211</v>
      </c>
      <c r="S960" t="s">
        <v>15211</v>
      </c>
      <c r="T960" t="s">
        <v>3367</v>
      </c>
      <c r="U960" t="s">
        <v>12860</v>
      </c>
      <c r="V960" t="s">
        <v>15228</v>
      </c>
    </row>
    <row r="961" spans="1:22" hidden="1">
      <c r="A961" t="s">
        <v>15309</v>
      </c>
      <c r="B961" t="s">
        <v>15441</v>
      </c>
      <c r="C961" t="s">
        <v>15445</v>
      </c>
      <c r="D961" t="s">
        <v>960</v>
      </c>
      <c r="E961" t="s">
        <v>3428</v>
      </c>
      <c r="F961" t="s">
        <v>3429</v>
      </c>
      <c r="G961" s="3">
        <v>35.827195018265698</v>
      </c>
      <c r="H961" s="3">
        <v>127.639044768741</v>
      </c>
      <c r="I961" t="s">
        <v>4726</v>
      </c>
      <c r="J961" t="s">
        <v>8085</v>
      </c>
      <c r="K961" t="s">
        <v>11133</v>
      </c>
      <c r="L961" t="s">
        <v>3366</v>
      </c>
      <c r="M961" t="s">
        <v>11886</v>
      </c>
      <c r="N961" t="s">
        <v>3363</v>
      </c>
      <c r="O961" t="s">
        <v>3360</v>
      </c>
      <c r="P961" t="s">
        <v>15211</v>
      </c>
      <c r="Q961" t="s">
        <v>15211</v>
      </c>
      <c r="R961" t="s">
        <v>15211</v>
      </c>
      <c r="S961" t="s">
        <v>15211</v>
      </c>
      <c r="T961" t="s">
        <v>3367</v>
      </c>
      <c r="U961" t="s">
        <v>12861</v>
      </c>
      <c r="V961" t="s">
        <v>15228</v>
      </c>
    </row>
    <row r="962" spans="1:22" hidden="1">
      <c r="A962" t="s">
        <v>15309</v>
      </c>
      <c r="B962" t="s">
        <v>15441</v>
      </c>
      <c r="C962" t="s">
        <v>15446</v>
      </c>
      <c r="D962" t="s">
        <v>961</v>
      </c>
      <c r="E962" t="s">
        <v>3428</v>
      </c>
      <c r="F962" t="s">
        <v>3429</v>
      </c>
      <c r="G962" s="3">
        <v>35.827195071014302</v>
      </c>
      <c r="H962" s="3">
        <v>127.639044774203</v>
      </c>
      <c r="I962" t="s">
        <v>4727</v>
      </c>
      <c r="J962" t="s">
        <v>8086</v>
      </c>
      <c r="K962" t="s">
        <v>11134</v>
      </c>
      <c r="L962" t="s">
        <v>3366</v>
      </c>
      <c r="M962" t="s">
        <v>11886</v>
      </c>
      <c r="N962" t="s">
        <v>3363</v>
      </c>
      <c r="O962" t="s">
        <v>3360</v>
      </c>
      <c r="P962" t="s">
        <v>15211</v>
      </c>
      <c r="Q962" t="s">
        <v>15211</v>
      </c>
      <c r="R962" t="s">
        <v>15211</v>
      </c>
      <c r="S962" t="s">
        <v>15211</v>
      </c>
      <c r="T962" t="s">
        <v>3367</v>
      </c>
      <c r="U962" t="s">
        <v>12862</v>
      </c>
      <c r="V962" t="s">
        <v>15229</v>
      </c>
    </row>
    <row r="963" spans="1:22" hidden="1">
      <c r="A963" t="s">
        <v>15309</v>
      </c>
      <c r="B963" t="s">
        <v>15441</v>
      </c>
      <c r="C963" t="s">
        <v>15446</v>
      </c>
      <c r="D963" t="s">
        <v>962</v>
      </c>
      <c r="E963" t="s">
        <v>3428</v>
      </c>
      <c r="F963" t="s">
        <v>3429</v>
      </c>
      <c r="G963" s="3">
        <v>35.827195083659497</v>
      </c>
      <c r="H963" s="3">
        <v>127.639044748462</v>
      </c>
      <c r="I963" t="s">
        <v>4728</v>
      </c>
      <c r="J963" t="s">
        <v>8087</v>
      </c>
      <c r="K963" t="s">
        <v>11135</v>
      </c>
      <c r="L963" t="s">
        <v>3366</v>
      </c>
      <c r="M963" t="s">
        <v>11886</v>
      </c>
      <c r="N963" t="s">
        <v>3363</v>
      </c>
      <c r="O963" t="s">
        <v>3360</v>
      </c>
      <c r="P963" t="s">
        <v>15211</v>
      </c>
      <c r="Q963" t="s">
        <v>15211</v>
      </c>
      <c r="R963" t="s">
        <v>15211</v>
      </c>
      <c r="S963" t="s">
        <v>15211</v>
      </c>
      <c r="T963" t="s">
        <v>3367</v>
      </c>
      <c r="U963" t="s">
        <v>12863</v>
      </c>
      <c r="V963" t="s">
        <v>15229</v>
      </c>
    </row>
    <row r="964" spans="1:22" hidden="1">
      <c r="A964" t="s">
        <v>15309</v>
      </c>
      <c r="B964" t="s">
        <v>15441</v>
      </c>
      <c r="C964" t="s">
        <v>15446</v>
      </c>
      <c r="D964" t="s">
        <v>963</v>
      </c>
      <c r="E964" t="s">
        <v>3428</v>
      </c>
      <c r="F964" t="s">
        <v>3429</v>
      </c>
      <c r="G964" s="3">
        <v>35.827195054015696</v>
      </c>
      <c r="H964" s="3">
        <v>127.63904478516601</v>
      </c>
      <c r="I964" t="s">
        <v>4729</v>
      </c>
      <c r="J964" t="s">
        <v>8088</v>
      </c>
      <c r="K964" t="s">
        <v>11136</v>
      </c>
      <c r="L964" t="s">
        <v>3366</v>
      </c>
      <c r="M964" t="s">
        <v>11886</v>
      </c>
      <c r="N964" t="s">
        <v>3363</v>
      </c>
      <c r="O964" t="s">
        <v>3360</v>
      </c>
      <c r="P964" t="s">
        <v>15211</v>
      </c>
      <c r="Q964" t="s">
        <v>15211</v>
      </c>
      <c r="R964" t="s">
        <v>15211</v>
      </c>
      <c r="S964" t="s">
        <v>15211</v>
      </c>
      <c r="T964" t="s">
        <v>3367</v>
      </c>
      <c r="U964" t="s">
        <v>12864</v>
      </c>
      <c r="V964" t="s">
        <v>15229</v>
      </c>
    </row>
    <row r="965" spans="1:22" hidden="1">
      <c r="A965" t="s">
        <v>15309</v>
      </c>
      <c r="B965" t="s">
        <v>15441</v>
      </c>
      <c r="C965" t="s">
        <v>15447</v>
      </c>
      <c r="D965" t="s">
        <v>964</v>
      </c>
      <c r="E965" t="s">
        <v>3425</v>
      </c>
      <c r="F965" t="s">
        <v>3429</v>
      </c>
      <c r="G965" s="3">
        <v>35.827194844601301</v>
      </c>
      <c r="H965" s="3">
        <v>127.639044871905</v>
      </c>
      <c r="I965" t="s">
        <v>4730</v>
      </c>
      <c r="J965" t="s">
        <v>8089</v>
      </c>
      <c r="K965" t="s">
        <v>11137</v>
      </c>
      <c r="L965" t="s">
        <v>3366</v>
      </c>
      <c r="M965" t="s">
        <v>11892</v>
      </c>
      <c r="N965" t="s">
        <v>3364</v>
      </c>
      <c r="O965" t="s">
        <v>15211</v>
      </c>
      <c r="P965" t="s">
        <v>15211</v>
      </c>
      <c r="Q965" t="s">
        <v>15211</v>
      </c>
      <c r="R965" t="s">
        <v>15211</v>
      </c>
      <c r="S965" t="s">
        <v>15211</v>
      </c>
      <c r="T965" t="s">
        <v>3364</v>
      </c>
      <c r="U965" t="s">
        <v>12865</v>
      </c>
      <c r="V965" t="s">
        <v>15235</v>
      </c>
    </row>
    <row r="966" spans="1:22" hidden="1">
      <c r="A966" t="s">
        <v>15309</v>
      </c>
      <c r="B966" t="s">
        <v>15441</v>
      </c>
      <c r="C966" t="s">
        <v>15447</v>
      </c>
      <c r="D966" t="s">
        <v>965</v>
      </c>
      <c r="E966" t="s">
        <v>3425</v>
      </c>
      <c r="F966" t="s">
        <v>3429</v>
      </c>
      <c r="G966" s="3">
        <v>35.827194798212403</v>
      </c>
      <c r="H966" s="3">
        <v>127.63904483081799</v>
      </c>
      <c r="I966" t="s">
        <v>4731</v>
      </c>
      <c r="J966" t="s">
        <v>8090</v>
      </c>
      <c r="K966" t="s">
        <v>10973</v>
      </c>
      <c r="L966" t="s">
        <v>3366</v>
      </c>
      <c r="M966" t="s">
        <v>11887</v>
      </c>
      <c r="N966" t="s">
        <v>3363</v>
      </c>
      <c r="O966" t="s">
        <v>15211</v>
      </c>
      <c r="P966" t="s">
        <v>15211</v>
      </c>
      <c r="Q966" t="s">
        <v>15211</v>
      </c>
      <c r="R966" t="s">
        <v>15211</v>
      </c>
      <c r="S966" t="s">
        <v>15211</v>
      </c>
      <c r="T966" t="s">
        <v>3363</v>
      </c>
      <c r="U966" t="s">
        <v>12866</v>
      </c>
      <c r="V966" t="s">
        <v>15235</v>
      </c>
    </row>
    <row r="967" spans="1:22" hidden="1">
      <c r="A967" t="s">
        <v>15309</v>
      </c>
      <c r="B967" t="s">
        <v>15441</v>
      </c>
      <c r="C967" t="s">
        <v>15447</v>
      </c>
      <c r="D967" t="s">
        <v>966</v>
      </c>
      <c r="E967" t="s">
        <v>3425</v>
      </c>
      <c r="F967" t="s">
        <v>3429</v>
      </c>
      <c r="G967" s="3">
        <v>35.827194763714097</v>
      </c>
      <c r="H967" s="3">
        <v>127.63904482298599</v>
      </c>
      <c r="I967" t="s">
        <v>4732</v>
      </c>
      <c r="J967" t="s">
        <v>8091</v>
      </c>
      <c r="K967" t="s">
        <v>10971</v>
      </c>
      <c r="L967" t="s">
        <v>3366</v>
      </c>
      <c r="M967" t="s">
        <v>11887</v>
      </c>
      <c r="N967" t="s">
        <v>3363</v>
      </c>
      <c r="O967" t="s">
        <v>15211</v>
      </c>
      <c r="P967" t="s">
        <v>15211</v>
      </c>
      <c r="Q967" t="s">
        <v>15211</v>
      </c>
      <c r="R967" t="s">
        <v>15211</v>
      </c>
      <c r="S967" t="s">
        <v>15211</v>
      </c>
      <c r="T967" t="s">
        <v>3363</v>
      </c>
      <c r="U967" t="s">
        <v>12867</v>
      </c>
      <c r="V967" t="s">
        <v>15235</v>
      </c>
    </row>
    <row r="968" spans="1:22" hidden="1">
      <c r="A968" t="s">
        <v>15309</v>
      </c>
      <c r="B968" t="s">
        <v>15441</v>
      </c>
      <c r="C968" t="s">
        <v>15448</v>
      </c>
      <c r="D968" t="s">
        <v>967</v>
      </c>
      <c r="E968" t="s">
        <v>3461</v>
      </c>
      <c r="F968" t="s">
        <v>3476</v>
      </c>
      <c r="G968" s="3">
        <v>35.827195072659698</v>
      </c>
      <c r="H968" s="3">
        <v>127.63904487728</v>
      </c>
      <c r="I968" t="s">
        <v>4733</v>
      </c>
      <c r="J968" t="s">
        <v>8092</v>
      </c>
      <c r="K968" t="s">
        <v>11138</v>
      </c>
      <c r="L968" t="s">
        <v>3366</v>
      </c>
      <c r="M968" t="s">
        <v>11893</v>
      </c>
      <c r="N968" t="s">
        <v>3364</v>
      </c>
      <c r="O968" t="s">
        <v>3360</v>
      </c>
      <c r="P968" t="s">
        <v>3362</v>
      </c>
      <c r="Q968" t="s">
        <v>3360</v>
      </c>
      <c r="R968" t="s">
        <v>3358</v>
      </c>
      <c r="S968" t="s">
        <v>15211</v>
      </c>
      <c r="T968" t="s">
        <v>3380</v>
      </c>
      <c r="U968" t="s">
        <v>12868</v>
      </c>
      <c r="V968" t="s">
        <v>15230</v>
      </c>
    </row>
    <row r="969" spans="1:22" hidden="1">
      <c r="A969" t="s">
        <v>15309</v>
      </c>
      <c r="B969" t="s">
        <v>15441</v>
      </c>
      <c r="C969" t="s">
        <v>15448</v>
      </c>
      <c r="D969" t="s">
        <v>968</v>
      </c>
      <c r="E969" t="s">
        <v>3452</v>
      </c>
      <c r="F969" t="s">
        <v>3464</v>
      </c>
      <c r="G969" s="3">
        <v>35.827195063078698</v>
      </c>
      <c r="H969" s="3">
        <v>127.63904484708701</v>
      </c>
      <c r="I969" t="s">
        <v>4734</v>
      </c>
      <c r="J969" t="s">
        <v>8093</v>
      </c>
      <c r="K969" t="s">
        <v>11012</v>
      </c>
      <c r="L969" t="s">
        <v>3366</v>
      </c>
      <c r="M969" t="s">
        <v>11912</v>
      </c>
      <c r="N969" t="s">
        <v>3365</v>
      </c>
      <c r="O969" t="s">
        <v>3360</v>
      </c>
      <c r="P969" t="s">
        <v>3363</v>
      </c>
      <c r="Q969" t="s">
        <v>3361</v>
      </c>
      <c r="R969" t="s">
        <v>3358</v>
      </c>
      <c r="S969" t="s">
        <v>15211</v>
      </c>
      <c r="T969" t="s">
        <v>3383</v>
      </c>
      <c r="U969" t="s">
        <v>12869</v>
      </c>
      <c r="V969" t="s">
        <v>15230</v>
      </c>
    </row>
    <row r="970" spans="1:22" hidden="1">
      <c r="A970" t="s">
        <v>15309</v>
      </c>
      <c r="B970" t="s">
        <v>15441</v>
      </c>
      <c r="C970" t="s">
        <v>15448</v>
      </c>
      <c r="D970" t="s">
        <v>969</v>
      </c>
      <c r="E970" t="s">
        <v>3461</v>
      </c>
      <c r="F970" t="s">
        <v>3464</v>
      </c>
      <c r="G970" s="3">
        <v>35.827195026153603</v>
      </c>
      <c r="H970" s="3">
        <v>127.639044812615</v>
      </c>
      <c r="I970" t="s">
        <v>4735</v>
      </c>
      <c r="J970" t="s">
        <v>8094</v>
      </c>
      <c r="K970" t="s">
        <v>11139</v>
      </c>
      <c r="L970" t="s">
        <v>3366</v>
      </c>
      <c r="M970" t="s">
        <v>11914</v>
      </c>
      <c r="N970" t="s">
        <v>3365</v>
      </c>
      <c r="O970" t="s">
        <v>3360</v>
      </c>
      <c r="P970" t="s">
        <v>3363</v>
      </c>
      <c r="Q970" t="s">
        <v>3361</v>
      </c>
      <c r="R970" t="s">
        <v>3358</v>
      </c>
      <c r="S970" t="s">
        <v>15211</v>
      </c>
      <c r="T970" t="s">
        <v>3383</v>
      </c>
      <c r="U970" t="s">
        <v>12870</v>
      </c>
      <c r="V970" t="s">
        <v>15230</v>
      </c>
    </row>
    <row r="971" spans="1:22" hidden="1">
      <c r="A971" t="s">
        <v>15309</v>
      </c>
      <c r="B971" t="s">
        <v>15441</v>
      </c>
      <c r="C971" t="s">
        <v>15449</v>
      </c>
      <c r="D971" t="s">
        <v>970</v>
      </c>
      <c r="E971" t="s">
        <v>3430</v>
      </c>
      <c r="F971" t="s">
        <v>3462</v>
      </c>
      <c r="G971" s="3">
        <v>35.827194911535898</v>
      </c>
      <c r="H971" s="3">
        <v>127.639044701451</v>
      </c>
      <c r="I971" t="s">
        <v>4736</v>
      </c>
      <c r="J971" t="s">
        <v>8095</v>
      </c>
      <c r="K971" t="s">
        <v>10698</v>
      </c>
      <c r="L971" t="s">
        <v>3366</v>
      </c>
      <c r="M971" t="s">
        <v>11891</v>
      </c>
      <c r="N971" t="s">
        <v>3365</v>
      </c>
      <c r="O971" t="s">
        <v>3359</v>
      </c>
      <c r="P971" t="s">
        <v>3362</v>
      </c>
      <c r="Q971" t="s">
        <v>3361</v>
      </c>
      <c r="R971" t="s">
        <v>3358</v>
      </c>
      <c r="S971" t="s">
        <v>15211</v>
      </c>
      <c r="T971" t="s">
        <v>3381</v>
      </c>
      <c r="U971" t="s">
        <v>12871</v>
      </c>
      <c r="V971" t="s">
        <v>15231</v>
      </c>
    </row>
    <row r="972" spans="1:22" hidden="1">
      <c r="A972" t="s">
        <v>15309</v>
      </c>
      <c r="B972" t="s">
        <v>15441</v>
      </c>
      <c r="C972" t="s">
        <v>15449</v>
      </c>
      <c r="D972" t="s">
        <v>971</v>
      </c>
      <c r="E972" t="s">
        <v>3430</v>
      </c>
      <c r="F972" t="s">
        <v>3462</v>
      </c>
      <c r="G972" s="3">
        <v>35.827194904213599</v>
      </c>
      <c r="H972" s="3">
        <v>127.63904473619201</v>
      </c>
      <c r="I972" t="s">
        <v>4737</v>
      </c>
      <c r="J972" t="s">
        <v>8096</v>
      </c>
      <c r="K972" t="s">
        <v>10698</v>
      </c>
      <c r="L972" t="s">
        <v>3366</v>
      </c>
      <c r="M972" t="s">
        <v>11891</v>
      </c>
      <c r="N972" t="s">
        <v>3365</v>
      </c>
      <c r="O972" t="s">
        <v>3359</v>
      </c>
      <c r="P972" t="s">
        <v>3362</v>
      </c>
      <c r="Q972" t="s">
        <v>3360</v>
      </c>
      <c r="R972" t="s">
        <v>3358</v>
      </c>
      <c r="S972" t="s">
        <v>15211</v>
      </c>
      <c r="T972" t="s">
        <v>3380</v>
      </c>
      <c r="U972" t="s">
        <v>12872</v>
      </c>
      <c r="V972" t="s">
        <v>15231</v>
      </c>
    </row>
    <row r="973" spans="1:22" hidden="1">
      <c r="A973" t="s">
        <v>15309</v>
      </c>
      <c r="B973" t="s">
        <v>15441</v>
      </c>
      <c r="C973" t="s">
        <v>15449</v>
      </c>
      <c r="D973" t="s">
        <v>972</v>
      </c>
      <c r="E973" t="s">
        <v>3430</v>
      </c>
      <c r="F973" t="s">
        <v>3462</v>
      </c>
      <c r="G973" s="3">
        <v>35.827194918079798</v>
      </c>
      <c r="H973" s="3">
        <v>127.63904477201</v>
      </c>
      <c r="I973" t="s">
        <v>4738</v>
      </c>
      <c r="J973" t="s">
        <v>8097</v>
      </c>
      <c r="K973" t="s">
        <v>11117</v>
      </c>
      <c r="L973" t="s">
        <v>3366</v>
      </c>
      <c r="M973" t="s">
        <v>11891</v>
      </c>
      <c r="N973" t="s">
        <v>3364</v>
      </c>
      <c r="O973" t="s">
        <v>3359</v>
      </c>
      <c r="P973" t="s">
        <v>3362</v>
      </c>
      <c r="Q973" t="s">
        <v>3361</v>
      </c>
      <c r="R973" t="s">
        <v>3358</v>
      </c>
      <c r="S973" t="s">
        <v>15211</v>
      </c>
      <c r="T973" t="s">
        <v>3380</v>
      </c>
      <c r="U973" t="s">
        <v>12873</v>
      </c>
      <c r="V973" t="s">
        <v>15231</v>
      </c>
    </row>
    <row r="974" spans="1:22" hidden="1">
      <c r="A974" t="s">
        <v>15309</v>
      </c>
      <c r="B974" t="s">
        <v>15442</v>
      </c>
      <c r="C974" t="s">
        <v>15450</v>
      </c>
      <c r="D974" t="s">
        <v>973</v>
      </c>
      <c r="E974" t="s">
        <v>3435</v>
      </c>
      <c r="F974" t="s">
        <v>3452</v>
      </c>
      <c r="G974" s="3">
        <v>35.827195064281</v>
      </c>
      <c r="H974" s="3">
        <v>127.639044824153</v>
      </c>
      <c r="I974" t="s">
        <v>4739</v>
      </c>
      <c r="J974" t="s">
        <v>8098</v>
      </c>
      <c r="K974" t="s">
        <v>10840</v>
      </c>
      <c r="L974" t="s">
        <v>3366</v>
      </c>
      <c r="M974" t="s">
        <v>11885</v>
      </c>
      <c r="N974" t="s">
        <v>3364</v>
      </c>
      <c r="O974" t="s">
        <v>3360</v>
      </c>
      <c r="P974" t="s">
        <v>15211</v>
      </c>
      <c r="Q974" t="s">
        <v>15211</v>
      </c>
      <c r="R974" t="s">
        <v>15211</v>
      </c>
      <c r="S974" t="s">
        <v>15211</v>
      </c>
      <c r="T974" t="s">
        <v>3368</v>
      </c>
      <c r="U974" t="s">
        <v>12874</v>
      </c>
      <c r="V974" t="s">
        <v>15232</v>
      </c>
    </row>
    <row r="975" spans="1:22" hidden="1">
      <c r="A975" t="s">
        <v>15309</v>
      </c>
      <c r="B975" t="s">
        <v>15442</v>
      </c>
      <c r="C975" t="s">
        <v>15450</v>
      </c>
      <c r="D975" t="s">
        <v>974</v>
      </c>
      <c r="E975" t="s">
        <v>3434</v>
      </c>
      <c r="F975" t="s">
        <v>3433</v>
      </c>
      <c r="G975" s="3">
        <v>35.827194934139797</v>
      </c>
      <c r="H975" s="3">
        <v>127.639044834603</v>
      </c>
      <c r="I975" t="s">
        <v>4740</v>
      </c>
      <c r="J975" t="s">
        <v>8099</v>
      </c>
      <c r="K975" t="s">
        <v>11140</v>
      </c>
      <c r="L975" t="s">
        <v>3366</v>
      </c>
      <c r="M975" t="s">
        <v>11885</v>
      </c>
      <c r="N975" t="s">
        <v>3364</v>
      </c>
      <c r="O975" t="s">
        <v>3360</v>
      </c>
      <c r="P975" t="s">
        <v>15211</v>
      </c>
      <c r="Q975" t="s">
        <v>15211</v>
      </c>
      <c r="R975" t="s">
        <v>15211</v>
      </c>
      <c r="S975" t="s">
        <v>15211</v>
      </c>
      <c r="T975" t="s">
        <v>3368</v>
      </c>
      <c r="U975" t="s">
        <v>12875</v>
      </c>
      <c r="V975" t="s">
        <v>15232</v>
      </c>
    </row>
    <row r="976" spans="1:22" hidden="1">
      <c r="A976" t="s">
        <v>15309</v>
      </c>
      <c r="B976" t="s">
        <v>15442</v>
      </c>
      <c r="C976" t="s">
        <v>15450</v>
      </c>
      <c r="D976" t="s">
        <v>975</v>
      </c>
      <c r="E976" t="s">
        <v>3434</v>
      </c>
      <c r="F976" t="s">
        <v>3433</v>
      </c>
      <c r="G976" s="3">
        <v>35.827195001136097</v>
      </c>
      <c r="H976" s="3">
        <v>127.639044799777</v>
      </c>
      <c r="I976" t="s">
        <v>4741</v>
      </c>
      <c r="J976" t="s">
        <v>8100</v>
      </c>
      <c r="K976" t="s">
        <v>11125</v>
      </c>
      <c r="L976" t="s">
        <v>3366</v>
      </c>
      <c r="M976" t="s">
        <v>11885</v>
      </c>
      <c r="N976" t="s">
        <v>3364</v>
      </c>
      <c r="O976" t="s">
        <v>3360</v>
      </c>
      <c r="P976" t="s">
        <v>15211</v>
      </c>
      <c r="Q976" t="s">
        <v>15211</v>
      </c>
      <c r="R976" t="s">
        <v>15211</v>
      </c>
      <c r="S976" t="s">
        <v>15211</v>
      </c>
      <c r="T976" t="s">
        <v>3368</v>
      </c>
      <c r="U976" t="s">
        <v>12876</v>
      </c>
      <c r="V976" t="s">
        <v>15232</v>
      </c>
    </row>
    <row r="977" spans="1:22" hidden="1">
      <c r="A977" t="s">
        <v>15309</v>
      </c>
      <c r="B977" t="s">
        <v>15442</v>
      </c>
      <c r="C977" t="s">
        <v>15445</v>
      </c>
      <c r="D977" t="s">
        <v>976</v>
      </c>
      <c r="E977" t="s">
        <v>3425</v>
      </c>
      <c r="F977" t="s">
        <v>3430</v>
      </c>
      <c r="G977" s="3">
        <v>35.827194878542898</v>
      </c>
      <c r="H977" s="3">
        <v>127.639044790412</v>
      </c>
      <c r="I977" t="s">
        <v>4742</v>
      </c>
      <c r="J977" t="s">
        <v>8101</v>
      </c>
      <c r="K977" t="s">
        <v>11141</v>
      </c>
      <c r="L977" t="s">
        <v>3366</v>
      </c>
      <c r="M977" t="s">
        <v>11890</v>
      </c>
      <c r="N977" t="s">
        <v>3365</v>
      </c>
      <c r="O977" t="s">
        <v>3360</v>
      </c>
      <c r="P977" t="s">
        <v>15211</v>
      </c>
      <c r="Q977" t="s">
        <v>15211</v>
      </c>
      <c r="R977" t="s">
        <v>15211</v>
      </c>
      <c r="S977" t="s">
        <v>15211</v>
      </c>
      <c r="T977" t="s">
        <v>3369</v>
      </c>
      <c r="U977" t="s">
        <v>12877</v>
      </c>
      <c r="V977" t="s">
        <v>15233</v>
      </c>
    </row>
    <row r="978" spans="1:22" hidden="1">
      <c r="A978" t="s">
        <v>15309</v>
      </c>
      <c r="B978" t="s">
        <v>15442</v>
      </c>
      <c r="C978" t="s">
        <v>15445</v>
      </c>
      <c r="D978" t="s">
        <v>977</v>
      </c>
      <c r="E978" t="s">
        <v>3434</v>
      </c>
      <c r="F978" t="s">
        <v>3441</v>
      </c>
      <c r="G978" s="3">
        <v>35.827194854674303</v>
      </c>
      <c r="H978" s="3">
        <v>127.639044791345</v>
      </c>
      <c r="I978" t="s">
        <v>4743</v>
      </c>
      <c r="J978" t="s">
        <v>8102</v>
      </c>
      <c r="K978" t="s">
        <v>10799</v>
      </c>
      <c r="L978" t="s">
        <v>3366</v>
      </c>
      <c r="M978" t="s">
        <v>11890</v>
      </c>
      <c r="N978" t="s">
        <v>3365</v>
      </c>
      <c r="O978" t="s">
        <v>3360</v>
      </c>
      <c r="P978" t="s">
        <v>15211</v>
      </c>
      <c r="Q978" t="s">
        <v>15211</v>
      </c>
      <c r="R978" t="s">
        <v>15211</v>
      </c>
      <c r="S978" t="s">
        <v>15211</v>
      </c>
      <c r="T978" t="s">
        <v>3369</v>
      </c>
      <c r="U978" t="s">
        <v>12878</v>
      </c>
      <c r="V978" t="s">
        <v>15233</v>
      </c>
    </row>
    <row r="979" spans="1:22" hidden="1">
      <c r="A979" t="s">
        <v>15309</v>
      </c>
      <c r="B979" t="s">
        <v>15442</v>
      </c>
      <c r="C979" t="s">
        <v>15445</v>
      </c>
      <c r="D979" t="s">
        <v>978</v>
      </c>
      <c r="E979" t="s">
        <v>3434</v>
      </c>
      <c r="F979" t="s">
        <v>3453</v>
      </c>
      <c r="G979" s="3">
        <v>35.8271948917439</v>
      </c>
      <c r="H979" s="3">
        <v>127.639044822252</v>
      </c>
      <c r="I979" t="s">
        <v>4744</v>
      </c>
      <c r="J979" t="s">
        <v>8103</v>
      </c>
      <c r="K979" t="s">
        <v>10876</v>
      </c>
      <c r="L979" t="s">
        <v>3366</v>
      </c>
      <c r="M979" t="s">
        <v>11885</v>
      </c>
      <c r="N979" t="s">
        <v>3364</v>
      </c>
      <c r="O979" t="s">
        <v>3360</v>
      </c>
      <c r="P979" t="s">
        <v>15211</v>
      </c>
      <c r="Q979" t="s">
        <v>15211</v>
      </c>
      <c r="R979" t="s">
        <v>15211</v>
      </c>
      <c r="S979" t="s">
        <v>15211</v>
      </c>
      <c r="T979" t="s">
        <v>3368</v>
      </c>
      <c r="U979" t="s">
        <v>12879</v>
      </c>
      <c r="V979" t="s">
        <v>15233</v>
      </c>
    </row>
    <row r="980" spans="1:22" hidden="1">
      <c r="A980" t="s">
        <v>15309</v>
      </c>
      <c r="B980" t="s">
        <v>15442</v>
      </c>
      <c r="C980" t="s">
        <v>15451</v>
      </c>
      <c r="D980" t="s">
        <v>979</v>
      </c>
      <c r="E980" t="s">
        <v>3428</v>
      </c>
      <c r="F980" t="s">
        <v>3431</v>
      </c>
      <c r="G980" s="3">
        <v>35.827195037068201</v>
      </c>
      <c r="H980" s="3">
        <v>127.639044936011</v>
      </c>
      <c r="I980" t="s">
        <v>4745</v>
      </c>
      <c r="J980" t="s">
        <v>8104</v>
      </c>
      <c r="K980" t="s">
        <v>11028</v>
      </c>
      <c r="L980" t="s">
        <v>3366</v>
      </c>
      <c r="M980" t="s">
        <v>11896</v>
      </c>
      <c r="N980" t="s">
        <v>3365</v>
      </c>
      <c r="O980" t="s">
        <v>3360</v>
      </c>
      <c r="P980" t="s">
        <v>3363</v>
      </c>
      <c r="Q980" t="s">
        <v>3359</v>
      </c>
      <c r="R980" t="s">
        <v>15211</v>
      </c>
      <c r="S980" t="s">
        <v>15211</v>
      </c>
      <c r="T980" t="s">
        <v>3379</v>
      </c>
      <c r="U980" t="s">
        <v>12880</v>
      </c>
      <c r="V980" t="s">
        <v>15234</v>
      </c>
    </row>
    <row r="981" spans="1:22" hidden="1">
      <c r="A981" t="s">
        <v>15309</v>
      </c>
      <c r="B981" t="s">
        <v>15442</v>
      </c>
      <c r="C981" t="s">
        <v>15451</v>
      </c>
      <c r="D981" t="s">
        <v>980</v>
      </c>
      <c r="E981" t="s">
        <v>3436</v>
      </c>
      <c r="F981" t="s">
        <v>3434</v>
      </c>
      <c r="G981" s="3">
        <v>35.827195022120598</v>
      </c>
      <c r="H981" s="3">
        <v>127.63904488920301</v>
      </c>
      <c r="I981" t="s">
        <v>4746</v>
      </c>
      <c r="J981" t="s">
        <v>8105</v>
      </c>
      <c r="K981" t="s">
        <v>10699</v>
      </c>
      <c r="L981" t="s">
        <v>3366</v>
      </c>
      <c r="M981" t="s">
        <v>11896</v>
      </c>
      <c r="N981" t="s">
        <v>3365</v>
      </c>
      <c r="O981" t="s">
        <v>3360</v>
      </c>
      <c r="P981" t="s">
        <v>3363</v>
      </c>
      <c r="Q981" t="s">
        <v>3359</v>
      </c>
      <c r="R981" t="s">
        <v>15211</v>
      </c>
      <c r="S981" t="s">
        <v>15211</v>
      </c>
      <c r="T981" t="s">
        <v>3379</v>
      </c>
      <c r="U981" t="s">
        <v>12881</v>
      </c>
      <c r="V981" t="s">
        <v>15234</v>
      </c>
    </row>
    <row r="982" spans="1:22" hidden="1">
      <c r="A982" t="s">
        <v>15309</v>
      </c>
      <c r="B982" t="s">
        <v>15442</v>
      </c>
      <c r="C982" t="s">
        <v>15451</v>
      </c>
      <c r="D982" t="s">
        <v>981</v>
      </c>
      <c r="E982" t="s">
        <v>3429</v>
      </c>
      <c r="F982" t="s">
        <v>3442</v>
      </c>
      <c r="G982" s="3">
        <v>35.827194910211603</v>
      </c>
      <c r="H982" s="3">
        <v>127.639044821035</v>
      </c>
      <c r="I982" t="s">
        <v>4747</v>
      </c>
      <c r="J982" t="s">
        <v>8106</v>
      </c>
      <c r="K982" t="s">
        <v>10940</v>
      </c>
      <c r="L982" t="s">
        <v>3366</v>
      </c>
      <c r="M982" t="s">
        <v>11896</v>
      </c>
      <c r="N982" t="s">
        <v>3365</v>
      </c>
      <c r="O982" t="s">
        <v>3360</v>
      </c>
      <c r="P982" t="s">
        <v>3363</v>
      </c>
      <c r="Q982" t="s">
        <v>3359</v>
      </c>
      <c r="R982" t="s">
        <v>15211</v>
      </c>
      <c r="S982" t="s">
        <v>15211</v>
      </c>
      <c r="T982" t="s">
        <v>3379</v>
      </c>
      <c r="U982" t="s">
        <v>12882</v>
      </c>
      <c r="V982" t="s">
        <v>15234</v>
      </c>
    </row>
    <row r="983" spans="1:22" hidden="1">
      <c r="A983" t="s">
        <v>15310</v>
      </c>
      <c r="B983" t="s">
        <v>15441</v>
      </c>
      <c r="C983" t="s">
        <v>15445</v>
      </c>
      <c r="D983" t="s">
        <v>982</v>
      </c>
      <c r="E983" t="s">
        <v>3435</v>
      </c>
      <c r="F983" t="s">
        <v>3484</v>
      </c>
      <c r="G983" s="3">
        <v>35.8289820592029</v>
      </c>
      <c r="H983" s="3">
        <v>127.807870592581</v>
      </c>
      <c r="I983" t="s">
        <v>4748</v>
      </c>
      <c r="J983" t="s">
        <v>8107</v>
      </c>
      <c r="K983" t="s">
        <v>11112</v>
      </c>
      <c r="L983" t="s">
        <v>3366</v>
      </c>
      <c r="M983" t="s">
        <v>11885</v>
      </c>
      <c r="N983" t="s">
        <v>3364</v>
      </c>
      <c r="O983" t="s">
        <v>3360</v>
      </c>
      <c r="P983" t="s">
        <v>15211</v>
      </c>
      <c r="Q983" t="s">
        <v>15211</v>
      </c>
      <c r="R983" t="s">
        <v>15211</v>
      </c>
      <c r="S983" t="s">
        <v>15211</v>
      </c>
      <c r="T983" t="s">
        <v>3368</v>
      </c>
      <c r="U983" t="s">
        <v>12883</v>
      </c>
      <c r="V983" t="s">
        <v>15228</v>
      </c>
    </row>
    <row r="984" spans="1:22" hidden="1">
      <c r="A984" t="s">
        <v>15310</v>
      </c>
      <c r="B984" t="s">
        <v>15441</v>
      </c>
      <c r="C984" t="s">
        <v>15445</v>
      </c>
      <c r="D984" t="s">
        <v>983</v>
      </c>
      <c r="E984" t="s">
        <v>3435</v>
      </c>
      <c r="F984" t="s">
        <v>3484</v>
      </c>
      <c r="G984" s="3">
        <v>35.828982029030101</v>
      </c>
      <c r="H984" s="3">
        <v>127.807870555992</v>
      </c>
      <c r="I984" t="s">
        <v>4749</v>
      </c>
      <c r="J984" t="s">
        <v>8108</v>
      </c>
      <c r="K984" t="s">
        <v>11142</v>
      </c>
      <c r="L984" t="s">
        <v>3366</v>
      </c>
      <c r="M984" t="s">
        <v>11885</v>
      </c>
      <c r="N984" t="s">
        <v>3364</v>
      </c>
      <c r="O984" t="s">
        <v>3360</v>
      </c>
      <c r="P984" t="s">
        <v>15211</v>
      </c>
      <c r="Q984" t="s">
        <v>15211</v>
      </c>
      <c r="R984" t="s">
        <v>15211</v>
      </c>
      <c r="S984" t="s">
        <v>15211</v>
      </c>
      <c r="T984" t="s">
        <v>3368</v>
      </c>
      <c r="U984" t="s">
        <v>12884</v>
      </c>
      <c r="V984" t="s">
        <v>15228</v>
      </c>
    </row>
    <row r="985" spans="1:22" hidden="1">
      <c r="A985" t="s">
        <v>15310</v>
      </c>
      <c r="B985" t="s">
        <v>15441</v>
      </c>
      <c r="C985" t="s">
        <v>15445</v>
      </c>
      <c r="D985" t="s">
        <v>984</v>
      </c>
      <c r="E985" t="s">
        <v>3435</v>
      </c>
      <c r="F985" t="s">
        <v>3511</v>
      </c>
      <c r="G985" s="3">
        <v>35.828982058566702</v>
      </c>
      <c r="H985" s="3">
        <v>127.80787065977501</v>
      </c>
      <c r="I985" t="s">
        <v>4750</v>
      </c>
      <c r="J985" t="s">
        <v>8109</v>
      </c>
      <c r="K985" t="s">
        <v>11126</v>
      </c>
      <c r="L985" t="s">
        <v>3366</v>
      </c>
      <c r="M985" t="s">
        <v>11885</v>
      </c>
      <c r="N985" t="s">
        <v>3364</v>
      </c>
      <c r="O985" t="s">
        <v>3360</v>
      </c>
      <c r="P985" t="s">
        <v>15211</v>
      </c>
      <c r="Q985" t="s">
        <v>15211</v>
      </c>
      <c r="R985" t="s">
        <v>15211</v>
      </c>
      <c r="S985" t="s">
        <v>15211</v>
      </c>
      <c r="T985" t="s">
        <v>3368</v>
      </c>
      <c r="U985" t="s">
        <v>12885</v>
      </c>
      <c r="V985" t="s">
        <v>15228</v>
      </c>
    </row>
    <row r="986" spans="1:22" hidden="1">
      <c r="A986" t="s">
        <v>15310</v>
      </c>
      <c r="B986" t="s">
        <v>15441</v>
      </c>
      <c r="C986" t="s">
        <v>15446</v>
      </c>
      <c r="D986" t="s">
        <v>985</v>
      </c>
      <c r="E986" t="s">
        <v>3427</v>
      </c>
      <c r="F986" t="s">
        <v>3435</v>
      </c>
      <c r="G986" s="3">
        <v>35.828982039127702</v>
      </c>
      <c r="H986" s="3">
        <v>127.807870778961</v>
      </c>
      <c r="I986" t="s">
        <v>4751</v>
      </c>
      <c r="J986" t="s">
        <v>8110</v>
      </c>
      <c r="K986" t="s">
        <v>11143</v>
      </c>
      <c r="L986" t="s">
        <v>3366</v>
      </c>
      <c r="M986" t="s">
        <v>11885</v>
      </c>
      <c r="N986" t="s">
        <v>3364</v>
      </c>
      <c r="O986" t="s">
        <v>3360</v>
      </c>
      <c r="P986" t="s">
        <v>15211</v>
      </c>
      <c r="Q986" t="s">
        <v>15211</v>
      </c>
      <c r="R986" t="s">
        <v>15211</v>
      </c>
      <c r="S986" t="s">
        <v>15211</v>
      </c>
      <c r="T986" t="s">
        <v>3368</v>
      </c>
      <c r="U986" t="s">
        <v>12886</v>
      </c>
      <c r="V986" t="s">
        <v>15229</v>
      </c>
    </row>
    <row r="987" spans="1:22" hidden="1">
      <c r="A987" t="s">
        <v>15310</v>
      </c>
      <c r="B987" t="s">
        <v>15441</v>
      </c>
      <c r="C987" t="s">
        <v>15446</v>
      </c>
      <c r="D987" t="s">
        <v>986</v>
      </c>
      <c r="E987" t="s">
        <v>3427</v>
      </c>
      <c r="F987" t="s">
        <v>3429</v>
      </c>
      <c r="G987" s="3">
        <v>35.828982054481003</v>
      </c>
      <c r="H987" s="3">
        <v>127.80787080048501</v>
      </c>
      <c r="I987" t="s">
        <v>4752</v>
      </c>
      <c r="J987" t="s">
        <v>8111</v>
      </c>
      <c r="K987" t="s">
        <v>10717</v>
      </c>
      <c r="L987" t="s">
        <v>3366</v>
      </c>
      <c r="M987" t="s">
        <v>11885</v>
      </c>
      <c r="N987" t="s">
        <v>3364</v>
      </c>
      <c r="O987" t="s">
        <v>3360</v>
      </c>
      <c r="P987" t="s">
        <v>15211</v>
      </c>
      <c r="Q987" t="s">
        <v>15211</v>
      </c>
      <c r="R987" t="s">
        <v>15211</v>
      </c>
      <c r="S987" t="s">
        <v>15211</v>
      </c>
      <c r="T987" t="s">
        <v>3368</v>
      </c>
      <c r="U987" t="s">
        <v>12887</v>
      </c>
      <c r="V987" t="s">
        <v>15229</v>
      </c>
    </row>
    <row r="988" spans="1:22" hidden="1">
      <c r="A988" t="s">
        <v>15310</v>
      </c>
      <c r="B988" t="s">
        <v>15441</v>
      </c>
      <c r="C988" t="s">
        <v>15446</v>
      </c>
      <c r="D988" t="s">
        <v>987</v>
      </c>
      <c r="E988" t="s">
        <v>3436</v>
      </c>
      <c r="F988" t="s">
        <v>3433</v>
      </c>
      <c r="G988" s="3">
        <v>35.828982098923099</v>
      </c>
      <c r="H988" s="3">
        <v>127.807870758612</v>
      </c>
      <c r="I988" t="s">
        <v>4753</v>
      </c>
      <c r="J988" t="s">
        <v>8112</v>
      </c>
      <c r="K988" t="s">
        <v>11144</v>
      </c>
      <c r="L988" t="s">
        <v>3366</v>
      </c>
      <c r="M988" t="s">
        <v>11885</v>
      </c>
      <c r="N988" t="s">
        <v>3364</v>
      </c>
      <c r="O988" t="s">
        <v>3360</v>
      </c>
      <c r="P988" t="s">
        <v>15211</v>
      </c>
      <c r="Q988" t="s">
        <v>15211</v>
      </c>
      <c r="R988" t="s">
        <v>15211</v>
      </c>
      <c r="S988" t="s">
        <v>15211</v>
      </c>
      <c r="T988" t="s">
        <v>3368</v>
      </c>
      <c r="U988" t="s">
        <v>12888</v>
      </c>
      <c r="V988" t="s">
        <v>15229</v>
      </c>
    </row>
    <row r="989" spans="1:22" hidden="1">
      <c r="A989" t="s">
        <v>15310</v>
      </c>
      <c r="B989" t="s">
        <v>15441</v>
      </c>
      <c r="C989" t="s">
        <v>15447</v>
      </c>
      <c r="D989" t="s">
        <v>988</v>
      </c>
      <c r="E989" t="s">
        <v>3427</v>
      </c>
      <c r="F989" t="s">
        <v>3435</v>
      </c>
      <c r="G989" s="3">
        <v>35.828981939005203</v>
      </c>
      <c r="H989" s="3">
        <v>127.807870412988</v>
      </c>
      <c r="I989" t="s">
        <v>4754</v>
      </c>
      <c r="J989" t="s">
        <v>8113</v>
      </c>
      <c r="K989" t="s">
        <v>11145</v>
      </c>
      <c r="L989" t="s">
        <v>3366</v>
      </c>
      <c r="M989" t="s">
        <v>11892</v>
      </c>
      <c r="N989" t="s">
        <v>3364</v>
      </c>
      <c r="O989" t="s">
        <v>15211</v>
      </c>
      <c r="P989" t="s">
        <v>15211</v>
      </c>
      <c r="Q989" t="s">
        <v>15211</v>
      </c>
      <c r="R989" t="s">
        <v>15211</v>
      </c>
      <c r="S989" t="s">
        <v>15211</v>
      </c>
      <c r="T989" t="s">
        <v>3364</v>
      </c>
      <c r="U989" t="s">
        <v>12889</v>
      </c>
      <c r="V989" t="s">
        <v>15235</v>
      </c>
    </row>
    <row r="990" spans="1:22" hidden="1">
      <c r="A990" t="s">
        <v>15310</v>
      </c>
      <c r="B990" t="s">
        <v>15441</v>
      </c>
      <c r="C990" t="s">
        <v>15447</v>
      </c>
      <c r="D990" t="s">
        <v>989</v>
      </c>
      <c r="E990" t="s">
        <v>3436</v>
      </c>
      <c r="F990" t="s">
        <v>3441</v>
      </c>
      <c r="G990" s="3">
        <v>35.828981997866997</v>
      </c>
      <c r="H990" s="3">
        <v>127.807870407255</v>
      </c>
      <c r="I990" t="s">
        <v>4755</v>
      </c>
      <c r="J990" t="s">
        <v>8114</v>
      </c>
      <c r="K990" t="s">
        <v>10768</v>
      </c>
      <c r="L990" t="s">
        <v>3366</v>
      </c>
      <c r="M990" t="s">
        <v>11892</v>
      </c>
      <c r="N990" t="s">
        <v>3364</v>
      </c>
      <c r="O990" t="s">
        <v>15211</v>
      </c>
      <c r="P990" t="s">
        <v>15211</v>
      </c>
      <c r="Q990" t="s">
        <v>15211</v>
      </c>
      <c r="R990" t="s">
        <v>15211</v>
      </c>
      <c r="S990" t="s">
        <v>15211</v>
      </c>
      <c r="T990" t="s">
        <v>3364</v>
      </c>
      <c r="U990" t="s">
        <v>12890</v>
      </c>
      <c r="V990" t="s">
        <v>15235</v>
      </c>
    </row>
    <row r="991" spans="1:22" hidden="1">
      <c r="A991" t="s">
        <v>15310</v>
      </c>
      <c r="B991" t="s">
        <v>15441</v>
      </c>
      <c r="C991" t="s">
        <v>15447</v>
      </c>
      <c r="D991" t="s">
        <v>990</v>
      </c>
      <c r="E991" t="s">
        <v>3428</v>
      </c>
      <c r="F991" t="s">
        <v>3442</v>
      </c>
      <c r="G991" s="3">
        <v>35.8289820509656</v>
      </c>
      <c r="H991" s="3">
        <v>127.807870414677</v>
      </c>
      <c r="I991" t="s">
        <v>4756</v>
      </c>
      <c r="J991" t="s">
        <v>8115</v>
      </c>
      <c r="K991" t="s">
        <v>3659</v>
      </c>
      <c r="L991" t="s">
        <v>3366</v>
      </c>
      <c r="M991" t="s">
        <v>11892</v>
      </c>
      <c r="N991" t="s">
        <v>3364</v>
      </c>
      <c r="O991" t="s">
        <v>15211</v>
      </c>
      <c r="P991" t="s">
        <v>15211</v>
      </c>
      <c r="Q991" t="s">
        <v>15211</v>
      </c>
      <c r="R991" t="s">
        <v>15211</v>
      </c>
      <c r="S991" t="s">
        <v>15211</v>
      </c>
      <c r="T991" t="s">
        <v>3364</v>
      </c>
      <c r="U991" t="s">
        <v>12891</v>
      </c>
      <c r="V991" t="s">
        <v>15235</v>
      </c>
    </row>
    <row r="992" spans="1:22" hidden="1">
      <c r="A992" t="s">
        <v>15310</v>
      </c>
      <c r="B992" t="s">
        <v>15441</v>
      </c>
      <c r="C992" t="s">
        <v>15448</v>
      </c>
      <c r="D992" t="s">
        <v>991</v>
      </c>
      <c r="E992" t="s">
        <v>3434</v>
      </c>
      <c r="F992" t="s">
        <v>3452</v>
      </c>
      <c r="G992" s="3">
        <v>35.8289819654822</v>
      </c>
      <c r="H992" s="3">
        <v>127.807870629566</v>
      </c>
      <c r="I992" t="s">
        <v>4757</v>
      </c>
      <c r="J992" t="s">
        <v>8116</v>
      </c>
      <c r="K992" t="s">
        <v>11146</v>
      </c>
      <c r="L992" t="s">
        <v>3366</v>
      </c>
      <c r="M992" t="s">
        <v>11914</v>
      </c>
      <c r="N992" t="s">
        <v>3365</v>
      </c>
      <c r="O992" t="s">
        <v>3360</v>
      </c>
      <c r="P992" t="s">
        <v>3362</v>
      </c>
      <c r="Q992" t="s">
        <v>3363</v>
      </c>
      <c r="R992" t="s">
        <v>3357</v>
      </c>
      <c r="S992" t="s">
        <v>15211</v>
      </c>
      <c r="T992" t="s">
        <v>3383</v>
      </c>
      <c r="U992" t="s">
        <v>12892</v>
      </c>
      <c r="V992" t="s">
        <v>15230</v>
      </c>
    </row>
    <row r="993" spans="1:22" hidden="1">
      <c r="A993" t="s">
        <v>15310</v>
      </c>
      <c r="B993" t="s">
        <v>15441</v>
      </c>
      <c r="C993" t="s">
        <v>15448</v>
      </c>
      <c r="D993" t="s">
        <v>992</v>
      </c>
      <c r="E993" t="s">
        <v>3435</v>
      </c>
      <c r="F993" t="s">
        <v>3465</v>
      </c>
      <c r="G993" s="3">
        <v>35.828981978895499</v>
      </c>
      <c r="H993" s="3">
        <v>127.807870640213</v>
      </c>
      <c r="I993" t="s">
        <v>4758</v>
      </c>
      <c r="J993" t="s">
        <v>8117</v>
      </c>
      <c r="K993" t="s">
        <v>10741</v>
      </c>
      <c r="L993" t="s">
        <v>3366</v>
      </c>
      <c r="M993" t="s">
        <v>11912</v>
      </c>
      <c r="N993" t="s">
        <v>3364</v>
      </c>
      <c r="O993" t="s">
        <v>3360</v>
      </c>
      <c r="P993" t="s">
        <v>3362</v>
      </c>
      <c r="Q993" t="s">
        <v>3363</v>
      </c>
      <c r="R993" t="s">
        <v>3357</v>
      </c>
      <c r="S993" t="s">
        <v>15211</v>
      </c>
      <c r="T993" t="s">
        <v>3382</v>
      </c>
      <c r="U993" t="s">
        <v>12893</v>
      </c>
      <c r="V993" t="s">
        <v>15230</v>
      </c>
    </row>
    <row r="994" spans="1:22" hidden="1">
      <c r="A994" t="s">
        <v>15310</v>
      </c>
      <c r="B994" t="s">
        <v>15441</v>
      </c>
      <c r="C994" t="s">
        <v>15448</v>
      </c>
      <c r="D994" t="s">
        <v>993</v>
      </c>
      <c r="E994" t="s">
        <v>3430</v>
      </c>
      <c r="F994" t="s">
        <v>3460</v>
      </c>
      <c r="G994" s="3">
        <v>35.828981983869198</v>
      </c>
      <c r="H994" s="3">
        <v>127.80787062248901</v>
      </c>
      <c r="I994" t="s">
        <v>4759</v>
      </c>
      <c r="J994" t="s">
        <v>8118</v>
      </c>
      <c r="K994" t="s">
        <v>10741</v>
      </c>
      <c r="L994" t="s">
        <v>3366</v>
      </c>
      <c r="M994" t="s">
        <v>11912</v>
      </c>
      <c r="N994" t="s">
        <v>3365</v>
      </c>
      <c r="O994" t="s">
        <v>3360</v>
      </c>
      <c r="P994" t="s">
        <v>3362</v>
      </c>
      <c r="Q994" t="s">
        <v>3363</v>
      </c>
      <c r="R994" t="s">
        <v>3357</v>
      </c>
      <c r="S994" t="s">
        <v>15211</v>
      </c>
      <c r="T994" t="s">
        <v>3383</v>
      </c>
      <c r="U994" t="s">
        <v>12894</v>
      </c>
      <c r="V994" t="s">
        <v>15230</v>
      </c>
    </row>
    <row r="995" spans="1:22" hidden="1">
      <c r="A995" t="s">
        <v>15310</v>
      </c>
      <c r="B995" t="s">
        <v>15441</v>
      </c>
      <c r="C995" t="s">
        <v>15449</v>
      </c>
      <c r="D995" t="s">
        <v>994</v>
      </c>
      <c r="E995" t="s">
        <v>3436</v>
      </c>
      <c r="F995" t="s">
        <v>3442</v>
      </c>
      <c r="G995" s="3">
        <v>35.8289818491576</v>
      </c>
      <c r="H995" s="3">
        <v>127.807870614799</v>
      </c>
      <c r="I995" t="s">
        <v>4760</v>
      </c>
      <c r="J995" t="s">
        <v>8119</v>
      </c>
      <c r="K995" t="s">
        <v>11147</v>
      </c>
      <c r="L995" t="s">
        <v>3366</v>
      </c>
      <c r="M995" t="s">
        <v>11891</v>
      </c>
      <c r="N995" t="s">
        <v>3364</v>
      </c>
      <c r="O995" t="s">
        <v>3359</v>
      </c>
      <c r="P995" t="s">
        <v>3362</v>
      </c>
      <c r="Q995" t="s">
        <v>3362</v>
      </c>
      <c r="R995" t="s">
        <v>3357</v>
      </c>
      <c r="S995" t="s">
        <v>15211</v>
      </c>
      <c r="T995" t="s">
        <v>3380</v>
      </c>
      <c r="U995" t="s">
        <v>12895</v>
      </c>
      <c r="V995" t="s">
        <v>15231</v>
      </c>
    </row>
    <row r="996" spans="1:22" hidden="1">
      <c r="A996" t="s">
        <v>15310</v>
      </c>
      <c r="B996" t="s">
        <v>15441</v>
      </c>
      <c r="C996" t="s">
        <v>15449</v>
      </c>
      <c r="D996" t="s">
        <v>995</v>
      </c>
      <c r="E996" t="s">
        <v>3425</v>
      </c>
      <c r="F996" t="s">
        <v>3453</v>
      </c>
      <c r="G996" s="3">
        <v>35.828981829451102</v>
      </c>
      <c r="H996" s="3">
        <v>127.807870617166</v>
      </c>
      <c r="I996" t="s">
        <v>4761</v>
      </c>
      <c r="J996" t="s">
        <v>8120</v>
      </c>
      <c r="K996" t="s">
        <v>11148</v>
      </c>
      <c r="L996" t="s">
        <v>3366</v>
      </c>
      <c r="M996" t="s">
        <v>11891</v>
      </c>
      <c r="N996" t="s">
        <v>3364</v>
      </c>
      <c r="O996" t="s">
        <v>3359</v>
      </c>
      <c r="P996" t="s">
        <v>3362</v>
      </c>
      <c r="Q996" t="s">
        <v>3362</v>
      </c>
      <c r="R996" t="s">
        <v>3357</v>
      </c>
      <c r="S996" t="s">
        <v>15211</v>
      </c>
      <c r="T996" t="s">
        <v>3380</v>
      </c>
      <c r="U996" t="s">
        <v>12896</v>
      </c>
      <c r="V996" t="s">
        <v>15231</v>
      </c>
    </row>
    <row r="997" spans="1:22" hidden="1">
      <c r="A997" t="s">
        <v>15310</v>
      </c>
      <c r="B997" t="s">
        <v>15441</v>
      </c>
      <c r="C997" t="s">
        <v>15449</v>
      </c>
      <c r="D997" t="s">
        <v>996</v>
      </c>
      <c r="E997" t="s">
        <v>3434</v>
      </c>
      <c r="F997" t="s">
        <v>3433</v>
      </c>
      <c r="G997" s="3">
        <v>35.828981823425302</v>
      </c>
      <c r="H997" s="3">
        <v>127.80787062297</v>
      </c>
      <c r="I997" t="s">
        <v>4762</v>
      </c>
      <c r="J997" t="s">
        <v>8121</v>
      </c>
      <c r="K997" t="s">
        <v>11149</v>
      </c>
      <c r="L997" t="s">
        <v>3366</v>
      </c>
      <c r="M997" t="s">
        <v>11893</v>
      </c>
      <c r="N997" t="s">
        <v>3364</v>
      </c>
      <c r="O997" t="s">
        <v>3359</v>
      </c>
      <c r="P997" t="s">
        <v>3362</v>
      </c>
      <c r="Q997" t="s">
        <v>3363</v>
      </c>
      <c r="R997" t="s">
        <v>3357</v>
      </c>
      <c r="S997" t="s">
        <v>15211</v>
      </c>
      <c r="T997" t="s">
        <v>3381</v>
      </c>
      <c r="U997" t="s">
        <v>12897</v>
      </c>
      <c r="V997" t="s">
        <v>15231</v>
      </c>
    </row>
    <row r="998" spans="1:22" hidden="1">
      <c r="A998" t="s">
        <v>15310</v>
      </c>
      <c r="B998" t="s">
        <v>15442</v>
      </c>
      <c r="C998" t="s">
        <v>15450</v>
      </c>
      <c r="D998" t="s">
        <v>997</v>
      </c>
      <c r="E998" t="s">
        <v>3433</v>
      </c>
      <c r="F998" t="s">
        <v>3613</v>
      </c>
      <c r="G998" s="3">
        <v>35.828983135913397</v>
      </c>
      <c r="H998" s="3">
        <v>127.807870144536</v>
      </c>
      <c r="I998" t="s">
        <v>4763</v>
      </c>
      <c r="J998" t="s">
        <v>8122</v>
      </c>
      <c r="K998" t="s">
        <v>11150</v>
      </c>
      <c r="L998" t="s">
        <v>3385</v>
      </c>
      <c r="M998" t="s">
        <v>11885</v>
      </c>
      <c r="N998" t="s">
        <v>3364</v>
      </c>
      <c r="O998" t="s">
        <v>3360</v>
      </c>
      <c r="P998" t="s">
        <v>15211</v>
      </c>
      <c r="Q998" t="s">
        <v>15211</v>
      </c>
      <c r="R998" t="s">
        <v>15211</v>
      </c>
      <c r="S998" t="s">
        <v>15211</v>
      </c>
      <c r="T998" t="s">
        <v>3368</v>
      </c>
      <c r="U998" t="s">
        <v>12898</v>
      </c>
      <c r="V998" t="s">
        <v>15232</v>
      </c>
    </row>
    <row r="999" spans="1:22" hidden="1">
      <c r="A999" t="s">
        <v>15310</v>
      </c>
      <c r="B999" t="s">
        <v>15442</v>
      </c>
      <c r="C999" t="s">
        <v>15450</v>
      </c>
      <c r="D999" t="s">
        <v>998</v>
      </c>
      <c r="E999" t="s">
        <v>3452</v>
      </c>
      <c r="F999" t="s">
        <v>3458</v>
      </c>
      <c r="G999" s="3">
        <v>35.828983151252402</v>
      </c>
      <c r="H999" s="3">
        <v>127.807870209873</v>
      </c>
      <c r="I999" t="s">
        <v>4764</v>
      </c>
      <c r="J999" t="s">
        <v>8123</v>
      </c>
      <c r="K999" t="s">
        <v>11093</v>
      </c>
      <c r="L999" t="s">
        <v>3366</v>
      </c>
      <c r="M999" t="s">
        <v>11885</v>
      </c>
      <c r="N999" t="s">
        <v>3364</v>
      </c>
      <c r="O999" t="s">
        <v>3360</v>
      </c>
      <c r="P999" t="s">
        <v>15211</v>
      </c>
      <c r="Q999" t="s">
        <v>15211</v>
      </c>
      <c r="R999" t="s">
        <v>15211</v>
      </c>
      <c r="S999" t="s">
        <v>15211</v>
      </c>
      <c r="T999" t="s">
        <v>3368</v>
      </c>
      <c r="U999" t="s">
        <v>12899</v>
      </c>
      <c r="V999" t="s">
        <v>15232</v>
      </c>
    </row>
    <row r="1000" spans="1:22" hidden="1">
      <c r="A1000" t="s">
        <v>15310</v>
      </c>
      <c r="B1000" t="s">
        <v>15442</v>
      </c>
      <c r="C1000" t="s">
        <v>15450</v>
      </c>
      <c r="D1000" t="s">
        <v>999</v>
      </c>
      <c r="E1000" t="s">
        <v>3432</v>
      </c>
      <c r="F1000" t="s">
        <v>3515</v>
      </c>
      <c r="G1000" s="3">
        <v>35.828983178569302</v>
      </c>
      <c r="H1000" s="3">
        <v>127.807870283266</v>
      </c>
      <c r="I1000" t="s">
        <v>4765</v>
      </c>
      <c r="J1000" t="s">
        <v>8124</v>
      </c>
      <c r="K1000" t="s">
        <v>10690</v>
      </c>
      <c r="L1000" t="s">
        <v>3366</v>
      </c>
      <c r="M1000" t="s">
        <v>11885</v>
      </c>
      <c r="N1000" t="s">
        <v>3364</v>
      </c>
      <c r="O1000" t="s">
        <v>3360</v>
      </c>
      <c r="P1000" t="s">
        <v>15211</v>
      </c>
      <c r="Q1000" t="s">
        <v>15211</v>
      </c>
      <c r="R1000" t="s">
        <v>15211</v>
      </c>
      <c r="S1000" t="s">
        <v>15211</v>
      </c>
      <c r="T1000" t="s">
        <v>3368</v>
      </c>
      <c r="U1000" t="s">
        <v>12900</v>
      </c>
      <c r="V1000" t="s">
        <v>15232</v>
      </c>
    </row>
    <row r="1001" spans="1:22" hidden="1">
      <c r="A1001" t="s">
        <v>15310</v>
      </c>
      <c r="B1001" t="s">
        <v>15442</v>
      </c>
      <c r="C1001" t="s">
        <v>15445</v>
      </c>
      <c r="D1001" t="s">
        <v>1000</v>
      </c>
      <c r="E1001" t="s">
        <v>3438</v>
      </c>
      <c r="F1001" t="s">
        <v>3431</v>
      </c>
      <c r="G1001" s="3">
        <v>35.828981922777103</v>
      </c>
      <c r="H1001" s="3">
        <v>127.807870517987</v>
      </c>
      <c r="I1001" t="s">
        <v>4766</v>
      </c>
      <c r="J1001" t="s">
        <v>8125</v>
      </c>
      <c r="K1001" t="s">
        <v>11151</v>
      </c>
      <c r="L1001" t="s">
        <v>3366</v>
      </c>
      <c r="M1001" t="s">
        <v>11890</v>
      </c>
      <c r="N1001" t="s">
        <v>3365</v>
      </c>
      <c r="O1001" t="s">
        <v>3360</v>
      </c>
      <c r="P1001" t="s">
        <v>15211</v>
      </c>
      <c r="Q1001" t="s">
        <v>15211</v>
      </c>
      <c r="R1001" t="s">
        <v>15211</v>
      </c>
      <c r="S1001" t="s">
        <v>15211</v>
      </c>
      <c r="T1001" t="s">
        <v>3369</v>
      </c>
      <c r="U1001" t="s">
        <v>12901</v>
      </c>
      <c r="V1001" t="s">
        <v>15233</v>
      </c>
    </row>
    <row r="1002" spans="1:22" hidden="1">
      <c r="A1002" t="s">
        <v>15310</v>
      </c>
      <c r="B1002" t="s">
        <v>15442</v>
      </c>
      <c r="C1002" t="s">
        <v>15445</v>
      </c>
      <c r="D1002" t="s">
        <v>1001</v>
      </c>
      <c r="E1002" t="s">
        <v>3438</v>
      </c>
      <c r="F1002" t="s">
        <v>3431</v>
      </c>
      <c r="G1002" s="3">
        <v>35.828981928580497</v>
      </c>
      <c r="H1002" s="3">
        <v>127.807870552553</v>
      </c>
      <c r="I1002" t="s">
        <v>4767</v>
      </c>
      <c r="J1002" t="s">
        <v>8126</v>
      </c>
      <c r="K1002" t="s">
        <v>11152</v>
      </c>
      <c r="L1002" t="s">
        <v>3366</v>
      </c>
      <c r="M1002" t="s">
        <v>11890</v>
      </c>
      <c r="N1002" t="s">
        <v>3365</v>
      </c>
      <c r="O1002" t="s">
        <v>3360</v>
      </c>
      <c r="P1002" t="s">
        <v>15211</v>
      </c>
      <c r="Q1002" t="s">
        <v>15211</v>
      </c>
      <c r="R1002" t="s">
        <v>15211</v>
      </c>
      <c r="S1002" t="s">
        <v>15211</v>
      </c>
      <c r="T1002" t="s">
        <v>3369</v>
      </c>
      <c r="U1002" t="s">
        <v>12902</v>
      </c>
      <c r="V1002" t="s">
        <v>15233</v>
      </c>
    </row>
    <row r="1003" spans="1:22" hidden="1">
      <c r="A1003" t="s">
        <v>15310</v>
      </c>
      <c r="B1003" t="s">
        <v>15442</v>
      </c>
      <c r="C1003" t="s">
        <v>15445</v>
      </c>
      <c r="D1003" t="s">
        <v>1002</v>
      </c>
      <c r="E1003" t="s">
        <v>3438</v>
      </c>
      <c r="F1003" t="s">
        <v>3431</v>
      </c>
      <c r="G1003" s="3">
        <v>35.828981902442301</v>
      </c>
      <c r="H1003" s="3">
        <v>127.807870520976</v>
      </c>
      <c r="I1003" t="s">
        <v>4768</v>
      </c>
      <c r="J1003" t="s">
        <v>8127</v>
      </c>
      <c r="K1003" t="s">
        <v>11153</v>
      </c>
      <c r="L1003" t="s">
        <v>3366</v>
      </c>
      <c r="M1003" t="s">
        <v>11890</v>
      </c>
      <c r="N1003" t="s">
        <v>3365</v>
      </c>
      <c r="O1003" t="s">
        <v>3360</v>
      </c>
      <c r="P1003" t="s">
        <v>15211</v>
      </c>
      <c r="Q1003" t="s">
        <v>15211</v>
      </c>
      <c r="R1003" t="s">
        <v>15211</v>
      </c>
      <c r="S1003" t="s">
        <v>15211</v>
      </c>
      <c r="T1003" t="s">
        <v>3369</v>
      </c>
      <c r="U1003" t="s">
        <v>12903</v>
      </c>
      <c r="V1003" t="s">
        <v>15233</v>
      </c>
    </row>
    <row r="1004" spans="1:22" hidden="1">
      <c r="A1004" t="s">
        <v>15310</v>
      </c>
      <c r="B1004" t="s">
        <v>15442</v>
      </c>
      <c r="C1004" t="s">
        <v>15451</v>
      </c>
      <c r="D1004" t="s">
        <v>1003</v>
      </c>
      <c r="E1004" t="s">
        <v>3440</v>
      </c>
      <c r="F1004" t="s">
        <v>3431</v>
      </c>
      <c r="G1004" s="3">
        <v>35.8289819030296</v>
      </c>
      <c r="H1004" s="3">
        <v>127.807870587528</v>
      </c>
      <c r="I1004" t="s">
        <v>4769</v>
      </c>
      <c r="J1004" t="s">
        <v>8128</v>
      </c>
      <c r="K1004" t="s">
        <v>11154</v>
      </c>
      <c r="L1004" t="s">
        <v>3366</v>
      </c>
      <c r="M1004" t="s">
        <v>11912</v>
      </c>
      <c r="N1004" t="s">
        <v>3365</v>
      </c>
      <c r="O1004" t="s">
        <v>3360</v>
      </c>
      <c r="P1004" t="s">
        <v>3362</v>
      </c>
      <c r="Q1004" t="s">
        <v>3363</v>
      </c>
      <c r="R1004" t="s">
        <v>15211</v>
      </c>
      <c r="S1004" t="s">
        <v>15211</v>
      </c>
      <c r="T1004" t="s">
        <v>3382</v>
      </c>
      <c r="U1004" t="s">
        <v>12904</v>
      </c>
      <c r="V1004" t="s">
        <v>15234</v>
      </c>
    </row>
    <row r="1005" spans="1:22" hidden="1">
      <c r="A1005" t="s">
        <v>15310</v>
      </c>
      <c r="B1005" t="s">
        <v>15442</v>
      </c>
      <c r="C1005" t="s">
        <v>15451</v>
      </c>
      <c r="D1005" t="s">
        <v>1004</v>
      </c>
      <c r="E1005" t="s">
        <v>3438</v>
      </c>
      <c r="F1005" t="s">
        <v>3434</v>
      </c>
      <c r="G1005" s="3">
        <v>35.828981909359797</v>
      </c>
      <c r="H1005" s="3">
        <v>127.807870607282</v>
      </c>
      <c r="I1005" t="s">
        <v>4770</v>
      </c>
      <c r="J1005" t="s">
        <v>8129</v>
      </c>
      <c r="K1005" t="s">
        <v>11155</v>
      </c>
      <c r="L1005" t="s">
        <v>3366</v>
      </c>
      <c r="M1005" t="s">
        <v>11893</v>
      </c>
      <c r="N1005" t="s">
        <v>3365</v>
      </c>
      <c r="O1005" t="s">
        <v>3360</v>
      </c>
      <c r="P1005" t="s">
        <v>3361</v>
      </c>
      <c r="Q1005" t="s">
        <v>3363</v>
      </c>
      <c r="R1005" t="s">
        <v>15211</v>
      </c>
      <c r="S1005" t="s">
        <v>15211</v>
      </c>
      <c r="T1005" t="s">
        <v>3381</v>
      </c>
      <c r="U1005" t="s">
        <v>12905</v>
      </c>
      <c r="V1005" t="s">
        <v>15234</v>
      </c>
    </row>
    <row r="1006" spans="1:22" hidden="1">
      <c r="A1006" t="s">
        <v>15310</v>
      </c>
      <c r="B1006" t="s">
        <v>15442</v>
      </c>
      <c r="C1006" t="s">
        <v>15451</v>
      </c>
      <c r="D1006" t="s">
        <v>1005</v>
      </c>
      <c r="E1006" t="s">
        <v>3427</v>
      </c>
      <c r="F1006" t="s">
        <v>3435</v>
      </c>
      <c r="G1006" s="3">
        <v>35.8289818701219</v>
      </c>
      <c r="H1006" s="3">
        <v>127.807870571629</v>
      </c>
      <c r="I1006" t="s">
        <v>4771</v>
      </c>
      <c r="J1006" t="s">
        <v>8130</v>
      </c>
      <c r="K1006" t="s">
        <v>10943</v>
      </c>
      <c r="L1006" t="s">
        <v>3366</v>
      </c>
      <c r="M1006" t="s">
        <v>11893</v>
      </c>
      <c r="N1006" t="s">
        <v>3365</v>
      </c>
      <c r="O1006" t="s">
        <v>3360</v>
      </c>
      <c r="P1006" t="s">
        <v>3362</v>
      </c>
      <c r="Q1006" t="s">
        <v>3363</v>
      </c>
      <c r="R1006" t="s">
        <v>15211</v>
      </c>
      <c r="S1006" t="s">
        <v>15211</v>
      </c>
      <c r="T1006" t="s">
        <v>3382</v>
      </c>
      <c r="U1006" t="s">
        <v>12906</v>
      </c>
      <c r="V1006" t="s">
        <v>15234</v>
      </c>
    </row>
    <row r="1007" spans="1:22">
      <c r="A1007" t="s">
        <v>15310</v>
      </c>
      <c r="B1007" t="s">
        <v>15443</v>
      </c>
      <c r="C1007" t="s">
        <v>15452</v>
      </c>
      <c r="D1007" t="s">
        <v>1006</v>
      </c>
      <c r="E1007" t="s">
        <v>3437</v>
      </c>
      <c r="F1007" t="s">
        <v>3436</v>
      </c>
      <c r="G1007" s="3">
        <v>35.828981548431997</v>
      </c>
      <c r="H1007" s="3">
        <v>127.807870835738</v>
      </c>
      <c r="I1007" t="s">
        <v>4772</v>
      </c>
      <c r="J1007" t="s">
        <v>8131</v>
      </c>
      <c r="K1007" t="s">
        <v>11156</v>
      </c>
      <c r="L1007" t="s">
        <v>3366</v>
      </c>
      <c r="M1007" t="s">
        <v>11890</v>
      </c>
      <c r="N1007" t="s">
        <v>3358</v>
      </c>
      <c r="O1007" t="s">
        <v>15211</v>
      </c>
      <c r="P1007" t="s">
        <v>3362</v>
      </c>
      <c r="Q1007" t="s">
        <v>3362</v>
      </c>
      <c r="R1007" t="s">
        <v>15211</v>
      </c>
      <c r="S1007" t="s">
        <v>15211</v>
      </c>
      <c r="T1007" t="s">
        <v>3370</v>
      </c>
      <c r="U1007" t="s">
        <v>12907</v>
      </c>
      <c r="V1007" t="s">
        <v>15220</v>
      </c>
    </row>
    <row r="1008" spans="1:22">
      <c r="A1008" t="s">
        <v>15310</v>
      </c>
      <c r="B1008" t="s">
        <v>15443</v>
      </c>
      <c r="C1008" t="s">
        <v>15452</v>
      </c>
      <c r="D1008" t="s">
        <v>1007</v>
      </c>
      <c r="E1008" t="s">
        <v>3440</v>
      </c>
      <c r="F1008" t="s">
        <v>3436</v>
      </c>
      <c r="G1008" s="3">
        <v>35.828981552999302</v>
      </c>
      <c r="H1008" s="3">
        <v>127.80787084536099</v>
      </c>
      <c r="I1008" t="s">
        <v>4773</v>
      </c>
      <c r="J1008" t="s">
        <v>8132</v>
      </c>
      <c r="K1008" t="s">
        <v>11157</v>
      </c>
      <c r="L1008" t="s">
        <v>3366</v>
      </c>
      <c r="M1008" t="s">
        <v>11894</v>
      </c>
      <c r="N1008" t="s">
        <v>3358</v>
      </c>
      <c r="O1008" t="s">
        <v>15211</v>
      </c>
      <c r="P1008" t="s">
        <v>3361</v>
      </c>
      <c r="Q1008" t="s">
        <v>3362</v>
      </c>
      <c r="R1008" t="s">
        <v>15211</v>
      </c>
      <c r="S1008" t="s">
        <v>15211</v>
      </c>
      <c r="T1008" t="s">
        <v>3369</v>
      </c>
      <c r="U1008" t="s">
        <v>12908</v>
      </c>
      <c r="V1008" t="s">
        <v>15220</v>
      </c>
    </row>
    <row r="1009" spans="1:22">
      <c r="A1009" t="s">
        <v>15310</v>
      </c>
      <c r="B1009" t="s">
        <v>15443</v>
      </c>
      <c r="C1009" t="s">
        <v>15452</v>
      </c>
      <c r="D1009" t="s">
        <v>1008</v>
      </c>
      <c r="E1009" t="s">
        <v>3440</v>
      </c>
      <c r="F1009" t="s">
        <v>3425</v>
      </c>
      <c r="G1009" s="3">
        <v>35.828981560747103</v>
      </c>
      <c r="H1009" s="3">
        <v>127.80787085411301</v>
      </c>
      <c r="I1009" t="s">
        <v>4774</v>
      </c>
      <c r="J1009" t="s">
        <v>8133</v>
      </c>
      <c r="K1009" t="s">
        <v>10965</v>
      </c>
      <c r="L1009" t="s">
        <v>3366</v>
      </c>
      <c r="M1009" t="s">
        <v>11894</v>
      </c>
      <c r="N1009" t="s">
        <v>3358</v>
      </c>
      <c r="O1009" t="s">
        <v>15211</v>
      </c>
      <c r="P1009" t="s">
        <v>3362</v>
      </c>
      <c r="Q1009" t="s">
        <v>3362</v>
      </c>
      <c r="R1009" t="s">
        <v>15211</v>
      </c>
      <c r="S1009" t="s">
        <v>15211</v>
      </c>
      <c r="T1009" t="s">
        <v>3370</v>
      </c>
      <c r="U1009" t="s">
        <v>12909</v>
      </c>
      <c r="V1009" t="s">
        <v>15220</v>
      </c>
    </row>
    <row r="1010" spans="1:22" hidden="1">
      <c r="A1010" t="s">
        <v>15311</v>
      </c>
      <c r="B1010" t="s">
        <v>15441</v>
      </c>
      <c r="C1010" t="s">
        <v>15445</v>
      </c>
      <c r="D1010" t="s">
        <v>1009</v>
      </c>
      <c r="E1010" t="s">
        <v>3438</v>
      </c>
      <c r="F1010" t="s">
        <v>3430</v>
      </c>
      <c r="G1010" s="3">
        <v>35.911038340490897</v>
      </c>
      <c r="H1010" s="3">
        <v>127.760518537766</v>
      </c>
      <c r="I1010" t="s">
        <v>4775</v>
      </c>
      <c r="J1010" t="s">
        <v>8134</v>
      </c>
      <c r="K1010" t="s">
        <v>11158</v>
      </c>
      <c r="L1010" t="s">
        <v>3366</v>
      </c>
      <c r="M1010" t="s">
        <v>11902</v>
      </c>
      <c r="N1010" t="s">
        <v>3363</v>
      </c>
      <c r="O1010" t="s">
        <v>3359</v>
      </c>
      <c r="P1010" t="s">
        <v>15211</v>
      </c>
      <c r="Q1010" t="s">
        <v>15211</v>
      </c>
      <c r="R1010" t="s">
        <v>15211</v>
      </c>
      <c r="S1010" t="s">
        <v>15211</v>
      </c>
      <c r="T1010" t="s">
        <v>3366</v>
      </c>
      <c r="U1010" t="s">
        <v>12910</v>
      </c>
      <c r="V1010" t="s">
        <v>15228</v>
      </c>
    </row>
    <row r="1011" spans="1:22" hidden="1">
      <c r="A1011" t="s">
        <v>15311</v>
      </c>
      <c r="B1011" t="s">
        <v>15441</v>
      </c>
      <c r="C1011" t="s">
        <v>15445</v>
      </c>
      <c r="D1011" t="s">
        <v>1010</v>
      </c>
      <c r="E1011" t="s">
        <v>3438</v>
      </c>
      <c r="F1011" t="s">
        <v>3430</v>
      </c>
      <c r="G1011" s="3">
        <v>35.911038351869998</v>
      </c>
      <c r="H1011" s="3">
        <v>127.760518621426</v>
      </c>
      <c r="I1011" t="s">
        <v>4776</v>
      </c>
      <c r="J1011" t="s">
        <v>8135</v>
      </c>
      <c r="K1011" t="s">
        <v>11159</v>
      </c>
      <c r="L1011" t="s">
        <v>3366</v>
      </c>
      <c r="M1011" t="s">
        <v>11902</v>
      </c>
      <c r="N1011" t="s">
        <v>3363</v>
      </c>
      <c r="O1011" t="s">
        <v>3359</v>
      </c>
      <c r="P1011" t="s">
        <v>15211</v>
      </c>
      <c r="Q1011" t="s">
        <v>15211</v>
      </c>
      <c r="R1011" t="s">
        <v>15211</v>
      </c>
      <c r="S1011" t="s">
        <v>15211</v>
      </c>
      <c r="T1011" t="s">
        <v>3366</v>
      </c>
      <c r="U1011" t="s">
        <v>12911</v>
      </c>
      <c r="V1011" t="s">
        <v>15228</v>
      </c>
    </row>
    <row r="1012" spans="1:22" hidden="1">
      <c r="A1012" t="s">
        <v>15311</v>
      </c>
      <c r="B1012" t="s">
        <v>15441</v>
      </c>
      <c r="C1012" t="s">
        <v>15445</v>
      </c>
      <c r="D1012" t="s">
        <v>1011</v>
      </c>
      <c r="E1012" t="s">
        <v>3427</v>
      </c>
      <c r="F1012" t="s">
        <v>3442</v>
      </c>
      <c r="G1012" s="3">
        <v>35.911038363287197</v>
      </c>
      <c r="H1012" s="3">
        <v>127.76051863612</v>
      </c>
      <c r="I1012" t="s">
        <v>4777</v>
      </c>
      <c r="J1012" t="s">
        <v>8136</v>
      </c>
      <c r="K1012" t="s">
        <v>11160</v>
      </c>
      <c r="L1012" t="s">
        <v>3366</v>
      </c>
      <c r="M1012" t="s">
        <v>11902</v>
      </c>
      <c r="N1012" t="s">
        <v>3363</v>
      </c>
      <c r="O1012" t="s">
        <v>3359</v>
      </c>
      <c r="P1012" t="s">
        <v>15211</v>
      </c>
      <c r="Q1012" t="s">
        <v>15211</v>
      </c>
      <c r="R1012" t="s">
        <v>15211</v>
      </c>
      <c r="S1012" t="s">
        <v>15211</v>
      </c>
      <c r="T1012" t="s">
        <v>3366</v>
      </c>
      <c r="U1012" t="s">
        <v>12912</v>
      </c>
      <c r="V1012" t="s">
        <v>15228</v>
      </c>
    </row>
    <row r="1013" spans="1:22" hidden="1">
      <c r="A1013" t="s">
        <v>15311</v>
      </c>
      <c r="B1013" t="s">
        <v>15441</v>
      </c>
      <c r="C1013" t="s">
        <v>15446</v>
      </c>
      <c r="D1013" t="s">
        <v>1012</v>
      </c>
      <c r="E1013" t="s">
        <v>3436</v>
      </c>
      <c r="F1013" t="s">
        <v>3434</v>
      </c>
      <c r="G1013" s="3">
        <v>35.911038361653603</v>
      </c>
      <c r="H1013" s="3">
        <v>127.760518592178</v>
      </c>
      <c r="I1013" t="s">
        <v>4778</v>
      </c>
      <c r="J1013" t="s">
        <v>8137</v>
      </c>
      <c r="K1013" t="s">
        <v>11161</v>
      </c>
      <c r="L1013" t="s">
        <v>3366</v>
      </c>
      <c r="M1013" t="s">
        <v>11902</v>
      </c>
      <c r="N1013" t="s">
        <v>3363</v>
      </c>
      <c r="O1013" t="s">
        <v>3359</v>
      </c>
      <c r="P1013" t="s">
        <v>15211</v>
      </c>
      <c r="Q1013" t="s">
        <v>15211</v>
      </c>
      <c r="R1013" t="s">
        <v>15211</v>
      </c>
      <c r="S1013" t="s">
        <v>15211</v>
      </c>
      <c r="T1013" t="s">
        <v>3366</v>
      </c>
      <c r="U1013" t="s">
        <v>12913</v>
      </c>
      <c r="V1013" t="s">
        <v>15229</v>
      </c>
    </row>
    <row r="1014" spans="1:22" hidden="1">
      <c r="A1014" t="s">
        <v>15311</v>
      </c>
      <c r="B1014" t="s">
        <v>15441</v>
      </c>
      <c r="C1014" t="s">
        <v>15446</v>
      </c>
      <c r="D1014" t="s">
        <v>1013</v>
      </c>
      <c r="E1014" t="s">
        <v>3438</v>
      </c>
      <c r="F1014" t="s">
        <v>3429</v>
      </c>
      <c r="G1014" s="3">
        <v>35.911038285588702</v>
      </c>
      <c r="H1014" s="3">
        <v>127.76051860489299</v>
      </c>
      <c r="I1014" t="s">
        <v>4779</v>
      </c>
      <c r="J1014" t="s">
        <v>8138</v>
      </c>
      <c r="K1014" t="s">
        <v>11162</v>
      </c>
      <c r="L1014" t="s">
        <v>3366</v>
      </c>
      <c r="M1014" t="s">
        <v>11902</v>
      </c>
      <c r="N1014" t="s">
        <v>3363</v>
      </c>
      <c r="O1014" t="s">
        <v>3359</v>
      </c>
      <c r="P1014" t="s">
        <v>15211</v>
      </c>
      <c r="Q1014" t="s">
        <v>15211</v>
      </c>
      <c r="R1014" t="s">
        <v>15211</v>
      </c>
      <c r="S1014" t="s">
        <v>15211</v>
      </c>
      <c r="T1014" t="s">
        <v>3366</v>
      </c>
      <c r="U1014" t="s">
        <v>12914</v>
      </c>
      <c r="V1014" t="s">
        <v>15229</v>
      </c>
    </row>
    <row r="1015" spans="1:22" hidden="1">
      <c r="A1015" t="s">
        <v>15311</v>
      </c>
      <c r="B1015" t="s">
        <v>15441</v>
      </c>
      <c r="C1015" t="s">
        <v>15446</v>
      </c>
      <c r="D1015" t="s">
        <v>1014</v>
      </c>
      <c r="E1015" t="s">
        <v>3438</v>
      </c>
      <c r="F1015" t="s">
        <v>3429</v>
      </c>
      <c r="G1015" s="3">
        <v>35.9110382922198</v>
      </c>
      <c r="H1015" s="3">
        <v>127.760518626511</v>
      </c>
      <c r="I1015" t="s">
        <v>4780</v>
      </c>
      <c r="J1015" t="s">
        <v>8139</v>
      </c>
      <c r="K1015" t="s">
        <v>11163</v>
      </c>
      <c r="L1015" t="s">
        <v>3366</v>
      </c>
      <c r="M1015" t="s">
        <v>11902</v>
      </c>
      <c r="N1015" t="s">
        <v>3363</v>
      </c>
      <c r="O1015" t="s">
        <v>3359</v>
      </c>
      <c r="P1015" t="s">
        <v>15211</v>
      </c>
      <c r="Q1015" t="s">
        <v>15211</v>
      </c>
      <c r="R1015" t="s">
        <v>15211</v>
      </c>
      <c r="S1015" t="s">
        <v>15211</v>
      </c>
      <c r="T1015" t="s">
        <v>3366</v>
      </c>
      <c r="U1015" t="s">
        <v>12915</v>
      </c>
      <c r="V1015" t="s">
        <v>15229</v>
      </c>
    </row>
    <row r="1016" spans="1:22" hidden="1">
      <c r="A1016" t="s">
        <v>15311</v>
      </c>
      <c r="B1016" t="s">
        <v>15441</v>
      </c>
      <c r="C1016" t="s">
        <v>15447</v>
      </c>
      <c r="D1016" t="s">
        <v>1015</v>
      </c>
      <c r="E1016" t="s">
        <v>3428</v>
      </c>
      <c r="F1016" t="s">
        <v>3453</v>
      </c>
      <c r="G1016" s="3">
        <v>35.911038353087001</v>
      </c>
      <c r="H1016" s="3">
        <v>127.760518583585</v>
      </c>
      <c r="I1016" t="s">
        <v>4781</v>
      </c>
      <c r="J1016" t="s">
        <v>8140</v>
      </c>
      <c r="K1016" t="s">
        <v>11164</v>
      </c>
      <c r="L1016" t="s">
        <v>3366</v>
      </c>
      <c r="M1016" t="s">
        <v>11887</v>
      </c>
      <c r="N1016" t="s">
        <v>3363</v>
      </c>
      <c r="O1016" t="s">
        <v>15211</v>
      </c>
      <c r="P1016" t="s">
        <v>15211</v>
      </c>
      <c r="Q1016" t="s">
        <v>15211</v>
      </c>
      <c r="R1016" t="s">
        <v>15211</v>
      </c>
      <c r="S1016" t="s">
        <v>15211</v>
      </c>
      <c r="T1016" t="s">
        <v>3363</v>
      </c>
      <c r="U1016" t="s">
        <v>12916</v>
      </c>
      <c r="V1016" t="s">
        <v>15235</v>
      </c>
    </row>
    <row r="1017" spans="1:22" hidden="1">
      <c r="A1017" t="s">
        <v>15311</v>
      </c>
      <c r="B1017" t="s">
        <v>15441</v>
      </c>
      <c r="C1017" t="s">
        <v>15447</v>
      </c>
      <c r="D1017" t="s">
        <v>1016</v>
      </c>
      <c r="E1017" t="s">
        <v>3427</v>
      </c>
      <c r="F1017" t="s">
        <v>3442</v>
      </c>
      <c r="G1017" s="3">
        <v>35.911038297969597</v>
      </c>
      <c r="H1017" s="3">
        <v>127.760518561954</v>
      </c>
      <c r="I1017" t="s">
        <v>4782</v>
      </c>
      <c r="J1017" t="s">
        <v>8141</v>
      </c>
      <c r="K1017" t="s">
        <v>11165</v>
      </c>
      <c r="L1017" t="s">
        <v>3366</v>
      </c>
      <c r="M1017" t="s">
        <v>11887</v>
      </c>
      <c r="N1017" t="s">
        <v>3363</v>
      </c>
      <c r="O1017" t="s">
        <v>15211</v>
      </c>
      <c r="P1017" t="s">
        <v>15211</v>
      </c>
      <c r="Q1017" t="s">
        <v>15211</v>
      </c>
      <c r="R1017" t="s">
        <v>15211</v>
      </c>
      <c r="S1017" t="s">
        <v>15211</v>
      </c>
      <c r="T1017" t="s">
        <v>3363</v>
      </c>
      <c r="U1017" t="s">
        <v>12917</v>
      </c>
      <c r="V1017" t="s">
        <v>15235</v>
      </c>
    </row>
    <row r="1018" spans="1:22" hidden="1">
      <c r="A1018" t="s">
        <v>15311</v>
      </c>
      <c r="B1018" t="s">
        <v>15441</v>
      </c>
      <c r="C1018" t="s">
        <v>15447</v>
      </c>
      <c r="D1018" t="s">
        <v>1017</v>
      </c>
      <c r="E1018" t="s">
        <v>3427</v>
      </c>
      <c r="F1018" t="s">
        <v>3442</v>
      </c>
      <c r="G1018" s="3">
        <v>35.911038336649703</v>
      </c>
      <c r="H1018" s="3">
        <v>127.76051854040399</v>
      </c>
      <c r="I1018" t="s">
        <v>4783</v>
      </c>
      <c r="J1018" t="s">
        <v>8142</v>
      </c>
      <c r="K1018" t="s">
        <v>11166</v>
      </c>
      <c r="L1018" t="s">
        <v>3366</v>
      </c>
      <c r="M1018" t="s">
        <v>11887</v>
      </c>
      <c r="N1018" t="s">
        <v>3363</v>
      </c>
      <c r="O1018" t="s">
        <v>15211</v>
      </c>
      <c r="P1018" t="s">
        <v>15211</v>
      </c>
      <c r="Q1018" t="s">
        <v>15211</v>
      </c>
      <c r="R1018" t="s">
        <v>15211</v>
      </c>
      <c r="S1018" t="s">
        <v>15211</v>
      </c>
      <c r="T1018" t="s">
        <v>3363</v>
      </c>
      <c r="U1018" t="s">
        <v>12918</v>
      </c>
      <c r="V1018" t="s">
        <v>15235</v>
      </c>
    </row>
    <row r="1019" spans="1:22" hidden="1">
      <c r="A1019" t="s">
        <v>15311</v>
      </c>
      <c r="B1019" t="s">
        <v>15441</v>
      </c>
      <c r="C1019" t="s">
        <v>15448</v>
      </c>
      <c r="D1019" t="s">
        <v>1018</v>
      </c>
      <c r="E1019" t="s">
        <v>3435</v>
      </c>
      <c r="F1019" t="s">
        <v>3478</v>
      </c>
      <c r="G1019" s="3">
        <v>35.911038413331902</v>
      </c>
      <c r="H1019" s="3">
        <v>127.76051853672899</v>
      </c>
      <c r="I1019" t="s">
        <v>4784</v>
      </c>
      <c r="J1019" t="s">
        <v>8143</v>
      </c>
      <c r="K1019" t="s">
        <v>11167</v>
      </c>
      <c r="L1019" t="s">
        <v>3366</v>
      </c>
      <c r="M1019" t="s">
        <v>11908</v>
      </c>
      <c r="N1019" t="s">
        <v>3363</v>
      </c>
      <c r="O1019" t="s">
        <v>3358</v>
      </c>
      <c r="P1019" t="s">
        <v>3360</v>
      </c>
      <c r="Q1019" t="s">
        <v>3362</v>
      </c>
      <c r="R1019" t="s">
        <v>3357</v>
      </c>
      <c r="S1019" t="s">
        <v>15211</v>
      </c>
      <c r="T1019" t="s">
        <v>3376</v>
      </c>
      <c r="U1019" t="s">
        <v>12919</v>
      </c>
      <c r="V1019" t="s">
        <v>15230</v>
      </c>
    </row>
    <row r="1020" spans="1:22" hidden="1">
      <c r="A1020" t="s">
        <v>15311</v>
      </c>
      <c r="B1020" t="s">
        <v>15441</v>
      </c>
      <c r="C1020" t="s">
        <v>15448</v>
      </c>
      <c r="D1020" t="s">
        <v>1019</v>
      </c>
      <c r="E1020" t="s">
        <v>3429</v>
      </c>
      <c r="F1020" t="s">
        <v>3464</v>
      </c>
      <c r="G1020" s="3">
        <v>35.911038416476302</v>
      </c>
      <c r="H1020" s="3">
        <v>127.760518536992</v>
      </c>
      <c r="I1020" t="s">
        <v>4785</v>
      </c>
      <c r="J1020" t="s">
        <v>8144</v>
      </c>
      <c r="K1020" t="s">
        <v>11168</v>
      </c>
      <c r="L1020" t="s">
        <v>3366</v>
      </c>
      <c r="M1020" t="s">
        <v>11889</v>
      </c>
      <c r="N1020" t="s">
        <v>3363</v>
      </c>
      <c r="O1020" t="s">
        <v>3359</v>
      </c>
      <c r="P1020" t="s">
        <v>3360</v>
      </c>
      <c r="Q1020" t="s">
        <v>3362</v>
      </c>
      <c r="R1020" t="s">
        <v>3357</v>
      </c>
      <c r="S1020" t="s">
        <v>15211</v>
      </c>
      <c r="T1020" t="s">
        <v>3377</v>
      </c>
      <c r="U1020" t="s">
        <v>12920</v>
      </c>
      <c r="V1020" t="s">
        <v>15230</v>
      </c>
    </row>
    <row r="1021" spans="1:22" hidden="1">
      <c r="A1021" t="s">
        <v>15311</v>
      </c>
      <c r="B1021" t="s">
        <v>15441</v>
      </c>
      <c r="C1021" t="s">
        <v>15448</v>
      </c>
      <c r="D1021" t="s">
        <v>1020</v>
      </c>
      <c r="E1021" t="s">
        <v>3430</v>
      </c>
      <c r="F1021" t="s">
        <v>3476</v>
      </c>
      <c r="G1021" s="3">
        <v>35.911038382230402</v>
      </c>
      <c r="H1021" s="3">
        <v>127.760518475748</v>
      </c>
      <c r="I1021" t="s">
        <v>4786</v>
      </c>
      <c r="J1021" t="s">
        <v>8145</v>
      </c>
      <c r="K1021" t="s">
        <v>10661</v>
      </c>
      <c r="L1021" t="s">
        <v>3366</v>
      </c>
      <c r="M1021" t="s">
        <v>11889</v>
      </c>
      <c r="N1021" t="s">
        <v>3363</v>
      </c>
      <c r="O1021" t="s">
        <v>3359</v>
      </c>
      <c r="P1021" t="s">
        <v>3360</v>
      </c>
      <c r="Q1021" t="s">
        <v>3362</v>
      </c>
      <c r="R1021" t="s">
        <v>3357</v>
      </c>
      <c r="S1021" t="s">
        <v>15211</v>
      </c>
      <c r="T1021" t="s">
        <v>3377</v>
      </c>
      <c r="U1021" t="s">
        <v>12921</v>
      </c>
      <c r="V1021" t="s">
        <v>15230</v>
      </c>
    </row>
    <row r="1022" spans="1:22" hidden="1">
      <c r="A1022" t="s">
        <v>15311</v>
      </c>
      <c r="B1022" t="s">
        <v>15441</v>
      </c>
      <c r="C1022" t="s">
        <v>15449</v>
      </c>
      <c r="D1022" t="s">
        <v>1021</v>
      </c>
      <c r="E1022" t="s">
        <v>3435</v>
      </c>
      <c r="F1022" t="s">
        <v>3579</v>
      </c>
      <c r="G1022" s="3">
        <v>35.911038451831701</v>
      </c>
      <c r="H1022" s="3">
        <v>127.76051845342199</v>
      </c>
      <c r="I1022" t="s">
        <v>4787</v>
      </c>
      <c r="J1022" t="s">
        <v>8146</v>
      </c>
      <c r="K1022" t="s">
        <v>10948</v>
      </c>
      <c r="L1022" t="s">
        <v>3366</v>
      </c>
      <c r="M1022" t="s">
        <v>11899</v>
      </c>
      <c r="N1022" t="s">
        <v>3363</v>
      </c>
      <c r="O1022" t="s">
        <v>15211</v>
      </c>
      <c r="P1022" t="s">
        <v>3361</v>
      </c>
      <c r="Q1022" t="s">
        <v>3362</v>
      </c>
      <c r="R1022" t="s">
        <v>3357</v>
      </c>
      <c r="S1022" t="s">
        <v>15211</v>
      </c>
      <c r="T1022" t="s">
        <v>3375</v>
      </c>
      <c r="U1022" t="s">
        <v>12922</v>
      </c>
      <c r="V1022" t="s">
        <v>15231</v>
      </c>
    </row>
    <row r="1023" spans="1:22" hidden="1">
      <c r="A1023" t="s">
        <v>15311</v>
      </c>
      <c r="B1023" t="s">
        <v>15441</v>
      </c>
      <c r="C1023" t="s">
        <v>15449</v>
      </c>
      <c r="D1023" t="s">
        <v>1022</v>
      </c>
      <c r="E1023" t="s">
        <v>3434</v>
      </c>
      <c r="F1023" t="s">
        <v>3484</v>
      </c>
      <c r="G1023" s="3">
        <v>35.911038451240103</v>
      </c>
      <c r="H1023" s="3">
        <v>127.76051840155</v>
      </c>
      <c r="I1023" t="s">
        <v>4788</v>
      </c>
      <c r="J1023" t="s">
        <v>8147</v>
      </c>
      <c r="K1023" t="s">
        <v>11112</v>
      </c>
      <c r="L1023" t="s">
        <v>3366</v>
      </c>
      <c r="M1023" t="s">
        <v>11898</v>
      </c>
      <c r="N1023" t="s">
        <v>3363</v>
      </c>
      <c r="O1023" t="s">
        <v>15211</v>
      </c>
      <c r="P1023" t="s">
        <v>3361</v>
      </c>
      <c r="Q1023" t="s">
        <v>3361</v>
      </c>
      <c r="R1023" t="s">
        <v>3357</v>
      </c>
      <c r="S1023" t="s">
        <v>15211</v>
      </c>
      <c r="T1023" t="s">
        <v>3374</v>
      </c>
      <c r="U1023" t="s">
        <v>12923</v>
      </c>
      <c r="V1023" t="s">
        <v>15231</v>
      </c>
    </row>
    <row r="1024" spans="1:22" hidden="1">
      <c r="A1024" t="s">
        <v>15311</v>
      </c>
      <c r="B1024" t="s">
        <v>15441</v>
      </c>
      <c r="C1024" t="s">
        <v>15449</v>
      </c>
      <c r="D1024" t="s">
        <v>1023</v>
      </c>
      <c r="E1024" t="s">
        <v>3427</v>
      </c>
      <c r="F1024" t="s">
        <v>3452</v>
      </c>
      <c r="G1024" s="3">
        <v>35.911038446983298</v>
      </c>
      <c r="H1024" s="3">
        <v>127.760518425493</v>
      </c>
      <c r="I1024" t="s">
        <v>4789</v>
      </c>
      <c r="J1024" t="s">
        <v>8148</v>
      </c>
      <c r="K1024" t="s">
        <v>10998</v>
      </c>
      <c r="L1024" t="s">
        <v>3366</v>
      </c>
      <c r="M1024" t="s">
        <v>11899</v>
      </c>
      <c r="N1024" t="s">
        <v>3363</v>
      </c>
      <c r="O1024" t="s">
        <v>15211</v>
      </c>
      <c r="P1024" t="s">
        <v>3361</v>
      </c>
      <c r="Q1024" t="s">
        <v>3362</v>
      </c>
      <c r="R1024" t="s">
        <v>3357</v>
      </c>
      <c r="S1024" t="s">
        <v>15211</v>
      </c>
      <c r="T1024" t="s">
        <v>3375</v>
      </c>
      <c r="U1024" t="s">
        <v>12924</v>
      </c>
      <c r="V1024" t="s">
        <v>15231</v>
      </c>
    </row>
    <row r="1025" spans="1:22" hidden="1">
      <c r="A1025" t="s">
        <v>15311</v>
      </c>
      <c r="B1025" t="s">
        <v>15442</v>
      </c>
      <c r="C1025" t="s">
        <v>15450</v>
      </c>
      <c r="D1025" t="s">
        <v>1024</v>
      </c>
      <c r="E1025" t="s">
        <v>3436</v>
      </c>
      <c r="F1025" t="s">
        <v>3432</v>
      </c>
      <c r="G1025" s="3">
        <v>35.9110383821046</v>
      </c>
      <c r="H1025" s="3">
        <v>127.760518470772</v>
      </c>
      <c r="I1025" t="s">
        <v>4790</v>
      </c>
      <c r="J1025" t="s">
        <v>8149</v>
      </c>
      <c r="K1025" t="s">
        <v>11051</v>
      </c>
      <c r="L1025" t="s">
        <v>3366</v>
      </c>
      <c r="M1025" t="s">
        <v>11900</v>
      </c>
      <c r="N1025" t="s">
        <v>3363</v>
      </c>
      <c r="O1025" t="s">
        <v>3359</v>
      </c>
      <c r="P1025" t="s">
        <v>15211</v>
      </c>
      <c r="Q1025" t="s">
        <v>15211</v>
      </c>
      <c r="R1025" t="s">
        <v>15211</v>
      </c>
      <c r="S1025" t="s">
        <v>15211</v>
      </c>
      <c r="T1025" t="s">
        <v>3366</v>
      </c>
      <c r="U1025" t="s">
        <v>12925</v>
      </c>
      <c r="V1025" t="s">
        <v>15232</v>
      </c>
    </row>
    <row r="1026" spans="1:22" hidden="1">
      <c r="A1026" t="s">
        <v>15311</v>
      </c>
      <c r="B1026" t="s">
        <v>15442</v>
      </c>
      <c r="C1026" t="s">
        <v>15450</v>
      </c>
      <c r="D1026" t="s">
        <v>1025</v>
      </c>
      <c r="E1026" t="s">
        <v>3425</v>
      </c>
      <c r="F1026" t="s">
        <v>3461</v>
      </c>
      <c r="G1026" s="3">
        <v>35.911038394156002</v>
      </c>
      <c r="H1026" s="3">
        <v>127.76051843331</v>
      </c>
      <c r="I1026" t="s">
        <v>4791</v>
      </c>
      <c r="J1026" t="s">
        <v>8150</v>
      </c>
      <c r="K1026" t="s">
        <v>11169</v>
      </c>
      <c r="L1026" t="s">
        <v>3366</v>
      </c>
      <c r="M1026" t="s">
        <v>11900</v>
      </c>
      <c r="N1026" t="s">
        <v>3363</v>
      </c>
      <c r="O1026" t="s">
        <v>3358</v>
      </c>
      <c r="P1026" t="s">
        <v>15211</v>
      </c>
      <c r="Q1026" t="s">
        <v>15211</v>
      </c>
      <c r="R1026" t="s">
        <v>15211</v>
      </c>
      <c r="S1026" t="s">
        <v>15211</v>
      </c>
      <c r="T1026" t="s">
        <v>3365</v>
      </c>
      <c r="U1026" t="s">
        <v>12926</v>
      </c>
      <c r="V1026" t="s">
        <v>15232</v>
      </c>
    </row>
    <row r="1027" spans="1:22" hidden="1">
      <c r="A1027" t="s">
        <v>15311</v>
      </c>
      <c r="B1027" t="s">
        <v>15442</v>
      </c>
      <c r="C1027" t="s">
        <v>15450</v>
      </c>
      <c r="D1027" t="s">
        <v>1026</v>
      </c>
      <c r="E1027" t="s">
        <v>3436</v>
      </c>
      <c r="F1027" t="s">
        <v>3433</v>
      </c>
      <c r="G1027" s="3">
        <v>35.911038355305202</v>
      </c>
      <c r="H1027" s="3">
        <v>127.76051839260199</v>
      </c>
      <c r="I1027" t="s">
        <v>4792</v>
      </c>
      <c r="J1027" t="s">
        <v>8151</v>
      </c>
      <c r="K1027" t="s">
        <v>11170</v>
      </c>
      <c r="L1027" t="s">
        <v>3366</v>
      </c>
      <c r="M1027" t="s">
        <v>11900</v>
      </c>
      <c r="N1027" t="s">
        <v>3363</v>
      </c>
      <c r="O1027" t="s">
        <v>3358</v>
      </c>
      <c r="P1027" t="s">
        <v>15211</v>
      </c>
      <c r="Q1027" t="s">
        <v>15211</v>
      </c>
      <c r="R1027" t="s">
        <v>15211</v>
      </c>
      <c r="S1027" t="s">
        <v>15211</v>
      </c>
      <c r="T1027" t="s">
        <v>3365</v>
      </c>
      <c r="U1027" t="s">
        <v>12927</v>
      </c>
      <c r="V1027" t="s">
        <v>15232</v>
      </c>
    </row>
    <row r="1028" spans="1:22" hidden="1">
      <c r="A1028" t="s">
        <v>15311</v>
      </c>
      <c r="B1028" t="s">
        <v>15442</v>
      </c>
      <c r="C1028" t="s">
        <v>15445</v>
      </c>
      <c r="D1028" t="s">
        <v>1027</v>
      </c>
      <c r="E1028" t="s">
        <v>3438</v>
      </c>
      <c r="F1028" t="s">
        <v>3430</v>
      </c>
      <c r="G1028" s="3">
        <v>35.911038423435798</v>
      </c>
      <c r="H1028" s="3">
        <v>127.760518444257</v>
      </c>
      <c r="I1028" t="s">
        <v>4793</v>
      </c>
      <c r="J1028" t="s">
        <v>8152</v>
      </c>
      <c r="K1028" t="s">
        <v>11171</v>
      </c>
      <c r="L1028" t="s">
        <v>3366</v>
      </c>
      <c r="M1028" t="s">
        <v>11900</v>
      </c>
      <c r="N1028" t="s">
        <v>3362</v>
      </c>
      <c r="O1028" t="s">
        <v>3359</v>
      </c>
      <c r="P1028" t="s">
        <v>15211</v>
      </c>
      <c r="Q1028" t="s">
        <v>15211</v>
      </c>
      <c r="R1028" t="s">
        <v>15211</v>
      </c>
      <c r="S1028" t="s">
        <v>15211</v>
      </c>
      <c r="T1028" t="s">
        <v>3365</v>
      </c>
      <c r="U1028" t="s">
        <v>12928</v>
      </c>
      <c r="V1028" t="s">
        <v>15233</v>
      </c>
    </row>
    <row r="1029" spans="1:22" hidden="1">
      <c r="A1029" t="s">
        <v>15311</v>
      </c>
      <c r="B1029" t="s">
        <v>15442</v>
      </c>
      <c r="C1029" t="s">
        <v>15445</v>
      </c>
      <c r="D1029" t="s">
        <v>1028</v>
      </c>
      <c r="E1029" t="s">
        <v>3438</v>
      </c>
      <c r="F1029" t="s">
        <v>3429</v>
      </c>
      <c r="G1029" s="3">
        <v>35.911038452376701</v>
      </c>
      <c r="H1029" s="3">
        <v>127.760518414039</v>
      </c>
      <c r="I1029" t="s">
        <v>4794</v>
      </c>
      <c r="J1029" t="s">
        <v>8153</v>
      </c>
      <c r="K1029" t="s">
        <v>11172</v>
      </c>
      <c r="L1029" t="s">
        <v>3373</v>
      </c>
      <c r="M1029" t="s">
        <v>11900</v>
      </c>
      <c r="N1029" t="s">
        <v>3362</v>
      </c>
      <c r="O1029" t="s">
        <v>3358</v>
      </c>
      <c r="P1029" t="s">
        <v>15211</v>
      </c>
      <c r="Q1029" t="s">
        <v>15211</v>
      </c>
      <c r="R1029" t="s">
        <v>15211</v>
      </c>
      <c r="S1029" t="s">
        <v>15211</v>
      </c>
      <c r="T1029" t="s">
        <v>3364</v>
      </c>
      <c r="U1029" t="s">
        <v>12929</v>
      </c>
      <c r="V1029" t="s">
        <v>15233</v>
      </c>
    </row>
    <row r="1030" spans="1:22" hidden="1">
      <c r="A1030" t="s">
        <v>15311</v>
      </c>
      <c r="B1030" t="s">
        <v>15442</v>
      </c>
      <c r="C1030" t="s">
        <v>15445</v>
      </c>
      <c r="D1030" t="s">
        <v>1029</v>
      </c>
      <c r="E1030" t="s">
        <v>3440</v>
      </c>
      <c r="F1030" t="s">
        <v>3434</v>
      </c>
      <c r="G1030" s="3">
        <v>35.911038431809502</v>
      </c>
      <c r="H1030" s="3">
        <v>127.760518434082</v>
      </c>
      <c r="I1030" t="s">
        <v>4795</v>
      </c>
      <c r="J1030" t="s">
        <v>8154</v>
      </c>
      <c r="K1030" t="s">
        <v>11173</v>
      </c>
      <c r="L1030" t="s">
        <v>3367</v>
      </c>
      <c r="M1030" t="s">
        <v>11902</v>
      </c>
      <c r="N1030" t="s">
        <v>3363</v>
      </c>
      <c r="O1030" t="s">
        <v>3359</v>
      </c>
      <c r="P1030" t="s">
        <v>15211</v>
      </c>
      <c r="Q1030" t="s">
        <v>15211</v>
      </c>
      <c r="R1030" t="s">
        <v>15211</v>
      </c>
      <c r="S1030" t="s">
        <v>15211</v>
      </c>
      <c r="T1030" t="s">
        <v>3366</v>
      </c>
      <c r="U1030" t="s">
        <v>12930</v>
      </c>
      <c r="V1030" t="s">
        <v>15233</v>
      </c>
    </row>
    <row r="1031" spans="1:22" hidden="1">
      <c r="A1031" t="s">
        <v>15311</v>
      </c>
      <c r="B1031" t="s">
        <v>15442</v>
      </c>
      <c r="C1031" t="s">
        <v>15451</v>
      </c>
      <c r="D1031" t="s">
        <v>1030</v>
      </c>
      <c r="E1031" t="s">
        <v>3437</v>
      </c>
      <c r="F1031" t="s">
        <v>3433</v>
      </c>
      <c r="G1031" s="3">
        <v>35.911038377288399</v>
      </c>
      <c r="H1031" s="3">
        <v>127.760518529877</v>
      </c>
      <c r="I1031" t="s">
        <v>4796</v>
      </c>
      <c r="J1031" t="s">
        <v>8155</v>
      </c>
      <c r="K1031" t="s">
        <v>11174</v>
      </c>
      <c r="L1031" t="s">
        <v>3366</v>
      </c>
      <c r="M1031" t="s">
        <v>11899</v>
      </c>
      <c r="N1031" t="s">
        <v>3362</v>
      </c>
      <c r="O1031" t="s">
        <v>3358</v>
      </c>
      <c r="P1031" t="s">
        <v>3361</v>
      </c>
      <c r="Q1031" t="s">
        <v>3361</v>
      </c>
      <c r="R1031" t="s">
        <v>15211</v>
      </c>
      <c r="S1031" t="s">
        <v>15211</v>
      </c>
      <c r="T1031" t="s">
        <v>3374</v>
      </c>
      <c r="U1031" t="s">
        <v>12931</v>
      </c>
      <c r="V1031" t="s">
        <v>15234</v>
      </c>
    </row>
    <row r="1032" spans="1:22" hidden="1">
      <c r="A1032" t="s">
        <v>15311</v>
      </c>
      <c r="B1032" t="s">
        <v>15442</v>
      </c>
      <c r="C1032" t="s">
        <v>15451</v>
      </c>
      <c r="D1032" t="s">
        <v>1031</v>
      </c>
      <c r="E1032" t="s">
        <v>3437</v>
      </c>
      <c r="F1032" t="s">
        <v>3452</v>
      </c>
      <c r="G1032" s="3">
        <v>35.911038353542402</v>
      </c>
      <c r="H1032" s="3">
        <v>127.760518500762</v>
      </c>
      <c r="I1032" t="s">
        <v>4797</v>
      </c>
      <c r="J1032" t="s">
        <v>8156</v>
      </c>
      <c r="K1032" t="s">
        <v>10506</v>
      </c>
      <c r="L1032" t="s">
        <v>3366</v>
      </c>
      <c r="M1032" t="s">
        <v>11898</v>
      </c>
      <c r="N1032" t="s">
        <v>3362</v>
      </c>
      <c r="O1032" t="s">
        <v>3358</v>
      </c>
      <c r="P1032" t="s">
        <v>3361</v>
      </c>
      <c r="Q1032" t="s">
        <v>3360</v>
      </c>
      <c r="R1032" t="s">
        <v>15211</v>
      </c>
      <c r="S1032" t="s">
        <v>15211</v>
      </c>
      <c r="T1032" t="s">
        <v>3373</v>
      </c>
      <c r="U1032" t="s">
        <v>12932</v>
      </c>
      <c r="V1032" t="s">
        <v>15234</v>
      </c>
    </row>
    <row r="1033" spans="1:22" hidden="1">
      <c r="A1033" t="s">
        <v>15311</v>
      </c>
      <c r="B1033" t="s">
        <v>15442</v>
      </c>
      <c r="C1033" t="s">
        <v>15451</v>
      </c>
      <c r="D1033" t="s">
        <v>1032</v>
      </c>
      <c r="E1033" t="s">
        <v>3437</v>
      </c>
      <c r="F1033" t="s">
        <v>3453</v>
      </c>
      <c r="G1033" s="3">
        <v>35.9110383678292</v>
      </c>
      <c r="H1033" s="3">
        <v>127.760518530776</v>
      </c>
      <c r="I1033" t="s">
        <v>4798</v>
      </c>
      <c r="J1033" t="s">
        <v>8157</v>
      </c>
      <c r="K1033" t="s">
        <v>11175</v>
      </c>
      <c r="L1033" t="s">
        <v>3366</v>
      </c>
      <c r="M1033" t="s">
        <v>11899</v>
      </c>
      <c r="N1033" t="s">
        <v>3363</v>
      </c>
      <c r="O1033" t="s">
        <v>3359</v>
      </c>
      <c r="P1033" t="s">
        <v>3361</v>
      </c>
      <c r="Q1033" t="s">
        <v>3360</v>
      </c>
      <c r="R1033" t="s">
        <v>15211</v>
      </c>
      <c r="S1033" t="s">
        <v>15211</v>
      </c>
      <c r="T1033" t="s">
        <v>3375</v>
      </c>
      <c r="U1033" t="s">
        <v>12933</v>
      </c>
      <c r="V1033" t="s">
        <v>15234</v>
      </c>
    </row>
    <row r="1034" spans="1:22">
      <c r="A1034" t="s">
        <v>15311</v>
      </c>
      <c r="B1034" t="s">
        <v>15443</v>
      </c>
      <c r="C1034" t="s">
        <v>15452</v>
      </c>
      <c r="D1034" t="s">
        <v>1033</v>
      </c>
      <c r="E1034" t="s">
        <v>3425</v>
      </c>
      <c r="F1034" t="s">
        <v>3477</v>
      </c>
      <c r="G1034" s="3">
        <v>35.911038540229697</v>
      </c>
      <c r="H1034" s="3">
        <v>127.76051871192399</v>
      </c>
      <c r="I1034" t="s">
        <v>4799</v>
      </c>
      <c r="J1034" t="s">
        <v>8158</v>
      </c>
      <c r="K1034" t="s">
        <v>11176</v>
      </c>
      <c r="L1034" t="s">
        <v>3366</v>
      </c>
      <c r="M1034" t="s">
        <v>11885</v>
      </c>
      <c r="N1034" t="s">
        <v>3358</v>
      </c>
      <c r="O1034" t="s">
        <v>15211</v>
      </c>
      <c r="P1034" t="s">
        <v>3361</v>
      </c>
      <c r="Q1034" t="s">
        <v>3361</v>
      </c>
      <c r="R1034" t="s">
        <v>15211</v>
      </c>
      <c r="S1034" t="s">
        <v>15211</v>
      </c>
      <c r="T1034" t="s">
        <v>3368</v>
      </c>
      <c r="U1034" t="s">
        <v>12934</v>
      </c>
      <c r="V1034" t="s">
        <v>15220</v>
      </c>
    </row>
    <row r="1035" spans="1:22">
      <c r="A1035" t="s">
        <v>15311</v>
      </c>
      <c r="B1035" t="s">
        <v>15443</v>
      </c>
      <c r="C1035" t="s">
        <v>15452</v>
      </c>
      <c r="D1035" t="s">
        <v>1034</v>
      </c>
      <c r="E1035" t="s">
        <v>3431</v>
      </c>
      <c r="F1035" t="s">
        <v>3467</v>
      </c>
      <c r="G1035" s="3">
        <v>35.911038518184597</v>
      </c>
      <c r="H1035" s="3">
        <v>127.760518680389</v>
      </c>
      <c r="I1035" t="s">
        <v>4800</v>
      </c>
      <c r="J1035" t="s">
        <v>8159</v>
      </c>
      <c r="K1035" t="s">
        <v>11177</v>
      </c>
      <c r="L1035" t="s">
        <v>3366</v>
      </c>
      <c r="M1035" t="s">
        <v>11885</v>
      </c>
      <c r="N1035" t="s">
        <v>3358</v>
      </c>
      <c r="O1035" t="s">
        <v>15211</v>
      </c>
      <c r="P1035" t="s">
        <v>3361</v>
      </c>
      <c r="Q1035" t="s">
        <v>3361</v>
      </c>
      <c r="R1035" t="s">
        <v>15211</v>
      </c>
      <c r="S1035" t="s">
        <v>15211</v>
      </c>
      <c r="T1035" t="s">
        <v>3368</v>
      </c>
      <c r="U1035" t="s">
        <v>12935</v>
      </c>
      <c r="V1035" t="s">
        <v>15220</v>
      </c>
    </row>
    <row r="1036" spans="1:22">
      <c r="A1036" t="s">
        <v>15311</v>
      </c>
      <c r="B1036" t="s">
        <v>15443</v>
      </c>
      <c r="C1036" t="s">
        <v>15452</v>
      </c>
      <c r="D1036" t="s">
        <v>1035</v>
      </c>
      <c r="E1036" t="s">
        <v>3434</v>
      </c>
      <c r="F1036" t="s">
        <v>3611</v>
      </c>
      <c r="G1036" s="3">
        <v>35.911038517609903</v>
      </c>
      <c r="H1036" s="3">
        <v>127.760518693685</v>
      </c>
      <c r="I1036" t="s">
        <v>4801</v>
      </c>
      <c r="J1036" t="s">
        <v>8160</v>
      </c>
      <c r="K1036" t="s">
        <v>11178</v>
      </c>
      <c r="L1036" t="s">
        <v>3366</v>
      </c>
      <c r="M1036" t="s">
        <v>11885</v>
      </c>
      <c r="N1036" t="s">
        <v>3358</v>
      </c>
      <c r="O1036" t="s">
        <v>15211</v>
      </c>
      <c r="P1036" t="s">
        <v>3361</v>
      </c>
      <c r="Q1036" t="s">
        <v>3361</v>
      </c>
      <c r="R1036" t="s">
        <v>15211</v>
      </c>
      <c r="S1036" t="s">
        <v>15211</v>
      </c>
      <c r="T1036" t="s">
        <v>3368</v>
      </c>
      <c r="U1036" t="s">
        <v>12936</v>
      </c>
      <c r="V1036" t="s">
        <v>15220</v>
      </c>
    </row>
    <row r="1037" spans="1:22" hidden="1">
      <c r="A1037" t="s">
        <v>15312</v>
      </c>
      <c r="B1037" t="s">
        <v>15441</v>
      </c>
      <c r="C1037" t="s">
        <v>15445</v>
      </c>
      <c r="D1037" t="s">
        <v>1036</v>
      </c>
      <c r="E1037" t="s">
        <v>3438</v>
      </c>
      <c r="F1037" t="s">
        <v>3428</v>
      </c>
      <c r="G1037" s="3">
        <v>36.062245767646097</v>
      </c>
      <c r="H1037" s="3">
        <v>127.55522772311301</v>
      </c>
      <c r="I1037" t="s">
        <v>4802</v>
      </c>
      <c r="J1037" t="s">
        <v>8161</v>
      </c>
      <c r="K1037" t="s">
        <v>10612</v>
      </c>
      <c r="L1037" t="s">
        <v>3366</v>
      </c>
      <c r="M1037" t="s">
        <v>11886</v>
      </c>
      <c r="N1037" t="s">
        <v>3364</v>
      </c>
      <c r="O1037" t="s">
        <v>3359</v>
      </c>
      <c r="P1037" t="s">
        <v>15211</v>
      </c>
      <c r="Q1037" t="s">
        <v>15211</v>
      </c>
      <c r="R1037" t="s">
        <v>15211</v>
      </c>
      <c r="S1037" t="s">
        <v>15211</v>
      </c>
      <c r="T1037" t="s">
        <v>3367</v>
      </c>
      <c r="U1037" t="s">
        <v>12937</v>
      </c>
      <c r="V1037" t="s">
        <v>15228</v>
      </c>
    </row>
    <row r="1038" spans="1:22" hidden="1">
      <c r="A1038" t="s">
        <v>15312</v>
      </c>
      <c r="B1038" t="s">
        <v>15441</v>
      </c>
      <c r="C1038" t="s">
        <v>15445</v>
      </c>
      <c r="D1038" t="s">
        <v>1037</v>
      </c>
      <c r="E1038" t="s">
        <v>3438</v>
      </c>
      <c r="F1038" t="s">
        <v>3428</v>
      </c>
      <c r="G1038" s="3">
        <v>36.062245834118897</v>
      </c>
      <c r="H1038" s="3">
        <v>127.555227691293</v>
      </c>
      <c r="I1038" t="s">
        <v>4803</v>
      </c>
      <c r="J1038" t="s">
        <v>8162</v>
      </c>
      <c r="K1038" t="s">
        <v>11179</v>
      </c>
      <c r="L1038" t="s">
        <v>3366</v>
      </c>
      <c r="M1038" t="s">
        <v>11886</v>
      </c>
      <c r="N1038" t="s">
        <v>3364</v>
      </c>
      <c r="O1038" t="s">
        <v>3359</v>
      </c>
      <c r="P1038" t="s">
        <v>15211</v>
      </c>
      <c r="Q1038" t="s">
        <v>15211</v>
      </c>
      <c r="R1038" t="s">
        <v>15211</v>
      </c>
      <c r="S1038" t="s">
        <v>15211</v>
      </c>
      <c r="T1038" t="s">
        <v>3367</v>
      </c>
      <c r="U1038" t="s">
        <v>12938</v>
      </c>
      <c r="V1038" t="s">
        <v>15228</v>
      </c>
    </row>
    <row r="1039" spans="1:22" hidden="1">
      <c r="A1039" t="s">
        <v>15312</v>
      </c>
      <c r="B1039" t="s">
        <v>15441</v>
      </c>
      <c r="C1039" t="s">
        <v>15445</v>
      </c>
      <c r="D1039" t="s">
        <v>1038</v>
      </c>
      <c r="E1039" t="s">
        <v>3438</v>
      </c>
      <c r="F1039" t="s">
        <v>3436</v>
      </c>
      <c r="G1039" s="3">
        <v>36.062245813775803</v>
      </c>
      <c r="H1039" s="3">
        <v>127.555227674916</v>
      </c>
      <c r="I1039" t="s">
        <v>4804</v>
      </c>
      <c r="J1039" t="s">
        <v>8163</v>
      </c>
      <c r="K1039" t="s">
        <v>11180</v>
      </c>
      <c r="L1039" t="s">
        <v>3366</v>
      </c>
      <c r="M1039" t="s">
        <v>11886</v>
      </c>
      <c r="N1039" t="s">
        <v>3364</v>
      </c>
      <c r="O1039" t="s">
        <v>3359</v>
      </c>
      <c r="P1039" t="s">
        <v>15211</v>
      </c>
      <c r="Q1039" t="s">
        <v>15211</v>
      </c>
      <c r="R1039" t="s">
        <v>15211</v>
      </c>
      <c r="S1039" t="s">
        <v>15211</v>
      </c>
      <c r="T1039" t="s">
        <v>3367</v>
      </c>
      <c r="U1039" t="s">
        <v>12939</v>
      </c>
      <c r="V1039" t="s">
        <v>15228</v>
      </c>
    </row>
    <row r="1040" spans="1:22" hidden="1">
      <c r="A1040" t="s">
        <v>15312</v>
      </c>
      <c r="B1040" t="s">
        <v>15441</v>
      </c>
      <c r="C1040" t="s">
        <v>15446</v>
      </c>
      <c r="D1040" t="s">
        <v>1039</v>
      </c>
      <c r="E1040" t="s">
        <v>3428</v>
      </c>
      <c r="F1040" t="s">
        <v>3425</v>
      </c>
      <c r="G1040" s="3">
        <v>36.062245745676002</v>
      </c>
      <c r="H1040" s="3">
        <v>127.555227725195</v>
      </c>
      <c r="I1040" t="s">
        <v>4805</v>
      </c>
      <c r="J1040" t="s">
        <v>8164</v>
      </c>
      <c r="K1040" t="s">
        <v>11181</v>
      </c>
      <c r="L1040" t="s">
        <v>3366</v>
      </c>
      <c r="M1040" t="s">
        <v>11886</v>
      </c>
      <c r="N1040" t="s">
        <v>3364</v>
      </c>
      <c r="O1040" t="s">
        <v>3359</v>
      </c>
      <c r="P1040" t="s">
        <v>15211</v>
      </c>
      <c r="Q1040" t="s">
        <v>15211</v>
      </c>
      <c r="R1040" t="s">
        <v>15211</v>
      </c>
      <c r="S1040" t="s">
        <v>15211</v>
      </c>
      <c r="T1040" t="s">
        <v>3367</v>
      </c>
      <c r="U1040" t="s">
        <v>12940</v>
      </c>
      <c r="V1040" t="s">
        <v>15229</v>
      </c>
    </row>
    <row r="1041" spans="1:22" hidden="1">
      <c r="A1041" t="s">
        <v>15312</v>
      </c>
      <c r="B1041" t="s">
        <v>15441</v>
      </c>
      <c r="C1041" t="s">
        <v>15446</v>
      </c>
      <c r="D1041" t="s">
        <v>1040</v>
      </c>
      <c r="E1041" t="s">
        <v>3427</v>
      </c>
      <c r="F1041" t="s">
        <v>3436</v>
      </c>
      <c r="G1041" s="3">
        <v>36.062245746963697</v>
      </c>
      <c r="H1041" s="3">
        <v>127.555227692945</v>
      </c>
      <c r="I1041" t="s">
        <v>4806</v>
      </c>
      <c r="J1041" t="s">
        <v>8165</v>
      </c>
      <c r="K1041" t="s">
        <v>11181</v>
      </c>
      <c r="L1041" t="s">
        <v>3366</v>
      </c>
      <c r="M1041" t="s">
        <v>11886</v>
      </c>
      <c r="N1041" t="s">
        <v>3364</v>
      </c>
      <c r="O1041" t="s">
        <v>3359</v>
      </c>
      <c r="P1041" t="s">
        <v>15211</v>
      </c>
      <c r="Q1041" t="s">
        <v>15211</v>
      </c>
      <c r="R1041" t="s">
        <v>15211</v>
      </c>
      <c r="S1041" t="s">
        <v>15211</v>
      </c>
      <c r="T1041" t="s">
        <v>3367</v>
      </c>
      <c r="U1041" t="s">
        <v>12941</v>
      </c>
      <c r="V1041" t="s">
        <v>15229</v>
      </c>
    </row>
    <row r="1042" spans="1:22" hidden="1">
      <c r="A1042" t="s">
        <v>15312</v>
      </c>
      <c r="B1042" t="s">
        <v>15441</v>
      </c>
      <c r="C1042" t="s">
        <v>15446</v>
      </c>
      <c r="D1042" t="s">
        <v>1041</v>
      </c>
      <c r="E1042" t="s">
        <v>3438</v>
      </c>
      <c r="F1042" t="s">
        <v>3436</v>
      </c>
      <c r="G1042" s="3">
        <v>36.062245754887897</v>
      </c>
      <c r="H1042" s="3">
        <v>127.555227666969</v>
      </c>
      <c r="I1042" t="s">
        <v>4807</v>
      </c>
      <c r="J1042" t="s">
        <v>8166</v>
      </c>
      <c r="K1042" t="s">
        <v>11182</v>
      </c>
      <c r="L1042" t="s">
        <v>3366</v>
      </c>
      <c r="M1042" t="s">
        <v>11886</v>
      </c>
      <c r="N1042" t="s">
        <v>3364</v>
      </c>
      <c r="O1042" t="s">
        <v>3359</v>
      </c>
      <c r="P1042" t="s">
        <v>15211</v>
      </c>
      <c r="Q1042" t="s">
        <v>15211</v>
      </c>
      <c r="R1042" t="s">
        <v>15211</v>
      </c>
      <c r="S1042" t="s">
        <v>15211</v>
      </c>
      <c r="T1042" t="s">
        <v>3367</v>
      </c>
      <c r="U1042" t="s">
        <v>12942</v>
      </c>
      <c r="V1042" t="s">
        <v>15229</v>
      </c>
    </row>
    <row r="1043" spans="1:22" hidden="1">
      <c r="A1043" t="s">
        <v>15312</v>
      </c>
      <c r="B1043" t="s">
        <v>15441</v>
      </c>
      <c r="C1043" t="s">
        <v>15447</v>
      </c>
      <c r="D1043" t="s">
        <v>1042</v>
      </c>
      <c r="E1043" t="s">
        <v>3436</v>
      </c>
      <c r="F1043" t="s">
        <v>3434</v>
      </c>
      <c r="G1043" s="3">
        <v>36.062245682320501</v>
      </c>
      <c r="H1043" s="3">
        <v>127.555227618136</v>
      </c>
      <c r="I1043" t="s">
        <v>4808</v>
      </c>
      <c r="J1043" t="s">
        <v>8167</v>
      </c>
      <c r="K1043" t="s">
        <v>11183</v>
      </c>
      <c r="L1043" t="s">
        <v>3366</v>
      </c>
      <c r="M1043" t="s">
        <v>11892</v>
      </c>
      <c r="N1043" t="s">
        <v>3364</v>
      </c>
      <c r="O1043" t="s">
        <v>15211</v>
      </c>
      <c r="P1043" t="s">
        <v>15211</v>
      </c>
      <c r="Q1043" t="s">
        <v>15211</v>
      </c>
      <c r="R1043" t="s">
        <v>15211</v>
      </c>
      <c r="S1043" t="s">
        <v>15211</v>
      </c>
      <c r="T1043" t="s">
        <v>3364</v>
      </c>
      <c r="U1043" t="s">
        <v>12943</v>
      </c>
      <c r="V1043" t="s">
        <v>15235</v>
      </c>
    </row>
    <row r="1044" spans="1:22" hidden="1">
      <c r="A1044" t="s">
        <v>15312</v>
      </c>
      <c r="B1044" t="s">
        <v>15441</v>
      </c>
      <c r="C1044" t="s">
        <v>15447</v>
      </c>
      <c r="D1044" t="s">
        <v>1043</v>
      </c>
      <c r="E1044" t="s">
        <v>3436</v>
      </c>
      <c r="F1044" t="s">
        <v>3434</v>
      </c>
      <c r="G1044" s="3">
        <v>36.062245650123302</v>
      </c>
      <c r="H1044" s="3">
        <v>127.555227641041</v>
      </c>
      <c r="I1044" t="s">
        <v>4809</v>
      </c>
      <c r="J1044" t="s">
        <v>8168</v>
      </c>
      <c r="K1044" t="s">
        <v>11184</v>
      </c>
      <c r="L1044" t="s">
        <v>3366</v>
      </c>
      <c r="M1044" t="s">
        <v>11892</v>
      </c>
      <c r="N1044" t="s">
        <v>3364</v>
      </c>
      <c r="O1044" t="s">
        <v>15211</v>
      </c>
      <c r="P1044" t="s">
        <v>15211</v>
      </c>
      <c r="Q1044" t="s">
        <v>15211</v>
      </c>
      <c r="R1044" t="s">
        <v>15211</v>
      </c>
      <c r="S1044" t="s">
        <v>15211</v>
      </c>
      <c r="T1044" t="s">
        <v>3364</v>
      </c>
      <c r="U1044" t="s">
        <v>12944</v>
      </c>
      <c r="V1044" t="s">
        <v>15235</v>
      </c>
    </row>
    <row r="1045" spans="1:22" hidden="1">
      <c r="A1045" t="s">
        <v>15312</v>
      </c>
      <c r="B1045" t="s">
        <v>15441</v>
      </c>
      <c r="C1045" t="s">
        <v>15447</v>
      </c>
      <c r="D1045" t="s">
        <v>1044</v>
      </c>
      <c r="E1045" t="s">
        <v>3436</v>
      </c>
      <c r="F1045" t="s">
        <v>3434</v>
      </c>
      <c r="G1045" s="3">
        <v>36.062245627196901</v>
      </c>
      <c r="H1045" s="3">
        <v>127.555227651785</v>
      </c>
      <c r="I1045" t="s">
        <v>4810</v>
      </c>
      <c r="J1045" t="s">
        <v>8169</v>
      </c>
      <c r="K1045" t="s">
        <v>11184</v>
      </c>
      <c r="L1045" t="s">
        <v>3366</v>
      </c>
      <c r="M1045" t="s">
        <v>11892</v>
      </c>
      <c r="N1045" t="s">
        <v>3364</v>
      </c>
      <c r="O1045" t="s">
        <v>15211</v>
      </c>
      <c r="P1045" t="s">
        <v>15211</v>
      </c>
      <c r="Q1045" t="s">
        <v>15211</v>
      </c>
      <c r="R1045" t="s">
        <v>15211</v>
      </c>
      <c r="S1045" t="s">
        <v>15211</v>
      </c>
      <c r="T1045" t="s">
        <v>3364</v>
      </c>
      <c r="U1045" t="s">
        <v>12945</v>
      </c>
      <c r="V1045" t="s">
        <v>15235</v>
      </c>
    </row>
    <row r="1046" spans="1:22" hidden="1">
      <c r="A1046" t="s">
        <v>15312</v>
      </c>
      <c r="B1046" t="s">
        <v>15441</v>
      </c>
      <c r="C1046" t="s">
        <v>15448</v>
      </c>
      <c r="D1046" t="s">
        <v>1045</v>
      </c>
      <c r="E1046" t="s">
        <v>3431</v>
      </c>
      <c r="F1046" t="s">
        <v>3462</v>
      </c>
      <c r="G1046" s="3">
        <v>36.062245815613998</v>
      </c>
      <c r="H1046" s="3">
        <v>127.555227672523</v>
      </c>
      <c r="I1046" t="s">
        <v>4811</v>
      </c>
      <c r="J1046" t="s">
        <v>8170</v>
      </c>
      <c r="K1046" t="s">
        <v>3634</v>
      </c>
      <c r="L1046" t="s">
        <v>3366</v>
      </c>
      <c r="M1046" t="s">
        <v>11888</v>
      </c>
      <c r="N1046" t="s">
        <v>3364</v>
      </c>
      <c r="O1046" t="s">
        <v>3359</v>
      </c>
      <c r="P1046" t="s">
        <v>3361</v>
      </c>
      <c r="Q1046" t="s">
        <v>3361</v>
      </c>
      <c r="R1046" t="s">
        <v>3357</v>
      </c>
      <c r="S1046" t="s">
        <v>15211</v>
      </c>
      <c r="T1046" t="s">
        <v>3378</v>
      </c>
      <c r="U1046" t="s">
        <v>12946</v>
      </c>
      <c r="V1046" t="s">
        <v>15230</v>
      </c>
    </row>
    <row r="1047" spans="1:22" hidden="1">
      <c r="A1047" t="s">
        <v>15312</v>
      </c>
      <c r="B1047" t="s">
        <v>15441</v>
      </c>
      <c r="C1047" t="s">
        <v>15448</v>
      </c>
      <c r="D1047" t="s">
        <v>1046</v>
      </c>
      <c r="E1047" t="s">
        <v>3434</v>
      </c>
      <c r="F1047" t="s">
        <v>3465</v>
      </c>
      <c r="G1047" s="3">
        <v>36.062245816891497</v>
      </c>
      <c r="H1047" s="3">
        <v>127.555227689189</v>
      </c>
      <c r="I1047" t="s">
        <v>4812</v>
      </c>
      <c r="J1047" t="s">
        <v>8171</v>
      </c>
      <c r="K1047" t="s">
        <v>3634</v>
      </c>
      <c r="L1047" t="s">
        <v>3366</v>
      </c>
      <c r="M1047" t="s">
        <v>11888</v>
      </c>
      <c r="N1047" t="s">
        <v>3364</v>
      </c>
      <c r="O1047" t="s">
        <v>3359</v>
      </c>
      <c r="P1047" t="s">
        <v>3361</v>
      </c>
      <c r="Q1047" t="s">
        <v>3361</v>
      </c>
      <c r="R1047" t="s">
        <v>3357</v>
      </c>
      <c r="S1047" t="s">
        <v>15211</v>
      </c>
      <c r="T1047" t="s">
        <v>3378</v>
      </c>
      <c r="U1047" t="s">
        <v>12947</v>
      </c>
      <c r="V1047" t="s">
        <v>15230</v>
      </c>
    </row>
    <row r="1048" spans="1:22" hidden="1">
      <c r="A1048" t="s">
        <v>15312</v>
      </c>
      <c r="B1048" t="s">
        <v>15441</v>
      </c>
      <c r="C1048" t="s">
        <v>15448</v>
      </c>
      <c r="D1048" t="s">
        <v>1047</v>
      </c>
      <c r="E1048" t="s">
        <v>3435</v>
      </c>
      <c r="F1048" t="s">
        <v>3449</v>
      </c>
      <c r="G1048" s="3">
        <v>36.062245811101903</v>
      </c>
      <c r="H1048" s="3">
        <v>127.555227689757</v>
      </c>
      <c r="I1048" t="s">
        <v>4813</v>
      </c>
      <c r="J1048" t="s">
        <v>8172</v>
      </c>
      <c r="K1048" t="s">
        <v>10616</v>
      </c>
      <c r="L1048" t="s">
        <v>3366</v>
      </c>
      <c r="M1048" t="s">
        <v>11889</v>
      </c>
      <c r="N1048" t="s">
        <v>3364</v>
      </c>
      <c r="O1048" t="s">
        <v>3359</v>
      </c>
      <c r="P1048" t="s">
        <v>3361</v>
      </c>
      <c r="Q1048" t="s">
        <v>3360</v>
      </c>
      <c r="R1048" t="s">
        <v>3357</v>
      </c>
      <c r="S1048" t="s">
        <v>15211</v>
      </c>
      <c r="T1048" t="s">
        <v>3377</v>
      </c>
      <c r="U1048" t="s">
        <v>12948</v>
      </c>
      <c r="V1048" t="s">
        <v>15230</v>
      </c>
    </row>
    <row r="1049" spans="1:22" hidden="1">
      <c r="A1049" t="s">
        <v>15312</v>
      </c>
      <c r="B1049" t="s">
        <v>15441</v>
      </c>
      <c r="C1049" t="s">
        <v>15449</v>
      </c>
      <c r="D1049" t="s">
        <v>1048</v>
      </c>
      <c r="E1049" t="s">
        <v>3440</v>
      </c>
      <c r="F1049" t="s">
        <v>3435</v>
      </c>
      <c r="G1049" s="3">
        <v>36.062245776411302</v>
      </c>
      <c r="H1049" s="3">
        <v>127.55522768104601</v>
      </c>
      <c r="I1049" t="s">
        <v>4814</v>
      </c>
      <c r="J1049" t="s">
        <v>8173</v>
      </c>
      <c r="K1049" t="s">
        <v>11185</v>
      </c>
      <c r="L1049" t="s">
        <v>3366</v>
      </c>
      <c r="M1049" t="s">
        <v>11899</v>
      </c>
      <c r="N1049" t="s">
        <v>3364</v>
      </c>
      <c r="O1049" t="s">
        <v>15211</v>
      </c>
      <c r="P1049" t="s">
        <v>3361</v>
      </c>
      <c r="Q1049" t="s">
        <v>3361</v>
      </c>
      <c r="R1049" t="s">
        <v>3357</v>
      </c>
      <c r="S1049" t="s">
        <v>15211</v>
      </c>
      <c r="T1049" t="s">
        <v>3375</v>
      </c>
      <c r="U1049" t="s">
        <v>12949</v>
      </c>
      <c r="V1049" t="s">
        <v>15231</v>
      </c>
    </row>
    <row r="1050" spans="1:22" hidden="1">
      <c r="A1050" t="s">
        <v>15312</v>
      </c>
      <c r="B1050" t="s">
        <v>15441</v>
      </c>
      <c r="C1050" t="s">
        <v>15449</v>
      </c>
      <c r="D1050" t="s">
        <v>1049</v>
      </c>
      <c r="E1050" t="s">
        <v>3438</v>
      </c>
      <c r="F1050" t="s">
        <v>3429</v>
      </c>
      <c r="G1050" s="3">
        <v>36.062245776500802</v>
      </c>
      <c r="H1050" s="3">
        <v>127.555227668554</v>
      </c>
      <c r="I1050" t="s">
        <v>4815</v>
      </c>
      <c r="J1050" t="s">
        <v>8174</v>
      </c>
      <c r="K1050" t="s">
        <v>3761</v>
      </c>
      <c r="L1050" t="s">
        <v>3366</v>
      </c>
      <c r="M1050" t="s">
        <v>11898</v>
      </c>
      <c r="N1050" t="s">
        <v>3364</v>
      </c>
      <c r="O1050" t="s">
        <v>15211</v>
      </c>
      <c r="P1050" t="s">
        <v>3361</v>
      </c>
      <c r="Q1050" t="s">
        <v>3360</v>
      </c>
      <c r="R1050" t="s">
        <v>3357</v>
      </c>
      <c r="S1050" t="s">
        <v>15211</v>
      </c>
      <c r="T1050" t="s">
        <v>3374</v>
      </c>
      <c r="U1050" t="s">
        <v>12950</v>
      </c>
      <c r="V1050" t="s">
        <v>15231</v>
      </c>
    </row>
    <row r="1051" spans="1:22" hidden="1">
      <c r="A1051" t="s">
        <v>15312</v>
      </c>
      <c r="B1051" t="s">
        <v>15441</v>
      </c>
      <c r="C1051" t="s">
        <v>15449</v>
      </c>
      <c r="D1051" t="s">
        <v>1050</v>
      </c>
      <c r="E1051" t="s">
        <v>3427</v>
      </c>
      <c r="F1051" t="s">
        <v>3430</v>
      </c>
      <c r="G1051" s="3">
        <v>36.062245774597599</v>
      </c>
      <c r="H1051" s="3">
        <v>127.555227667065</v>
      </c>
      <c r="I1051" t="s">
        <v>4816</v>
      </c>
      <c r="J1051" t="s">
        <v>8175</v>
      </c>
      <c r="K1051" t="s">
        <v>10695</v>
      </c>
      <c r="L1051" t="s">
        <v>3366</v>
      </c>
      <c r="M1051" t="s">
        <v>11899</v>
      </c>
      <c r="N1051" t="s">
        <v>3364</v>
      </c>
      <c r="O1051" t="s">
        <v>15211</v>
      </c>
      <c r="P1051" t="s">
        <v>3362</v>
      </c>
      <c r="Q1051" t="s">
        <v>3360</v>
      </c>
      <c r="R1051" t="s">
        <v>3357</v>
      </c>
      <c r="S1051" t="s">
        <v>15211</v>
      </c>
      <c r="T1051" t="s">
        <v>3375</v>
      </c>
      <c r="U1051" t="s">
        <v>12951</v>
      </c>
      <c r="V1051" t="s">
        <v>15231</v>
      </c>
    </row>
    <row r="1052" spans="1:22" hidden="1">
      <c r="A1052" t="s">
        <v>15312</v>
      </c>
      <c r="B1052" t="s">
        <v>15442</v>
      </c>
      <c r="C1052" t="s">
        <v>15450</v>
      </c>
      <c r="D1052" t="s">
        <v>1051</v>
      </c>
      <c r="E1052" t="s">
        <v>3461</v>
      </c>
      <c r="F1052" t="s">
        <v>3453</v>
      </c>
      <c r="G1052" s="3">
        <v>36.062245859485003</v>
      </c>
      <c r="H1052" s="3">
        <v>127.555227549645</v>
      </c>
      <c r="I1052" t="s">
        <v>4817</v>
      </c>
      <c r="J1052" t="s">
        <v>8176</v>
      </c>
      <c r="K1052" t="s">
        <v>11186</v>
      </c>
      <c r="L1052" t="s">
        <v>3366</v>
      </c>
      <c r="M1052" t="s">
        <v>11885</v>
      </c>
      <c r="N1052" t="s">
        <v>3365</v>
      </c>
      <c r="O1052" t="s">
        <v>3359</v>
      </c>
      <c r="P1052" t="s">
        <v>15211</v>
      </c>
      <c r="Q1052" t="s">
        <v>15211</v>
      </c>
      <c r="R1052" t="s">
        <v>15211</v>
      </c>
      <c r="S1052" t="s">
        <v>15211</v>
      </c>
      <c r="T1052" t="s">
        <v>3368</v>
      </c>
      <c r="U1052" t="s">
        <v>12952</v>
      </c>
      <c r="V1052" t="s">
        <v>15232</v>
      </c>
    </row>
    <row r="1053" spans="1:22" hidden="1">
      <c r="A1053" t="s">
        <v>15312</v>
      </c>
      <c r="B1053" t="s">
        <v>15442</v>
      </c>
      <c r="C1053" t="s">
        <v>15450</v>
      </c>
      <c r="D1053" t="s">
        <v>1052</v>
      </c>
      <c r="E1053" t="s">
        <v>3461</v>
      </c>
      <c r="F1053" t="s">
        <v>3453</v>
      </c>
      <c r="G1053" s="3">
        <v>36.062245788192499</v>
      </c>
      <c r="H1053" s="3">
        <v>127.555227616415</v>
      </c>
      <c r="I1053" t="s">
        <v>4818</v>
      </c>
      <c r="J1053" t="s">
        <v>8177</v>
      </c>
      <c r="K1053" t="s">
        <v>10983</v>
      </c>
      <c r="L1053" t="s">
        <v>3366</v>
      </c>
      <c r="M1053" t="s">
        <v>11885</v>
      </c>
      <c r="N1053" t="s">
        <v>3365</v>
      </c>
      <c r="O1053" t="s">
        <v>3359</v>
      </c>
      <c r="P1053" t="s">
        <v>15211</v>
      </c>
      <c r="Q1053" t="s">
        <v>15211</v>
      </c>
      <c r="R1053" t="s">
        <v>15211</v>
      </c>
      <c r="S1053" t="s">
        <v>15211</v>
      </c>
      <c r="T1053" t="s">
        <v>3368</v>
      </c>
      <c r="U1053" t="s">
        <v>12953</v>
      </c>
      <c r="V1053" t="s">
        <v>15232</v>
      </c>
    </row>
    <row r="1054" spans="1:22" hidden="1">
      <c r="A1054" t="s">
        <v>15312</v>
      </c>
      <c r="B1054" t="s">
        <v>15442</v>
      </c>
      <c r="C1054" t="s">
        <v>15450</v>
      </c>
      <c r="D1054" t="s">
        <v>1053</v>
      </c>
      <c r="E1054" t="s">
        <v>3465</v>
      </c>
      <c r="F1054" t="s">
        <v>3433</v>
      </c>
      <c r="G1054" s="3">
        <v>36.062245831852302</v>
      </c>
      <c r="H1054" s="3">
        <v>127.555227620751</v>
      </c>
      <c r="I1054" t="s">
        <v>4819</v>
      </c>
      <c r="J1054" t="s">
        <v>8178</v>
      </c>
      <c r="K1054" t="s">
        <v>11088</v>
      </c>
      <c r="L1054" t="s">
        <v>3371</v>
      </c>
      <c r="M1054" t="s">
        <v>11886</v>
      </c>
      <c r="N1054" t="s">
        <v>3364</v>
      </c>
      <c r="O1054" t="s">
        <v>3359</v>
      </c>
      <c r="P1054" t="s">
        <v>15211</v>
      </c>
      <c r="Q1054" t="s">
        <v>15211</v>
      </c>
      <c r="R1054" t="s">
        <v>15211</v>
      </c>
      <c r="S1054" t="s">
        <v>15211</v>
      </c>
      <c r="T1054" t="s">
        <v>3367</v>
      </c>
      <c r="U1054" t="s">
        <v>12954</v>
      </c>
      <c r="V1054" t="s">
        <v>15232</v>
      </c>
    </row>
    <row r="1055" spans="1:22" hidden="1">
      <c r="A1055" t="s">
        <v>15312</v>
      </c>
      <c r="B1055" t="s">
        <v>15442</v>
      </c>
      <c r="C1055" t="s">
        <v>15445</v>
      </c>
      <c r="D1055" t="s">
        <v>1054</v>
      </c>
      <c r="E1055" t="s">
        <v>3427</v>
      </c>
      <c r="F1055" t="s">
        <v>3425</v>
      </c>
      <c r="G1055" s="3">
        <v>36.0622457199349</v>
      </c>
      <c r="H1055" s="3">
        <v>127.555227607096</v>
      </c>
      <c r="I1055" t="s">
        <v>4820</v>
      </c>
      <c r="J1055" t="s">
        <v>8179</v>
      </c>
      <c r="K1055" t="s">
        <v>11187</v>
      </c>
      <c r="L1055" t="s">
        <v>3366</v>
      </c>
      <c r="M1055" t="s">
        <v>11885</v>
      </c>
      <c r="N1055" t="s">
        <v>3365</v>
      </c>
      <c r="O1055" t="s">
        <v>3359</v>
      </c>
      <c r="P1055" t="s">
        <v>15211</v>
      </c>
      <c r="Q1055" t="s">
        <v>15211</v>
      </c>
      <c r="R1055" t="s">
        <v>15211</v>
      </c>
      <c r="S1055" t="s">
        <v>15211</v>
      </c>
      <c r="T1055" t="s">
        <v>3368</v>
      </c>
      <c r="U1055" t="s">
        <v>12955</v>
      </c>
      <c r="V1055" t="s">
        <v>15233</v>
      </c>
    </row>
    <row r="1056" spans="1:22" hidden="1">
      <c r="A1056" t="s">
        <v>15312</v>
      </c>
      <c r="B1056" t="s">
        <v>15442</v>
      </c>
      <c r="C1056" t="s">
        <v>15445</v>
      </c>
      <c r="D1056" t="s">
        <v>1055</v>
      </c>
      <c r="E1056" t="s">
        <v>3428</v>
      </c>
      <c r="F1056" t="s">
        <v>3431</v>
      </c>
      <c r="G1056" s="3">
        <v>36.062245711125001</v>
      </c>
      <c r="H1056" s="3">
        <v>127.555227625678</v>
      </c>
      <c r="I1056" t="s">
        <v>4821</v>
      </c>
      <c r="J1056" t="s">
        <v>8180</v>
      </c>
      <c r="K1056" t="s">
        <v>10740</v>
      </c>
      <c r="L1056" t="s">
        <v>3366</v>
      </c>
      <c r="M1056" t="s">
        <v>11885</v>
      </c>
      <c r="N1056" t="s">
        <v>3365</v>
      </c>
      <c r="O1056" t="s">
        <v>3359</v>
      </c>
      <c r="P1056" t="s">
        <v>15211</v>
      </c>
      <c r="Q1056" t="s">
        <v>15211</v>
      </c>
      <c r="R1056" t="s">
        <v>15211</v>
      </c>
      <c r="S1056" t="s">
        <v>15211</v>
      </c>
      <c r="T1056" t="s">
        <v>3368</v>
      </c>
      <c r="U1056" t="s">
        <v>12956</v>
      </c>
      <c r="V1056" t="s">
        <v>15233</v>
      </c>
    </row>
    <row r="1057" spans="1:22" hidden="1">
      <c r="A1057" t="s">
        <v>15312</v>
      </c>
      <c r="B1057" t="s">
        <v>15442</v>
      </c>
      <c r="C1057" t="s">
        <v>15445</v>
      </c>
      <c r="D1057" t="s">
        <v>1056</v>
      </c>
      <c r="E1057" t="s">
        <v>3436</v>
      </c>
      <c r="F1057" t="s">
        <v>3434</v>
      </c>
      <c r="G1057" s="3">
        <v>36.062245701631298</v>
      </c>
      <c r="H1057" s="3">
        <v>127.555227639878</v>
      </c>
      <c r="I1057" t="s">
        <v>4822</v>
      </c>
      <c r="J1057" t="s">
        <v>8181</v>
      </c>
      <c r="K1057" t="s">
        <v>11014</v>
      </c>
      <c r="L1057" t="s">
        <v>3366</v>
      </c>
      <c r="M1057" t="s">
        <v>11885</v>
      </c>
      <c r="N1057" t="s">
        <v>3365</v>
      </c>
      <c r="O1057" t="s">
        <v>3359</v>
      </c>
      <c r="P1057" t="s">
        <v>15211</v>
      </c>
      <c r="Q1057" t="s">
        <v>15211</v>
      </c>
      <c r="R1057" t="s">
        <v>15211</v>
      </c>
      <c r="S1057" t="s">
        <v>15211</v>
      </c>
      <c r="T1057" t="s">
        <v>3368</v>
      </c>
      <c r="U1057" t="s">
        <v>12957</v>
      </c>
      <c r="V1057" t="s">
        <v>15233</v>
      </c>
    </row>
    <row r="1058" spans="1:22" hidden="1">
      <c r="A1058" t="s">
        <v>15312</v>
      </c>
      <c r="B1058" t="s">
        <v>15442</v>
      </c>
      <c r="C1058" t="s">
        <v>15451</v>
      </c>
      <c r="D1058" t="s">
        <v>1057</v>
      </c>
      <c r="E1058" t="s">
        <v>3439</v>
      </c>
      <c r="F1058" t="s">
        <v>3427</v>
      </c>
      <c r="G1058" s="3">
        <v>36.062245769338297</v>
      </c>
      <c r="H1058" s="3">
        <v>127.55522762680501</v>
      </c>
      <c r="I1058" t="s">
        <v>4823</v>
      </c>
      <c r="J1058" t="s">
        <v>8182</v>
      </c>
      <c r="K1058" t="s">
        <v>11121</v>
      </c>
      <c r="L1058" t="s">
        <v>3366</v>
      </c>
      <c r="M1058" t="s">
        <v>11896</v>
      </c>
      <c r="N1058" t="s">
        <v>3365</v>
      </c>
      <c r="O1058" t="s">
        <v>3359</v>
      </c>
      <c r="P1058" t="s">
        <v>3362</v>
      </c>
      <c r="Q1058" t="s">
        <v>3361</v>
      </c>
      <c r="R1058" t="s">
        <v>15211</v>
      </c>
      <c r="S1058" t="s">
        <v>15211</v>
      </c>
      <c r="T1058" t="s">
        <v>3379</v>
      </c>
      <c r="U1058" t="s">
        <v>12958</v>
      </c>
      <c r="V1058" t="s">
        <v>15234</v>
      </c>
    </row>
    <row r="1059" spans="1:22" hidden="1">
      <c r="A1059" t="s">
        <v>15312</v>
      </c>
      <c r="B1059" t="s">
        <v>15442</v>
      </c>
      <c r="C1059" t="s">
        <v>15451</v>
      </c>
      <c r="D1059" t="s">
        <v>1058</v>
      </c>
      <c r="E1059" t="s">
        <v>3439</v>
      </c>
      <c r="F1059" t="s">
        <v>3428</v>
      </c>
      <c r="G1059" s="3">
        <v>36.062245772324701</v>
      </c>
      <c r="H1059" s="3">
        <v>127.555227606527</v>
      </c>
      <c r="I1059" t="s">
        <v>4824</v>
      </c>
      <c r="J1059" t="s">
        <v>8183</v>
      </c>
      <c r="K1059" t="s">
        <v>11188</v>
      </c>
      <c r="L1059" t="s">
        <v>3366</v>
      </c>
      <c r="M1059" t="s">
        <v>11888</v>
      </c>
      <c r="N1059" t="s">
        <v>3365</v>
      </c>
      <c r="O1059" t="s">
        <v>3359</v>
      </c>
      <c r="P1059" t="s">
        <v>3362</v>
      </c>
      <c r="Q1059" t="s">
        <v>3360</v>
      </c>
      <c r="R1059" t="s">
        <v>15211</v>
      </c>
      <c r="S1059" t="s">
        <v>15211</v>
      </c>
      <c r="T1059" t="s">
        <v>3378</v>
      </c>
      <c r="U1059" t="s">
        <v>12959</v>
      </c>
      <c r="V1059" t="s">
        <v>15234</v>
      </c>
    </row>
    <row r="1060" spans="1:22" hidden="1">
      <c r="A1060" t="s">
        <v>15312</v>
      </c>
      <c r="B1060" t="s">
        <v>15442</v>
      </c>
      <c r="C1060" t="s">
        <v>15451</v>
      </c>
      <c r="D1060" t="s">
        <v>1059</v>
      </c>
      <c r="E1060" t="s">
        <v>3437</v>
      </c>
      <c r="F1060" t="s">
        <v>3436</v>
      </c>
      <c r="G1060" s="3">
        <v>36.062245766343501</v>
      </c>
      <c r="H1060" s="3">
        <v>127.555227618028</v>
      </c>
      <c r="I1060" t="s">
        <v>4825</v>
      </c>
      <c r="J1060" t="s">
        <v>8184</v>
      </c>
      <c r="K1060" t="s">
        <v>11189</v>
      </c>
      <c r="L1060" t="s">
        <v>3366</v>
      </c>
      <c r="M1060" t="s">
        <v>11888</v>
      </c>
      <c r="N1060" t="s">
        <v>3365</v>
      </c>
      <c r="O1060" t="s">
        <v>3359</v>
      </c>
      <c r="P1060" t="s">
        <v>3362</v>
      </c>
      <c r="Q1060" t="s">
        <v>3360</v>
      </c>
      <c r="R1060" t="s">
        <v>15211</v>
      </c>
      <c r="S1060" t="s">
        <v>15211</v>
      </c>
      <c r="T1060" t="s">
        <v>3378</v>
      </c>
      <c r="U1060" t="s">
        <v>12960</v>
      </c>
      <c r="V1060" t="s">
        <v>15234</v>
      </c>
    </row>
    <row r="1061" spans="1:22">
      <c r="A1061" t="s">
        <v>15312</v>
      </c>
      <c r="B1061" t="s">
        <v>15443</v>
      </c>
      <c r="C1061" t="s">
        <v>15452</v>
      </c>
      <c r="D1061" t="s">
        <v>1060</v>
      </c>
      <c r="E1061" t="s">
        <v>3431</v>
      </c>
      <c r="F1061" t="s">
        <v>3462</v>
      </c>
      <c r="G1061" s="3">
        <v>36.0622457138819</v>
      </c>
      <c r="H1061" s="3">
        <v>127.55522777650999</v>
      </c>
      <c r="I1061" t="s">
        <v>4826</v>
      </c>
      <c r="J1061" t="s">
        <v>8185</v>
      </c>
      <c r="K1061" t="s">
        <v>11190</v>
      </c>
      <c r="L1061" t="s">
        <v>3366</v>
      </c>
      <c r="M1061" t="s">
        <v>11886</v>
      </c>
      <c r="N1061" t="s">
        <v>3357</v>
      </c>
      <c r="O1061" t="s">
        <v>15211</v>
      </c>
      <c r="P1061" t="s">
        <v>3362</v>
      </c>
      <c r="Q1061" t="s">
        <v>3360</v>
      </c>
      <c r="R1061" t="s">
        <v>15211</v>
      </c>
      <c r="S1061" t="s">
        <v>15211</v>
      </c>
      <c r="T1061" t="s">
        <v>3367</v>
      </c>
      <c r="U1061" t="s">
        <v>12961</v>
      </c>
      <c r="V1061" t="s">
        <v>15220</v>
      </c>
    </row>
    <row r="1062" spans="1:22">
      <c r="A1062" t="s">
        <v>15312</v>
      </c>
      <c r="B1062" t="s">
        <v>15443</v>
      </c>
      <c r="C1062" t="s">
        <v>15452</v>
      </c>
      <c r="D1062" t="s">
        <v>1061</v>
      </c>
      <c r="E1062" t="s">
        <v>3431</v>
      </c>
      <c r="F1062" t="s">
        <v>3426</v>
      </c>
      <c r="G1062" s="3">
        <v>36.062245685429801</v>
      </c>
      <c r="H1062" s="3">
        <v>127.555227775308</v>
      </c>
      <c r="I1062" t="s">
        <v>4827</v>
      </c>
      <c r="J1062" t="s">
        <v>8186</v>
      </c>
      <c r="K1062" t="s">
        <v>11191</v>
      </c>
      <c r="L1062" t="s">
        <v>3366</v>
      </c>
      <c r="M1062" t="s">
        <v>11885</v>
      </c>
      <c r="N1062" t="s">
        <v>3357</v>
      </c>
      <c r="O1062" t="s">
        <v>15211</v>
      </c>
      <c r="P1062" t="s">
        <v>3362</v>
      </c>
      <c r="Q1062" t="s">
        <v>3360</v>
      </c>
      <c r="R1062" t="s">
        <v>15211</v>
      </c>
      <c r="S1062" t="s">
        <v>15211</v>
      </c>
      <c r="T1062" t="s">
        <v>3367</v>
      </c>
      <c r="U1062" t="s">
        <v>12962</v>
      </c>
      <c r="V1062" t="s">
        <v>15220</v>
      </c>
    </row>
    <row r="1063" spans="1:22">
      <c r="A1063" t="s">
        <v>15312</v>
      </c>
      <c r="B1063" t="s">
        <v>15443</v>
      </c>
      <c r="C1063" t="s">
        <v>15452</v>
      </c>
      <c r="D1063" t="s">
        <v>1062</v>
      </c>
      <c r="E1063" t="s">
        <v>3431</v>
      </c>
      <c r="F1063" t="s">
        <v>3465</v>
      </c>
      <c r="G1063" s="3">
        <v>36.062245656860497</v>
      </c>
      <c r="H1063" s="3">
        <v>127.55522776237</v>
      </c>
      <c r="I1063" t="s">
        <v>4828</v>
      </c>
      <c r="J1063" t="s">
        <v>8187</v>
      </c>
      <c r="K1063" t="s">
        <v>11192</v>
      </c>
      <c r="L1063" t="s">
        <v>3366</v>
      </c>
      <c r="M1063" t="s">
        <v>11885</v>
      </c>
      <c r="N1063" t="s">
        <v>3358</v>
      </c>
      <c r="O1063" t="s">
        <v>15211</v>
      </c>
      <c r="P1063" t="s">
        <v>3362</v>
      </c>
      <c r="Q1063" t="s">
        <v>3360</v>
      </c>
      <c r="R1063" t="s">
        <v>15211</v>
      </c>
      <c r="S1063" t="s">
        <v>15211</v>
      </c>
      <c r="T1063" t="s">
        <v>3368</v>
      </c>
      <c r="U1063" t="s">
        <v>12963</v>
      </c>
      <c r="V1063" t="s">
        <v>15220</v>
      </c>
    </row>
    <row r="1064" spans="1:22" hidden="1">
      <c r="A1064" t="s">
        <v>15313</v>
      </c>
      <c r="B1064" t="s">
        <v>15441</v>
      </c>
      <c r="C1064" t="s">
        <v>15445</v>
      </c>
      <c r="D1064" t="s">
        <v>1063</v>
      </c>
      <c r="E1064" t="s">
        <v>3452</v>
      </c>
      <c r="F1064" t="s">
        <v>3613</v>
      </c>
      <c r="G1064" s="3">
        <v>36.0633834718288</v>
      </c>
      <c r="H1064" s="3">
        <v>127.401873667879</v>
      </c>
      <c r="I1064" t="s">
        <v>4829</v>
      </c>
      <c r="J1064" t="s">
        <v>8188</v>
      </c>
      <c r="K1064" t="s">
        <v>10787</v>
      </c>
      <c r="L1064" t="s">
        <v>3366</v>
      </c>
      <c r="M1064" t="s">
        <v>11886</v>
      </c>
      <c r="N1064" t="s">
        <v>3363</v>
      </c>
      <c r="O1064" t="s">
        <v>3360</v>
      </c>
      <c r="P1064" t="s">
        <v>15211</v>
      </c>
      <c r="Q1064" t="s">
        <v>15211</v>
      </c>
      <c r="R1064" t="s">
        <v>15211</v>
      </c>
      <c r="S1064" t="s">
        <v>15211</v>
      </c>
      <c r="T1064" t="s">
        <v>3367</v>
      </c>
      <c r="U1064" t="s">
        <v>12964</v>
      </c>
      <c r="V1064" t="s">
        <v>15228</v>
      </c>
    </row>
    <row r="1065" spans="1:22" hidden="1">
      <c r="A1065" t="s">
        <v>15313</v>
      </c>
      <c r="B1065" t="s">
        <v>15441</v>
      </c>
      <c r="C1065" t="s">
        <v>15445</v>
      </c>
      <c r="D1065" t="s">
        <v>1064</v>
      </c>
      <c r="E1065" t="s">
        <v>3452</v>
      </c>
      <c r="F1065" t="s">
        <v>3543</v>
      </c>
      <c r="G1065" s="3">
        <v>36.0633835242716</v>
      </c>
      <c r="H1065" s="3">
        <v>127.40187368061601</v>
      </c>
      <c r="I1065" t="s">
        <v>4830</v>
      </c>
      <c r="J1065" t="s">
        <v>8189</v>
      </c>
      <c r="K1065" t="s">
        <v>10728</v>
      </c>
      <c r="L1065" t="s">
        <v>3366</v>
      </c>
      <c r="M1065" t="s">
        <v>11886</v>
      </c>
      <c r="N1065" t="s">
        <v>3363</v>
      </c>
      <c r="O1065" t="s">
        <v>3360</v>
      </c>
      <c r="P1065" t="s">
        <v>15211</v>
      </c>
      <c r="Q1065" t="s">
        <v>15211</v>
      </c>
      <c r="R1065" t="s">
        <v>15211</v>
      </c>
      <c r="S1065" t="s">
        <v>15211</v>
      </c>
      <c r="T1065" t="s">
        <v>3367</v>
      </c>
      <c r="U1065" t="s">
        <v>12965</v>
      </c>
      <c r="V1065" t="s">
        <v>15228</v>
      </c>
    </row>
    <row r="1066" spans="1:22" hidden="1">
      <c r="A1066" t="s">
        <v>15313</v>
      </c>
      <c r="B1066" t="s">
        <v>15441</v>
      </c>
      <c r="C1066" t="s">
        <v>15445</v>
      </c>
      <c r="D1066" t="s">
        <v>1065</v>
      </c>
      <c r="E1066" t="s">
        <v>3452</v>
      </c>
      <c r="F1066" t="s">
        <v>3543</v>
      </c>
      <c r="G1066" s="3">
        <v>36.063383531405997</v>
      </c>
      <c r="H1066" s="3">
        <v>127.401873690206</v>
      </c>
      <c r="I1066" t="s">
        <v>4831</v>
      </c>
      <c r="J1066" t="s">
        <v>8190</v>
      </c>
      <c r="K1066" t="s">
        <v>11193</v>
      </c>
      <c r="L1066" t="s">
        <v>3366</v>
      </c>
      <c r="M1066" t="s">
        <v>11886</v>
      </c>
      <c r="N1066" t="s">
        <v>3363</v>
      </c>
      <c r="O1066" t="s">
        <v>3360</v>
      </c>
      <c r="P1066" t="s">
        <v>15211</v>
      </c>
      <c r="Q1066" t="s">
        <v>15211</v>
      </c>
      <c r="R1066" t="s">
        <v>15211</v>
      </c>
      <c r="S1066" t="s">
        <v>15211</v>
      </c>
      <c r="T1066" t="s">
        <v>3367</v>
      </c>
      <c r="U1066" t="s">
        <v>12966</v>
      </c>
      <c r="V1066" t="s">
        <v>15228</v>
      </c>
    </row>
    <row r="1067" spans="1:22" hidden="1">
      <c r="A1067" t="s">
        <v>15313</v>
      </c>
      <c r="B1067" t="s">
        <v>15441</v>
      </c>
      <c r="C1067" t="s">
        <v>15446</v>
      </c>
      <c r="D1067" t="s">
        <v>1066</v>
      </c>
      <c r="E1067" t="s">
        <v>3430</v>
      </c>
      <c r="F1067" t="s">
        <v>3453</v>
      </c>
      <c r="G1067" s="3">
        <v>36.063383580400298</v>
      </c>
      <c r="H1067" s="3">
        <v>127.40187366848301</v>
      </c>
      <c r="I1067" t="s">
        <v>4832</v>
      </c>
      <c r="J1067" t="s">
        <v>8191</v>
      </c>
      <c r="K1067" t="s">
        <v>11194</v>
      </c>
      <c r="L1067" t="s">
        <v>3366</v>
      </c>
      <c r="M1067" t="s">
        <v>11886</v>
      </c>
      <c r="N1067" t="s">
        <v>3363</v>
      </c>
      <c r="O1067" t="s">
        <v>3360</v>
      </c>
      <c r="P1067" t="s">
        <v>15211</v>
      </c>
      <c r="Q1067" t="s">
        <v>15211</v>
      </c>
      <c r="R1067" t="s">
        <v>15211</v>
      </c>
      <c r="S1067" t="s">
        <v>15211</v>
      </c>
      <c r="T1067" t="s">
        <v>3367</v>
      </c>
      <c r="U1067" t="s">
        <v>12967</v>
      </c>
      <c r="V1067" t="s">
        <v>15229</v>
      </c>
    </row>
    <row r="1068" spans="1:22" hidden="1">
      <c r="A1068" t="s">
        <v>15313</v>
      </c>
      <c r="B1068" t="s">
        <v>15441</v>
      </c>
      <c r="C1068" t="s">
        <v>15446</v>
      </c>
      <c r="D1068" t="s">
        <v>1067</v>
      </c>
      <c r="E1068" t="s">
        <v>3436</v>
      </c>
      <c r="F1068" t="s">
        <v>3442</v>
      </c>
      <c r="G1068" s="3">
        <v>36.063383550633901</v>
      </c>
      <c r="H1068" s="3">
        <v>127.401873743883</v>
      </c>
      <c r="I1068" t="s">
        <v>4833</v>
      </c>
      <c r="J1068" t="s">
        <v>8192</v>
      </c>
      <c r="K1068" t="s">
        <v>10817</v>
      </c>
      <c r="L1068" t="s">
        <v>3366</v>
      </c>
      <c r="M1068" t="s">
        <v>11885</v>
      </c>
      <c r="N1068" t="s">
        <v>3364</v>
      </c>
      <c r="O1068" t="s">
        <v>3360</v>
      </c>
      <c r="P1068" t="s">
        <v>15211</v>
      </c>
      <c r="Q1068" t="s">
        <v>15211</v>
      </c>
      <c r="R1068" t="s">
        <v>15211</v>
      </c>
      <c r="S1068" t="s">
        <v>15211</v>
      </c>
      <c r="T1068" t="s">
        <v>3368</v>
      </c>
      <c r="U1068" t="s">
        <v>12968</v>
      </c>
      <c r="V1068" t="s">
        <v>15229</v>
      </c>
    </row>
    <row r="1069" spans="1:22" hidden="1">
      <c r="A1069" t="s">
        <v>15313</v>
      </c>
      <c r="B1069" t="s">
        <v>15441</v>
      </c>
      <c r="C1069" t="s">
        <v>15446</v>
      </c>
      <c r="D1069" t="s">
        <v>1068</v>
      </c>
      <c r="E1069" t="s">
        <v>3428</v>
      </c>
      <c r="F1069" t="s">
        <v>3430</v>
      </c>
      <c r="G1069" s="3">
        <v>36.063383554171502</v>
      </c>
      <c r="H1069" s="3">
        <v>127.40187382651</v>
      </c>
      <c r="I1069" t="s">
        <v>4834</v>
      </c>
      <c r="J1069" t="s">
        <v>8193</v>
      </c>
      <c r="K1069" t="s">
        <v>11195</v>
      </c>
      <c r="L1069" t="s">
        <v>3366</v>
      </c>
      <c r="M1069" t="s">
        <v>11885</v>
      </c>
      <c r="N1069" t="s">
        <v>3364</v>
      </c>
      <c r="O1069" t="s">
        <v>3360</v>
      </c>
      <c r="P1069" t="s">
        <v>15211</v>
      </c>
      <c r="Q1069" t="s">
        <v>15211</v>
      </c>
      <c r="R1069" t="s">
        <v>15211</v>
      </c>
      <c r="S1069" t="s">
        <v>15211</v>
      </c>
      <c r="T1069" t="s">
        <v>3368</v>
      </c>
      <c r="U1069" t="s">
        <v>12969</v>
      </c>
      <c r="V1069" t="s">
        <v>15229</v>
      </c>
    </row>
    <row r="1070" spans="1:22" hidden="1">
      <c r="A1070" t="s">
        <v>15313</v>
      </c>
      <c r="B1070" t="s">
        <v>15441</v>
      </c>
      <c r="C1070" t="s">
        <v>15447</v>
      </c>
      <c r="D1070" t="s">
        <v>1069</v>
      </c>
      <c r="E1070" t="s">
        <v>3452</v>
      </c>
      <c r="F1070" t="s">
        <v>3540</v>
      </c>
      <c r="G1070" s="3">
        <v>36.063383489815998</v>
      </c>
      <c r="H1070" s="3">
        <v>127.401873807222</v>
      </c>
      <c r="I1070" t="s">
        <v>4835</v>
      </c>
      <c r="J1070" t="s">
        <v>8194</v>
      </c>
      <c r="K1070" t="s">
        <v>11021</v>
      </c>
      <c r="L1070" t="s">
        <v>3407</v>
      </c>
      <c r="M1070" t="s">
        <v>11892</v>
      </c>
      <c r="N1070" t="s">
        <v>3364</v>
      </c>
      <c r="O1070" t="s">
        <v>15211</v>
      </c>
      <c r="P1070" t="s">
        <v>15211</v>
      </c>
      <c r="Q1070" t="s">
        <v>15211</v>
      </c>
      <c r="R1070" t="s">
        <v>15211</v>
      </c>
      <c r="S1070" t="s">
        <v>15211</v>
      </c>
      <c r="T1070" t="s">
        <v>3364</v>
      </c>
      <c r="U1070" t="s">
        <v>12970</v>
      </c>
      <c r="V1070" t="s">
        <v>15235</v>
      </c>
    </row>
    <row r="1071" spans="1:22" hidden="1">
      <c r="A1071" t="s">
        <v>15313</v>
      </c>
      <c r="B1071" t="s">
        <v>15441</v>
      </c>
      <c r="C1071" t="s">
        <v>15447</v>
      </c>
      <c r="D1071" t="s">
        <v>1070</v>
      </c>
      <c r="E1071" t="s">
        <v>3432</v>
      </c>
      <c r="F1071" t="s">
        <v>3476</v>
      </c>
      <c r="G1071" s="3">
        <v>36.063383460452499</v>
      </c>
      <c r="H1071" s="3">
        <v>127.401873859132</v>
      </c>
      <c r="I1071" t="s">
        <v>4836</v>
      </c>
      <c r="J1071" t="s">
        <v>8195</v>
      </c>
      <c r="K1071" t="s">
        <v>11021</v>
      </c>
      <c r="L1071" t="s">
        <v>3366</v>
      </c>
      <c r="M1071" t="s">
        <v>11892</v>
      </c>
      <c r="N1071" t="s">
        <v>3364</v>
      </c>
      <c r="O1071" t="s">
        <v>15211</v>
      </c>
      <c r="P1071" t="s">
        <v>15211</v>
      </c>
      <c r="Q1071" t="s">
        <v>15211</v>
      </c>
      <c r="R1071" t="s">
        <v>15211</v>
      </c>
      <c r="S1071" t="s">
        <v>15211</v>
      </c>
      <c r="T1071" t="s">
        <v>3364</v>
      </c>
      <c r="U1071" t="s">
        <v>12971</v>
      </c>
      <c r="V1071" t="s">
        <v>15235</v>
      </c>
    </row>
    <row r="1072" spans="1:22" hidden="1">
      <c r="A1072" t="s">
        <v>15313</v>
      </c>
      <c r="B1072" t="s">
        <v>15441</v>
      </c>
      <c r="C1072" t="s">
        <v>15447</v>
      </c>
      <c r="D1072" t="s">
        <v>1071</v>
      </c>
      <c r="E1072" t="s">
        <v>3452</v>
      </c>
      <c r="F1072" t="s">
        <v>3467</v>
      </c>
      <c r="G1072" s="3">
        <v>36.063383521491097</v>
      </c>
      <c r="H1072" s="3">
        <v>127.401873903867</v>
      </c>
      <c r="I1072" t="s">
        <v>4837</v>
      </c>
      <c r="J1072" t="s">
        <v>8196</v>
      </c>
      <c r="K1072" t="s">
        <v>11021</v>
      </c>
      <c r="L1072" t="s">
        <v>3366</v>
      </c>
      <c r="M1072" t="s">
        <v>11892</v>
      </c>
      <c r="N1072" t="s">
        <v>3364</v>
      </c>
      <c r="O1072" t="s">
        <v>15211</v>
      </c>
      <c r="P1072" t="s">
        <v>15211</v>
      </c>
      <c r="Q1072" t="s">
        <v>15211</v>
      </c>
      <c r="R1072" t="s">
        <v>15211</v>
      </c>
      <c r="S1072" t="s">
        <v>15211</v>
      </c>
      <c r="T1072" t="s">
        <v>3364</v>
      </c>
      <c r="U1072" t="s">
        <v>12972</v>
      </c>
      <c r="V1072" t="s">
        <v>15235</v>
      </c>
    </row>
    <row r="1073" spans="1:22" hidden="1">
      <c r="A1073" t="s">
        <v>15313</v>
      </c>
      <c r="B1073" t="s">
        <v>15441</v>
      </c>
      <c r="C1073" t="s">
        <v>15448</v>
      </c>
      <c r="D1073" t="s">
        <v>1072</v>
      </c>
      <c r="E1073" t="s">
        <v>3429</v>
      </c>
      <c r="F1073" t="s">
        <v>3484</v>
      </c>
      <c r="G1073" s="3">
        <v>36.0633835574587</v>
      </c>
      <c r="H1073" s="3">
        <v>127.40187380598699</v>
      </c>
      <c r="I1073" t="s">
        <v>4838</v>
      </c>
      <c r="J1073" t="s">
        <v>8197</v>
      </c>
      <c r="K1073" t="s">
        <v>10875</v>
      </c>
      <c r="L1073" t="s">
        <v>3366</v>
      </c>
      <c r="M1073" t="s">
        <v>11889</v>
      </c>
      <c r="N1073" t="s">
        <v>3363</v>
      </c>
      <c r="O1073" t="s">
        <v>3360</v>
      </c>
      <c r="P1073" t="s">
        <v>3361</v>
      </c>
      <c r="Q1073" t="s">
        <v>3360</v>
      </c>
      <c r="R1073" t="s">
        <v>3357</v>
      </c>
      <c r="S1073" t="s">
        <v>15211</v>
      </c>
      <c r="T1073" t="s">
        <v>3377</v>
      </c>
      <c r="U1073" t="s">
        <v>12973</v>
      </c>
      <c r="V1073" t="s">
        <v>15230</v>
      </c>
    </row>
    <row r="1074" spans="1:22" hidden="1">
      <c r="A1074" t="s">
        <v>15313</v>
      </c>
      <c r="B1074" t="s">
        <v>15441</v>
      </c>
      <c r="C1074" t="s">
        <v>15448</v>
      </c>
      <c r="D1074" t="s">
        <v>1073</v>
      </c>
      <c r="E1074" t="s">
        <v>3442</v>
      </c>
      <c r="F1074" t="s">
        <v>3515</v>
      </c>
      <c r="G1074" s="3">
        <v>36.063383580785903</v>
      </c>
      <c r="H1074" s="3">
        <v>127.401873776446</v>
      </c>
      <c r="I1074" t="s">
        <v>4839</v>
      </c>
      <c r="J1074" t="s">
        <v>8198</v>
      </c>
      <c r="K1074" t="s">
        <v>11196</v>
      </c>
      <c r="L1074" t="s">
        <v>3366</v>
      </c>
      <c r="M1074" t="s">
        <v>11889</v>
      </c>
      <c r="N1074" t="s">
        <v>3363</v>
      </c>
      <c r="O1074" t="s">
        <v>3360</v>
      </c>
      <c r="P1074" t="s">
        <v>3361</v>
      </c>
      <c r="Q1074" t="s">
        <v>3359</v>
      </c>
      <c r="R1074" t="s">
        <v>3357</v>
      </c>
      <c r="S1074" t="s">
        <v>15211</v>
      </c>
      <c r="T1074" t="s">
        <v>3376</v>
      </c>
      <c r="U1074" t="s">
        <v>12974</v>
      </c>
      <c r="V1074" t="s">
        <v>15230</v>
      </c>
    </row>
    <row r="1075" spans="1:22" hidden="1">
      <c r="A1075" t="s">
        <v>15313</v>
      </c>
      <c r="B1075" t="s">
        <v>15441</v>
      </c>
      <c r="C1075" t="s">
        <v>15448</v>
      </c>
      <c r="D1075" t="s">
        <v>1074</v>
      </c>
      <c r="E1075" t="s">
        <v>3453</v>
      </c>
      <c r="F1075" t="s">
        <v>3611</v>
      </c>
      <c r="G1075" s="3">
        <v>36.0633835620784</v>
      </c>
      <c r="H1075" s="3">
        <v>127.40187375244901</v>
      </c>
      <c r="I1075" t="s">
        <v>4840</v>
      </c>
      <c r="J1075" t="s">
        <v>8199</v>
      </c>
      <c r="K1075" t="s">
        <v>11086</v>
      </c>
      <c r="L1075" t="s">
        <v>3366</v>
      </c>
      <c r="M1075" t="s">
        <v>11889</v>
      </c>
      <c r="N1075" t="s">
        <v>3363</v>
      </c>
      <c r="O1075" t="s">
        <v>3360</v>
      </c>
      <c r="P1075" t="s">
        <v>3361</v>
      </c>
      <c r="Q1075" t="s">
        <v>3360</v>
      </c>
      <c r="R1075" t="s">
        <v>3357</v>
      </c>
      <c r="S1075" t="s">
        <v>15211</v>
      </c>
      <c r="T1075" t="s">
        <v>3377</v>
      </c>
      <c r="U1075" t="s">
        <v>12975</v>
      </c>
      <c r="V1075" t="s">
        <v>15230</v>
      </c>
    </row>
    <row r="1076" spans="1:22" hidden="1">
      <c r="A1076" t="s">
        <v>15313</v>
      </c>
      <c r="B1076" t="s">
        <v>15441</v>
      </c>
      <c r="C1076" t="s">
        <v>15449</v>
      </c>
      <c r="D1076" t="s">
        <v>1075</v>
      </c>
      <c r="E1076" t="s">
        <v>3434</v>
      </c>
      <c r="F1076" t="s">
        <v>3450</v>
      </c>
      <c r="G1076" s="3">
        <v>36.063383537427697</v>
      </c>
      <c r="H1076" s="3">
        <v>127.401873747981</v>
      </c>
      <c r="I1076" t="s">
        <v>4841</v>
      </c>
      <c r="J1076" t="s">
        <v>8200</v>
      </c>
      <c r="K1076" t="s">
        <v>10779</v>
      </c>
      <c r="L1076" t="s">
        <v>3366</v>
      </c>
      <c r="M1076" t="s">
        <v>11903</v>
      </c>
      <c r="N1076" t="s">
        <v>3362</v>
      </c>
      <c r="O1076" t="s">
        <v>15211</v>
      </c>
      <c r="P1076" t="s">
        <v>3361</v>
      </c>
      <c r="Q1076" t="s">
        <v>3360</v>
      </c>
      <c r="R1076" t="s">
        <v>3357</v>
      </c>
      <c r="S1076" t="s">
        <v>15211</v>
      </c>
      <c r="T1076" t="s">
        <v>3372</v>
      </c>
      <c r="U1076" t="s">
        <v>12976</v>
      </c>
      <c r="V1076" t="s">
        <v>15231</v>
      </c>
    </row>
    <row r="1077" spans="1:22" hidden="1">
      <c r="A1077" t="s">
        <v>15313</v>
      </c>
      <c r="B1077" t="s">
        <v>15441</v>
      </c>
      <c r="C1077" t="s">
        <v>15449</v>
      </c>
      <c r="D1077" t="s">
        <v>1076</v>
      </c>
      <c r="E1077" t="s">
        <v>3429</v>
      </c>
      <c r="F1077" t="s">
        <v>3511</v>
      </c>
      <c r="G1077" s="3">
        <v>36.063383549496201</v>
      </c>
      <c r="H1077" s="3">
        <v>127.401873768352</v>
      </c>
      <c r="I1077" t="s">
        <v>4842</v>
      </c>
      <c r="J1077" t="s">
        <v>8201</v>
      </c>
      <c r="K1077" t="s">
        <v>11197</v>
      </c>
      <c r="L1077" t="s">
        <v>3366</v>
      </c>
      <c r="M1077" t="s">
        <v>11903</v>
      </c>
      <c r="N1077" t="s">
        <v>3362</v>
      </c>
      <c r="O1077" t="s">
        <v>15211</v>
      </c>
      <c r="P1077" t="s">
        <v>3361</v>
      </c>
      <c r="Q1077" t="s">
        <v>3360</v>
      </c>
      <c r="R1077" t="s">
        <v>3357</v>
      </c>
      <c r="S1077" t="s">
        <v>15211</v>
      </c>
      <c r="T1077" t="s">
        <v>3372</v>
      </c>
      <c r="U1077" t="s">
        <v>12977</v>
      </c>
      <c r="V1077" t="s">
        <v>15231</v>
      </c>
    </row>
    <row r="1078" spans="1:22" hidden="1">
      <c r="A1078" t="s">
        <v>15313</v>
      </c>
      <c r="B1078" t="s">
        <v>15441</v>
      </c>
      <c r="C1078" t="s">
        <v>15449</v>
      </c>
      <c r="D1078" t="s">
        <v>1077</v>
      </c>
      <c r="E1078" t="s">
        <v>3430</v>
      </c>
      <c r="F1078" t="s">
        <v>3484</v>
      </c>
      <c r="G1078" s="3">
        <v>36.063383568552801</v>
      </c>
      <c r="H1078" s="3">
        <v>127.401873764732</v>
      </c>
      <c r="I1078" t="s">
        <v>4843</v>
      </c>
      <c r="J1078" t="s">
        <v>8202</v>
      </c>
      <c r="K1078" t="s">
        <v>10780</v>
      </c>
      <c r="L1078" t="s">
        <v>3366</v>
      </c>
      <c r="M1078" t="s">
        <v>11903</v>
      </c>
      <c r="N1078" t="s">
        <v>3362</v>
      </c>
      <c r="O1078" t="s">
        <v>15211</v>
      </c>
      <c r="P1078" t="s">
        <v>3361</v>
      </c>
      <c r="Q1078" t="s">
        <v>3360</v>
      </c>
      <c r="R1078" t="s">
        <v>3357</v>
      </c>
      <c r="S1078" t="s">
        <v>15211</v>
      </c>
      <c r="T1078" t="s">
        <v>3372</v>
      </c>
      <c r="U1078" t="s">
        <v>12978</v>
      </c>
      <c r="V1078" t="s">
        <v>15231</v>
      </c>
    </row>
    <row r="1079" spans="1:22" hidden="1">
      <c r="A1079" t="s">
        <v>15313</v>
      </c>
      <c r="B1079" t="s">
        <v>15442</v>
      </c>
      <c r="C1079" t="s">
        <v>15450</v>
      </c>
      <c r="D1079" t="s">
        <v>1078</v>
      </c>
      <c r="E1079" t="s">
        <v>3461</v>
      </c>
      <c r="F1079" t="s">
        <v>3458</v>
      </c>
      <c r="G1079" s="3">
        <v>36.063383771646002</v>
      </c>
      <c r="H1079" s="3">
        <v>127.401872327006</v>
      </c>
      <c r="I1079" t="s">
        <v>4844</v>
      </c>
      <c r="J1079" t="s">
        <v>8203</v>
      </c>
      <c r="K1079" t="s">
        <v>11198</v>
      </c>
      <c r="L1079" t="s">
        <v>3397</v>
      </c>
      <c r="M1079" t="s">
        <v>11886</v>
      </c>
      <c r="N1079" t="s">
        <v>3363</v>
      </c>
      <c r="O1079" t="s">
        <v>3360</v>
      </c>
      <c r="P1079" t="s">
        <v>15211</v>
      </c>
      <c r="Q1079" t="s">
        <v>15211</v>
      </c>
      <c r="R1079" t="s">
        <v>15211</v>
      </c>
      <c r="S1079" t="s">
        <v>15211</v>
      </c>
      <c r="T1079" t="s">
        <v>3367</v>
      </c>
      <c r="U1079" t="s">
        <v>12979</v>
      </c>
      <c r="V1079" t="s">
        <v>15232</v>
      </c>
    </row>
    <row r="1080" spans="1:22" hidden="1">
      <c r="A1080" t="s">
        <v>15313</v>
      </c>
      <c r="B1080" t="s">
        <v>15442</v>
      </c>
      <c r="C1080" t="s">
        <v>15445</v>
      </c>
      <c r="D1080" t="s">
        <v>1079</v>
      </c>
      <c r="E1080" t="s">
        <v>3427</v>
      </c>
      <c r="F1080" t="s">
        <v>3442</v>
      </c>
      <c r="G1080" s="3">
        <v>36.063383543905402</v>
      </c>
      <c r="H1080" s="3">
        <v>127.401873805273</v>
      </c>
      <c r="I1080" t="s">
        <v>4845</v>
      </c>
      <c r="J1080" t="s">
        <v>8204</v>
      </c>
      <c r="K1080" t="s">
        <v>11105</v>
      </c>
      <c r="L1080" t="s">
        <v>3366</v>
      </c>
      <c r="M1080" t="s">
        <v>11886</v>
      </c>
      <c r="N1080" t="s">
        <v>3363</v>
      </c>
      <c r="O1080" t="s">
        <v>3360</v>
      </c>
      <c r="P1080" t="s">
        <v>15211</v>
      </c>
      <c r="Q1080" t="s">
        <v>15211</v>
      </c>
      <c r="R1080" t="s">
        <v>15211</v>
      </c>
      <c r="S1080" t="s">
        <v>15211</v>
      </c>
      <c r="T1080" t="s">
        <v>3367</v>
      </c>
      <c r="U1080" t="s">
        <v>12980</v>
      </c>
      <c r="V1080" t="s">
        <v>15233</v>
      </c>
    </row>
    <row r="1081" spans="1:22" hidden="1">
      <c r="A1081" t="s">
        <v>15313</v>
      </c>
      <c r="B1081" t="s">
        <v>15442</v>
      </c>
      <c r="C1081" t="s">
        <v>15445</v>
      </c>
      <c r="D1081" t="s">
        <v>1080</v>
      </c>
      <c r="E1081" t="s">
        <v>3428</v>
      </c>
      <c r="F1081" t="s">
        <v>3441</v>
      </c>
      <c r="G1081" s="3">
        <v>36.063383581048903</v>
      </c>
      <c r="H1081" s="3">
        <v>127.40187383069799</v>
      </c>
      <c r="I1081" t="s">
        <v>4846</v>
      </c>
      <c r="J1081" t="s">
        <v>8205</v>
      </c>
      <c r="K1081" t="s">
        <v>10886</v>
      </c>
      <c r="L1081" t="s">
        <v>3366</v>
      </c>
      <c r="M1081" t="s">
        <v>11886</v>
      </c>
      <c r="N1081" t="s">
        <v>3363</v>
      </c>
      <c r="O1081" t="s">
        <v>3360</v>
      </c>
      <c r="P1081" t="s">
        <v>15211</v>
      </c>
      <c r="Q1081" t="s">
        <v>15211</v>
      </c>
      <c r="R1081" t="s">
        <v>15211</v>
      </c>
      <c r="S1081" t="s">
        <v>15211</v>
      </c>
      <c r="T1081" t="s">
        <v>3367</v>
      </c>
      <c r="U1081" t="s">
        <v>12981</v>
      </c>
      <c r="V1081" t="s">
        <v>15233</v>
      </c>
    </row>
    <row r="1082" spans="1:22" hidden="1">
      <c r="A1082" t="s">
        <v>15313</v>
      </c>
      <c r="B1082" t="s">
        <v>15442</v>
      </c>
      <c r="C1082" t="s">
        <v>15445</v>
      </c>
      <c r="D1082" t="s">
        <v>1081</v>
      </c>
      <c r="E1082" t="s">
        <v>3425</v>
      </c>
      <c r="F1082" t="s">
        <v>3452</v>
      </c>
      <c r="G1082" s="3">
        <v>36.063383554962698</v>
      </c>
      <c r="H1082" s="3">
        <v>127.401873811294</v>
      </c>
      <c r="I1082" t="s">
        <v>4847</v>
      </c>
      <c r="J1082" t="s">
        <v>8206</v>
      </c>
      <c r="K1082" t="s">
        <v>11199</v>
      </c>
      <c r="L1082" t="s">
        <v>3366</v>
      </c>
      <c r="M1082" t="s">
        <v>11886</v>
      </c>
      <c r="N1082" t="s">
        <v>3363</v>
      </c>
      <c r="O1082" t="s">
        <v>3360</v>
      </c>
      <c r="P1082" t="s">
        <v>15211</v>
      </c>
      <c r="Q1082" t="s">
        <v>15211</v>
      </c>
      <c r="R1082" t="s">
        <v>15211</v>
      </c>
      <c r="S1082" t="s">
        <v>15211</v>
      </c>
      <c r="T1082" t="s">
        <v>3367</v>
      </c>
      <c r="U1082" t="s">
        <v>12982</v>
      </c>
      <c r="V1082" t="s">
        <v>15233</v>
      </c>
    </row>
    <row r="1083" spans="1:22" hidden="1">
      <c r="A1083" t="s">
        <v>15313</v>
      </c>
      <c r="B1083" t="s">
        <v>15442</v>
      </c>
      <c r="C1083" t="s">
        <v>15451</v>
      </c>
      <c r="D1083" t="s">
        <v>1082</v>
      </c>
      <c r="E1083" t="s">
        <v>3436</v>
      </c>
      <c r="F1083" t="s">
        <v>3433</v>
      </c>
      <c r="G1083" s="3">
        <v>36.063383612156201</v>
      </c>
      <c r="H1083" s="3">
        <v>127.401873812498</v>
      </c>
      <c r="I1083" t="s">
        <v>4848</v>
      </c>
      <c r="J1083" t="s">
        <v>8207</v>
      </c>
      <c r="K1083" t="s">
        <v>11200</v>
      </c>
      <c r="L1083" t="s">
        <v>3366</v>
      </c>
      <c r="M1083" t="s">
        <v>11908</v>
      </c>
      <c r="N1083" t="s">
        <v>3363</v>
      </c>
      <c r="O1083" t="s">
        <v>3360</v>
      </c>
      <c r="P1083" t="s">
        <v>3361</v>
      </c>
      <c r="Q1083" t="s">
        <v>3360</v>
      </c>
      <c r="R1083" t="s">
        <v>15211</v>
      </c>
      <c r="S1083" t="s">
        <v>15211</v>
      </c>
      <c r="T1083" t="s">
        <v>3376</v>
      </c>
      <c r="U1083" t="s">
        <v>12983</v>
      </c>
      <c r="V1083" t="s">
        <v>15234</v>
      </c>
    </row>
    <row r="1084" spans="1:22" hidden="1">
      <c r="A1084" t="s">
        <v>15313</v>
      </c>
      <c r="B1084" t="s">
        <v>15442</v>
      </c>
      <c r="C1084" t="s">
        <v>15451</v>
      </c>
      <c r="D1084" t="s">
        <v>1083</v>
      </c>
      <c r="E1084" t="s">
        <v>3425</v>
      </c>
      <c r="F1084" t="s">
        <v>3452</v>
      </c>
      <c r="G1084" s="3">
        <v>36.063383603034801</v>
      </c>
      <c r="H1084" s="3">
        <v>127.40187383667801</v>
      </c>
      <c r="I1084" t="s">
        <v>4849</v>
      </c>
      <c r="J1084" t="s">
        <v>8208</v>
      </c>
      <c r="K1084" t="s">
        <v>11201</v>
      </c>
      <c r="L1084" t="s">
        <v>3366</v>
      </c>
      <c r="M1084" t="s">
        <v>11899</v>
      </c>
      <c r="N1084" t="s">
        <v>3363</v>
      </c>
      <c r="O1084" t="s">
        <v>3360</v>
      </c>
      <c r="P1084" t="s">
        <v>3361</v>
      </c>
      <c r="Q1084" t="s">
        <v>3359</v>
      </c>
      <c r="R1084" t="s">
        <v>15211</v>
      </c>
      <c r="S1084" t="s">
        <v>15211</v>
      </c>
      <c r="T1084" t="s">
        <v>3375</v>
      </c>
      <c r="U1084" t="s">
        <v>12984</v>
      </c>
      <c r="V1084" t="s">
        <v>15234</v>
      </c>
    </row>
    <row r="1085" spans="1:22" hidden="1">
      <c r="A1085" t="s">
        <v>15313</v>
      </c>
      <c r="B1085" t="s">
        <v>15442</v>
      </c>
      <c r="C1085" t="s">
        <v>15451</v>
      </c>
      <c r="D1085" t="s">
        <v>1084</v>
      </c>
      <c r="E1085" t="s">
        <v>3431</v>
      </c>
      <c r="F1085" t="s">
        <v>3426</v>
      </c>
      <c r="G1085" s="3">
        <v>36.0633835869926</v>
      </c>
      <c r="H1085" s="3">
        <v>127.401873811569</v>
      </c>
      <c r="I1085" t="s">
        <v>4850</v>
      </c>
      <c r="J1085" t="s">
        <v>8209</v>
      </c>
      <c r="K1085" t="s">
        <v>10557</v>
      </c>
      <c r="L1085" t="s">
        <v>3366</v>
      </c>
      <c r="M1085" t="s">
        <v>11899</v>
      </c>
      <c r="N1085" t="s">
        <v>3363</v>
      </c>
      <c r="O1085" t="s">
        <v>3360</v>
      </c>
      <c r="P1085" t="s">
        <v>3361</v>
      </c>
      <c r="Q1085" t="s">
        <v>3359</v>
      </c>
      <c r="R1085" t="s">
        <v>15211</v>
      </c>
      <c r="S1085" t="s">
        <v>15211</v>
      </c>
      <c r="T1085" t="s">
        <v>3375</v>
      </c>
      <c r="U1085" t="s">
        <v>12985</v>
      </c>
      <c r="V1085" t="s">
        <v>15234</v>
      </c>
    </row>
    <row r="1086" spans="1:22" hidden="1">
      <c r="A1086" t="s">
        <v>15314</v>
      </c>
      <c r="B1086" t="s">
        <v>15441</v>
      </c>
      <c r="C1086" t="s">
        <v>15445</v>
      </c>
      <c r="D1086" t="s">
        <v>1085</v>
      </c>
      <c r="E1086" t="s">
        <v>3427</v>
      </c>
      <c r="F1086" t="s">
        <v>3435</v>
      </c>
      <c r="G1086" s="3">
        <v>36.372065289839398</v>
      </c>
      <c r="H1086" s="3">
        <v>127.475711336769</v>
      </c>
      <c r="I1086" t="s">
        <v>4851</v>
      </c>
      <c r="J1086" t="s">
        <v>8210</v>
      </c>
      <c r="K1086" t="s">
        <v>10894</v>
      </c>
      <c r="L1086" t="s">
        <v>3366</v>
      </c>
      <c r="M1086" t="s">
        <v>11894</v>
      </c>
      <c r="N1086" t="s">
        <v>3364</v>
      </c>
      <c r="O1086" t="s">
        <v>3362</v>
      </c>
      <c r="P1086" t="s">
        <v>15211</v>
      </c>
      <c r="Q1086" t="s">
        <v>15211</v>
      </c>
      <c r="R1086" t="s">
        <v>15211</v>
      </c>
      <c r="S1086" t="s">
        <v>15211</v>
      </c>
      <c r="T1086" t="s">
        <v>3370</v>
      </c>
      <c r="U1086" t="s">
        <v>12986</v>
      </c>
      <c r="V1086" t="s">
        <v>15228</v>
      </c>
    </row>
    <row r="1087" spans="1:22" hidden="1">
      <c r="A1087" t="s">
        <v>15314</v>
      </c>
      <c r="B1087" t="s">
        <v>15441</v>
      </c>
      <c r="C1087" t="s">
        <v>15445</v>
      </c>
      <c r="D1087" t="s">
        <v>1086</v>
      </c>
      <c r="E1087" t="s">
        <v>3427</v>
      </c>
      <c r="F1087" t="s">
        <v>3435</v>
      </c>
      <c r="G1087" s="3">
        <v>36.372065319201603</v>
      </c>
      <c r="H1087" s="3">
        <v>127.47571132401499</v>
      </c>
      <c r="I1087" t="s">
        <v>4852</v>
      </c>
      <c r="J1087" t="s">
        <v>8211</v>
      </c>
      <c r="K1087" t="s">
        <v>3762</v>
      </c>
      <c r="L1087" t="s">
        <v>3366</v>
      </c>
      <c r="M1087" t="s">
        <v>11894</v>
      </c>
      <c r="N1087" t="s">
        <v>3364</v>
      </c>
      <c r="O1087" t="s">
        <v>3362</v>
      </c>
      <c r="P1087" t="s">
        <v>15211</v>
      </c>
      <c r="Q1087" t="s">
        <v>15211</v>
      </c>
      <c r="R1087" t="s">
        <v>15211</v>
      </c>
      <c r="S1087" t="s">
        <v>15211</v>
      </c>
      <c r="T1087" t="s">
        <v>3370</v>
      </c>
      <c r="U1087" t="s">
        <v>12987</v>
      </c>
      <c r="V1087" t="s">
        <v>15228</v>
      </c>
    </row>
    <row r="1088" spans="1:22" hidden="1">
      <c r="A1088" t="s">
        <v>15314</v>
      </c>
      <c r="B1088" t="s">
        <v>15441</v>
      </c>
      <c r="C1088" t="s">
        <v>15445</v>
      </c>
      <c r="D1088" t="s">
        <v>1087</v>
      </c>
      <c r="E1088" t="s">
        <v>3427</v>
      </c>
      <c r="F1088" t="s">
        <v>3435</v>
      </c>
      <c r="G1088" s="3">
        <v>36.372065331420501</v>
      </c>
      <c r="H1088" s="3">
        <v>127.47571127622901</v>
      </c>
      <c r="I1088" t="s">
        <v>4853</v>
      </c>
      <c r="J1088" t="s">
        <v>8212</v>
      </c>
      <c r="K1088" t="s">
        <v>3762</v>
      </c>
      <c r="L1088" t="s">
        <v>3366</v>
      </c>
      <c r="M1088" t="s">
        <v>11894</v>
      </c>
      <c r="N1088" t="s">
        <v>3364</v>
      </c>
      <c r="O1088" t="s">
        <v>3362</v>
      </c>
      <c r="P1088" t="s">
        <v>15211</v>
      </c>
      <c r="Q1088" t="s">
        <v>15211</v>
      </c>
      <c r="R1088" t="s">
        <v>15211</v>
      </c>
      <c r="S1088" t="s">
        <v>15211</v>
      </c>
      <c r="T1088" t="s">
        <v>3370</v>
      </c>
      <c r="U1088" t="s">
        <v>12988</v>
      </c>
      <c r="V1088" t="s">
        <v>15228</v>
      </c>
    </row>
    <row r="1089" spans="1:22" hidden="1">
      <c r="A1089" t="s">
        <v>15314</v>
      </c>
      <c r="B1089" t="s">
        <v>15441</v>
      </c>
      <c r="C1089" t="s">
        <v>15446</v>
      </c>
      <c r="D1089" t="s">
        <v>1088</v>
      </c>
      <c r="E1089" t="s">
        <v>3427</v>
      </c>
      <c r="F1089" t="s">
        <v>3435</v>
      </c>
      <c r="G1089" s="3">
        <v>36.372065343259997</v>
      </c>
      <c r="H1089" s="3">
        <v>127.475711361466</v>
      </c>
      <c r="I1089" t="s">
        <v>4854</v>
      </c>
      <c r="J1089" t="s">
        <v>8213</v>
      </c>
      <c r="K1089" t="s">
        <v>3762</v>
      </c>
      <c r="L1089" t="s">
        <v>3366</v>
      </c>
      <c r="M1089" t="s">
        <v>11894</v>
      </c>
      <c r="N1089" t="s">
        <v>3364</v>
      </c>
      <c r="O1089" t="s">
        <v>3362</v>
      </c>
      <c r="P1089" t="s">
        <v>15211</v>
      </c>
      <c r="Q1089" t="s">
        <v>15211</v>
      </c>
      <c r="R1089" t="s">
        <v>15211</v>
      </c>
      <c r="S1089" t="s">
        <v>15211</v>
      </c>
      <c r="T1089" t="s">
        <v>3370</v>
      </c>
      <c r="U1089" t="s">
        <v>12989</v>
      </c>
      <c r="V1089" t="s">
        <v>15229</v>
      </c>
    </row>
    <row r="1090" spans="1:22" hidden="1">
      <c r="A1090" t="s">
        <v>15314</v>
      </c>
      <c r="B1090" t="s">
        <v>15441</v>
      </c>
      <c r="C1090" t="s">
        <v>15446</v>
      </c>
      <c r="D1090" t="s">
        <v>1089</v>
      </c>
      <c r="E1090" t="s">
        <v>3436</v>
      </c>
      <c r="F1090" t="s">
        <v>3430</v>
      </c>
      <c r="G1090" s="3">
        <v>36.372065406180297</v>
      </c>
      <c r="H1090" s="3">
        <v>127.475711416926</v>
      </c>
      <c r="I1090" t="s">
        <v>4855</v>
      </c>
      <c r="J1090" t="s">
        <v>8214</v>
      </c>
      <c r="K1090" t="s">
        <v>3762</v>
      </c>
      <c r="L1090" t="s">
        <v>3366</v>
      </c>
      <c r="M1090" t="s">
        <v>11894</v>
      </c>
      <c r="N1090" t="s">
        <v>3364</v>
      </c>
      <c r="O1090" t="s">
        <v>3362</v>
      </c>
      <c r="P1090" t="s">
        <v>15211</v>
      </c>
      <c r="Q1090" t="s">
        <v>15211</v>
      </c>
      <c r="R1090" t="s">
        <v>15211</v>
      </c>
      <c r="S1090" t="s">
        <v>15211</v>
      </c>
      <c r="T1090" t="s">
        <v>3370</v>
      </c>
      <c r="U1090" t="s">
        <v>12990</v>
      </c>
      <c r="V1090" t="s">
        <v>15229</v>
      </c>
    </row>
    <row r="1091" spans="1:22" hidden="1">
      <c r="A1091" t="s">
        <v>15314</v>
      </c>
      <c r="B1091" t="s">
        <v>15441</v>
      </c>
      <c r="C1091" t="s">
        <v>15446</v>
      </c>
      <c r="D1091" t="s">
        <v>1090</v>
      </c>
      <c r="E1091" t="s">
        <v>3436</v>
      </c>
      <c r="F1091" t="s">
        <v>3430</v>
      </c>
      <c r="G1091" s="3">
        <v>36.372065405516302</v>
      </c>
      <c r="H1091" s="3">
        <v>127.475711458074</v>
      </c>
      <c r="I1091" t="s">
        <v>4856</v>
      </c>
      <c r="J1091" t="s">
        <v>8215</v>
      </c>
      <c r="K1091" t="s">
        <v>11087</v>
      </c>
      <c r="L1091" t="s">
        <v>3366</v>
      </c>
      <c r="M1091" t="s">
        <v>11894</v>
      </c>
      <c r="N1091" t="s">
        <v>3364</v>
      </c>
      <c r="O1091" t="s">
        <v>3362</v>
      </c>
      <c r="P1091" t="s">
        <v>15211</v>
      </c>
      <c r="Q1091" t="s">
        <v>15211</v>
      </c>
      <c r="R1091" t="s">
        <v>15211</v>
      </c>
      <c r="S1091" t="s">
        <v>15211</v>
      </c>
      <c r="T1091" t="s">
        <v>3370</v>
      </c>
      <c r="U1091" t="s">
        <v>12991</v>
      </c>
      <c r="V1091" t="s">
        <v>15229</v>
      </c>
    </row>
    <row r="1092" spans="1:22" hidden="1">
      <c r="A1092" t="s">
        <v>15314</v>
      </c>
      <c r="B1092" t="s">
        <v>15441</v>
      </c>
      <c r="C1092" t="s">
        <v>15447</v>
      </c>
      <c r="D1092" t="s">
        <v>1091</v>
      </c>
      <c r="E1092" t="s">
        <v>3431</v>
      </c>
      <c r="F1092" t="s">
        <v>3432</v>
      </c>
      <c r="G1092" s="3">
        <v>36.372065530143701</v>
      </c>
      <c r="H1092" s="3">
        <v>127.475711501615</v>
      </c>
      <c r="I1092" t="s">
        <v>4857</v>
      </c>
      <c r="J1092" t="s">
        <v>8216</v>
      </c>
      <c r="K1092" t="s">
        <v>11202</v>
      </c>
      <c r="L1092" t="s">
        <v>3366</v>
      </c>
      <c r="M1092" t="s">
        <v>11900</v>
      </c>
      <c r="N1092" t="s">
        <v>3365</v>
      </c>
      <c r="O1092" t="s">
        <v>15211</v>
      </c>
      <c r="P1092" t="s">
        <v>15211</v>
      </c>
      <c r="Q1092" t="s">
        <v>15211</v>
      </c>
      <c r="R1092" t="s">
        <v>15211</v>
      </c>
      <c r="S1092" t="s">
        <v>15211</v>
      </c>
      <c r="T1092" t="s">
        <v>3365</v>
      </c>
      <c r="U1092" t="s">
        <v>12992</v>
      </c>
      <c r="V1092" t="s">
        <v>15235</v>
      </c>
    </row>
    <row r="1093" spans="1:22" hidden="1">
      <c r="A1093" t="s">
        <v>15314</v>
      </c>
      <c r="B1093" t="s">
        <v>15441</v>
      </c>
      <c r="C1093" t="s">
        <v>15447</v>
      </c>
      <c r="D1093" t="s">
        <v>1092</v>
      </c>
      <c r="E1093" t="s">
        <v>3435</v>
      </c>
      <c r="F1093" t="s">
        <v>3462</v>
      </c>
      <c r="G1093" s="3">
        <v>36.372065576279603</v>
      </c>
      <c r="H1093" s="3">
        <v>127.47571154225599</v>
      </c>
      <c r="I1093" t="s">
        <v>4858</v>
      </c>
      <c r="J1093" t="s">
        <v>8217</v>
      </c>
      <c r="K1093" t="s">
        <v>10851</v>
      </c>
      <c r="L1093" t="s">
        <v>3366</v>
      </c>
      <c r="M1093" t="s">
        <v>11900</v>
      </c>
      <c r="N1093" t="s">
        <v>3365</v>
      </c>
      <c r="O1093" t="s">
        <v>15211</v>
      </c>
      <c r="P1093" t="s">
        <v>15211</v>
      </c>
      <c r="Q1093" t="s">
        <v>15211</v>
      </c>
      <c r="R1093" t="s">
        <v>15211</v>
      </c>
      <c r="S1093" t="s">
        <v>15211</v>
      </c>
      <c r="T1093" t="s">
        <v>3365</v>
      </c>
      <c r="U1093" t="s">
        <v>12993</v>
      </c>
      <c r="V1093" t="s">
        <v>15235</v>
      </c>
    </row>
    <row r="1094" spans="1:22" hidden="1">
      <c r="A1094" t="s">
        <v>15314</v>
      </c>
      <c r="B1094" t="s">
        <v>15441</v>
      </c>
      <c r="C1094" t="s">
        <v>15447</v>
      </c>
      <c r="D1094" t="s">
        <v>1093</v>
      </c>
      <c r="E1094" t="s">
        <v>3434</v>
      </c>
      <c r="F1094" t="s">
        <v>3462</v>
      </c>
      <c r="G1094" s="3">
        <v>36.372065562450203</v>
      </c>
      <c r="H1094" s="3">
        <v>127.475711499941</v>
      </c>
      <c r="I1094" t="s">
        <v>4859</v>
      </c>
      <c r="J1094" t="s">
        <v>8218</v>
      </c>
      <c r="K1094" t="s">
        <v>11203</v>
      </c>
      <c r="L1094" t="s">
        <v>3366</v>
      </c>
      <c r="M1094" t="s">
        <v>11892</v>
      </c>
      <c r="N1094" t="s">
        <v>3364</v>
      </c>
      <c r="O1094" t="s">
        <v>15211</v>
      </c>
      <c r="P1094" t="s">
        <v>15211</v>
      </c>
      <c r="Q1094" t="s">
        <v>15211</v>
      </c>
      <c r="R1094" t="s">
        <v>15211</v>
      </c>
      <c r="S1094" t="s">
        <v>15211</v>
      </c>
      <c r="T1094" t="s">
        <v>3364</v>
      </c>
      <c r="U1094" t="s">
        <v>12994</v>
      </c>
      <c r="V1094" t="s">
        <v>15235</v>
      </c>
    </row>
    <row r="1095" spans="1:22" hidden="1">
      <c r="A1095" t="s">
        <v>15314</v>
      </c>
      <c r="B1095" t="s">
        <v>15441</v>
      </c>
      <c r="C1095" t="s">
        <v>15448</v>
      </c>
      <c r="D1095" t="s">
        <v>1094</v>
      </c>
      <c r="E1095" t="s">
        <v>3453</v>
      </c>
      <c r="F1095" t="s">
        <v>3464</v>
      </c>
      <c r="G1095" s="3">
        <v>36.372065613186102</v>
      </c>
      <c r="H1095" s="3">
        <v>127.475711488396</v>
      </c>
      <c r="I1095" t="s">
        <v>4860</v>
      </c>
      <c r="J1095" t="s">
        <v>8219</v>
      </c>
      <c r="K1095" t="s">
        <v>10613</v>
      </c>
      <c r="L1095" t="s">
        <v>3366</v>
      </c>
      <c r="M1095" t="s">
        <v>11907</v>
      </c>
      <c r="N1095" t="s">
        <v>3365</v>
      </c>
      <c r="O1095" t="s">
        <v>3362</v>
      </c>
      <c r="P1095" t="s">
        <v>3364</v>
      </c>
      <c r="Q1095" t="s">
        <v>3361</v>
      </c>
      <c r="R1095" t="s">
        <v>3358</v>
      </c>
      <c r="S1095" t="s">
        <v>15211</v>
      </c>
      <c r="T1095" t="s">
        <v>3386</v>
      </c>
      <c r="U1095" t="s">
        <v>12995</v>
      </c>
      <c r="V1095" t="s">
        <v>15230</v>
      </c>
    </row>
    <row r="1096" spans="1:22" hidden="1">
      <c r="A1096" t="s">
        <v>15314</v>
      </c>
      <c r="B1096" t="s">
        <v>15441</v>
      </c>
      <c r="C1096" t="s">
        <v>15448</v>
      </c>
      <c r="D1096" t="s">
        <v>1095</v>
      </c>
      <c r="E1096" t="s">
        <v>3432</v>
      </c>
      <c r="F1096" t="s">
        <v>3476</v>
      </c>
      <c r="G1096" s="3">
        <v>36.3720656156828</v>
      </c>
      <c r="H1096" s="3">
        <v>127.475711469346</v>
      </c>
      <c r="I1096" t="s">
        <v>4861</v>
      </c>
      <c r="J1096" t="s">
        <v>8220</v>
      </c>
      <c r="K1096" t="s">
        <v>11204</v>
      </c>
      <c r="L1096" t="s">
        <v>3366</v>
      </c>
      <c r="M1096" t="s">
        <v>11907</v>
      </c>
      <c r="N1096" t="s">
        <v>3366</v>
      </c>
      <c r="O1096" t="s">
        <v>3362</v>
      </c>
      <c r="P1096" t="s">
        <v>3364</v>
      </c>
      <c r="Q1096" t="s">
        <v>3361</v>
      </c>
      <c r="R1096" t="s">
        <v>3358</v>
      </c>
      <c r="S1096" t="s">
        <v>15211</v>
      </c>
      <c r="T1096" t="s">
        <v>3387</v>
      </c>
      <c r="U1096" t="s">
        <v>12996</v>
      </c>
      <c r="V1096" t="s">
        <v>15230</v>
      </c>
    </row>
    <row r="1097" spans="1:22" hidden="1">
      <c r="A1097" t="s">
        <v>15314</v>
      </c>
      <c r="B1097" t="s">
        <v>15441</v>
      </c>
      <c r="C1097" t="s">
        <v>15448</v>
      </c>
      <c r="D1097" t="s">
        <v>1096</v>
      </c>
      <c r="E1097" t="s">
        <v>3432</v>
      </c>
      <c r="F1097" t="s">
        <v>3466</v>
      </c>
      <c r="G1097" s="3">
        <v>36.3720656268044</v>
      </c>
      <c r="H1097" s="3">
        <v>127.47571143349001</v>
      </c>
      <c r="I1097" t="s">
        <v>4862</v>
      </c>
      <c r="J1097" t="s">
        <v>8221</v>
      </c>
      <c r="K1097" t="s">
        <v>11205</v>
      </c>
      <c r="L1097" t="s">
        <v>3366</v>
      </c>
      <c r="M1097" t="s">
        <v>11911</v>
      </c>
      <c r="N1097" t="s">
        <v>3365</v>
      </c>
      <c r="O1097" t="s">
        <v>3362</v>
      </c>
      <c r="P1097" t="s">
        <v>3364</v>
      </c>
      <c r="Q1097" t="s">
        <v>3361</v>
      </c>
      <c r="R1097" t="s">
        <v>3358</v>
      </c>
      <c r="S1097" t="s">
        <v>15211</v>
      </c>
      <c r="T1097" t="s">
        <v>3386</v>
      </c>
      <c r="U1097" t="s">
        <v>12997</v>
      </c>
      <c r="V1097" t="s">
        <v>15230</v>
      </c>
    </row>
    <row r="1098" spans="1:22" hidden="1">
      <c r="A1098" t="s">
        <v>15314</v>
      </c>
      <c r="B1098" t="s">
        <v>15441</v>
      </c>
      <c r="C1098" t="s">
        <v>15449</v>
      </c>
      <c r="D1098" t="s">
        <v>1097</v>
      </c>
      <c r="E1098" t="s">
        <v>3430</v>
      </c>
      <c r="F1098" t="s">
        <v>3449</v>
      </c>
      <c r="G1098" s="3">
        <v>36.372065596015197</v>
      </c>
      <c r="H1098" s="3">
        <v>127.475711327844</v>
      </c>
      <c r="I1098" t="s">
        <v>4863</v>
      </c>
      <c r="J1098" t="s">
        <v>8222</v>
      </c>
      <c r="K1098" t="s">
        <v>11206</v>
      </c>
      <c r="L1098" t="s">
        <v>3366</v>
      </c>
      <c r="M1098" t="s">
        <v>11914</v>
      </c>
      <c r="N1098" t="s">
        <v>3365</v>
      </c>
      <c r="O1098" t="s">
        <v>3359</v>
      </c>
      <c r="P1098" t="s">
        <v>3363</v>
      </c>
      <c r="Q1098" t="s">
        <v>3361</v>
      </c>
      <c r="R1098" t="s">
        <v>3358</v>
      </c>
      <c r="S1098" t="s">
        <v>15211</v>
      </c>
      <c r="T1098" t="s">
        <v>3382</v>
      </c>
      <c r="U1098" t="s">
        <v>12998</v>
      </c>
      <c r="V1098" t="s">
        <v>15231</v>
      </c>
    </row>
    <row r="1099" spans="1:22" hidden="1">
      <c r="A1099" t="s">
        <v>15314</v>
      </c>
      <c r="B1099" t="s">
        <v>15441</v>
      </c>
      <c r="C1099" t="s">
        <v>15449</v>
      </c>
      <c r="D1099" t="s">
        <v>1098</v>
      </c>
      <c r="E1099" t="s">
        <v>3429</v>
      </c>
      <c r="F1099" t="s">
        <v>3449</v>
      </c>
      <c r="G1099" s="3">
        <v>36.372065642536299</v>
      </c>
      <c r="H1099" s="3">
        <v>127.47571133456</v>
      </c>
      <c r="I1099" t="s">
        <v>4864</v>
      </c>
      <c r="J1099" t="s">
        <v>8223</v>
      </c>
      <c r="K1099" t="s">
        <v>11146</v>
      </c>
      <c r="L1099" t="s">
        <v>3366</v>
      </c>
      <c r="M1099" t="s">
        <v>11914</v>
      </c>
      <c r="N1099" t="s">
        <v>3365</v>
      </c>
      <c r="O1099" t="s">
        <v>3359</v>
      </c>
      <c r="P1099" t="s">
        <v>3363</v>
      </c>
      <c r="Q1099" t="s">
        <v>3361</v>
      </c>
      <c r="R1099" t="s">
        <v>3358</v>
      </c>
      <c r="S1099" t="s">
        <v>15211</v>
      </c>
      <c r="T1099" t="s">
        <v>3382</v>
      </c>
      <c r="U1099" t="s">
        <v>12999</v>
      </c>
      <c r="V1099" t="s">
        <v>15231</v>
      </c>
    </row>
    <row r="1100" spans="1:22" hidden="1">
      <c r="A1100" t="s">
        <v>15314</v>
      </c>
      <c r="B1100" t="s">
        <v>15441</v>
      </c>
      <c r="C1100" t="s">
        <v>15449</v>
      </c>
      <c r="D1100" t="s">
        <v>1099</v>
      </c>
      <c r="E1100" t="s">
        <v>3429</v>
      </c>
      <c r="F1100" t="s">
        <v>3449</v>
      </c>
      <c r="G1100" s="3">
        <v>36.372065667319298</v>
      </c>
      <c r="H1100" s="3">
        <v>127.475711384921</v>
      </c>
      <c r="I1100" t="s">
        <v>4865</v>
      </c>
      <c r="J1100" t="s">
        <v>8224</v>
      </c>
      <c r="K1100" t="s">
        <v>11207</v>
      </c>
      <c r="L1100" t="s">
        <v>3366</v>
      </c>
      <c r="M1100" t="s">
        <v>11910</v>
      </c>
      <c r="N1100" t="s">
        <v>3366</v>
      </c>
      <c r="O1100" t="s">
        <v>3360</v>
      </c>
      <c r="P1100" t="s">
        <v>3363</v>
      </c>
      <c r="Q1100" t="s">
        <v>3361</v>
      </c>
      <c r="R1100" t="s">
        <v>3358</v>
      </c>
      <c r="S1100" t="s">
        <v>15211</v>
      </c>
      <c r="T1100" t="s">
        <v>3384</v>
      </c>
      <c r="U1100" t="s">
        <v>13000</v>
      </c>
      <c r="V1100" t="s">
        <v>15231</v>
      </c>
    </row>
    <row r="1101" spans="1:22" hidden="1">
      <c r="A1101" t="s">
        <v>15314</v>
      </c>
      <c r="B1101" t="s">
        <v>15442</v>
      </c>
      <c r="C1101" t="s">
        <v>15450</v>
      </c>
      <c r="D1101" t="s">
        <v>1100</v>
      </c>
      <c r="E1101" t="s">
        <v>3430</v>
      </c>
      <c r="F1101" t="s">
        <v>3511</v>
      </c>
      <c r="G1101" s="3">
        <v>36.372066278491097</v>
      </c>
      <c r="H1101" s="3">
        <v>127.47571165215</v>
      </c>
      <c r="I1101" t="s">
        <v>4866</v>
      </c>
      <c r="J1101" t="s">
        <v>8225</v>
      </c>
      <c r="K1101" t="s">
        <v>10549</v>
      </c>
      <c r="L1101" t="s">
        <v>3366</v>
      </c>
      <c r="M1101" t="s">
        <v>11895</v>
      </c>
      <c r="N1101" t="s">
        <v>3365</v>
      </c>
      <c r="O1101" t="s">
        <v>3362</v>
      </c>
      <c r="P1101" t="s">
        <v>15211</v>
      </c>
      <c r="Q1101" t="s">
        <v>15211</v>
      </c>
      <c r="R1101" t="s">
        <v>15211</v>
      </c>
      <c r="S1101" t="s">
        <v>15211</v>
      </c>
      <c r="T1101" t="s">
        <v>3371</v>
      </c>
      <c r="U1101" t="s">
        <v>13001</v>
      </c>
      <c r="V1101" t="s">
        <v>15232</v>
      </c>
    </row>
    <row r="1102" spans="1:22" hidden="1">
      <c r="A1102" t="s">
        <v>15314</v>
      </c>
      <c r="B1102" t="s">
        <v>15442</v>
      </c>
      <c r="C1102" t="s">
        <v>15450</v>
      </c>
      <c r="D1102" t="s">
        <v>1101</v>
      </c>
      <c r="E1102" t="s">
        <v>3434</v>
      </c>
      <c r="F1102" t="s">
        <v>3450</v>
      </c>
      <c r="G1102" s="3">
        <v>36.372066349356302</v>
      </c>
      <c r="H1102" s="3">
        <v>127.475711638635</v>
      </c>
      <c r="I1102" t="s">
        <v>4867</v>
      </c>
      <c r="J1102" t="s">
        <v>8226</v>
      </c>
      <c r="K1102" t="s">
        <v>11019</v>
      </c>
      <c r="L1102" t="s">
        <v>3366</v>
      </c>
      <c r="M1102" t="s">
        <v>11895</v>
      </c>
      <c r="N1102" t="s">
        <v>3365</v>
      </c>
      <c r="O1102" t="s">
        <v>3362</v>
      </c>
      <c r="P1102" t="s">
        <v>15211</v>
      </c>
      <c r="Q1102" t="s">
        <v>15211</v>
      </c>
      <c r="R1102" t="s">
        <v>15211</v>
      </c>
      <c r="S1102" t="s">
        <v>15211</v>
      </c>
      <c r="T1102" t="s">
        <v>3371</v>
      </c>
      <c r="U1102" t="s">
        <v>13002</v>
      </c>
      <c r="V1102" t="s">
        <v>15232</v>
      </c>
    </row>
    <row r="1103" spans="1:22" hidden="1">
      <c r="A1103" t="s">
        <v>15314</v>
      </c>
      <c r="B1103" t="s">
        <v>15442</v>
      </c>
      <c r="C1103" t="s">
        <v>15450</v>
      </c>
      <c r="D1103" t="s">
        <v>1102</v>
      </c>
      <c r="E1103" t="s">
        <v>3434</v>
      </c>
      <c r="F1103" t="s">
        <v>3463</v>
      </c>
      <c r="G1103" s="3">
        <v>36.372066446129402</v>
      </c>
      <c r="H1103" s="3">
        <v>127.475711667726</v>
      </c>
      <c r="I1103" t="s">
        <v>4868</v>
      </c>
      <c r="J1103" t="s">
        <v>8227</v>
      </c>
      <c r="K1103" t="s">
        <v>11208</v>
      </c>
      <c r="L1103" t="s">
        <v>3366</v>
      </c>
      <c r="M1103" t="s">
        <v>11895</v>
      </c>
      <c r="N1103" t="s">
        <v>3366</v>
      </c>
      <c r="O1103" t="s">
        <v>3361</v>
      </c>
      <c r="P1103" t="s">
        <v>15211</v>
      </c>
      <c r="Q1103" t="s">
        <v>15211</v>
      </c>
      <c r="R1103" t="s">
        <v>15211</v>
      </c>
      <c r="S1103" t="s">
        <v>15211</v>
      </c>
      <c r="T1103" t="s">
        <v>3371</v>
      </c>
      <c r="U1103" t="s">
        <v>13003</v>
      </c>
      <c r="V1103" t="s">
        <v>15232</v>
      </c>
    </row>
    <row r="1104" spans="1:22" hidden="1">
      <c r="A1104" t="s">
        <v>15314</v>
      </c>
      <c r="B1104" t="s">
        <v>15442</v>
      </c>
      <c r="C1104" t="s">
        <v>15445</v>
      </c>
      <c r="D1104" t="s">
        <v>1103</v>
      </c>
      <c r="E1104" t="s">
        <v>3453</v>
      </c>
      <c r="F1104" t="s">
        <v>3511</v>
      </c>
      <c r="G1104" s="3">
        <v>36.372066207956301</v>
      </c>
      <c r="H1104" s="3">
        <v>127.475711616974</v>
      </c>
      <c r="I1104" t="s">
        <v>4869</v>
      </c>
      <c r="J1104" t="s">
        <v>8228</v>
      </c>
      <c r="K1104" t="s">
        <v>11209</v>
      </c>
      <c r="L1104" t="s">
        <v>3366</v>
      </c>
      <c r="M1104" t="s">
        <v>11894</v>
      </c>
      <c r="N1104" t="s">
        <v>3365</v>
      </c>
      <c r="O1104" t="s">
        <v>3361</v>
      </c>
      <c r="P1104" t="s">
        <v>15211</v>
      </c>
      <c r="Q1104" t="s">
        <v>15211</v>
      </c>
      <c r="R1104" t="s">
        <v>15211</v>
      </c>
      <c r="S1104" t="s">
        <v>15211</v>
      </c>
      <c r="T1104" t="s">
        <v>3370</v>
      </c>
      <c r="U1104" t="s">
        <v>13004</v>
      </c>
      <c r="V1104" t="s">
        <v>15233</v>
      </c>
    </row>
    <row r="1105" spans="1:22" hidden="1">
      <c r="A1105" t="s">
        <v>15314</v>
      </c>
      <c r="B1105" t="s">
        <v>15442</v>
      </c>
      <c r="C1105" t="s">
        <v>15445</v>
      </c>
      <c r="D1105" t="s">
        <v>1104</v>
      </c>
      <c r="E1105" t="s">
        <v>3435</v>
      </c>
      <c r="F1105" t="s">
        <v>3433</v>
      </c>
      <c r="G1105" s="3">
        <v>36.372066303822301</v>
      </c>
      <c r="H1105" s="3">
        <v>127.475711624638</v>
      </c>
      <c r="I1105" t="s">
        <v>4870</v>
      </c>
      <c r="J1105" t="s">
        <v>8229</v>
      </c>
      <c r="K1105" t="s">
        <v>10932</v>
      </c>
      <c r="L1105" t="s">
        <v>3366</v>
      </c>
      <c r="M1105" t="s">
        <v>11895</v>
      </c>
      <c r="N1105" t="s">
        <v>3366</v>
      </c>
      <c r="O1105" t="s">
        <v>3361</v>
      </c>
      <c r="P1105" t="s">
        <v>15211</v>
      </c>
      <c r="Q1105" t="s">
        <v>15211</v>
      </c>
      <c r="R1105" t="s">
        <v>15211</v>
      </c>
      <c r="S1105" t="s">
        <v>15211</v>
      </c>
      <c r="T1105" t="s">
        <v>3371</v>
      </c>
      <c r="U1105" t="s">
        <v>13005</v>
      </c>
      <c r="V1105" t="s">
        <v>15233</v>
      </c>
    </row>
    <row r="1106" spans="1:22" hidden="1">
      <c r="A1106" t="s">
        <v>15314</v>
      </c>
      <c r="B1106" t="s">
        <v>15442</v>
      </c>
      <c r="C1106" t="s">
        <v>15445</v>
      </c>
      <c r="D1106" t="s">
        <v>1105</v>
      </c>
      <c r="E1106" t="s">
        <v>3431</v>
      </c>
      <c r="F1106" t="s">
        <v>3432</v>
      </c>
      <c r="G1106" s="3">
        <v>36.372066180498898</v>
      </c>
      <c r="H1106" s="3">
        <v>127.47571163756299</v>
      </c>
      <c r="I1106" t="s">
        <v>4871</v>
      </c>
      <c r="J1106" t="s">
        <v>8230</v>
      </c>
      <c r="K1106" t="s">
        <v>10783</v>
      </c>
      <c r="L1106" t="s">
        <v>3366</v>
      </c>
      <c r="M1106" t="s">
        <v>11894</v>
      </c>
      <c r="N1106" t="s">
        <v>3366</v>
      </c>
      <c r="O1106" t="s">
        <v>3361</v>
      </c>
      <c r="P1106" t="s">
        <v>15211</v>
      </c>
      <c r="Q1106" t="s">
        <v>15211</v>
      </c>
      <c r="R1106" t="s">
        <v>15211</v>
      </c>
      <c r="S1106" t="s">
        <v>15211</v>
      </c>
      <c r="T1106" t="s">
        <v>3371</v>
      </c>
      <c r="U1106" t="s">
        <v>13006</v>
      </c>
      <c r="V1106" t="s">
        <v>15233</v>
      </c>
    </row>
    <row r="1107" spans="1:22" hidden="1">
      <c r="A1107" t="s">
        <v>15314</v>
      </c>
      <c r="B1107" t="s">
        <v>15442</v>
      </c>
      <c r="C1107" t="s">
        <v>15451</v>
      </c>
      <c r="D1107" t="s">
        <v>1106</v>
      </c>
      <c r="E1107" t="s">
        <v>3438</v>
      </c>
      <c r="F1107" t="s">
        <v>3431</v>
      </c>
      <c r="G1107" s="3">
        <v>36.372065715201501</v>
      </c>
      <c r="H1107" s="3">
        <v>127.47571143591399</v>
      </c>
      <c r="I1107" t="s">
        <v>4872</v>
      </c>
      <c r="J1107" t="s">
        <v>8231</v>
      </c>
      <c r="K1107" t="s">
        <v>10824</v>
      </c>
      <c r="L1107" t="s">
        <v>3366</v>
      </c>
      <c r="M1107" t="s">
        <v>11911</v>
      </c>
      <c r="N1107" t="s">
        <v>3365</v>
      </c>
      <c r="O1107" t="s">
        <v>3362</v>
      </c>
      <c r="P1107" t="s">
        <v>3363</v>
      </c>
      <c r="Q1107" t="s">
        <v>3362</v>
      </c>
      <c r="R1107" t="s">
        <v>15211</v>
      </c>
      <c r="S1107" t="s">
        <v>15211</v>
      </c>
      <c r="T1107" t="s">
        <v>3384</v>
      </c>
      <c r="U1107" t="s">
        <v>13007</v>
      </c>
      <c r="V1107" t="s">
        <v>15234</v>
      </c>
    </row>
    <row r="1108" spans="1:22" hidden="1">
      <c r="A1108" t="s">
        <v>15314</v>
      </c>
      <c r="B1108" t="s">
        <v>15442</v>
      </c>
      <c r="C1108" t="s">
        <v>15451</v>
      </c>
      <c r="D1108" t="s">
        <v>1107</v>
      </c>
      <c r="E1108" t="s">
        <v>3427</v>
      </c>
      <c r="F1108" t="s">
        <v>3429</v>
      </c>
      <c r="G1108" s="3">
        <v>36.372065703451298</v>
      </c>
      <c r="H1108" s="3">
        <v>127.475711418076</v>
      </c>
      <c r="I1108" t="s">
        <v>4873</v>
      </c>
      <c r="J1108" t="s">
        <v>8232</v>
      </c>
      <c r="K1108" t="s">
        <v>10940</v>
      </c>
      <c r="L1108" t="s">
        <v>3366</v>
      </c>
      <c r="M1108" t="s">
        <v>11910</v>
      </c>
      <c r="N1108" t="s">
        <v>3366</v>
      </c>
      <c r="O1108" t="s">
        <v>3362</v>
      </c>
      <c r="P1108" t="s">
        <v>3364</v>
      </c>
      <c r="Q1108" t="s">
        <v>3361</v>
      </c>
      <c r="R1108" t="s">
        <v>15211</v>
      </c>
      <c r="S1108" t="s">
        <v>15211</v>
      </c>
      <c r="T1108" t="s">
        <v>3385</v>
      </c>
      <c r="U1108" t="s">
        <v>12227</v>
      </c>
      <c r="V1108" t="s">
        <v>15234</v>
      </c>
    </row>
    <row r="1109" spans="1:22" hidden="1">
      <c r="A1109" t="s">
        <v>15314</v>
      </c>
      <c r="B1109" t="s">
        <v>15442</v>
      </c>
      <c r="C1109" t="s">
        <v>15451</v>
      </c>
      <c r="D1109" t="s">
        <v>1108</v>
      </c>
      <c r="E1109" t="s">
        <v>3427</v>
      </c>
      <c r="F1109" t="s">
        <v>3442</v>
      </c>
      <c r="G1109" s="3">
        <v>36.372065765710502</v>
      </c>
      <c r="H1109" s="3">
        <v>127.475711440363</v>
      </c>
      <c r="I1109" t="s">
        <v>4874</v>
      </c>
      <c r="J1109" t="s">
        <v>8233</v>
      </c>
      <c r="K1109" t="s">
        <v>10657</v>
      </c>
      <c r="L1109" t="s">
        <v>3366</v>
      </c>
      <c r="M1109" t="s">
        <v>11910</v>
      </c>
      <c r="N1109" t="s">
        <v>3365</v>
      </c>
      <c r="O1109" t="s">
        <v>3362</v>
      </c>
      <c r="P1109" t="s">
        <v>3364</v>
      </c>
      <c r="Q1109" t="s">
        <v>3361</v>
      </c>
      <c r="R1109" t="s">
        <v>15211</v>
      </c>
      <c r="S1109" t="s">
        <v>15211</v>
      </c>
      <c r="T1109" t="s">
        <v>3384</v>
      </c>
      <c r="U1109" t="s">
        <v>13007</v>
      </c>
      <c r="V1109" t="s">
        <v>15234</v>
      </c>
    </row>
    <row r="1110" spans="1:22">
      <c r="A1110" t="s">
        <v>15314</v>
      </c>
      <c r="B1110" t="s">
        <v>15443</v>
      </c>
      <c r="C1110" t="s">
        <v>15452</v>
      </c>
      <c r="D1110" t="s">
        <v>1109</v>
      </c>
      <c r="E1110" t="s">
        <v>3425</v>
      </c>
      <c r="F1110" t="s">
        <v>3579</v>
      </c>
      <c r="G1110" s="3">
        <v>36.372065791014599</v>
      </c>
      <c r="H1110" s="3">
        <v>127.475711510745</v>
      </c>
      <c r="I1110" t="s">
        <v>4875</v>
      </c>
      <c r="J1110" t="s">
        <v>8234</v>
      </c>
      <c r="K1110" t="s">
        <v>10789</v>
      </c>
      <c r="L1110" t="s">
        <v>3366</v>
      </c>
      <c r="M1110" t="s">
        <v>11903</v>
      </c>
      <c r="N1110" t="s">
        <v>3360</v>
      </c>
      <c r="O1110" t="s">
        <v>15211</v>
      </c>
      <c r="P1110" t="s">
        <v>3363</v>
      </c>
      <c r="Q1110" t="s">
        <v>3361</v>
      </c>
      <c r="R1110" t="s">
        <v>15211</v>
      </c>
      <c r="S1110" t="s">
        <v>15211</v>
      </c>
      <c r="T1110" t="s">
        <v>3372</v>
      </c>
      <c r="U1110" t="s">
        <v>13008</v>
      </c>
      <c r="V1110" t="s">
        <v>15220</v>
      </c>
    </row>
    <row r="1111" spans="1:22">
      <c r="A1111" t="s">
        <v>15314</v>
      </c>
      <c r="B1111" t="s">
        <v>15443</v>
      </c>
      <c r="C1111" t="s">
        <v>15452</v>
      </c>
      <c r="D1111" t="s">
        <v>1110</v>
      </c>
      <c r="E1111" t="s">
        <v>3434</v>
      </c>
      <c r="F1111" t="s">
        <v>3477</v>
      </c>
      <c r="G1111" s="3">
        <v>36.372065806600297</v>
      </c>
      <c r="H1111" s="3">
        <v>127.47571152423799</v>
      </c>
      <c r="I1111" t="s">
        <v>4876</v>
      </c>
      <c r="J1111" t="s">
        <v>8235</v>
      </c>
      <c r="K1111" t="s">
        <v>11210</v>
      </c>
      <c r="L1111" t="s">
        <v>3366</v>
      </c>
      <c r="M1111" t="s">
        <v>11903</v>
      </c>
      <c r="N1111" t="s">
        <v>3360</v>
      </c>
      <c r="O1111" t="s">
        <v>15211</v>
      </c>
      <c r="P1111" t="s">
        <v>3363</v>
      </c>
      <c r="Q1111" t="s">
        <v>3361</v>
      </c>
      <c r="R1111" t="s">
        <v>15211</v>
      </c>
      <c r="S1111" t="s">
        <v>15211</v>
      </c>
      <c r="T1111" t="s">
        <v>3372</v>
      </c>
      <c r="U1111" t="s">
        <v>13009</v>
      </c>
      <c r="V1111" t="s">
        <v>15220</v>
      </c>
    </row>
    <row r="1112" spans="1:22">
      <c r="A1112" t="s">
        <v>15314</v>
      </c>
      <c r="B1112" t="s">
        <v>15443</v>
      </c>
      <c r="C1112" t="s">
        <v>15452</v>
      </c>
      <c r="D1112" t="s">
        <v>1111</v>
      </c>
      <c r="E1112" t="s">
        <v>3435</v>
      </c>
      <c r="F1112" t="s">
        <v>3611</v>
      </c>
      <c r="G1112" s="3">
        <v>36.372065798380802</v>
      </c>
      <c r="H1112" s="3">
        <v>127.47571153494501</v>
      </c>
      <c r="I1112" t="s">
        <v>4877</v>
      </c>
      <c r="J1112" t="s">
        <v>8236</v>
      </c>
      <c r="K1112" t="s">
        <v>11101</v>
      </c>
      <c r="L1112" t="s">
        <v>3366</v>
      </c>
      <c r="M1112" t="s">
        <v>11903</v>
      </c>
      <c r="N1112" t="s">
        <v>3360</v>
      </c>
      <c r="O1112" t="s">
        <v>15211</v>
      </c>
      <c r="P1112" t="s">
        <v>3363</v>
      </c>
      <c r="Q1112" t="s">
        <v>3361</v>
      </c>
      <c r="R1112" t="s">
        <v>15211</v>
      </c>
      <c r="S1112" t="s">
        <v>15211</v>
      </c>
      <c r="T1112" t="s">
        <v>3372</v>
      </c>
      <c r="U1112" t="s">
        <v>13010</v>
      </c>
      <c r="V1112" t="s">
        <v>15220</v>
      </c>
    </row>
    <row r="1113" spans="1:22" hidden="1">
      <c r="A1113" t="s">
        <v>15315</v>
      </c>
      <c r="B1113" t="s">
        <v>15441</v>
      </c>
      <c r="C1113" t="s">
        <v>15445</v>
      </c>
      <c r="D1113" t="s">
        <v>1112</v>
      </c>
      <c r="E1113" t="s">
        <v>3428</v>
      </c>
      <c r="F1113" t="s">
        <v>3441</v>
      </c>
      <c r="G1113" s="3">
        <v>36.329923029226002</v>
      </c>
      <c r="H1113" s="3">
        <v>127.534171855081</v>
      </c>
      <c r="I1113" t="s">
        <v>4878</v>
      </c>
      <c r="J1113" t="s">
        <v>8237</v>
      </c>
      <c r="K1113" t="s">
        <v>10974</v>
      </c>
      <c r="L1113" t="s">
        <v>3366</v>
      </c>
      <c r="M1113" t="s">
        <v>11885</v>
      </c>
      <c r="N1113" t="s">
        <v>3363</v>
      </c>
      <c r="O1113" t="s">
        <v>3361</v>
      </c>
      <c r="P1113" t="s">
        <v>15211</v>
      </c>
      <c r="Q1113" t="s">
        <v>15211</v>
      </c>
      <c r="R1113" t="s">
        <v>15211</v>
      </c>
      <c r="S1113" t="s">
        <v>15211</v>
      </c>
      <c r="T1113" t="s">
        <v>3368</v>
      </c>
      <c r="U1113" t="s">
        <v>13011</v>
      </c>
      <c r="V1113" t="s">
        <v>15228</v>
      </c>
    </row>
    <row r="1114" spans="1:22" hidden="1">
      <c r="A1114" t="s">
        <v>15315</v>
      </c>
      <c r="B1114" t="s">
        <v>15441</v>
      </c>
      <c r="C1114" t="s">
        <v>15445</v>
      </c>
      <c r="D1114" t="s">
        <v>1113</v>
      </c>
      <c r="E1114" t="s">
        <v>3428</v>
      </c>
      <c r="F1114" t="s">
        <v>3441</v>
      </c>
      <c r="G1114" s="3">
        <v>36.329922990525397</v>
      </c>
      <c r="H1114" s="3">
        <v>127.53417184207601</v>
      </c>
      <c r="I1114" t="s">
        <v>4879</v>
      </c>
      <c r="J1114" t="s">
        <v>8238</v>
      </c>
      <c r="K1114" t="s">
        <v>11211</v>
      </c>
      <c r="L1114" t="s">
        <v>3366</v>
      </c>
      <c r="M1114" t="s">
        <v>11885</v>
      </c>
      <c r="N1114" t="s">
        <v>3363</v>
      </c>
      <c r="O1114" t="s">
        <v>3361</v>
      </c>
      <c r="P1114" t="s">
        <v>15211</v>
      </c>
      <c r="Q1114" t="s">
        <v>15211</v>
      </c>
      <c r="R1114" t="s">
        <v>15211</v>
      </c>
      <c r="S1114" t="s">
        <v>15211</v>
      </c>
      <c r="T1114" t="s">
        <v>3368</v>
      </c>
      <c r="U1114" t="s">
        <v>13012</v>
      </c>
      <c r="V1114" t="s">
        <v>15228</v>
      </c>
    </row>
    <row r="1115" spans="1:22" hidden="1">
      <c r="A1115" t="s">
        <v>15315</v>
      </c>
      <c r="B1115" t="s">
        <v>15441</v>
      </c>
      <c r="C1115" t="s">
        <v>15445</v>
      </c>
      <c r="D1115" t="s">
        <v>1114</v>
      </c>
      <c r="E1115" t="s">
        <v>3428</v>
      </c>
      <c r="F1115" t="s">
        <v>3441</v>
      </c>
      <c r="G1115" s="3">
        <v>36.329923021667902</v>
      </c>
      <c r="H1115" s="3">
        <v>127.53417184363001</v>
      </c>
      <c r="I1115" t="s">
        <v>4880</v>
      </c>
      <c r="J1115" t="s">
        <v>8239</v>
      </c>
      <c r="K1115" t="s">
        <v>11212</v>
      </c>
      <c r="L1115" t="s">
        <v>3366</v>
      </c>
      <c r="M1115" t="s">
        <v>11885</v>
      </c>
      <c r="N1115" t="s">
        <v>3363</v>
      </c>
      <c r="O1115" t="s">
        <v>3361</v>
      </c>
      <c r="P1115" t="s">
        <v>15211</v>
      </c>
      <c r="Q1115" t="s">
        <v>15211</v>
      </c>
      <c r="R1115" t="s">
        <v>15211</v>
      </c>
      <c r="S1115" t="s">
        <v>15211</v>
      </c>
      <c r="T1115" t="s">
        <v>3368</v>
      </c>
      <c r="U1115" t="s">
        <v>13013</v>
      </c>
      <c r="V1115" t="s">
        <v>15228</v>
      </c>
    </row>
    <row r="1116" spans="1:22" hidden="1">
      <c r="A1116" t="s">
        <v>15315</v>
      </c>
      <c r="B1116" t="s">
        <v>15441</v>
      </c>
      <c r="C1116" t="s">
        <v>15446</v>
      </c>
      <c r="D1116" t="s">
        <v>1115</v>
      </c>
      <c r="E1116" t="s">
        <v>3428</v>
      </c>
      <c r="F1116" t="s">
        <v>3441</v>
      </c>
      <c r="G1116" s="3">
        <v>36.329923029331802</v>
      </c>
      <c r="H1116" s="3">
        <v>127.534171846159</v>
      </c>
      <c r="I1116" t="s">
        <v>4881</v>
      </c>
      <c r="J1116" t="s">
        <v>8240</v>
      </c>
      <c r="K1116" t="s">
        <v>11213</v>
      </c>
      <c r="L1116" t="s">
        <v>3366</v>
      </c>
      <c r="M1116" t="s">
        <v>11885</v>
      </c>
      <c r="N1116" t="s">
        <v>3363</v>
      </c>
      <c r="O1116" t="s">
        <v>3361</v>
      </c>
      <c r="P1116" t="s">
        <v>15211</v>
      </c>
      <c r="Q1116" t="s">
        <v>15211</v>
      </c>
      <c r="R1116" t="s">
        <v>15211</v>
      </c>
      <c r="S1116" t="s">
        <v>15211</v>
      </c>
      <c r="T1116" t="s">
        <v>3368</v>
      </c>
      <c r="U1116" t="s">
        <v>13014</v>
      </c>
      <c r="V1116" t="s">
        <v>15229</v>
      </c>
    </row>
    <row r="1117" spans="1:22" hidden="1">
      <c r="A1117" t="s">
        <v>15315</v>
      </c>
      <c r="B1117" t="s">
        <v>15441</v>
      </c>
      <c r="C1117" t="s">
        <v>15446</v>
      </c>
      <c r="D1117" t="s">
        <v>1116</v>
      </c>
      <c r="E1117" t="s">
        <v>3428</v>
      </c>
      <c r="F1117" t="s">
        <v>3441</v>
      </c>
      <c r="G1117" s="3">
        <v>36.329922921849601</v>
      </c>
      <c r="H1117" s="3">
        <v>127.53417184899899</v>
      </c>
      <c r="I1117" t="s">
        <v>4882</v>
      </c>
      <c r="J1117" t="s">
        <v>8241</v>
      </c>
      <c r="K1117" t="s">
        <v>11214</v>
      </c>
      <c r="L1117" t="s">
        <v>3366</v>
      </c>
      <c r="M1117" t="s">
        <v>11885</v>
      </c>
      <c r="N1117" t="s">
        <v>3363</v>
      </c>
      <c r="O1117" t="s">
        <v>3361</v>
      </c>
      <c r="P1117" t="s">
        <v>15211</v>
      </c>
      <c r="Q1117" t="s">
        <v>15211</v>
      </c>
      <c r="R1117" t="s">
        <v>15211</v>
      </c>
      <c r="S1117" t="s">
        <v>15211</v>
      </c>
      <c r="T1117" t="s">
        <v>3368</v>
      </c>
      <c r="U1117" t="s">
        <v>13015</v>
      </c>
      <c r="V1117" t="s">
        <v>15229</v>
      </c>
    </row>
    <row r="1118" spans="1:22" hidden="1">
      <c r="A1118" t="s">
        <v>15315</v>
      </c>
      <c r="B1118" t="s">
        <v>15441</v>
      </c>
      <c r="C1118" t="s">
        <v>15446</v>
      </c>
      <c r="D1118" t="s">
        <v>1117</v>
      </c>
      <c r="E1118" t="s">
        <v>3428</v>
      </c>
      <c r="F1118" t="s">
        <v>3441</v>
      </c>
      <c r="G1118" s="3">
        <v>36.329922984388602</v>
      </c>
      <c r="H1118" s="3">
        <v>127.5341718398</v>
      </c>
      <c r="I1118" t="s">
        <v>4883</v>
      </c>
      <c r="J1118" t="s">
        <v>8242</v>
      </c>
      <c r="K1118" t="s">
        <v>10652</v>
      </c>
      <c r="L1118" t="s">
        <v>3366</v>
      </c>
      <c r="M1118" t="s">
        <v>11885</v>
      </c>
      <c r="N1118" t="s">
        <v>3363</v>
      </c>
      <c r="O1118" t="s">
        <v>3361</v>
      </c>
      <c r="P1118" t="s">
        <v>15211</v>
      </c>
      <c r="Q1118" t="s">
        <v>15211</v>
      </c>
      <c r="R1118" t="s">
        <v>15211</v>
      </c>
      <c r="S1118" t="s">
        <v>15211</v>
      </c>
      <c r="T1118" t="s">
        <v>3368</v>
      </c>
      <c r="U1118" t="s">
        <v>13016</v>
      </c>
      <c r="V1118" t="s">
        <v>15229</v>
      </c>
    </row>
    <row r="1119" spans="1:22" hidden="1">
      <c r="A1119" t="s">
        <v>15315</v>
      </c>
      <c r="B1119" t="s">
        <v>15441</v>
      </c>
      <c r="C1119" t="s">
        <v>15447</v>
      </c>
      <c r="D1119" t="s">
        <v>1118</v>
      </c>
      <c r="E1119" t="s">
        <v>3436</v>
      </c>
      <c r="F1119" t="s">
        <v>3453</v>
      </c>
      <c r="G1119" s="3">
        <v>36.3299229996734</v>
      </c>
      <c r="H1119" s="3">
        <v>127.534171878423</v>
      </c>
      <c r="I1119" t="s">
        <v>4884</v>
      </c>
      <c r="J1119" t="s">
        <v>8243</v>
      </c>
      <c r="K1119" t="s">
        <v>11215</v>
      </c>
      <c r="L1119" t="s">
        <v>3366</v>
      </c>
      <c r="M1119" t="s">
        <v>11887</v>
      </c>
      <c r="N1119" t="s">
        <v>3363</v>
      </c>
      <c r="O1119" t="s">
        <v>15211</v>
      </c>
      <c r="P1119" t="s">
        <v>15211</v>
      </c>
      <c r="Q1119" t="s">
        <v>15211</v>
      </c>
      <c r="R1119" t="s">
        <v>15211</v>
      </c>
      <c r="S1119" t="s">
        <v>15211</v>
      </c>
      <c r="T1119" t="s">
        <v>3363</v>
      </c>
      <c r="U1119" t="s">
        <v>13017</v>
      </c>
      <c r="V1119" t="s">
        <v>15235</v>
      </c>
    </row>
    <row r="1120" spans="1:22" hidden="1">
      <c r="A1120" t="s">
        <v>15315</v>
      </c>
      <c r="B1120" t="s">
        <v>15441</v>
      </c>
      <c r="C1120" t="s">
        <v>15447</v>
      </c>
      <c r="D1120" t="s">
        <v>1119</v>
      </c>
      <c r="E1120" t="s">
        <v>3436</v>
      </c>
      <c r="F1120" t="s">
        <v>3453</v>
      </c>
      <c r="G1120" s="3">
        <v>36.329923011661897</v>
      </c>
      <c r="H1120" s="3">
        <v>127.534171865456</v>
      </c>
      <c r="I1120" t="s">
        <v>4885</v>
      </c>
      <c r="J1120" t="s">
        <v>8244</v>
      </c>
      <c r="K1120" t="s">
        <v>11216</v>
      </c>
      <c r="L1120" t="s">
        <v>3366</v>
      </c>
      <c r="M1120" t="s">
        <v>11887</v>
      </c>
      <c r="N1120" t="s">
        <v>3363</v>
      </c>
      <c r="O1120" t="s">
        <v>15211</v>
      </c>
      <c r="P1120" t="s">
        <v>15211</v>
      </c>
      <c r="Q1120" t="s">
        <v>15211</v>
      </c>
      <c r="R1120" t="s">
        <v>15211</v>
      </c>
      <c r="S1120" t="s">
        <v>15211</v>
      </c>
      <c r="T1120" t="s">
        <v>3363</v>
      </c>
      <c r="U1120" t="s">
        <v>13018</v>
      </c>
      <c r="V1120" t="s">
        <v>15235</v>
      </c>
    </row>
    <row r="1121" spans="1:22" hidden="1">
      <c r="A1121" t="s">
        <v>15315</v>
      </c>
      <c r="B1121" t="s">
        <v>15441</v>
      </c>
      <c r="C1121" t="s">
        <v>15447</v>
      </c>
      <c r="D1121" t="s">
        <v>1120</v>
      </c>
      <c r="E1121" t="s">
        <v>3436</v>
      </c>
      <c r="F1121" t="s">
        <v>3453</v>
      </c>
      <c r="G1121" s="3">
        <v>36.3299229819796</v>
      </c>
      <c r="H1121" s="3">
        <v>127.534171859918</v>
      </c>
      <c r="I1121" t="s">
        <v>4886</v>
      </c>
      <c r="J1121" t="s">
        <v>8245</v>
      </c>
      <c r="K1121" t="s">
        <v>11217</v>
      </c>
      <c r="L1121" t="s">
        <v>3366</v>
      </c>
      <c r="M1121" t="s">
        <v>11887</v>
      </c>
      <c r="N1121" t="s">
        <v>3363</v>
      </c>
      <c r="O1121" t="s">
        <v>15211</v>
      </c>
      <c r="P1121" t="s">
        <v>15211</v>
      </c>
      <c r="Q1121" t="s">
        <v>15211</v>
      </c>
      <c r="R1121" t="s">
        <v>15211</v>
      </c>
      <c r="S1121" t="s">
        <v>15211</v>
      </c>
      <c r="T1121" t="s">
        <v>3363</v>
      </c>
      <c r="U1121" t="s">
        <v>13019</v>
      </c>
      <c r="V1121" t="s">
        <v>15235</v>
      </c>
    </row>
    <row r="1122" spans="1:22" hidden="1">
      <c r="A1122" t="s">
        <v>15315</v>
      </c>
      <c r="B1122" t="s">
        <v>15441</v>
      </c>
      <c r="C1122" t="s">
        <v>15448</v>
      </c>
      <c r="D1122" t="s">
        <v>1121</v>
      </c>
      <c r="E1122" t="s">
        <v>3435</v>
      </c>
      <c r="F1122" t="s">
        <v>3460</v>
      </c>
      <c r="G1122" s="3">
        <v>36.329922951053497</v>
      </c>
      <c r="H1122" s="3">
        <v>127.534171841817</v>
      </c>
      <c r="I1122" t="s">
        <v>4887</v>
      </c>
      <c r="J1122" t="s">
        <v>8246</v>
      </c>
      <c r="K1122" t="s">
        <v>11141</v>
      </c>
      <c r="L1122" t="s">
        <v>3366</v>
      </c>
      <c r="M1122" t="s">
        <v>11912</v>
      </c>
      <c r="N1122" t="s">
        <v>3363</v>
      </c>
      <c r="O1122" t="s">
        <v>3361</v>
      </c>
      <c r="P1122" t="s">
        <v>3364</v>
      </c>
      <c r="Q1122" t="s">
        <v>3360</v>
      </c>
      <c r="R1122" t="s">
        <v>3358</v>
      </c>
      <c r="S1122" t="s">
        <v>15211</v>
      </c>
      <c r="T1122" t="s">
        <v>3382</v>
      </c>
      <c r="U1122" t="s">
        <v>13020</v>
      </c>
      <c r="V1122" t="s">
        <v>15230</v>
      </c>
    </row>
    <row r="1123" spans="1:22" hidden="1">
      <c r="A1123" t="s">
        <v>15315</v>
      </c>
      <c r="B1123" t="s">
        <v>15441</v>
      </c>
      <c r="C1123" t="s">
        <v>15448</v>
      </c>
      <c r="D1123" t="s">
        <v>1122</v>
      </c>
      <c r="E1123" t="s">
        <v>3429</v>
      </c>
      <c r="F1123" t="s">
        <v>3511</v>
      </c>
      <c r="G1123" s="3">
        <v>36.329922957540496</v>
      </c>
      <c r="H1123" s="3">
        <v>127.53417184931899</v>
      </c>
      <c r="I1123" t="s">
        <v>4888</v>
      </c>
      <c r="J1123" t="s">
        <v>8247</v>
      </c>
      <c r="K1123" t="s">
        <v>11218</v>
      </c>
      <c r="L1123" t="s">
        <v>3366</v>
      </c>
      <c r="M1123" t="s">
        <v>11912</v>
      </c>
      <c r="N1123" t="s">
        <v>3363</v>
      </c>
      <c r="O1123" t="s">
        <v>3361</v>
      </c>
      <c r="P1123" t="s">
        <v>3364</v>
      </c>
      <c r="Q1123" t="s">
        <v>3360</v>
      </c>
      <c r="R1123" t="s">
        <v>3358</v>
      </c>
      <c r="S1123" t="s">
        <v>15211</v>
      </c>
      <c r="T1123" t="s">
        <v>3382</v>
      </c>
      <c r="U1123" t="s">
        <v>13021</v>
      </c>
      <c r="V1123" t="s">
        <v>15230</v>
      </c>
    </row>
    <row r="1124" spans="1:22" hidden="1">
      <c r="A1124" t="s">
        <v>15315</v>
      </c>
      <c r="B1124" t="s">
        <v>15441</v>
      </c>
      <c r="C1124" t="s">
        <v>15448</v>
      </c>
      <c r="D1124" t="s">
        <v>1123</v>
      </c>
      <c r="E1124" t="s">
        <v>3430</v>
      </c>
      <c r="F1124" t="s">
        <v>3478</v>
      </c>
      <c r="G1124" s="3">
        <v>36.3299229483844</v>
      </c>
      <c r="H1124" s="3">
        <v>127.53417187127</v>
      </c>
      <c r="I1124" t="s">
        <v>4889</v>
      </c>
      <c r="J1124" t="s">
        <v>8248</v>
      </c>
      <c r="K1124" t="s">
        <v>11219</v>
      </c>
      <c r="L1124" t="s">
        <v>3366</v>
      </c>
      <c r="M1124" t="s">
        <v>11912</v>
      </c>
      <c r="N1124" t="s">
        <v>3363</v>
      </c>
      <c r="O1124" t="s">
        <v>3361</v>
      </c>
      <c r="P1124" t="s">
        <v>3364</v>
      </c>
      <c r="Q1124" t="s">
        <v>3360</v>
      </c>
      <c r="R1124" t="s">
        <v>3358</v>
      </c>
      <c r="S1124" t="s">
        <v>15211</v>
      </c>
      <c r="T1124" t="s">
        <v>3382</v>
      </c>
      <c r="U1124" t="s">
        <v>13022</v>
      </c>
      <c r="V1124" t="s">
        <v>15230</v>
      </c>
    </row>
    <row r="1125" spans="1:22" hidden="1">
      <c r="A1125" t="s">
        <v>15315</v>
      </c>
      <c r="B1125" t="s">
        <v>15441</v>
      </c>
      <c r="C1125" t="s">
        <v>15449</v>
      </c>
      <c r="D1125" t="s">
        <v>1124</v>
      </c>
      <c r="E1125" t="s">
        <v>3425</v>
      </c>
      <c r="F1125" t="s">
        <v>3461</v>
      </c>
      <c r="G1125" s="3">
        <v>36.329922936976097</v>
      </c>
      <c r="H1125" s="3">
        <v>127.534171889663</v>
      </c>
      <c r="I1125" t="s">
        <v>4890</v>
      </c>
      <c r="J1125" t="s">
        <v>8249</v>
      </c>
      <c r="K1125" t="s">
        <v>10567</v>
      </c>
      <c r="L1125" t="s">
        <v>3366</v>
      </c>
      <c r="M1125" t="s">
        <v>11893</v>
      </c>
      <c r="N1125" t="s">
        <v>3363</v>
      </c>
      <c r="O1125" t="s">
        <v>3361</v>
      </c>
      <c r="P1125" t="s">
        <v>3363</v>
      </c>
      <c r="Q1125" t="s">
        <v>3360</v>
      </c>
      <c r="R1125" t="s">
        <v>3358</v>
      </c>
      <c r="S1125" t="s">
        <v>15211</v>
      </c>
      <c r="T1125" t="s">
        <v>3381</v>
      </c>
      <c r="U1125" t="s">
        <v>13023</v>
      </c>
      <c r="V1125" t="s">
        <v>15231</v>
      </c>
    </row>
    <row r="1126" spans="1:22" hidden="1">
      <c r="A1126" t="s">
        <v>15315</v>
      </c>
      <c r="B1126" t="s">
        <v>15441</v>
      </c>
      <c r="C1126" t="s">
        <v>15449</v>
      </c>
      <c r="D1126" t="s">
        <v>1125</v>
      </c>
      <c r="E1126" t="s">
        <v>3431</v>
      </c>
      <c r="F1126" t="s">
        <v>3426</v>
      </c>
      <c r="G1126" s="3">
        <v>36.329922948205301</v>
      </c>
      <c r="H1126" s="3">
        <v>127.53417187918799</v>
      </c>
      <c r="I1126" t="s">
        <v>4891</v>
      </c>
      <c r="J1126" t="s">
        <v>8250</v>
      </c>
      <c r="K1126" t="s">
        <v>11220</v>
      </c>
      <c r="L1126" t="s">
        <v>3366</v>
      </c>
      <c r="M1126" t="s">
        <v>11912</v>
      </c>
      <c r="N1126" t="s">
        <v>3363</v>
      </c>
      <c r="O1126" t="s">
        <v>3361</v>
      </c>
      <c r="P1126" t="s">
        <v>3363</v>
      </c>
      <c r="Q1126" t="s">
        <v>3361</v>
      </c>
      <c r="R1126" t="s">
        <v>3358</v>
      </c>
      <c r="S1126" t="s">
        <v>15211</v>
      </c>
      <c r="T1126" t="s">
        <v>3382</v>
      </c>
      <c r="U1126" t="s">
        <v>13024</v>
      </c>
      <c r="V1126" t="s">
        <v>15231</v>
      </c>
    </row>
    <row r="1127" spans="1:22" hidden="1">
      <c r="A1127" t="s">
        <v>15315</v>
      </c>
      <c r="B1127" t="s">
        <v>15441</v>
      </c>
      <c r="C1127" t="s">
        <v>15449</v>
      </c>
      <c r="D1127" t="s">
        <v>1126</v>
      </c>
      <c r="E1127" t="s">
        <v>3434</v>
      </c>
      <c r="F1127" t="s">
        <v>3465</v>
      </c>
      <c r="G1127" s="3">
        <v>36.329922974689701</v>
      </c>
      <c r="H1127" s="3">
        <v>127.534171879135</v>
      </c>
      <c r="I1127" t="s">
        <v>4892</v>
      </c>
      <c r="J1127" t="s">
        <v>8251</v>
      </c>
      <c r="K1127" t="s">
        <v>3761</v>
      </c>
      <c r="L1127" t="s">
        <v>3366</v>
      </c>
      <c r="M1127" t="s">
        <v>11912</v>
      </c>
      <c r="N1127" t="s">
        <v>3363</v>
      </c>
      <c r="O1127" t="s">
        <v>3361</v>
      </c>
      <c r="P1127" t="s">
        <v>3363</v>
      </c>
      <c r="Q1127" t="s">
        <v>3361</v>
      </c>
      <c r="R1127" t="s">
        <v>3358</v>
      </c>
      <c r="S1127" t="s">
        <v>15211</v>
      </c>
      <c r="T1127" t="s">
        <v>3382</v>
      </c>
      <c r="U1127" t="s">
        <v>13025</v>
      </c>
      <c r="V1127" t="s">
        <v>15231</v>
      </c>
    </row>
    <row r="1128" spans="1:22" hidden="1">
      <c r="A1128" t="s">
        <v>15315</v>
      </c>
      <c r="B1128" t="s">
        <v>15442</v>
      </c>
      <c r="C1128" t="s">
        <v>15450</v>
      </c>
      <c r="D1128" t="s">
        <v>1127</v>
      </c>
      <c r="E1128" t="s">
        <v>3442</v>
      </c>
      <c r="F1128" t="s">
        <v>3460</v>
      </c>
      <c r="G1128" s="3">
        <v>36.329922994369497</v>
      </c>
      <c r="H1128" s="3">
        <v>127.53417177876</v>
      </c>
      <c r="I1128" t="s">
        <v>4893</v>
      </c>
      <c r="J1128" t="s">
        <v>8252</v>
      </c>
      <c r="K1128" t="s">
        <v>10971</v>
      </c>
      <c r="L1128" t="s">
        <v>3366</v>
      </c>
      <c r="M1128" t="s">
        <v>11885</v>
      </c>
      <c r="N1128" t="s">
        <v>3363</v>
      </c>
      <c r="O1128" t="s">
        <v>3361</v>
      </c>
      <c r="P1128" t="s">
        <v>15211</v>
      </c>
      <c r="Q1128" t="s">
        <v>15211</v>
      </c>
      <c r="R1128" t="s">
        <v>15211</v>
      </c>
      <c r="S1128" t="s">
        <v>15211</v>
      </c>
      <c r="T1128" t="s">
        <v>3368</v>
      </c>
      <c r="U1128" t="s">
        <v>13026</v>
      </c>
      <c r="V1128" t="s">
        <v>15232</v>
      </c>
    </row>
    <row r="1129" spans="1:22" hidden="1">
      <c r="A1129" t="s">
        <v>15315</v>
      </c>
      <c r="B1129" t="s">
        <v>15442</v>
      </c>
      <c r="C1129" t="s">
        <v>15450</v>
      </c>
      <c r="D1129" t="s">
        <v>1128</v>
      </c>
      <c r="E1129" t="s">
        <v>3432</v>
      </c>
      <c r="F1129" t="s">
        <v>3511</v>
      </c>
      <c r="G1129" s="3">
        <v>36.329922989627597</v>
      </c>
      <c r="H1129" s="3">
        <v>127.534171755378</v>
      </c>
      <c r="I1129" t="s">
        <v>4894</v>
      </c>
      <c r="J1129" t="s">
        <v>8253</v>
      </c>
      <c r="K1129" t="s">
        <v>11221</v>
      </c>
      <c r="L1129" t="s">
        <v>3366</v>
      </c>
      <c r="M1129" t="s">
        <v>11885</v>
      </c>
      <c r="N1129" t="s">
        <v>3363</v>
      </c>
      <c r="O1129" t="s">
        <v>3361</v>
      </c>
      <c r="P1129" t="s">
        <v>15211</v>
      </c>
      <c r="Q1129" t="s">
        <v>15211</v>
      </c>
      <c r="R1129" t="s">
        <v>15211</v>
      </c>
      <c r="S1129" t="s">
        <v>15211</v>
      </c>
      <c r="T1129" t="s">
        <v>3368</v>
      </c>
      <c r="U1129" t="s">
        <v>13027</v>
      </c>
      <c r="V1129" t="s">
        <v>15232</v>
      </c>
    </row>
    <row r="1130" spans="1:22" hidden="1">
      <c r="A1130" t="s">
        <v>15315</v>
      </c>
      <c r="B1130" t="s">
        <v>15442</v>
      </c>
      <c r="C1130" t="s">
        <v>15450</v>
      </c>
      <c r="D1130" t="s">
        <v>1129</v>
      </c>
      <c r="E1130" t="s">
        <v>3441</v>
      </c>
      <c r="F1130" t="s">
        <v>3449</v>
      </c>
      <c r="G1130" s="3">
        <v>36.329923018805701</v>
      </c>
      <c r="H1130" s="3">
        <v>127.534171725845</v>
      </c>
      <c r="I1130" t="s">
        <v>4895</v>
      </c>
      <c r="J1130" t="s">
        <v>8254</v>
      </c>
      <c r="K1130" t="s">
        <v>11222</v>
      </c>
      <c r="L1130" t="s">
        <v>3366</v>
      </c>
      <c r="M1130" t="s">
        <v>11885</v>
      </c>
      <c r="N1130" t="s">
        <v>3363</v>
      </c>
      <c r="O1130" t="s">
        <v>3361</v>
      </c>
      <c r="P1130" t="s">
        <v>15211</v>
      </c>
      <c r="Q1130" t="s">
        <v>15211</v>
      </c>
      <c r="R1130" t="s">
        <v>15211</v>
      </c>
      <c r="S1130" t="s">
        <v>15211</v>
      </c>
      <c r="T1130" t="s">
        <v>3368</v>
      </c>
      <c r="U1130" t="s">
        <v>13028</v>
      </c>
      <c r="V1130" t="s">
        <v>15232</v>
      </c>
    </row>
    <row r="1131" spans="1:22" hidden="1">
      <c r="A1131" t="s">
        <v>15315</v>
      </c>
      <c r="B1131" t="s">
        <v>15442</v>
      </c>
      <c r="C1131" t="s">
        <v>15445</v>
      </c>
      <c r="D1131" t="s">
        <v>1130</v>
      </c>
      <c r="E1131" t="s">
        <v>3428</v>
      </c>
      <c r="F1131" t="s">
        <v>3441</v>
      </c>
      <c r="G1131" s="3">
        <v>36.329923069676198</v>
      </c>
      <c r="H1131" s="3">
        <v>127.534171733709</v>
      </c>
      <c r="I1131" t="s">
        <v>4896</v>
      </c>
      <c r="J1131" t="s">
        <v>8255</v>
      </c>
      <c r="K1131" t="s">
        <v>11223</v>
      </c>
      <c r="L1131" t="s">
        <v>3366</v>
      </c>
      <c r="M1131" t="s">
        <v>11885</v>
      </c>
      <c r="N1131" t="s">
        <v>3363</v>
      </c>
      <c r="O1131" t="s">
        <v>3361</v>
      </c>
      <c r="P1131" t="s">
        <v>15211</v>
      </c>
      <c r="Q1131" t="s">
        <v>15211</v>
      </c>
      <c r="R1131" t="s">
        <v>15211</v>
      </c>
      <c r="S1131" t="s">
        <v>15211</v>
      </c>
      <c r="T1131" t="s">
        <v>3368</v>
      </c>
      <c r="U1131" t="s">
        <v>13027</v>
      </c>
      <c r="V1131" t="s">
        <v>15233</v>
      </c>
    </row>
    <row r="1132" spans="1:22" hidden="1">
      <c r="A1132" t="s">
        <v>15315</v>
      </c>
      <c r="B1132" t="s">
        <v>15442</v>
      </c>
      <c r="C1132" t="s">
        <v>15445</v>
      </c>
      <c r="D1132" t="s">
        <v>1131</v>
      </c>
      <c r="E1132" t="s">
        <v>3428</v>
      </c>
      <c r="F1132" t="s">
        <v>3441</v>
      </c>
      <c r="G1132" s="3">
        <v>36.329923082927003</v>
      </c>
      <c r="H1132" s="3">
        <v>127.534171722406</v>
      </c>
      <c r="I1132" t="s">
        <v>4897</v>
      </c>
      <c r="J1132" t="s">
        <v>8256</v>
      </c>
      <c r="K1132" t="s">
        <v>10969</v>
      </c>
      <c r="L1132" t="s">
        <v>3366</v>
      </c>
      <c r="M1132" t="s">
        <v>11885</v>
      </c>
      <c r="N1132" t="s">
        <v>3363</v>
      </c>
      <c r="O1132" t="s">
        <v>3361</v>
      </c>
      <c r="P1132" t="s">
        <v>15211</v>
      </c>
      <c r="Q1132" t="s">
        <v>15211</v>
      </c>
      <c r="R1132" t="s">
        <v>15211</v>
      </c>
      <c r="S1132" t="s">
        <v>15211</v>
      </c>
      <c r="T1132" t="s">
        <v>3368</v>
      </c>
      <c r="U1132" t="s">
        <v>13029</v>
      </c>
      <c r="V1132" t="s">
        <v>15233</v>
      </c>
    </row>
    <row r="1133" spans="1:22" hidden="1">
      <c r="A1133" t="s">
        <v>15315</v>
      </c>
      <c r="B1133" t="s">
        <v>15442</v>
      </c>
      <c r="C1133" t="s">
        <v>15445</v>
      </c>
      <c r="D1133" t="s">
        <v>1132</v>
      </c>
      <c r="E1133" t="s">
        <v>3428</v>
      </c>
      <c r="F1133" t="s">
        <v>3441</v>
      </c>
      <c r="G1133" s="3">
        <v>36.329923073234198</v>
      </c>
      <c r="H1133" s="3">
        <v>127.53417172976199</v>
      </c>
      <c r="I1133" t="s">
        <v>4898</v>
      </c>
      <c r="J1133" t="s">
        <v>8257</v>
      </c>
      <c r="K1133" t="s">
        <v>11224</v>
      </c>
      <c r="L1133" t="s">
        <v>3366</v>
      </c>
      <c r="M1133" t="s">
        <v>11885</v>
      </c>
      <c r="N1133" t="s">
        <v>3363</v>
      </c>
      <c r="O1133" t="s">
        <v>3361</v>
      </c>
      <c r="P1133" t="s">
        <v>15211</v>
      </c>
      <c r="Q1133" t="s">
        <v>15211</v>
      </c>
      <c r="R1133" t="s">
        <v>15211</v>
      </c>
      <c r="S1133" t="s">
        <v>15211</v>
      </c>
      <c r="T1133" t="s">
        <v>3368</v>
      </c>
      <c r="U1133" t="s">
        <v>13030</v>
      </c>
      <c r="V1133" t="s">
        <v>15233</v>
      </c>
    </row>
    <row r="1134" spans="1:22" hidden="1">
      <c r="A1134" t="s">
        <v>15315</v>
      </c>
      <c r="B1134" t="s">
        <v>15442</v>
      </c>
      <c r="C1134" t="s">
        <v>15451</v>
      </c>
      <c r="D1134" t="s">
        <v>1133</v>
      </c>
      <c r="E1134" t="s">
        <v>3437</v>
      </c>
      <c r="F1134" t="s">
        <v>3436</v>
      </c>
      <c r="G1134" s="3">
        <v>36.329922928934103</v>
      </c>
      <c r="H1134" s="3">
        <v>127.534171925409</v>
      </c>
      <c r="I1134" t="s">
        <v>4899</v>
      </c>
      <c r="J1134" t="s">
        <v>8258</v>
      </c>
      <c r="K1134" t="s">
        <v>3667</v>
      </c>
      <c r="L1134" t="s">
        <v>3366</v>
      </c>
      <c r="M1134" t="s">
        <v>11896</v>
      </c>
      <c r="N1134" t="s">
        <v>3363</v>
      </c>
      <c r="O1134" t="s">
        <v>3360</v>
      </c>
      <c r="P1134" t="s">
        <v>3364</v>
      </c>
      <c r="Q1134" t="s">
        <v>3360</v>
      </c>
      <c r="R1134" t="s">
        <v>15211</v>
      </c>
      <c r="S1134" t="s">
        <v>15211</v>
      </c>
      <c r="T1134" t="s">
        <v>3379</v>
      </c>
      <c r="U1134" t="s">
        <v>13031</v>
      </c>
      <c r="V1134" t="s">
        <v>15234</v>
      </c>
    </row>
    <row r="1135" spans="1:22" hidden="1">
      <c r="A1135" t="s">
        <v>15315</v>
      </c>
      <c r="B1135" t="s">
        <v>15442</v>
      </c>
      <c r="C1135" t="s">
        <v>15451</v>
      </c>
      <c r="D1135" t="s">
        <v>1134</v>
      </c>
      <c r="E1135" t="s">
        <v>3437</v>
      </c>
      <c r="F1135" t="s">
        <v>3436</v>
      </c>
      <c r="G1135" s="3">
        <v>36.3299229184626</v>
      </c>
      <c r="H1135" s="3">
        <v>127.53417194830401</v>
      </c>
      <c r="I1135" t="s">
        <v>4900</v>
      </c>
      <c r="J1135" t="s">
        <v>8259</v>
      </c>
      <c r="K1135" t="s">
        <v>11187</v>
      </c>
      <c r="L1135" t="s">
        <v>3366</v>
      </c>
      <c r="M1135" t="s">
        <v>11891</v>
      </c>
      <c r="N1135" t="s">
        <v>3363</v>
      </c>
      <c r="O1135" t="s">
        <v>3360</v>
      </c>
      <c r="P1135" t="s">
        <v>3364</v>
      </c>
      <c r="Q1135" t="s">
        <v>3360</v>
      </c>
      <c r="R1135" t="s">
        <v>15211</v>
      </c>
      <c r="S1135" t="s">
        <v>15211</v>
      </c>
      <c r="T1135" t="s">
        <v>3379</v>
      </c>
      <c r="U1135" t="s">
        <v>13032</v>
      </c>
      <c r="V1135" t="s">
        <v>15234</v>
      </c>
    </row>
    <row r="1136" spans="1:22" hidden="1">
      <c r="A1136" t="s">
        <v>15315</v>
      </c>
      <c r="B1136" t="s">
        <v>15442</v>
      </c>
      <c r="C1136" t="s">
        <v>15451</v>
      </c>
      <c r="D1136" t="s">
        <v>1135</v>
      </c>
      <c r="E1136" t="s">
        <v>3437</v>
      </c>
      <c r="F1136" t="s">
        <v>3436</v>
      </c>
      <c r="G1136" s="3">
        <v>36.3299229583738</v>
      </c>
      <c r="H1136" s="3">
        <v>127.534171928611</v>
      </c>
      <c r="I1136" t="s">
        <v>4901</v>
      </c>
      <c r="J1136" t="s">
        <v>8260</v>
      </c>
      <c r="K1136" t="s">
        <v>3656</v>
      </c>
      <c r="L1136" t="s">
        <v>3366</v>
      </c>
      <c r="M1136" t="s">
        <v>11896</v>
      </c>
      <c r="N1136" t="s">
        <v>3363</v>
      </c>
      <c r="O1136" t="s">
        <v>3361</v>
      </c>
      <c r="P1136" t="s">
        <v>3364</v>
      </c>
      <c r="Q1136" t="s">
        <v>3360</v>
      </c>
      <c r="R1136" t="s">
        <v>15211</v>
      </c>
      <c r="S1136" t="s">
        <v>15211</v>
      </c>
      <c r="T1136" t="s">
        <v>3380</v>
      </c>
      <c r="U1136" t="s">
        <v>13033</v>
      </c>
      <c r="V1136" t="s">
        <v>15234</v>
      </c>
    </row>
    <row r="1137" spans="1:22">
      <c r="A1137" t="s">
        <v>15315</v>
      </c>
      <c r="B1137" t="s">
        <v>15443</v>
      </c>
      <c r="C1137" t="s">
        <v>15452</v>
      </c>
      <c r="D1137" t="s">
        <v>1136</v>
      </c>
      <c r="E1137" t="s">
        <v>3440</v>
      </c>
      <c r="F1137" t="s">
        <v>3431</v>
      </c>
      <c r="G1137" s="3">
        <v>36.329923064191597</v>
      </c>
      <c r="H1137" s="3">
        <v>127.53417199856101</v>
      </c>
      <c r="I1137" t="s">
        <v>4902</v>
      </c>
      <c r="J1137" t="s">
        <v>8261</v>
      </c>
      <c r="K1137" t="s">
        <v>11036</v>
      </c>
      <c r="L1137" t="s">
        <v>3366</v>
      </c>
      <c r="M1137" t="s">
        <v>11898</v>
      </c>
      <c r="N1137" t="s">
        <v>3362</v>
      </c>
      <c r="O1137" t="s">
        <v>15211</v>
      </c>
      <c r="P1137" t="s">
        <v>3364</v>
      </c>
      <c r="Q1137" t="s">
        <v>3360</v>
      </c>
      <c r="R1137" t="s">
        <v>15211</v>
      </c>
      <c r="S1137" t="s">
        <v>15211</v>
      </c>
      <c r="T1137" t="s">
        <v>3374</v>
      </c>
      <c r="U1137" t="s">
        <v>13034</v>
      </c>
      <c r="V1137" t="s">
        <v>15220</v>
      </c>
    </row>
    <row r="1138" spans="1:22">
      <c r="A1138" t="s">
        <v>15315</v>
      </c>
      <c r="B1138" t="s">
        <v>15443</v>
      </c>
      <c r="C1138" t="s">
        <v>15452</v>
      </c>
      <c r="D1138" t="s">
        <v>1137</v>
      </c>
      <c r="E1138" t="s">
        <v>3440</v>
      </c>
      <c r="F1138" t="s">
        <v>3431</v>
      </c>
      <c r="G1138" s="3">
        <v>36.329923089797099</v>
      </c>
      <c r="H1138" s="3">
        <v>127.53417197365999</v>
      </c>
      <c r="I1138" t="s">
        <v>4903</v>
      </c>
      <c r="J1138" t="s">
        <v>8262</v>
      </c>
      <c r="K1138" t="s">
        <v>11126</v>
      </c>
      <c r="L1138" t="s">
        <v>3366</v>
      </c>
      <c r="M1138" t="s">
        <v>11899</v>
      </c>
      <c r="N1138" t="s">
        <v>3363</v>
      </c>
      <c r="O1138" t="s">
        <v>15211</v>
      </c>
      <c r="P1138" t="s">
        <v>3364</v>
      </c>
      <c r="Q1138" t="s">
        <v>3360</v>
      </c>
      <c r="R1138" t="s">
        <v>15211</v>
      </c>
      <c r="S1138" t="s">
        <v>15211</v>
      </c>
      <c r="T1138" t="s">
        <v>3375</v>
      </c>
      <c r="U1138" t="s">
        <v>13035</v>
      </c>
      <c r="V1138" t="s">
        <v>15220</v>
      </c>
    </row>
    <row r="1139" spans="1:22">
      <c r="A1139" t="s">
        <v>15315</v>
      </c>
      <c r="B1139" t="s">
        <v>15443</v>
      </c>
      <c r="C1139" t="s">
        <v>15452</v>
      </c>
      <c r="D1139" t="s">
        <v>1138</v>
      </c>
      <c r="E1139" t="s">
        <v>3440</v>
      </c>
      <c r="F1139" t="s">
        <v>3431</v>
      </c>
      <c r="G1139" s="3">
        <v>36.329923086853199</v>
      </c>
      <c r="H1139" s="3">
        <v>127.53417193494801</v>
      </c>
      <c r="I1139" t="s">
        <v>4904</v>
      </c>
      <c r="J1139" t="s">
        <v>8263</v>
      </c>
      <c r="K1139" t="s">
        <v>11225</v>
      </c>
      <c r="L1139" t="s">
        <v>3366</v>
      </c>
      <c r="M1139" t="s">
        <v>11899</v>
      </c>
      <c r="N1139" t="s">
        <v>3363</v>
      </c>
      <c r="O1139" t="s">
        <v>15211</v>
      </c>
      <c r="P1139" t="s">
        <v>3364</v>
      </c>
      <c r="Q1139" t="s">
        <v>3360</v>
      </c>
      <c r="R1139" t="s">
        <v>15211</v>
      </c>
      <c r="S1139" t="s">
        <v>15211</v>
      </c>
      <c r="T1139" t="s">
        <v>3375</v>
      </c>
      <c r="U1139" t="s">
        <v>13036</v>
      </c>
      <c r="V1139" t="s">
        <v>15220</v>
      </c>
    </row>
    <row r="1140" spans="1:22" hidden="1">
      <c r="A1140" t="s">
        <v>15316</v>
      </c>
      <c r="B1140" t="s">
        <v>15441</v>
      </c>
      <c r="C1140" t="s">
        <v>15445</v>
      </c>
      <c r="D1140" t="s">
        <v>1139</v>
      </c>
      <c r="E1140" t="s">
        <v>3428</v>
      </c>
      <c r="F1140" t="s">
        <v>3461</v>
      </c>
      <c r="G1140" s="3">
        <v>36.285298601068597</v>
      </c>
      <c r="H1140" s="3">
        <v>127.619795233076</v>
      </c>
      <c r="I1140" t="s">
        <v>4905</v>
      </c>
      <c r="J1140" t="s">
        <v>8264</v>
      </c>
      <c r="K1140" t="s">
        <v>11226</v>
      </c>
      <c r="L1140" t="s">
        <v>3366</v>
      </c>
      <c r="M1140" t="s">
        <v>11886</v>
      </c>
      <c r="N1140" t="s">
        <v>15211</v>
      </c>
      <c r="O1140" t="s">
        <v>15211</v>
      </c>
      <c r="P1140" t="s">
        <v>15211</v>
      </c>
      <c r="Q1140" t="s">
        <v>15211</v>
      </c>
      <c r="R1140" t="s">
        <v>15211</v>
      </c>
      <c r="S1140" t="s">
        <v>15211</v>
      </c>
      <c r="T1140" t="s">
        <v>15211</v>
      </c>
      <c r="U1140" t="s">
        <v>13037</v>
      </c>
      <c r="V1140" t="s">
        <v>15228</v>
      </c>
    </row>
    <row r="1141" spans="1:22" hidden="1">
      <c r="A1141" t="s">
        <v>15316</v>
      </c>
      <c r="B1141" t="s">
        <v>15441</v>
      </c>
      <c r="C1141" t="s">
        <v>15445</v>
      </c>
      <c r="D1141" t="s">
        <v>1140</v>
      </c>
      <c r="E1141" t="s">
        <v>3428</v>
      </c>
      <c r="F1141" t="s">
        <v>3461</v>
      </c>
      <c r="G1141" s="3">
        <v>36.2852986102966</v>
      </c>
      <c r="H1141" s="3">
        <v>127.61979516145701</v>
      </c>
      <c r="I1141" t="s">
        <v>4906</v>
      </c>
      <c r="J1141" t="s">
        <v>8265</v>
      </c>
      <c r="K1141" t="s">
        <v>11227</v>
      </c>
      <c r="L1141" t="s">
        <v>3366</v>
      </c>
      <c r="M1141" t="s">
        <v>11886</v>
      </c>
      <c r="N1141" t="s">
        <v>15211</v>
      </c>
      <c r="O1141" t="s">
        <v>15211</v>
      </c>
      <c r="P1141" t="s">
        <v>15211</v>
      </c>
      <c r="Q1141" t="s">
        <v>15211</v>
      </c>
      <c r="R1141" t="s">
        <v>15211</v>
      </c>
      <c r="S1141" t="s">
        <v>15211</v>
      </c>
      <c r="T1141" t="s">
        <v>15211</v>
      </c>
      <c r="U1141" t="s">
        <v>13038</v>
      </c>
      <c r="V1141" t="s">
        <v>15228</v>
      </c>
    </row>
    <row r="1142" spans="1:22" hidden="1">
      <c r="A1142" t="s">
        <v>15316</v>
      </c>
      <c r="B1142" t="s">
        <v>15441</v>
      </c>
      <c r="C1142" t="s">
        <v>15445</v>
      </c>
      <c r="D1142" t="s">
        <v>1141</v>
      </c>
      <c r="E1142" t="s">
        <v>3428</v>
      </c>
      <c r="F1142" t="s">
        <v>3461</v>
      </c>
      <c r="G1142" s="3">
        <v>36.2852985936835</v>
      </c>
      <c r="H1142" s="3">
        <v>127.619795166142</v>
      </c>
      <c r="I1142" t="s">
        <v>4907</v>
      </c>
      <c r="J1142" t="s">
        <v>8266</v>
      </c>
      <c r="K1142" t="s">
        <v>11228</v>
      </c>
      <c r="L1142" t="s">
        <v>3366</v>
      </c>
      <c r="M1142" t="s">
        <v>11886</v>
      </c>
      <c r="N1142" t="s">
        <v>3362</v>
      </c>
      <c r="O1142" t="s">
        <v>3361</v>
      </c>
      <c r="P1142" t="s">
        <v>15211</v>
      </c>
      <c r="Q1142" t="s">
        <v>15211</v>
      </c>
      <c r="R1142" t="s">
        <v>15211</v>
      </c>
      <c r="S1142" t="s">
        <v>15211</v>
      </c>
      <c r="T1142" t="s">
        <v>3367</v>
      </c>
      <c r="U1142" t="s">
        <v>13039</v>
      </c>
      <c r="V1142" t="s">
        <v>15228</v>
      </c>
    </row>
    <row r="1143" spans="1:22" hidden="1">
      <c r="A1143" t="s">
        <v>15316</v>
      </c>
      <c r="B1143" t="s">
        <v>15441</v>
      </c>
      <c r="C1143" t="s">
        <v>15446</v>
      </c>
      <c r="D1143" t="s">
        <v>1142</v>
      </c>
      <c r="E1143" t="s">
        <v>3428</v>
      </c>
      <c r="F1143" t="s">
        <v>3461</v>
      </c>
      <c r="G1143" s="3">
        <v>36.285298579286902</v>
      </c>
      <c r="H1143" s="3">
        <v>127.619795179238</v>
      </c>
      <c r="I1143" t="s">
        <v>4908</v>
      </c>
      <c r="J1143" t="s">
        <v>8267</v>
      </c>
      <c r="K1143" t="s">
        <v>11229</v>
      </c>
      <c r="L1143" t="s">
        <v>3366</v>
      </c>
      <c r="M1143" t="s">
        <v>11886</v>
      </c>
      <c r="N1143" t="s">
        <v>3362</v>
      </c>
      <c r="O1143" t="s">
        <v>3361</v>
      </c>
      <c r="P1143" t="s">
        <v>15211</v>
      </c>
      <c r="Q1143" t="s">
        <v>15211</v>
      </c>
      <c r="R1143" t="s">
        <v>15211</v>
      </c>
      <c r="S1143" t="s">
        <v>15211</v>
      </c>
      <c r="T1143" t="s">
        <v>3367</v>
      </c>
      <c r="U1143" t="s">
        <v>13040</v>
      </c>
      <c r="V1143" t="s">
        <v>15229</v>
      </c>
    </row>
    <row r="1144" spans="1:22" hidden="1">
      <c r="A1144" t="s">
        <v>15316</v>
      </c>
      <c r="B1144" t="s">
        <v>15441</v>
      </c>
      <c r="C1144" t="s">
        <v>15446</v>
      </c>
      <c r="D1144" t="s">
        <v>1143</v>
      </c>
      <c r="E1144" t="s">
        <v>3428</v>
      </c>
      <c r="F1144" t="s">
        <v>3461</v>
      </c>
      <c r="G1144" s="3">
        <v>36.285298617191501</v>
      </c>
      <c r="H1144" s="3">
        <v>127.619795158711</v>
      </c>
      <c r="I1144" t="s">
        <v>4909</v>
      </c>
      <c r="J1144" t="s">
        <v>8268</v>
      </c>
      <c r="K1144" t="s">
        <v>11230</v>
      </c>
      <c r="L1144" t="s">
        <v>3366</v>
      </c>
      <c r="M1144" t="s">
        <v>11886</v>
      </c>
      <c r="N1144" t="s">
        <v>3362</v>
      </c>
      <c r="O1144" t="s">
        <v>3361</v>
      </c>
      <c r="P1144" t="s">
        <v>15211</v>
      </c>
      <c r="Q1144" t="s">
        <v>15211</v>
      </c>
      <c r="R1144" t="s">
        <v>15211</v>
      </c>
      <c r="S1144" t="s">
        <v>15211</v>
      </c>
      <c r="T1144" t="s">
        <v>3367</v>
      </c>
      <c r="U1144" t="s">
        <v>13041</v>
      </c>
      <c r="V1144" t="s">
        <v>15229</v>
      </c>
    </row>
    <row r="1145" spans="1:22" hidden="1">
      <c r="A1145" t="s">
        <v>15316</v>
      </c>
      <c r="B1145" t="s">
        <v>15441</v>
      </c>
      <c r="C1145" t="s">
        <v>15446</v>
      </c>
      <c r="D1145" t="s">
        <v>1144</v>
      </c>
      <c r="E1145" t="s">
        <v>3428</v>
      </c>
      <c r="F1145" t="s">
        <v>3461</v>
      </c>
      <c r="G1145" s="3">
        <v>36.2852985995616</v>
      </c>
      <c r="H1145" s="3">
        <v>127.619795089752</v>
      </c>
      <c r="I1145" t="s">
        <v>4910</v>
      </c>
      <c r="J1145" t="s">
        <v>8269</v>
      </c>
      <c r="K1145" t="s">
        <v>11231</v>
      </c>
      <c r="L1145" t="s">
        <v>3366</v>
      </c>
      <c r="M1145" t="s">
        <v>11886</v>
      </c>
      <c r="N1145" t="s">
        <v>3362</v>
      </c>
      <c r="O1145" t="s">
        <v>3361</v>
      </c>
      <c r="P1145" t="s">
        <v>15211</v>
      </c>
      <c r="Q1145" t="s">
        <v>15211</v>
      </c>
      <c r="R1145" t="s">
        <v>15211</v>
      </c>
      <c r="S1145" t="s">
        <v>15211</v>
      </c>
      <c r="T1145" t="s">
        <v>3367</v>
      </c>
      <c r="U1145" t="s">
        <v>13042</v>
      </c>
      <c r="V1145" t="s">
        <v>15229</v>
      </c>
    </row>
    <row r="1146" spans="1:22" hidden="1">
      <c r="A1146" t="s">
        <v>15316</v>
      </c>
      <c r="B1146" t="s">
        <v>15441</v>
      </c>
      <c r="C1146" t="s">
        <v>15448</v>
      </c>
      <c r="D1146" t="s">
        <v>1145</v>
      </c>
      <c r="E1146" t="s">
        <v>3441</v>
      </c>
      <c r="F1146" t="s">
        <v>3477</v>
      </c>
      <c r="G1146" s="3">
        <v>36.285298618708197</v>
      </c>
      <c r="H1146" s="3">
        <v>127.619795132937</v>
      </c>
      <c r="I1146" t="s">
        <v>4911</v>
      </c>
      <c r="J1146" t="s">
        <v>8270</v>
      </c>
      <c r="K1146" t="s">
        <v>10644</v>
      </c>
      <c r="L1146" t="s">
        <v>3366</v>
      </c>
      <c r="M1146" t="s">
        <v>11912</v>
      </c>
      <c r="N1146" t="s">
        <v>3363</v>
      </c>
      <c r="O1146" t="s">
        <v>3361</v>
      </c>
      <c r="P1146" t="s">
        <v>3364</v>
      </c>
      <c r="Q1146" t="s">
        <v>3360</v>
      </c>
      <c r="R1146" t="s">
        <v>3358</v>
      </c>
      <c r="S1146" t="s">
        <v>15211</v>
      </c>
      <c r="T1146" t="s">
        <v>3382</v>
      </c>
      <c r="U1146" t="s">
        <v>13043</v>
      </c>
      <c r="V1146" t="s">
        <v>15230</v>
      </c>
    </row>
    <row r="1147" spans="1:22" hidden="1">
      <c r="A1147" t="s">
        <v>15316</v>
      </c>
      <c r="B1147" t="s">
        <v>15441</v>
      </c>
      <c r="C1147" t="s">
        <v>15448</v>
      </c>
      <c r="D1147" t="s">
        <v>1146</v>
      </c>
      <c r="E1147" t="s">
        <v>3441</v>
      </c>
      <c r="F1147" t="s">
        <v>3466</v>
      </c>
      <c r="G1147" s="3">
        <v>36.285298594227697</v>
      </c>
      <c r="H1147" s="3">
        <v>127.619795130971</v>
      </c>
      <c r="I1147" t="s">
        <v>4912</v>
      </c>
      <c r="J1147" t="s">
        <v>8271</v>
      </c>
      <c r="K1147" t="s">
        <v>10825</v>
      </c>
      <c r="L1147" t="s">
        <v>3366</v>
      </c>
      <c r="M1147" t="s">
        <v>11914</v>
      </c>
      <c r="N1147" t="s">
        <v>3363</v>
      </c>
      <c r="O1147" t="s">
        <v>3362</v>
      </c>
      <c r="P1147" t="s">
        <v>3364</v>
      </c>
      <c r="Q1147" t="s">
        <v>3360</v>
      </c>
      <c r="R1147" t="s">
        <v>3358</v>
      </c>
      <c r="S1147" t="s">
        <v>15211</v>
      </c>
      <c r="T1147" t="s">
        <v>3383</v>
      </c>
      <c r="U1147" t="s">
        <v>13044</v>
      </c>
      <c r="V1147" t="s">
        <v>15230</v>
      </c>
    </row>
    <row r="1148" spans="1:22" hidden="1">
      <c r="A1148" t="s">
        <v>15316</v>
      </c>
      <c r="B1148" t="s">
        <v>15441</v>
      </c>
      <c r="C1148" t="s">
        <v>15448</v>
      </c>
      <c r="D1148" t="s">
        <v>1147</v>
      </c>
      <c r="E1148" t="s">
        <v>3441</v>
      </c>
      <c r="F1148" t="s">
        <v>3477</v>
      </c>
      <c r="G1148" s="3">
        <v>36.285298580392599</v>
      </c>
      <c r="H1148" s="3">
        <v>127.61979511961199</v>
      </c>
      <c r="I1148" t="s">
        <v>4913</v>
      </c>
      <c r="J1148" t="s">
        <v>8272</v>
      </c>
      <c r="K1148" t="s">
        <v>3604</v>
      </c>
      <c r="L1148" t="s">
        <v>3366</v>
      </c>
      <c r="M1148" t="s">
        <v>11914</v>
      </c>
      <c r="N1148" t="s">
        <v>3363</v>
      </c>
      <c r="O1148" t="s">
        <v>3362</v>
      </c>
      <c r="P1148" t="s">
        <v>3364</v>
      </c>
      <c r="Q1148" t="s">
        <v>3360</v>
      </c>
      <c r="R1148" t="s">
        <v>3358</v>
      </c>
      <c r="S1148" t="s">
        <v>15211</v>
      </c>
      <c r="T1148" t="s">
        <v>3383</v>
      </c>
      <c r="U1148" t="s">
        <v>13045</v>
      </c>
      <c r="V1148" t="s">
        <v>15230</v>
      </c>
    </row>
    <row r="1149" spans="1:22" hidden="1">
      <c r="A1149" t="s">
        <v>15316</v>
      </c>
      <c r="B1149" t="s">
        <v>15441</v>
      </c>
      <c r="C1149" t="s">
        <v>15449</v>
      </c>
      <c r="D1149" t="s">
        <v>1148</v>
      </c>
      <c r="E1149" t="s">
        <v>3434</v>
      </c>
      <c r="F1149" t="s">
        <v>3460</v>
      </c>
      <c r="G1149" s="3">
        <v>36.285298610673003</v>
      </c>
      <c r="H1149" s="3">
        <v>127.619795199924</v>
      </c>
      <c r="I1149" t="s">
        <v>4914</v>
      </c>
      <c r="J1149" t="s">
        <v>8273</v>
      </c>
      <c r="K1149" t="s">
        <v>10810</v>
      </c>
      <c r="L1149" t="s">
        <v>3366</v>
      </c>
      <c r="M1149" t="s">
        <v>11912</v>
      </c>
      <c r="N1149" t="s">
        <v>3363</v>
      </c>
      <c r="O1149" t="s">
        <v>3361</v>
      </c>
      <c r="P1149" t="s">
        <v>3364</v>
      </c>
      <c r="Q1149" t="s">
        <v>3360</v>
      </c>
      <c r="R1149" t="s">
        <v>3358</v>
      </c>
      <c r="S1149" t="s">
        <v>15211</v>
      </c>
      <c r="T1149" t="s">
        <v>3382</v>
      </c>
      <c r="U1149" t="s">
        <v>13046</v>
      </c>
      <c r="V1149" t="s">
        <v>15231</v>
      </c>
    </row>
    <row r="1150" spans="1:22" hidden="1">
      <c r="A1150" t="s">
        <v>15316</v>
      </c>
      <c r="B1150" t="s">
        <v>15441</v>
      </c>
      <c r="C1150" t="s">
        <v>15449</v>
      </c>
      <c r="D1150" t="s">
        <v>1149</v>
      </c>
      <c r="E1150" t="s">
        <v>3434</v>
      </c>
      <c r="F1150" t="s">
        <v>3460</v>
      </c>
      <c r="G1150" s="3">
        <v>36.2852986179292</v>
      </c>
      <c r="H1150" s="3">
        <v>127.61979519249</v>
      </c>
      <c r="I1150" t="s">
        <v>4915</v>
      </c>
      <c r="J1150" t="s">
        <v>8274</v>
      </c>
      <c r="K1150" t="s">
        <v>11232</v>
      </c>
      <c r="L1150" t="s">
        <v>3366</v>
      </c>
      <c r="M1150" t="s">
        <v>11912</v>
      </c>
      <c r="N1150" t="s">
        <v>3363</v>
      </c>
      <c r="O1150" t="s">
        <v>3361</v>
      </c>
      <c r="P1150" t="s">
        <v>3364</v>
      </c>
      <c r="Q1150" t="s">
        <v>3360</v>
      </c>
      <c r="R1150" t="s">
        <v>3358</v>
      </c>
      <c r="S1150" t="s">
        <v>15211</v>
      </c>
      <c r="T1150" t="s">
        <v>3382</v>
      </c>
      <c r="U1150" t="s">
        <v>13047</v>
      </c>
      <c r="V1150" t="s">
        <v>15231</v>
      </c>
    </row>
    <row r="1151" spans="1:22" hidden="1">
      <c r="A1151" t="s">
        <v>15316</v>
      </c>
      <c r="B1151" t="s">
        <v>15441</v>
      </c>
      <c r="C1151" t="s">
        <v>15449</v>
      </c>
      <c r="D1151" t="s">
        <v>1150</v>
      </c>
      <c r="E1151" t="s">
        <v>3435</v>
      </c>
      <c r="F1151" t="s">
        <v>3463</v>
      </c>
      <c r="G1151" s="3">
        <v>36.285298617272097</v>
      </c>
      <c r="H1151" s="3">
        <v>127.619795220548</v>
      </c>
      <c r="I1151" t="s">
        <v>4916</v>
      </c>
      <c r="J1151" t="s">
        <v>8275</v>
      </c>
      <c r="K1151" t="s">
        <v>10549</v>
      </c>
      <c r="L1151" t="s">
        <v>3366</v>
      </c>
      <c r="M1151" t="s">
        <v>11912</v>
      </c>
      <c r="N1151" t="s">
        <v>3363</v>
      </c>
      <c r="O1151" t="s">
        <v>3361</v>
      </c>
      <c r="P1151" t="s">
        <v>3364</v>
      </c>
      <c r="Q1151" t="s">
        <v>3360</v>
      </c>
      <c r="R1151" t="s">
        <v>3358</v>
      </c>
      <c r="S1151" t="s">
        <v>15211</v>
      </c>
      <c r="T1151" t="s">
        <v>3382</v>
      </c>
      <c r="U1151" t="s">
        <v>13048</v>
      </c>
      <c r="V1151" t="s">
        <v>15231</v>
      </c>
    </row>
    <row r="1152" spans="1:22" hidden="1">
      <c r="A1152" t="s">
        <v>15316</v>
      </c>
      <c r="B1152" t="s">
        <v>15442</v>
      </c>
      <c r="C1152" t="s">
        <v>15450</v>
      </c>
      <c r="D1152" t="s">
        <v>1151</v>
      </c>
      <c r="E1152" t="s">
        <v>3425</v>
      </c>
      <c r="F1152" t="s">
        <v>3462</v>
      </c>
      <c r="G1152" s="3">
        <v>36.285298508738002</v>
      </c>
      <c r="H1152" s="3">
        <v>127.619795253734</v>
      </c>
      <c r="I1152" t="s">
        <v>4917</v>
      </c>
      <c r="J1152" t="s">
        <v>8276</v>
      </c>
      <c r="K1152" t="s">
        <v>11233</v>
      </c>
      <c r="L1152" t="s">
        <v>3366</v>
      </c>
      <c r="M1152" t="s">
        <v>11885</v>
      </c>
      <c r="N1152" t="s">
        <v>3363</v>
      </c>
      <c r="O1152" t="s">
        <v>3362</v>
      </c>
      <c r="P1152" t="s">
        <v>15211</v>
      </c>
      <c r="Q1152" t="s">
        <v>15211</v>
      </c>
      <c r="R1152" t="s">
        <v>15211</v>
      </c>
      <c r="S1152" t="s">
        <v>15211</v>
      </c>
      <c r="T1152" t="s">
        <v>3369</v>
      </c>
      <c r="U1152" t="s">
        <v>13049</v>
      </c>
      <c r="V1152" t="s">
        <v>15232</v>
      </c>
    </row>
    <row r="1153" spans="1:22" hidden="1">
      <c r="A1153" t="s">
        <v>15316</v>
      </c>
      <c r="B1153" t="s">
        <v>15442</v>
      </c>
      <c r="C1153" t="s">
        <v>15450</v>
      </c>
      <c r="D1153" t="s">
        <v>1152</v>
      </c>
      <c r="E1153" t="s">
        <v>3425</v>
      </c>
      <c r="F1153" t="s">
        <v>3426</v>
      </c>
      <c r="G1153" s="3">
        <v>36.285298505387999</v>
      </c>
      <c r="H1153" s="3">
        <v>127.619795205307</v>
      </c>
      <c r="I1153" t="s">
        <v>4918</v>
      </c>
      <c r="J1153" t="s">
        <v>8277</v>
      </c>
      <c r="K1153" t="s">
        <v>11234</v>
      </c>
      <c r="L1153" t="s">
        <v>3366</v>
      </c>
      <c r="M1153" t="s">
        <v>11885</v>
      </c>
      <c r="N1153" t="s">
        <v>3363</v>
      </c>
      <c r="O1153" t="s">
        <v>3362</v>
      </c>
      <c r="P1153" t="s">
        <v>15211</v>
      </c>
      <c r="Q1153" t="s">
        <v>15211</v>
      </c>
      <c r="R1153" t="s">
        <v>15211</v>
      </c>
      <c r="S1153" t="s">
        <v>15211</v>
      </c>
      <c r="T1153" t="s">
        <v>3369</v>
      </c>
      <c r="U1153" t="s">
        <v>13050</v>
      </c>
      <c r="V1153" t="s">
        <v>15232</v>
      </c>
    </row>
    <row r="1154" spans="1:22" hidden="1">
      <c r="A1154" t="s">
        <v>15316</v>
      </c>
      <c r="B1154" t="s">
        <v>15442</v>
      </c>
      <c r="C1154" t="s">
        <v>15450</v>
      </c>
      <c r="D1154" t="s">
        <v>1153</v>
      </c>
      <c r="E1154" t="s">
        <v>3425</v>
      </c>
      <c r="F1154" t="s">
        <v>3426</v>
      </c>
      <c r="G1154" s="3">
        <v>36.285298525945201</v>
      </c>
      <c r="H1154" s="3">
        <v>127.619795198855</v>
      </c>
      <c r="I1154" t="s">
        <v>4919</v>
      </c>
      <c r="J1154" t="s">
        <v>8278</v>
      </c>
      <c r="K1154" t="s">
        <v>10959</v>
      </c>
      <c r="L1154" t="s">
        <v>3366</v>
      </c>
      <c r="M1154" t="s">
        <v>11890</v>
      </c>
      <c r="N1154" t="s">
        <v>3363</v>
      </c>
      <c r="O1154" t="s">
        <v>3362</v>
      </c>
      <c r="P1154" t="s">
        <v>15211</v>
      </c>
      <c r="Q1154" t="s">
        <v>15211</v>
      </c>
      <c r="R1154" t="s">
        <v>15211</v>
      </c>
      <c r="S1154" t="s">
        <v>15211</v>
      </c>
      <c r="T1154" t="s">
        <v>3369</v>
      </c>
      <c r="U1154" t="s">
        <v>13051</v>
      </c>
      <c r="V1154" t="s">
        <v>15232</v>
      </c>
    </row>
    <row r="1155" spans="1:22" hidden="1">
      <c r="A1155" t="s">
        <v>15316</v>
      </c>
      <c r="B1155" t="s">
        <v>15442</v>
      </c>
      <c r="C1155" t="s">
        <v>15445</v>
      </c>
      <c r="D1155" t="s">
        <v>1154</v>
      </c>
      <c r="E1155" t="s">
        <v>3436</v>
      </c>
      <c r="F1155" t="s">
        <v>3462</v>
      </c>
      <c r="G1155" s="3">
        <v>36.285298642281496</v>
      </c>
      <c r="H1155" s="3">
        <v>127.619795378913</v>
      </c>
      <c r="I1155" t="s">
        <v>4920</v>
      </c>
      <c r="J1155" t="s">
        <v>8279</v>
      </c>
      <c r="K1155" t="s">
        <v>11235</v>
      </c>
      <c r="L1155" t="s">
        <v>3366</v>
      </c>
      <c r="M1155" t="s">
        <v>11885</v>
      </c>
      <c r="N1155" t="s">
        <v>3362</v>
      </c>
      <c r="O1155" t="s">
        <v>3361</v>
      </c>
      <c r="P1155" t="s">
        <v>15211</v>
      </c>
      <c r="Q1155" t="s">
        <v>15211</v>
      </c>
      <c r="R1155" t="s">
        <v>15211</v>
      </c>
      <c r="S1155" t="s">
        <v>15211</v>
      </c>
      <c r="T1155" t="s">
        <v>3367</v>
      </c>
      <c r="U1155" t="s">
        <v>13052</v>
      </c>
      <c r="V1155" t="s">
        <v>15233</v>
      </c>
    </row>
    <row r="1156" spans="1:22" hidden="1">
      <c r="A1156" t="s">
        <v>15316</v>
      </c>
      <c r="B1156" t="s">
        <v>15442</v>
      </c>
      <c r="C1156" t="s">
        <v>15445</v>
      </c>
      <c r="D1156" t="s">
        <v>1155</v>
      </c>
      <c r="E1156" t="s">
        <v>3428</v>
      </c>
      <c r="F1156" t="s">
        <v>3433</v>
      </c>
      <c r="G1156" s="3">
        <v>36.285298662803498</v>
      </c>
      <c r="H1156" s="3">
        <v>127.619795413679</v>
      </c>
      <c r="I1156" t="s">
        <v>4921</v>
      </c>
      <c r="J1156" t="s">
        <v>8280</v>
      </c>
      <c r="K1156" t="s">
        <v>10936</v>
      </c>
      <c r="L1156" t="s">
        <v>3366</v>
      </c>
      <c r="M1156" t="s">
        <v>11890</v>
      </c>
      <c r="N1156" t="s">
        <v>3363</v>
      </c>
      <c r="O1156" t="s">
        <v>3361</v>
      </c>
      <c r="P1156" t="s">
        <v>15211</v>
      </c>
      <c r="Q1156" t="s">
        <v>15211</v>
      </c>
      <c r="R1156" t="s">
        <v>15211</v>
      </c>
      <c r="S1156" t="s">
        <v>15211</v>
      </c>
      <c r="T1156" t="s">
        <v>3368</v>
      </c>
      <c r="U1156" t="s">
        <v>13053</v>
      </c>
      <c r="V1156" t="s">
        <v>15233</v>
      </c>
    </row>
    <row r="1157" spans="1:22" hidden="1">
      <c r="A1157" t="s">
        <v>15316</v>
      </c>
      <c r="B1157" t="s">
        <v>15442</v>
      </c>
      <c r="C1157" t="s">
        <v>15445</v>
      </c>
      <c r="D1157" t="s">
        <v>1156</v>
      </c>
      <c r="E1157" t="s">
        <v>3427</v>
      </c>
      <c r="F1157" t="s">
        <v>3442</v>
      </c>
      <c r="G1157" s="3">
        <v>36.2852986779994</v>
      </c>
      <c r="H1157" s="3">
        <v>127.619795375495</v>
      </c>
      <c r="I1157" t="s">
        <v>4922</v>
      </c>
      <c r="J1157" t="s">
        <v>8281</v>
      </c>
      <c r="K1157" t="s">
        <v>11067</v>
      </c>
      <c r="L1157" t="s">
        <v>3366</v>
      </c>
      <c r="M1157" t="s">
        <v>11885</v>
      </c>
      <c r="N1157" t="s">
        <v>3363</v>
      </c>
      <c r="O1157" t="s">
        <v>3361</v>
      </c>
      <c r="P1157" t="s">
        <v>15211</v>
      </c>
      <c r="Q1157" t="s">
        <v>15211</v>
      </c>
      <c r="R1157" t="s">
        <v>15211</v>
      </c>
      <c r="S1157" t="s">
        <v>15211</v>
      </c>
      <c r="T1157" t="s">
        <v>3368</v>
      </c>
      <c r="U1157" t="s">
        <v>13054</v>
      </c>
      <c r="V1157" t="s">
        <v>15233</v>
      </c>
    </row>
    <row r="1158" spans="1:22" hidden="1">
      <c r="A1158" t="s">
        <v>15316</v>
      </c>
      <c r="B1158" t="s">
        <v>15442</v>
      </c>
      <c r="C1158" t="s">
        <v>15451</v>
      </c>
      <c r="D1158" t="s">
        <v>1157</v>
      </c>
      <c r="E1158" t="s">
        <v>3428</v>
      </c>
      <c r="F1158" t="s">
        <v>3432</v>
      </c>
      <c r="G1158" s="3">
        <v>36.285298645727302</v>
      </c>
      <c r="H1158" s="3">
        <v>127.61979512006801</v>
      </c>
      <c r="I1158" t="s">
        <v>4923</v>
      </c>
      <c r="J1158" t="s">
        <v>8282</v>
      </c>
      <c r="K1158" t="s">
        <v>10867</v>
      </c>
      <c r="L1158" t="s">
        <v>3366</v>
      </c>
      <c r="M1158" t="s">
        <v>11891</v>
      </c>
      <c r="N1158" t="s">
        <v>3364</v>
      </c>
      <c r="O1158" t="s">
        <v>3361</v>
      </c>
      <c r="P1158" t="s">
        <v>3364</v>
      </c>
      <c r="Q1158" t="s">
        <v>3359</v>
      </c>
      <c r="R1158" t="s">
        <v>15211</v>
      </c>
      <c r="S1158" t="s">
        <v>15211</v>
      </c>
      <c r="T1158" t="s">
        <v>3380</v>
      </c>
      <c r="U1158" t="s">
        <v>13055</v>
      </c>
      <c r="V1158" t="s">
        <v>15234</v>
      </c>
    </row>
    <row r="1159" spans="1:22" hidden="1">
      <c r="A1159" t="s">
        <v>15316</v>
      </c>
      <c r="B1159" t="s">
        <v>15442</v>
      </c>
      <c r="C1159" t="s">
        <v>15451</v>
      </c>
      <c r="D1159" t="s">
        <v>1158</v>
      </c>
      <c r="E1159" t="s">
        <v>3428</v>
      </c>
      <c r="F1159" t="s">
        <v>3453</v>
      </c>
      <c r="G1159" s="3">
        <v>36.2852986460586</v>
      </c>
      <c r="H1159" s="3">
        <v>127.61979515556899</v>
      </c>
      <c r="I1159" t="s">
        <v>4924</v>
      </c>
      <c r="J1159" t="s">
        <v>8283</v>
      </c>
      <c r="K1159" t="s">
        <v>10854</v>
      </c>
      <c r="L1159" t="s">
        <v>3366</v>
      </c>
      <c r="M1159" t="s">
        <v>11896</v>
      </c>
      <c r="N1159" t="s">
        <v>3364</v>
      </c>
      <c r="O1159" t="s">
        <v>3361</v>
      </c>
      <c r="P1159" t="s">
        <v>3364</v>
      </c>
      <c r="Q1159" t="s">
        <v>3359</v>
      </c>
      <c r="R1159" t="s">
        <v>15211</v>
      </c>
      <c r="S1159" t="s">
        <v>15211</v>
      </c>
      <c r="T1159" t="s">
        <v>3380</v>
      </c>
      <c r="U1159" t="s">
        <v>13056</v>
      </c>
      <c r="V1159" t="s">
        <v>15234</v>
      </c>
    </row>
    <row r="1160" spans="1:22" hidden="1">
      <c r="A1160" t="s">
        <v>15316</v>
      </c>
      <c r="B1160" t="s">
        <v>15442</v>
      </c>
      <c r="C1160" t="s">
        <v>15451</v>
      </c>
      <c r="D1160" t="s">
        <v>1159</v>
      </c>
      <c r="E1160" t="s">
        <v>3428</v>
      </c>
      <c r="F1160" t="s">
        <v>3453</v>
      </c>
      <c r="G1160" s="3">
        <v>36.285298629561197</v>
      </c>
      <c r="H1160" s="3">
        <v>127.619795098035</v>
      </c>
      <c r="I1160" t="s">
        <v>4925</v>
      </c>
      <c r="J1160" t="s">
        <v>8284</v>
      </c>
      <c r="K1160" t="s">
        <v>11187</v>
      </c>
      <c r="L1160" t="s">
        <v>3366</v>
      </c>
      <c r="M1160" t="s">
        <v>11896</v>
      </c>
      <c r="N1160" t="s">
        <v>3364</v>
      </c>
      <c r="O1160" t="s">
        <v>3361</v>
      </c>
      <c r="P1160" t="s">
        <v>3364</v>
      </c>
      <c r="Q1160" t="s">
        <v>3359</v>
      </c>
      <c r="R1160" t="s">
        <v>15211</v>
      </c>
      <c r="S1160" t="s">
        <v>15211</v>
      </c>
      <c r="T1160" t="s">
        <v>3380</v>
      </c>
      <c r="U1160" t="s">
        <v>13057</v>
      </c>
      <c r="V1160" t="s">
        <v>15234</v>
      </c>
    </row>
    <row r="1161" spans="1:22">
      <c r="A1161" t="s">
        <v>15316</v>
      </c>
      <c r="B1161" t="s">
        <v>15443</v>
      </c>
      <c r="C1161" t="s">
        <v>15452</v>
      </c>
      <c r="D1161" t="s">
        <v>1160</v>
      </c>
      <c r="E1161" t="s">
        <v>3431</v>
      </c>
      <c r="F1161" t="s">
        <v>3449</v>
      </c>
      <c r="G1161" s="3">
        <v>36.285298371673598</v>
      </c>
      <c r="H1161" s="3">
        <v>127.61979535158</v>
      </c>
      <c r="I1161" t="s">
        <v>4926</v>
      </c>
      <c r="J1161" t="s">
        <v>8285</v>
      </c>
      <c r="K1161" t="s">
        <v>10842</v>
      </c>
      <c r="L1161" t="s">
        <v>3366</v>
      </c>
      <c r="M1161" t="s">
        <v>11894</v>
      </c>
      <c r="N1161" t="s">
        <v>3359</v>
      </c>
      <c r="O1161" t="s">
        <v>15211</v>
      </c>
      <c r="P1161" t="s">
        <v>3364</v>
      </c>
      <c r="Q1161" t="s">
        <v>3360</v>
      </c>
      <c r="R1161" t="s">
        <v>15211</v>
      </c>
      <c r="S1161" t="s">
        <v>15211</v>
      </c>
      <c r="T1161" t="s">
        <v>3371</v>
      </c>
      <c r="U1161" t="s">
        <v>13058</v>
      </c>
      <c r="V1161" t="s">
        <v>15220</v>
      </c>
    </row>
    <row r="1162" spans="1:22">
      <c r="A1162" t="s">
        <v>15316</v>
      </c>
      <c r="B1162" t="s">
        <v>15443</v>
      </c>
      <c r="C1162" t="s">
        <v>15452</v>
      </c>
      <c r="D1162" t="s">
        <v>1161</v>
      </c>
      <c r="E1162" t="s">
        <v>3425</v>
      </c>
      <c r="F1162" t="s">
        <v>3465</v>
      </c>
      <c r="G1162" s="3">
        <v>36.285298372583703</v>
      </c>
      <c r="H1162" s="3">
        <v>127.619795350359</v>
      </c>
      <c r="I1162" t="s">
        <v>4927</v>
      </c>
      <c r="J1162" t="s">
        <v>8286</v>
      </c>
      <c r="K1162" t="s">
        <v>11236</v>
      </c>
      <c r="L1162" t="s">
        <v>3366</v>
      </c>
      <c r="M1162" t="s">
        <v>11894</v>
      </c>
      <c r="N1162" t="s">
        <v>3359</v>
      </c>
      <c r="O1162" t="s">
        <v>15211</v>
      </c>
      <c r="P1162" t="s">
        <v>3364</v>
      </c>
      <c r="Q1162" t="s">
        <v>3360</v>
      </c>
      <c r="R1162" t="s">
        <v>15211</v>
      </c>
      <c r="S1162" t="s">
        <v>15211</v>
      </c>
      <c r="T1162" t="s">
        <v>3371</v>
      </c>
      <c r="U1162" t="s">
        <v>13059</v>
      </c>
      <c r="V1162" t="s">
        <v>15220</v>
      </c>
    </row>
    <row r="1163" spans="1:22">
      <c r="A1163" t="s">
        <v>15316</v>
      </c>
      <c r="B1163" t="s">
        <v>15443</v>
      </c>
      <c r="C1163" t="s">
        <v>15452</v>
      </c>
      <c r="D1163" t="s">
        <v>1162</v>
      </c>
      <c r="E1163" t="s">
        <v>3431</v>
      </c>
      <c r="F1163" t="s">
        <v>3450</v>
      </c>
      <c r="G1163" s="3">
        <v>36.285298394472797</v>
      </c>
      <c r="H1163" s="3">
        <v>127.619795327972</v>
      </c>
      <c r="I1163" t="s">
        <v>4928</v>
      </c>
      <c r="J1163" t="s">
        <v>8287</v>
      </c>
      <c r="K1163" t="s">
        <v>11237</v>
      </c>
      <c r="L1163" t="s">
        <v>3366</v>
      </c>
      <c r="M1163" t="s">
        <v>11895</v>
      </c>
      <c r="N1163" t="s">
        <v>3359</v>
      </c>
      <c r="O1163" t="s">
        <v>15211</v>
      </c>
      <c r="P1163" t="s">
        <v>3364</v>
      </c>
      <c r="Q1163" t="s">
        <v>3360</v>
      </c>
      <c r="R1163" t="s">
        <v>15211</v>
      </c>
      <c r="S1163" t="s">
        <v>15211</v>
      </c>
      <c r="T1163" t="s">
        <v>3371</v>
      </c>
      <c r="U1163" t="s">
        <v>13060</v>
      </c>
      <c r="V1163" t="s">
        <v>15220</v>
      </c>
    </row>
    <row r="1164" spans="1:22" hidden="1">
      <c r="A1164" t="s">
        <v>15316</v>
      </c>
      <c r="B1164" t="s">
        <v>15441</v>
      </c>
      <c r="C1164" t="s">
        <v>15447</v>
      </c>
      <c r="D1164" t="s">
        <v>1163</v>
      </c>
      <c r="E1164" t="s">
        <v>3425</v>
      </c>
      <c r="F1164" t="s">
        <v>3484</v>
      </c>
      <c r="G1164" s="3">
        <v>36.285298598989598</v>
      </c>
      <c r="H1164" s="3">
        <v>127.61979537259</v>
      </c>
      <c r="I1164" t="s">
        <v>4929</v>
      </c>
      <c r="J1164" t="s">
        <v>8288</v>
      </c>
      <c r="K1164" t="s">
        <v>11238</v>
      </c>
      <c r="L1164" t="s">
        <v>3366</v>
      </c>
      <c r="M1164" t="s">
        <v>11887</v>
      </c>
      <c r="N1164" t="s">
        <v>3363</v>
      </c>
      <c r="O1164" t="s">
        <v>15211</v>
      </c>
      <c r="P1164" t="s">
        <v>15211</v>
      </c>
      <c r="Q1164" t="s">
        <v>15211</v>
      </c>
      <c r="R1164" t="s">
        <v>15211</v>
      </c>
      <c r="S1164" t="s">
        <v>15211</v>
      </c>
      <c r="T1164" t="s">
        <v>3363</v>
      </c>
      <c r="U1164" t="s">
        <v>13061</v>
      </c>
      <c r="V1164" t="s">
        <v>15235</v>
      </c>
    </row>
    <row r="1165" spans="1:22" hidden="1">
      <c r="A1165" t="s">
        <v>15316</v>
      </c>
      <c r="B1165" t="s">
        <v>15441</v>
      </c>
      <c r="C1165" t="s">
        <v>15447</v>
      </c>
      <c r="D1165" t="s">
        <v>1164</v>
      </c>
      <c r="E1165" t="s">
        <v>3435</v>
      </c>
      <c r="F1165" t="s">
        <v>3467</v>
      </c>
      <c r="G1165" s="3">
        <v>36.2852985754445</v>
      </c>
      <c r="H1165" s="3">
        <v>127.619795388955</v>
      </c>
      <c r="I1165" t="s">
        <v>4930</v>
      </c>
      <c r="J1165" t="s">
        <v>8289</v>
      </c>
      <c r="K1165" t="s">
        <v>11239</v>
      </c>
      <c r="L1165" t="s">
        <v>3366</v>
      </c>
      <c r="M1165" t="s">
        <v>11887</v>
      </c>
      <c r="N1165" t="s">
        <v>3363</v>
      </c>
      <c r="O1165" t="s">
        <v>15211</v>
      </c>
      <c r="P1165" t="s">
        <v>15211</v>
      </c>
      <c r="Q1165" t="s">
        <v>15211</v>
      </c>
      <c r="R1165" t="s">
        <v>15211</v>
      </c>
      <c r="S1165" t="s">
        <v>15211</v>
      </c>
      <c r="T1165" t="s">
        <v>3363</v>
      </c>
      <c r="U1165" t="s">
        <v>13062</v>
      </c>
      <c r="V1165" t="s">
        <v>15235</v>
      </c>
    </row>
    <row r="1166" spans="1:22" hidden="1">
      <c r="A1166" t="s">
        <v>15316</v>
      </c>
      <c r="B1166" t="s">
        <v>15441</v>
      </c>
      <c r="C1166" t="s">
        <v>15447</v>
      </c>
      <c r="D1166" t="s">
        <v>1165</v>
      </c>
      <c r="E1166" t="s">
        <v>3435</v>
      </c>
      <c r="F1166" t="s">
        <v>3611</v>
      </c>
      <c r="G1166" s="3">
        <v>36.2852985504393</v>
      </c>
      <c r="H1166" s="3">
        <v>127.619795385309</v>
      </c>
      <c r="I1166" t="s">
        <v>4931</v>
      </c>
      <c r="J1166" t="s">
        <v>8290</v>
      </c>
      <c r="K1166" t="s">
        <v>11240</v>
      </c>
      <c r="L1166" t="s">
        <v>3366</v>
      </c>
      <c r="M1166" t="s">
        <v>11887</v>
      </c>
      <c r="N1166" t="s">
        <v>3363</v>
      </c>
      <c r="O1166" t="s">
        <v>15211</v>
      </c>
      <c r="P1166" t="s">
        <v>15211</v>
      </c>
      <c r="Q1166" t="s">
        <v>15211</v>
      </c>
      <c r="R1166" t="s">
        <v>15211</v>
      </c>
      <c r="S1166" t="s">
        <v>15211</v>
      </c>
      <c r="T1166" t="s">
        <v>3363</v>
      </c>
      <c r="U1166" t="s">
        <v>13063</v>
      </c>
      <c r="V1166" t="s">
        <v>15235</v>
      </c>
    </row>
    <row r="1167" spans="1:22" hidden="1">
      <c r="A1167" t="s">
        <v>15317</v>
      </c>
      <c r="B1167" t="s">
        <v>15441</v>
      </c>
      <c r="C1167" t="s">
        <v>15447</v>
      </c>
      <c r="D1167" t="s">
        <v>1166</v>
      </c>
      <c r="E1167" t="s">
        <v>3442</v>
      </c>
      <c r="F1167" t="s">
        <v>3464</v>
      </c>
      <c r="G1167" s="3">
        <v>36.220918542275498</v>
      </c>
      <c r="H1167" s="3">
        <v>127.802771172188</v>
      </c>
      <c r="I1167" t="s">
        <v>4932</v>
      </c>
      <c r="J1167" t="s">
        <v>8291</v>
      </c>
      <c r="K1167" t="s">
        <v>11241</v>
      </c>
      <c r="L1167" t="s">
        <v>3374</v>
      </c>
      <c r="M1167" t="s">
        <v>11892</v>
      </c>
      <c r="N1167" t="s">
        <v>3364</v>
      </c>
      <c r="O1167" t="s">
        <v>15211</v>
      </c>
      <c r="P1167" t="s">
        <v>15211</v>
      </c>
      <c r="Q1167" t="s">
        <v>15211</v>
      </c>
      <c r="R1167" t="s">
        <v>15211</v>
      </c>
      <c r="S1167" t="s">
        <v>15211</v>
      </c>
      <c r="T1167" t="s">
        <v>3364</v>
      </c>
      <c r="U1167" t="s">
        <v>13064</v>
      </c>
      <c r="V1167" t="s">
        <v>15235</v>
      </c>
    </row>
    <row r="1168" spans="1:22" hidden="1">
      <c r="A1168" t="s">
        <v>15317</v>
      </c>
      <c r="B1168" t="s">
        <v>15441</v>
      </c>
      <c r="C1168" t="s">
        <v>15447</v>
      </c>
      <c r="D1168" t="s">
        <v>1167</v>
      </c>
      <c r="E1168" t="s">
        <v>3441</v>
      </c>
      <c r="F1168" t="s">
        <v>3477</v>
      </c>
      <c r="G1168" s="3">
        <v>36.220918560564002</v>
      </c>
      <c r="H1168" s="3">
        <v>127.80277118537199</v>
      </c>
      <c r="I1168" t="s">
        <v>4933</v>
      </c>
      <c r="J1168" t="s">
        <v>8292</v>
      </c>
      <c r="K1168" t="s">
        <v>11242</v>
      </c>
      <c r="L1168" t="s">
        <v>3374</v>
      </c>
      <c r="M1168" t="s">
        <v>11892</v>
      </c>
      <c r="N1168" t="s">
        <v>3364</v>
      </c>
      <c r="O1168" t="s">
        <v>15211</v>
      </c>
      <c r="P1168" t="s">
        <v>15211</v>
      </c>
      <c r="Q1168" t="s">
        <v>15211</v>
      </c>
      <c r="R1168" t="s">
        <v>15211</v>
      </c>
      <c r="S1168" t="s">
        <v>15211</v>
      </c>
      <c r="T1168" t="s">
        <v>3364</v>
      </c>
      <c r="U1168" t="s">
        <v>13065</v>
      </c>
      <c r="V1168" t="s">
        <v>15235</v>
      </c>
    </row>
    <row r="1169" spans="1:22" hidden="1">
      <c r="A1169" t="s">
        <v>15317</v>
      </c>
      <c r="B1169" t="s">
        <v>15441</v>
      </c>
      <c r="C1169" t="s">
        <v>15447</v>
      </c>
      <c r="D1169" t="s">
        <v>1168</v>
      </c>
      <c r="E1169" t="s">
        <v>3453</v>
      </c>
      <c r="F1169" t="s">
        <v>3477</v>
      </c>
      <c r="G1169" s="3">
        <v>36.220918551871002</v>
      </c>
      <c r="H1169" s="3">
        <v>127.802771150776</v>
      </c>
      <c r="I1169" t="s">
        <v>4934</v>
      </c>
      <c r="J1169" t="s">
        <v>8293</v>
      </c>
      <c r="K1169" t="s">
        <v>11242</v>
      </c>
      <c r="L1169" t="s">
        <v>3366</v>
      </c>
      <c r="M1169" t="s">
        <v>11892</v>
      </c>
      <c r="N1169" t="s">
        <v>3364</v>
      </c>
      <c r="O1169" t="s">
        <v>15211</v>
      </c>
      <c r="P1169" t="s">
        <v>15211</v>
      </c>
      <c r="Q1169" t="s">
        <v>15211</v>
      </c>
      <c r="R1169" t="s">
        <v>15211</v>
      </c>
      <c r="S1169" t="s">
        <v>15211</v>
      </c>
      <c r="T1169" t="s">
        <v>3364</v>
      </c>
      <c r="U1169" t="s">
        <v>13066</v>
      </c>
      <c r="V1169" t="s">
        <v>15235</v>
      </c>
    </row>
    <row r="1170" spans="1:22" hidden="1">
      <c r="A1170" t="s">
        <v>15317</v>
      </c>
      <c r="B1170" t="s">
        <v>15441</v>
      </c>
      <c r="C1170" t="s">
        <v>15445</v>
      </c>
      <c r="D1170" t="s">
        <v>1169</v>
      </c>
      <c r="E1170" t="s">
        <v>3434</v>
      </c>
      <c r="F1170" t="s">
        <v>3426</v>
      </c>
      <c r="G1170" s="3">
        <v>36.220918636160903</v>
      </c>
      <c r="H1170" s="3">
        <v>127.80277125981</v>
      </c>
      <c r="I1170" t="s">
        <v>4935</v>
      </c>
      <c r="J1170" t="s">
        <v>8294</v>
      </c>
      <c r="K1170" t="s">
        <v>11243</v>
      </c>
      <c r="L1170" t="s">
        <v>3366</v>
      </c>
      <c r="M1170" t="s">
        <v>11885</v>
      </c>
      <c r="N1170" t="s">
        <v>3364</v>
      </c>
      <c r="O1170" t="s">
        <v>3360</v>
      </c>
      <c r="P1170" t="s">
        <v>15211</v>
      </c>
      <c r="Q1170" t="s">
        <v>15211</v>
      </c>
      <c r="R1170" t="s">
        <v>15211</v>
      </c>
      <c r="S1170" t="s">
        <v>15211</v>
      </c>
      <c r="T1170" t="s">
        <v>3368</v>
      </c>
      <c r="U1170" t="s">
        <v>13067</v>
      </c>
      <c r="V1170" t="s">
        <v>15228</v>
      </c>
    </row>
    <row r="1171" spans="1:22" hidden="1">
      <c r="A1171" t="s">
        <v>15317</v>
      </c>
      <c r="B1171" t="s">
        <v>15441</v>
      </c>
      <c r="C1171" t="s">
        <v>15445</v>
      </c>
      <c r="D1171" t="s">
        <v>1170</v>
      </c>
      <c r="E1171" t="s">
        <v>3435</v>
      </c>
      <c r="F1171" t="s">
        <v>3450</v>
      </c>
      <c r="G1171" s="3">
        <v>36.2209186375893</v>
      </c>
      <c r="H1171" s="3">
        <v>127.802771295273</v>
      </c>
      <c r="I1171" t="s">
        <v>4936</v>
      </c>
      <c r="J1171" t="s">
        <v>8295</v>
      </c>
      <c r="K1171" t="s">
        <v>11244</v>
      </c>
      <c r="L1171" t="s">
        <v>3366</v>
      </c>
      <c r="M1171" t="s">
        <v>11885</v>
      </c>
      <c r="N1171" t="s">
        <v>3364</v>
      </c>
      <c r="O1171" t="s">
        <v>3360</v>
      </c>
      <c r="P1171" t="s">
        <v>15211</v>
      </c>
      <c r="Q1171" t="s">
        <v>15211</v>
      </c>
      <c r="R1171" t="s">
        <v>15211</v>
      </c>
      <c r="S1171" t="s">
        <v>15211</v>
      </c>
      <c r="T1171" t="s">
        <v>3368</v>
      </c>
      <c r="U1171" t="s">
        <v>13068</v>
      </c>
      <c r="V1171" t="s">
        <v>15228</v>
      </c>
    </row>
    <row r="1172" spans="1:22" hidden="1">
      <c r="A1172" t="s">
        <v>15317</v>
      </c>
      <c r="B1172" t="s">
        <v>15441</v>
      </c>
      <c r="C1172" t="s">
        <v>15445</v>
      </c>
      <c r="D1172" t="s">
        <v>1171</v>
      </c>
      <c r="E1172" t="s">
        <v>3429</v>
      </c>
      <c r="F1172" t="s">
        <v>3463</v>
      </c>
      <c r="G1172" s="3">
        <v>36.220918606000502</v>
      </c>
      <c r="H1172" s="3">
        <v>127.80277133961199</v>
      </c>
      <c r="I1172" t="s">
        <v>4937</v>
      </c>
      <c r="J1172" t="s">
        <v>8296</v>
      </c>
      <c r="K1172" t="s">
        <v>10808</v>
      </c>
      <c r="L1172" t="s">
        <v>3366</v>
      </c>
      <c r="M1172" t="s">
        <v>11885</v>
      </c>
      <c r="N1172" t="s">
        <v>3364</v>
      </c>
      <c r="O1172" t="s">
        <v>3360</v>
      </c>
      <c r="P1172" t="s">
        <v>15211</v>
      </c>
      <c r="Q1172" t="s">
        <v>15211</v>
      </c>
      <c r="R1172" t="s">
        <v>15211</v>
      </c>
      <c r="S1172" t="s">
        <v>15211</v>
      </c>
      <c r="T1172" t="s">
        <v>3368</v>
      </c>
      <c r="U1172" t="s">
        <v>13069</v>
      </c>
      <c r="V1172" t="s">
        <v>15228</v>
      </c>
    </row>
    <row r="1173" spans="1:22" hidden="1">
      <c r="A1173" t="s">
        <v>15317</v>
      </c>
      <c r="B1173" t="s">
        <v>15441</v>
      </c>
      <c r="C1173" t="s">
        <v>15446</v>
      </c>
      <c r="D1173" t="s">
        <v>1172</v>
      </c>
      <c r="E1173" t="s">
        <v>3428</v>
      </c>
      <c r="F1173" t="s">
        <v>3442</v>
      </c>
      <c r="G1173" s="3">
        <v>36.220918560840403</v>
      </c>
      <c r="H1173" s="3">
        <v>127.802771393444</v>
      </c>
      <c r="I1173" t="s">
        <v>4938</v>
      </c>
      <c r="J1173" t="s">
        <v>8297</v>
      </c>
      <c r="K1173" t="s">
        <v>11178</v>
      </c>
      <c r="L1173" t="s">
        <v>3366</v>
      </c>
      <c r="M1173" t="s">
        <v>11885</v>
      </c>
      <c r="N1173" t="s">
        <v>3364</v>
      </c>
      <c r="O1173" t="s">
        <v>3360</v>
      </c>
      <c r="P1173" t="s">
        <v>15211</v>
      </c>
      <c r="Q1173" t="s">
        <v>15211</v>
      </c>
      <c r="R1173" t="s">
        <v>15211</v>
      </c>
      <c r="S1173" t="s">
        <v>15211</v>
      </c>
      <c r="T1173" t="s">
        <v>3368</v>
      </c>
      <c r="U1173" t="s">
        <v>13070</v>
      </c>
      <c r="V1173" t="s">
        <v>15229</v>
      </c>
    </row>
    <row r="1174" spans="1:22" hidden="1">
      <c r="A1174" t="s">
        <v>15317</v>
      </c>
      <c r="B1174" t="s">
        <v>15441</v>
      </c>
      <c r="C1174" t="s">
        <v>15446</v>
      </c>
      <c r="D1174" t="s">
        <v>1173</v>
      </c>
      <c r="E1174" t="s">
        <v>3436</v>
      </c>
      <c r="F1174" t="s">
        <v>3433</v>
      </c>
      <c r="G1174" s="3">
        <v>36.220918564018604</v>
      </c>
      <c r="H1174" s="3">
        <v>127.802771359779</v>
      </c>
      <c r="I1174" t="s">
        <v>4939</v>
      </c>
      <c r="J1174" t="s">
        <v>8298</v>
      </c>
      <c r="K1174" t="s">
        <v>11245</v>
      </c>
      <c r="L1174" t="s">
        <v>3366</v>
      </c>
      <c r="M1174" t="s">
        <v>11886</v>
      </c>
      <c r="N1174" t="s">
        <v>3364</v>
      </c>
      <c r="O1174" t="s">
        <v>3360</v>
      </c>
      <c r="P1174" t="s">
        <v>15211</v>
      </c>
      <c r="Q1174" t="s">
        <v>15211</v>
      </c>
      <c r="R1174" t="s">
        <v>15211</v>
      </c>
      <c r="S1174" t="s">
        <v>15211</v>
      </c>
      <c r="T1174" t="s">
        <v>3368</v>
      </c>
      <c r="U1174" t="s">
        <v>13071</v>
      </c>
      <c r="V1174" t="s">
        <v>15229</v>
      </c>
    </row>
    <row r="1175" spans="1:22" hidden="1">
      <c r="A1175" t="s">
        <v>15317</v>
      </c>
      <c r="B1175" t="s">
        <v>15441</v>
      </c>
      <c r="C1175" t="s">
        <v>15446</v>
      </c>
      <c r="D1175" t="s">
        <v>1174</v>
      </c>
      <c r="E1175" t="s">
        <v>3425</v>
      </c>
      <c r="F1175" t="s">
        <v>3433</v>
      </c>
      <c r="G1175" s="3">
        <v>36.220918578397203</v>
      </c>
      <c r="H1175" s="3">
        <v>127.80277133593</v>
      </c>
      <c r="I1175" t="s">
        <v>4940</v>
      </c>
      <c r="J1175" t="s">
        <v>8299</v>
      </c>
      <c r="K1175" t="s">
        <v>11246</v>
      </c>
      <c r="L1175" t="s">
        <v>3366</v>
      </c>
      <c r="M1175" t="s">
        <v>11885</v>
      </c>
      <c r="N1175" t="s">
        <v>3364</v>
      </c>
      <c r="O1175" t="s">
        <v>3360</v>
      </c>
      <c r="P1175" t="s">
        <v>15211</v>
      </c>
      <c r="Q1175" t="s">
        <v>15211</v>
      </c>
      <c r="R1175" t="s">
        <v>15211</v>
      </c>
      <c r="S1175" t="s">
        <v>15211</v>
      </c>
      <c r="T1175" t="s">
        <v>3368</v>
      </c>
      <c r="U1175" t="s">
        <v>13072</v>
      </c>
      <c r="V1175" t="s">
        <v>15229</v>
      </c>
    </row>
    <row r="1176" spans="1:22" hidden="1">
      <c r="A1176" t="s">
        <v>15317</v>
      </c>
      <c r="B1176" t="s">
        <v>15441</v>
      </c>
      <c r="C1176" t="s">
        <v>15448</v>
      </c>
      <c r="D1176" t="s">
        <v>1175</v>
      </c>
      <c r="E1176" t="s">
        <v>3442</v>
      </c>
      <c r="F1176" t="s">
        <v>3476</v>
      </c>
      <c r="G1176" s="3">
        <v>36.220918669934598</v>
      </c>
      <c r="H1176" s="3">
        <v>127.802771196927</v>
      </c>
      <c r="I1176" t="s">
        <v>4941</v>
      </c>
      <c r="J1176" t="s">
        <v>8300</v>
      </c>
      <c r="K1176" t="s">
        <v>11078</v>
      </c>
      <c r="L1176" t="s">
        <v>3366</v>
      </c>
      <c r="M1176" t="s">
        <v>11914</v>
      </c>
      <c r="N1176" t="s">
        <v>3364</v>
      </c>
      <c r="O1176" t="s">
        <v>3360</v>
      </c>
      <c r="P1176" t="s">
        <v>3366</v>
      </c>
      <c r="Q1176" t="s">
        <v>3359</v>
      </c>
      <c r="R1176" t="s">
        <v>3358</v>
      </c>
      <c r="S1176" t="s">
        <v>15211</v>
      </c>
      <c r="T1176" t="s">
        <v>3383</v>
      </c>
      <c r="U1176" t="s">
        <v>13073</v>
      </c>
      <c r="V1176" t="s">
        <v>15230</v>
      </c>
    </row>
    <row r="1177" spans="1:22" hidden="1">
      <c r="A1177" t="s">
        <v>15317</v>
      </c>
      <c r="B1177" t="s">
        <v>15441</v>
      </c>
      <c r="C1177" t="s">
        <v>15448</v>
      </c>
      <c r="D1177" t="s">
        <v>1176</v>
      </c>
      <c r="E1177" t="s">
        <v>3442</v>
      </c>
      <c r="F1177" t="s">
        <v>3466</v>
      </c>
      <c r="G1177" s="3">
        <v>36.220918631934097</v>
      </c>
      <c r="H1177" s="3">
        <v>127.802771184929</v>
      </c>
      <c r="I1177" t="s">
        <v>4942</v>
      </c>
      <c r="J1177" t="s">
        <v>8301</v>
      </c>
      <c r="K1177" t="s">
        <v>10740</v>
      </c>
      <c r="L1177" t="s">
        <v>3366</v>
      </c>
      <c r="M1177" t="s">
        <v>11914</v>
      </c>
      <c r="N1177" t="s">
        <v>3364</v>
      </c>
      <c r="O1177" t="s">
        <v>3360</v>
      </c>
      <c r="P1177" t="s">
        <v>3366</v>
      </c>
      <c r="Q1177" t="s">
        <v>3359</v>
      </c>
      <c r="R1177" t="s">
        <v>3358</v>
      </c>
      <c r="S1177" t="s">
        <v>15211</v>
      </c>
      <c r="T1177" t="s">
        <v>3383</v>
      </c>
      <c r="U1177" t="s">
        <v>13074</v>
      </c>
      <c r="V1177" t="s">
        <v>15230</v>
      </c>
    </row>
    <row r="1178" spans="1:22" hidden="1">
      <c r="A1178" t="s">
        <v>15317</v>
      </c>
      <c r="B1178" t="s">
        <v>15441</v>
      </c>
      <c r="C1178" t="s">
        <v>15448</v>
      </c>
      <c r="D1178" t="s">
        <v>1177</v>
      </c>
      <c r="E1178" t="s">
        <v>3442</v>
      </c>
      <c r="F1178" t="s">
        <v>3466</v>
      </c>
      <c r="G1178" s="3">
        <v>36.220918629663302</v>
      </c>
      <c r="H1178" s="3">
        <v>127.80277117665599</v>
      </c>
      <c r="I1178" t="s">
        <v>4943</v>
      </c>
      <c r="J1178" t="s">
        <v>8302</v>
      </c>
      <c r="K1178" t="s">
        <v>11247</v>
      </c>
      <c r="L1178" t="s">
        <v>3366</v>
      </c>
      <c r="M1178" t="s">
        <v>11914</v>
      </c>
      <c r="N1178" t="s">
        <v>3364</v>
      </c>
      <c r="O1178" t="s">
        <v>3360</v>
      </c>
      <c r="P1178" t="s">
        <v>3365</v>
      </c>
      <c r="Q1178" t="s">
        <v>3359</v>
      </c>
      <c r="R1178" t="s">
        <v>3358</v>
      </c>
      <c r="S1178" t="s">
        <v>15211</v>
      </c>
      <c r="T1178" t="s">
        <v>3382</v>
      </c>
      <c r="U1178" t="s">
        <v>13075</v>
      </c>
      <c r="V1178" t="s">
        <v>15230</v>
      </c>
    </row>
    <row r="1179" spans="1:22" hidden="1">
      <c r="A1179" t="s">
        <v>15317</v>
      </c>
      <c r="B1179" t="s">
        <v>15441</v>
      </c>
      <c r="C1179" t="s">
        <v>15449</v>
      </c>
      <c r="D1179" t="s">
        <v>1178</v>
      </c>
      <c r="E1179" t="s">
        <v>3425</v>
      </c>
      <c r="F1179" t="s">
        <v>3426</v>
      </c>
      <c r="G1179" s="3">
        <v>36.220918624826901</v>
      </c>
      <c r="H1179" s="3">
        <v>127.802771139078</v>
      </c>
      <c r="I1179" t="s">
        <v>4944</v>
      </c>
      <c r="J1179" t="s">
        <v>8303</v>
      </c>
      <c r="K1179" t="s">
        <v>11141</v>
      </c>
      <c r="L1179" t="s">
        <v>3366</v>
      </c>
      <c r="M1179" t="s">
        <v>11910</v>
      </c>
      <c r="N1179" t="s">
        <v>3364</v>
      </c>
      <c r="O1179" t="s">
        <v>3360</v>
      </c>
      <c r="P1179" t="s">
        <v>3366</v>
      </c>
      <c r="Q1179" t="s">
        <v>3360</v>
      </c>
      <c r="R1179" t="s">
        <v>3358</v>
      </c>
      <c r="S1179" t="s">
        <v>15211</v>
      </c>
      <c r="T1179" t="s">
        <v>3384</v>
      </c>
      <c r="U1179" t="s">
        <v>13076</v>
      </c>
      <c r="V1179" t="s">
        <v>15231</v>
      </c>
    </row>
    <row r="1180" spans="1:22" hidden="1">
      <c r="A1180" t="s">
        <v>15317</v>
      </c>
      <c r="B1180" t="s">
        <v>15441</v>
      </c>
      <c r="C1180" t="s">
        <v>15449</v>
      </c>
      <c r="D1180" t="s">
        <v>1179</v>
      </c>
      <c r="E1180" t="s">
        <v>3431</v>
      </c>
      <c r="F1180" t="s">
        <v>3465</v>
      </c>
      <c r="G1180" s="3">
        <v>36.2209186239376</v>
      </c>
      <c r="H1180" s="3">
        <v>127.802771125788</v>
      </c>
      <c r="I1180" t="s">
        <v>4945</v>
      </c>
      <c r="J1180" t="s">
        <v>8304</v>
      </c>
      <c r="K1180" t="s">
        <v>11248</v>
      </c>
      <c r="L1180" t="s">
        <v>3366</v>
      </c>
      <c r="M1180" t="s">
        <v>11914</v>
      </c>
      <c r="N1180" t="s">
        <v>3364</v>
      </c>
      <c r="O1180" t="s">
        <v>3359</v>
      </c>
      <c r="P1180" t="s">
        <v>3366</v>
      </c>
      <c r="Q1180" t="s">
        <v>3360</v>
      </c>
      <c r="R1180" t="s">
        <v>3358</v>
      </c>
      <c r="S1180" t="s">
        <v>15211</v>
      </c>
      <c r="T1180" t="s">
        <v>3383</v>
      </c>
      <c r="U1180" t="s">
        <v>13077</v>
      </c>
      <c r="V1180" t="s">
        <v>15231</v>
      </c>
    </row>
    <row r="1181" spans="1:22" hidden="1">
      <c r="A1181" t="s">
        <v>15317</v>
      </c>
      <c r="B1181" t="s">
        <v>15441</v>
      </c>
      <c r="C1181" t="s">
        <v>15449</v>
      </c>
      <c r="D1181" t="s">
        <v>1180</v>
      </c>
      <c r="E1181" t="s">
        <v>3434</v>
      </c>
      <c r="F1181" t="s">
        <v>3460</v>
      </c>
      <c r="G1181" s="3">
        <v>36.2209185960116</v>
      </c>
      <c r="H1181" s="3">
        <v>127.802771117596</v>
      </c>
      <c r="I1181" t="s">
        <v>4946</v>
      </c>
      <c r="J1181" t="s">
        <v>8305</v>
      </c>
      <c r="K1181" t="s">
        <v>10849</v>
      </c>
      <c r="L1181" t="s">
        <v>3366</v>
      </c>
      <c r="M1181" t="s">
        <v>11914</v>
      </c>
      <c r="N1181" t="s">
        <v>3364</v>
      </c>
      <c r="O1181" t="s">
        <v>3360</v>
      </c>
      <c r="P1181" t="s">
        <v>3366</v>
      </c>
      <c r="Q1181" t="s">
        <v>3360</v>
      </c>
      <c r="R1181" t="s">
        <v>3358</v>
      </c>
      <c r="S1181" t="s">
        <v>15211</v>
      </c>
      <c r="T1181" t="s">
        <v>3384</v>
      </c>
      <c r="U1181" t="s">
        <v>13078</v>
      </c>
      <c r="V1181" t="s">
        <v>15231</v>
      </c>
    </row>
    <row r="1182" spans="1:22" hidden="1">
      <c r="A1182" t="s">
        <v>15317</v>
      </c>
      <c r="B1182" t="s">
        <v>15442</v>
      </c>
      <c r="C1182" t="s">
        <v>15445</v>
      </c>
      <c r="D1182" t="s">
        <v>1181</v>
      </c>
      <c r="E1182" t="s">
        <v>3436</v>
      </c>
      <c r="F1182" t="s">
        <v>3453</v>
      </c>
      <c r="G1182" s="3">
        <v>36.220918558153599</v>
      </c>
      <c r="H1182" s="3">
        <v>127.80277114738099</v>
      </c>
      <c r="I1182" t="s">
        <v>4947</v>
      </c>
      <c r="J1182" t="s">
        <v>8306</v>
      </c>
      <c r="K1182" t="s">
        <v>11249</v>
      </c>
      <c r="L1182" t="s">
        <v>3366</v>
      </c>
      <c r="M1182" t="s">
        <v>11886</v>
      </c>
      <c r="N1182" t="s">
        <v>3364</v>
      </c>
      <c r="O1182" t="s">
        <v>3359</v>
      </c>
      <c r="P1182" t="s">
        <v>15211</v>
      </c>
      <c r="Q1182" t="s">
        <v>15211</v>
      </c>
      <c r="R1182" t="s">
        <v>15211</v>
      </c>
      <c r="S1182" t="s">
        <v>15211</v>
      </c>
      <c r="T1182" t="s">
        <v>3367</v>
      </c>
      <c r="U1182" t="s">
        <v>13079</v>
      </c>
      <c r="V1182" t="s">
        <v>15233</v>
      </c>
    </row>
    <row r="1183" spans="1:22" hidden="1">
      <c r="A1183" t="s">
        <v>15317</v>
      </c>
      <c r="B1183" t="s">
        <v>15442</v>
      </c>
      <c r="C1183" t="s">
        <v>15445</v>
      </c>
      <c r="D1183" t="s">
        <v>1182</v>
      </c>
      <c r="E1183" t="s">
        <v>3425</v>
      </c>
      <c r="F1183" t="s">
        <v>3433</v>
      </c>
      <c r="G1183" s="3">
        <v>36.220918495603101</v>
      </c>
      <c r="H1183" s="3">
        <v>127.80277117471201</v>
      </c>
      <c r="I1183" t="s">
        <v>4948</v>
      </c>
      <c r="J1183" t="s">
        <v>8307</v>
      </c>
      <c r="K1183" t="s">
        <v>10919</v>
      </c>
      <c r="L1183" t="s">
        <v>3366</v>
      </c>
      <c r="M1183" t="s">
        <v>11886</v>
      </c>
      <c r="N1183" t="s">
        <v>3364</v>
      </c>
      <c r="O1183" t="s">
        <v>3359</v>
      </c>
      <c r="P1183" t="s">
        <v>15211</v>
      </c>
      <c r="Q1183" t="s">
        <v>15211</v>
      </c>
      <c r="R1183" t="s">
        <v>15211</v>
      </c>
      <c r="S1183" t="s">
        <v>15211</v>
      </c>
      <c r="T1183" t="s">
        <v>3367</v>
      </c>
      <c r="U1183" t="s">
        <v>13080</v>
      </c>
      <c r="V1183" t="s">
        <v>15233</v>
      </c>
    </row>
    <row r="1184" spans="1:22" hidden="1">
      <c r="A1184" t="s">
        <v>15317</v>
      </c>
      <c r="B1184" t="s">
        <v>15442</v>
      </c>
      <c r="C1184" t="s">
        <v>15445</v>
      </c>
      <c r="D1184" t="s">
        <v>1183</v>
      </c>
      <c r="E1184" t="s">
        <v>3431</v>
      </c>
      <c r="F1184" t="s">
        <v>3452</v>
      </c>
      <c r="G1184" s="3">
        <v>36.220918395408901</v>
      </c>
      <c r="H1184" s="3">
        <v>127.802771234026</v>
      </c>
      <c r="I1184" t="s">
        <v>4949</v>
      </c>
      <c r="J1184" t="s">
        <v>8308</v>
      </c>
      <c r="K1184" t="s">
        <v>11047</v>
      </c>
      <c r="L1184" t="s">
        <v>3366</v>
      </c>
      <c r="M1184" t="s">
        <v>11886</v>
      </c>
      <c r="N1184" t="s">
        <v>3364</v>
      </c>
      <c r="O1184" t="s">
        <v>3359</v>
      </c>
      <c r="P1184" t="s">
        <v>15211</v>
      </c>
      <c r="Q1184" t="s">
        <v>15211</v>
      </c>
      <c r="R1184" t="s">
        <v>15211</v>
      </c>
      <c r="S1184" t="s">
        <v>15211</v>
      </c>
      <c r="T1184" t="s">
        <v>3367</v>
      </c>
      <c r="U1184" t="s">
        <v>13081</v>
      </c>
      <c r="V1184" t="s">
        <v>15233</v>
      </c>
    </row>
    <row r="1185" spans="1:22" hidden="1">
      <c r="A1185" t="s">
        <v>15317</v>
      </c>
      <c r="B1185" t="s">
        <v>15442</v>
      </c>
      <c r="C1185" t="s">
        <v>15451</v>
      </c>
      <c r="D1185" t="s">
        <v>1184</v>
      </c>
      <c r="E1185" t="s">
        <v>3440</v>
      </c>
      <c r="F1185" t="s">
        <v>3434</v>
      </c>
      <c r="G1185" s="3">
        <v>36.220918453965098</v>
      </c>
      <c r="H1185" s="3">
        <v>127.80277116336499</v>
      </c>
      <c r="I1185" t="s">
        <v>4950</v>
      </c>
      <c r="J1185" t="s">
        <v>8309</v>
      </c>
      <c r="K1185" t="s">
        <v>11250</v>
      </c>
      <c r="L1185" t="s">
        <v>3366</v>
      </c>
      <c r="M1185" t="s">
        <v>11888</v>
      </c>
      <c r="N1185" t="s">
        <v>3364</v>
      </c>
      <c r="O1185" t="s">
        <v>3359</v>
      </c>
      <c r="P1185" t="s">
        <v>3365</v>
      </c>
      <c r="Q1185" t="s">
        <v>3358</v>
      </c>
      <c r="R1185" t="s">
        <v>15211</v>
      </c>
      <c r="S1185" t="s">
        <v>15211</v>
      </c>
      <c r="T1185" t="s">
        <v>3378</v>
      </c>
      <c r="U1185" t="s">
        <v>13082</v>
      </c>
      <c r="V1185" t="s">
        <v>15234</v>
      </c>
    </row>
    <row r="1186" spans="1:22" hidden="1">
      <c r="A1186" t="s">
        <v>15317</v>
      </c>
      <c r="B1186" t="s">
        <v>15442</v>
      </c>
      <c r="C1186" t="s">
        <v>15451</v>
      </c>
      <c r="D1186" t="s">
        <v>1185</v>
      </c>
      <c r="E1186" t="s">
        <v>3427</v>
      </c>
      <c r="F1186" t="s">
        <v>3442</v>
      </c>
      <c r="G1186" s="3">
        <v>36.2209184581682</v>
      </c>
      <c r="H1186" s="3">
        <v>127.80277110509699</v>
      </c>
      <c r="I1186" t="s">
        <v>4951</v>
      </c>
      <c r="J1186" t="s">
        <v>8310</v>
      </c>
      <c r="K1186" t="s">
        <v>11251</v>
      </c>
      <c r="L1186" t="s">
        <v>3366</v>
      </c>
      <c r="M1186" t="s">
        <v>11888</v>
      </c>
      <c r="N1186" t="s">
        <v>3364</v>
      </c>
      <c r="O1186" t="s">
        <v>3359</v>
      </c>
      <c r="P1186" t="s">
        <v>3366</v>
      </c>
      <c r="Q1186" t="s">
        <v>3358</v>
      </c>
      <c r="R1186" t="s">
        <v>15211</v>
      </c>
      <c r="S1186" t="s">
        <v>15211</v>
      </c>
      <c r="T1186" t="s">
        <v>3379</v>
      </c>
      <c r="U1186" t="s">
        <v>13083</v>
      </c>
      <c r="V1186" t="s">
        <v>15234</v>
      </c>
    </row>
    <row r="1187" spans="1:22" hidden="1">
      <c r="A1187" t="s">
        <v>15317</v>
      </c>
      <c r="B1187" t="s">
        <v>15442</v>
      </c>
      <c r="C1187" t="s">
        <v>15451</v>
      </c>
      <c r="D1187" t="s">
        <v>1186</v>
      </c>
      <c r="E1187" t="s">
        <v>3427</v>
      </c>
      <c r="F1187" t="s">
        <v>3441</v>
      </c>
      <c r="G1187" s="3">
        <v>36.2209185307468</v>
      </c>
      <c r="H1187" s="3">
        <v>127.80277105532301</v>
      </c>
      <c r="I1187" t="s">
        <v>4952</v>
      </c>
      <c r="J1187" t="s">
        <v>8311</v>
      </c>
      <c r="K1187" t="s">
        <v>11252</v>
      </c>
      <c r="L1187" t="s">
        <v>3366</v>
      </c>
      <c r="M1187" t="s">
        <v>11888</v>
      </c>
      <c r="N1187" t="s">
        <v>3364</v>
      </c>
      <c r="O1187" t="s">
        <v>3359</v>
      </c>
      <c r="P1187" t="s">
        <v>3366</v>
      </c>
      <c r="Q1187" t="s">
        <v>3358</v>
      </c>
      <c r="R1187" t="s">
        <v>15211</v>
      </c>
      <c r="S1187" t="s">
        <v>15211</v>
      </c>
      <c r="T1187" t="s">
        <v>3379</v>
      </c>
      <c r="U1187" t="s">
        <v>13084</v>
      </c>
      <c r="V1187" t="s">
        <v>15234</v>
      </c>
    </row>
    <row r="1188" spans="1:22">
      <c r="A1188" t="s">
        <v>15317</v>
      </c>
      <c r="B1188" t="s">
        <v>15443</v>
      </c>
      <c r="C1188" t="s">
        <v>15452</v>
      </c>
      <c r="D1188" t="s">
        <v>1187</v>
      </c>
      <c r="E1188" t="s">
        <v>3440</v>
      </c>
      <c r="F1188" t="s">
        <v>3434</v>
      </c>
      <c r="G1188" s="3">
        <v>36.220918044949101</v>
      </c>
      <c r="H1188" s="3">
        <v>127.802770958227</v>
      </c>
      <c r="I1188" t="s">
        <v>4953</v>
      </c>
      <c r="J1188" t="s">
        <v>8312</v>
      </c>
      <c r="K1188" t="s">
        <v>11253</v>
      </c>
      <c r="L1188" t="s">
        <v>3366</v>
      </c>
      <c r="M1188" t="s">
        <v>11895</v>
      </c>
      <c r="N1188" t="s">
        <v>3360</v>
      </c>
      <c r="O1188" t="s">
        <v>15211</v>
      </c>
      <c r="P1188" t="s">
        <v>3363</v>
      </c>
      <c r="Q1188" t="s">
        <v>3359</v>
      </c>
      <c r="R1188" t="s">
        <v>15211</v>
      </c>
      <c r="S1188" t="s">
        <v>15211</v>
      </c>
      <c r="T1188" t="s">
        <v>3370</v>
      </c>
      <c r="U1188" t="s">
        <v>13085</v>
      </c>
      <c r="V1188" t="s">
        <v>15220</v>
      </c>
    </row>
    <row r="1189" spans="1:22">
      <c r="A1189" t="s">
        <v>15317</v>
      </c>
      <c r="B1189" t="s">
        <v>15443</v>
      </c>
      <c r="C1189" t="s">
        <v>15452</v>
      </c>
      <c r="D1189" t="s">
        <v>1188</v>
      </c>
      <c r="E1189" t="s">
        <v>3440</v>
      </c>
      <c r="F1189" t="s">
        <v>3435</v>
      </c>
      <c r="G1189" s="3">
        <v>36.220918053280997</v>
      </c>
      <c r="H1189" s="3">
        <v>127.802770940039</v>
      </c>
      <c r="I1189" t="s">
        <v>4954</v>
      </c>
      <c r="J1189" t="s">
        <v>8313</v>
      </c>
      <c r="K1189" t="s">
        <v>10977</v>
      </c>
      <c r="L1189" t="s">
        <v>3366</v>
      </c>
      <c r="M1189" t="s">
        <v>11895</v>
      </c>
      <c r="N1189" t="s">
        <v>3360</v>
      </c>
      <c r="O1189" t="s">
        <v>15211</v>
      </c>
      <c r="P1189" t="s">
        <v>3363</v>
      </c>
      <c r="Q1189" t="s">
        <v>3360</v>
      </c>
      <c r="R1189" t="s">
        <v>15211</v>
      </c>
      <c r="S1189" t="s">
        <v>15211</v>
      </c>
      <c r="T1189" t="s">
        <v>3371</v>
      </c>
      <c r="U1189" t="s">
        <v>13086</v>
      </c>
      <c r="V1189" t="s">
        <v>15220</v>
      </c>
    </row>
    <row r="1190" spans="1:22">
      <c r="A1190" t="s">
        <v>15317</v>
      </c>
      <c r="B1190" t="s">
        <v>15443</v>
      </c>
      <c r="C1190" t="s">
        <v>15452</v>
      </c>
      <c r="D1190" t="s">
        <v>1189</v>
      </c>
      <c r="E1190" t="s">
        <v>3438</v>
      </c>
      <c r="F1190" t="s">
        <v>3429</v>
      </c>
      <c r="G1190" s="3">
        <v>36.2209180552655</v>
      </c>
      <c r="H1190" s="3">
        <v>127.802770932382</v>
      </c>
      <c r="I1190" t="s">
        <v>4955</v>
      </c>
      <c r="J1190" t="s">
        <v>8314</v>
      </c>
      <c r="K1190" t="s">
        <v>11254</v>
      </c>
      <c r="L1190" t="s">
        <v>3366</v>
      </c>
      <c r="M1190" t="s">
        <v>11895</v>
      </c>
      <c r="N1190" t="s">
        <v>3360</v>
      </c>
      <c r="O1190" t="s">
        <v>15211</v>
      </c>
      <c r="P1190" t="s">
        <v>3363</v>
      </c>
      <c r="Q1190" t="s">
        <v>3360</v>
      </c>
      <c r="R1190" t="s">
        <v>15211</v>
      </c>
      <c r="S1190" t="s">
        <v>15211</v>
      </c>
      <c r="T1190" t="s">
        <v>3371</v>
      </c>
      <c r="U1190" t="s">
        <v>13087</v>
      </c>
      <c r="V1190" t="s">
        <v>15220</v>
      </c>
    </row>
    <row r="1191" spans="1:22" hidden="1">
      <c r="A1191" t="s">
        <v>15318</v>
      </c>
      <c r="B1191" t="s">
        <v>15441</v>
      </c>
      <c r="C1191" t="s">
        <v>15445</v>
      </c>
      <c r="D1191" t="s">
        <v>1190</v>
      </c>
      <c r="E1191" t="s">
        <v>3443</v>
      </c>
      <c r="F1191" t="s">
        <v>3440</v>
      </c>
      <c r="G1191" s="3">
        <v>36.457955174054398</v>
      </c>
      <c r="H1191" s="3">
        <v>127.70160008565399</v>
      </c>
      <c r="I1191" t="s">
        <v>4956</v>
      </c>
      <c r="J1191" t="s">
        <v>8315</v>
      </c>
      <c r="K1191" t="s">
        <v>11255</v>
      </c>
      <c r="L1191" t="s">
        <v>3366</v>
      </c>
      <c r="M1191" t="s">
        <v>11886</v>
      </c>
      <c r="N1191" t="s">
        <v>3363</v>
      </c>
      <c r="O1191" t="s">
        <v>3360</v>
      </c>
      <c r="P1191" t="s">
        <v>15211</v>
      </c>
      <c r="Q1191" t="s">
        <v>15211</v>
      </c>
      <c r="R1191" t="s">
        <v>15211</v>
      </c>
      <c r="S1191" t="s">
        <v>15211</v>
      </c>
      <c r="T1191" t="s">
        <v>3367</v>
      </c>
      <c r="U1191" t="s">
        <v>13088</v>
      </c>
      <c r="V1191" t="s">
        <v>15228</v>
      </c>
    </row>
    <row r="1192" spans="1:22" hidden="1">
      <c r="A1192" t="s">
        <v>15318</v>
      </c>
      <c r="B1192" t="s">
        <v>15441</v>
      </c>
      <c r="C1192" t="s">
        <v>15445</v>
      </c>
      <c r="D1192" t="s">
        <v>1191</v>
      </c>
      <c r="E1192" t="s">
        <v>3443</v>
      </c>
      <c r="F1192" t="s">
        <v>3440</v>
      </c>
      <c r="G1192" s="3">
        <v>36.457955168750097</v>
      </c>
      <c r="H1192" s="3">
        <v>127.701600067757</v>
      </c>
      <c r="I1192" t="s">
        <v>4957</v>
      </c>
      <c r="J1192" t="s">
        <v>8316</v>
      </c>
      <c r="K1192" t="s">
        <v>11256</v>
      </c>
      <c r="L1192" t="s">
        <v>3366</v>
      </c>
      <c r="M1192" t="s">
        <v>11886</v>
      </c>
      <c r="N1192" t="s">
        <v>3363</v>
      </c>
      <c r="O1192" t="s">
        <v>3360</v>
      </c>
      <c r="P1192" t="s">
        <v>15211</v>
      </c>
      <c r="Q1192" t="s">
        <v>15211</v>
      </c>
      <c r="R1192" t="s">
        <v>15211</v>
      </c>
      <c r="S1192" t="s">
        <v>15211</v>
      </c>
      <c r="T1192" t="s">
        <v>3367</v>
      </c>
      <c r="U1192" t="s">
        <v>13089</v>
      </c>
      <c r="V1192" t="s">
        <v>15228</v>
      </c>
    </row>
    <row r="1193" spans="1:22" hidden="1">
      <c r="A1193" t="s">
        <v>15318</v>
      </c>
      <c r="B1193" t="s">
        <v>15441</v>
      </c>
      <c r="C1193" t="s">
        <v>15445</v>
      </c>
      <c r="D1193" t="s">
        <v>1192</v>
      </c>
      <c r="E1193" t="s">
        <v>3443</v>
      </c>
      <c r="F1193" t="s">
        <v>3440</v>
      </c>
      <c r="G1193" s="3">
        <v>36.457955141992002</v>
      </c>
      <c r="H1193" s="3">
        <v>127.70160008457501</v>
      </c>
      <c r="I1193" t="s">
        <v>4958</v>
      </c>
      <c r="J1193" t="s">
        <v>8317</v>
      </c>
      <c r="K1193" t="s">
        <v>11256</v>
      </c>
      <c r="L1193" t="s">
        <v>3366</v>
      </c>
      <c r="M1193" t="s">
        <v>11886</v>
      </c>
      <c r="N1193" t="s">
        <v>3363</v>
      </c>
      <c r="O1193" t="s">
        <v>3360</v>
      </c>
      <c r="P1193" t="s">
        <v>15211</v>
      </c>
      <c r="Q1193" t="s">
        <v>15211</v>
      </c>
      <c r="R1193" t="s">
        <v>15211</v>
      </c>
      <c r="S1193" t="s">
        <v>15211</v>
      </c>
      <c r="T1193" t="s">
        <v>3367</v>
      </c>
      <c r="U1193" t="s">
        <v>13090</v>
      </c>
      <c r="V1193" t="s">
        <v>15228</v>
      </c>
    </row>
    <row r="1194" spans="1:22" hidden="1">
      <c r="A1194" t="s">
        <v>15318</v>
      </c>
      <c r="B1194" t="s">
        <v>15441</v>
      </c>
      <c r="C1194" t="s">
        <v>15446</v>
      </c>
      <c r="D1194" t="s">
        <v>1193</v>
      </c>
      <c r="E1194" t="s">
        <v>3439</v>
      </c>
      <c r="F1194" t="s">
        <v>3438</v>
      </c>
      <c r="G1194" s="3">
        <v>36.457955141993999</v>
      </c>
      <c r="H1194" s="3">
        <v>127.701600074149</v>
      </c>
      <c r="I1194" t="s">
        <v>4959</v>
      </c>
      <c r="J1194" t="s">
        <v>8318</v>
      </c>
      <c r="K1194" t="s">
        <v>11257</v>
      </c>
      <c r="L1194" t="s">
        <v>3366</v>
      </c>
      <c r="M1194" t="s">
        <v>11886</v>
      </c>
      <c r="N1194" t="s">
        <v>3363</v>
      </c>
      <c r="O1194" t="s">
        <v>3360</v>
      </c>
      <c r="P1194" t="s">
        <v>15211</v>
      </c>
      <c r="Q1194" t="s">
        <v>15211</v>
      </c>
      <c r="R1194" t="s">
        <v>15211</v>
      </c>
      <c r="S1194" t="s">
        <v>15211</v>
      </c>
      <c r="T1194" t="s">
        <v>3367</v>
      </c>
      <c r="U1194" t="s">
        <v>13091</v>
      </c>
      <c r="V1194" t="s">
        <v>15229</v>
      </c>
    </row>
    <row r="1195" spans="1:22" hidden="1">
      <c r="A1195" t="s">
        <v>15318</v>
      </c>
      <c r="B1195" t="s">
        <v>15441</v>
      </c>
      <c r="C1195" t="s">
        <v>15446</v>
      </c>
      <c r="D1195" t="s">
        <v>1194</v>
      </c>
      <c r="E1195" t="s">
        <v>3439</v>
      </c>
      <c r="F1195" t="s">
        <v>3438</v>
      </c>
      <c r="G1195" s="3">
        <v>36.457955155396</v>
      </c>
      <c r="H1195" s="3">
        <v>127.701600085</v>
      </c>
      <c r="I1195" t="s">
        <v>4960</v>
      </c>
      <c r="J1195" t="s">
        <v>8319</v>
      </c>
      <c r="K1195" t="s">
        <v>11137</v>
      </c>
      <c r="L1195" t="s">
        <v>3366</v>
      </c>
      <c r="M1195" t="s">
        <v>11886</v>
      </c>
      <c r="N1195" t="s">
        <v>3363</v>
      </c>
      <c r="O1195" t="s">
        <v>3360</v>
      </c>
      <c r="P1195" t="s">
        <v>15211</v>
      </c>
      <c r="Q1195" t="s">
        <v>15211</v>
      </c>
      <c r="R1195" t="s">
        <v>15211</v>
      </c>
      <c r="S1195" t="s">
        <v>15211</v>
      </c>
      <c r="T1195" t="s">
        <v>3367</v>
      </c>
      <c r="U1195" t="s">
        <v>13092</v>
      </c>
      <c r="V1195" t="s">
        <v>15229</v>
      </c>
    </row>
    <row r="1196" spans="1:22" hidden="1">
      <c r="A1196" t="s">
        <v>15318</v>
      </c>
      <c r="B1196" t="s">
        <v>15441</v>
      </c>
      <c r="C1196" t="s">
        <v>15446</v>
      </c>
      <c r="D1196" t="s">
        <v>1195</v>
      </c>
      <c r="E1196" t="s">
        <v>3439</v>
      </c>
      <c r="F1196" t="s">
        <v>3438</v>
      </c>
      <c r="G1196" s="3">
        <v>36.457955156737</v>
      </c>
      <c r="H1196" s="3">
        <v>127.701600097371</v>
      </c>
      <c r="I1196" t="s">
        <v>4961</v>
      </c>
      <c r="J1196" t="s">
        <v>8320</v>
      </c>
      <c r="K1196" t="s">
        <v>11137</v>
      </c>
      <c r="L1196" t="s">
        <v>3366</v>
      </c>
      <c r="M1196" t="s">
        <v>11886</v>
      </c>
      <c r="N1196" t="s">
        <v>3363</v>
      </c>
      <c r="O1196" t="s">
        <v>3360</v>
      </c>
      <c r="P1196" t="s">
        <v>15211</v>
      </c>
      <c r="Q1196" t="s">
        <v>15211</v>
      </c>
      <c r="R1196" t="s">
        <v>15211</v>
      </c>
      <c r="S1196" t="s">
        <v>15211</v>
      </c>
      <c r="T1196" t="s">
        <v>3367</v>
      </c>
      <c r="U1196" t="s">
        <v>13093</v>
      </c>
      <c r="V1196" t="s">
        <v>15229</v>
      </c>
    </row>
    <row r="1197" spans="1:22" hidden="1">
      <c r="A1197" t="s">
        <v>15318</v>
      </c>
      <c r="B1197" t="s">
        <v>15441</v>
      </c>
      <c r="C1197" t="s">
        <v>15447</v>
      </c>
      <c r="D1197" t="s">
        <v>1196</v>
      </c>
      <c r="E1197" t="s">
        <v>3438</v>
      </c>
      <c r="F1197" t="s">
        <v>3436</v>
      </c>
      <c r="G1197" s="3">
        <v>36.457955160658102</v>
      </c>
      <c r="H1197" s="3">
        <v>127.70160007409299</v>
      </c>
      <c r="I1197" t="s">
        <v>4962</v>
      </c>
      <c r="J1197" t="s">
        <v>8321</v>
      </c>
      <c r="K1197" t="s">
        <v>11258</v>
      </c>
      <c r="L1197" t="s">
        <v>3366</v>
      </c>
      <c r="M1197" t="s">
        <v>11892</v>
      </c>
      <c r="N1197" t="s">
        <v>3364</v>
      </c>
      <c r="O1197" t="s">
        <v>15211</v>
      </c>
      <c r="P1197" t="s">
        <v>15211</v>
      </c>
      <c r="Q1197" t="s">
        <v>15211</v>
      </c>
      <c r="R1197" t="s">
        <v>15211</v>
      </c>
      <c r="S1197" t="s">
        <v>15211</v>
      </c>
      <c r="T1197" t="s">
        <v>3364</v>
      </c>
      <c r="U1197" t="s">
        <v>13094</v>
      </c>
      <c r="V1197" t="s">
        <v>15235</v>
      </c>
    </row>
    <row r="1198" spans="1:22" hidden="1">
      <c r="A1198" t="s">
        <v>15318</v>
      </c>
      <c r="B1198" t="s">
        <v>15441</v>
      </c>
      <c r="C1198" t="s">
        <v>15447</v>
      </c>
      <c r="D1198" t="s">
        <v>1197</v>
      </c>
      <c r="E1198" t="s">
        <v>3438</v>
      </c>
      <c r="F1198" t="s">
        <v>3425</v>
      </c>
      <c r="G1198" s="3">
        <v>36.457955134582598</v>
      </c>
      <c r="H1198" s="3">
        <v>127.701600050647</v>
      </c>
      <c r="I1198" t="s">
        <v>4963</v>
      </c>
      <c r="J1198" t="s">
        <v>8322</v>
      </c>
      <c r="K1198" t="s">
        <v>11258</v>
      </c>
      <c r="L1198" t="s">
        <v>3366</v>
      </c>
      <c r="M1198" t="s">
        <v>11892</v>
      </c>
      <c r="N1198" t="s">
        <v>3364</v>
      </c>
      <c r="O1198" t="s">
        <v>15211</v>
      </c>
      <c r="P1198" t="s">
        <v>15211</v>
      </c>
      <c r="Q1198" t="s">
        <v>15211</v>
      </c>
      <c r="R1198" t="s">
        <v>15211</v>
      </c>
      <c r="S1198" t="s">
        <v>15211</v>
      </c>
      <c r="T1198" t="s">
        <v>3364</v>
      </c>
      <c r="U1198" t="s">
        <v>13095</v>
      </c>
      <c r="V1198" t="s">
        <v>15235</v>
      </c>
    </row>
    <row r="1199" spans="1:22" hidden="1">
      <c r="A1199" t="s">
        <v>15318</v>
      </c>
      <c r="B1199" t="s">
        <v>15441</v>
      </c>
      <c r="C1199" t="s">
        <v>15447</v>
      </c>
      <c r="D1199" t="s">
        <v>1198</v>
      </c>
      <c r="E1199" t="s">
        <v>3440</v>
      </c>
      <c r="F1199" t="s">
        <v>3428</v>
      </c>
      <c r="G1199" s="3">
        <v>36.457955119481703</v>
      </c>
      <c r="H1199" s="3">
        <v>127.70160002719</v>
      </c>
      <c r="I1199" t="s">
        <v>4964</v>
      </c>
      <c r="J1199" t="s">
        <v>8323</v>
      </c>
      <c r="K1199" t="s">
        <v>11258</v>
      </c>
      <c r="L1199" t="s">
        <v>3366</v>
      </c>
      <c r="M1199" t="s">
        <v>11892</v>
      </c>
      <c r="N1199" t="s">
        <v>3364</v>
      </c>
      <c r="O1199" t="s">
        <v>15211</v>
      </c>
      <c r="P1199" t="s">
        <v>15211</v>
      </c>
      <c r="Q1199" t="s">
        <v>15211</v>
      </c>
      <c r="R1199" t="s">
        <v>15211</v>
      </c>
      <c r="S1199" t="s">
        <v>15211</v>
      </c>
      <c r="T1199" t="s">
        <v>3364</v>
      </c>
      <c r="U1199" t="s">
        <v>13096</v>
      </c>
      <c r="V1199" t="s">
        <v>15235</v>
      </c>
    </row>
    <row r="1200" spans="1:22" hidden="1">
      <c r="A1200" t="s">
        <v>15318</v>
      </c>
      <c r="B1200" t="s">
        <v>15441</v>
      </c>
      <c r="C1200" t="s">
        <v>15448</v>
      </c>
      <c r="D1200" t="s">
        <v>1199</v>
      </c>
      <c r="E1200" t="s">
        <v>3436</v>
      </c>
      <c r="F1200" t="s">
        <v>3432</v>
      </c>
      <c r="G1200" s="3">
        <v>36.457955186046597</v>
      </c>
      <c r="H1200" s="3">
        <v>127.701600111313</v>
      </c>
      <c r="I1200" t="s">
        <v>4965</v>
      </c>
      <c r="J1200" t="s">
        <v>8324</v>
      </c>
      <c r="K1200" t="s">
        <v>10548</v>
      </c>
      <c r="L1200" t="s">
        <v>3366</v>
      </c>
      <c r="M1200" t="s">
        <v>11914</v>
      </c>
      <c r="N1200" t="s">
        <v>3364</v>
      </c>
      <c r="O1200" t="s">
        <v>3360</v>
      </c>
      <c r="P1200" t="s">
        <v>3364</v>
      </c>
      <c r="Q1200" t="s">
        <v>3361</v>
      </c>
      <c r="R1200" t="s">
        <v>3358</v>
      </c>
      <c r="S1200" t="s">
        <v>15211</v>
      </c>
      <c r="T1200" t="s">
        <v>3383</v>
      </c>
      <c r="U1200" t="s">
        <v>13097</v>
      </c>
      <c r="V1200" t="s">
        <v>15230</v>
      </c>
    </row>
    <row r="1201" spans="1:22" hidden="1">
      <c r="A1201" t="s">
        <v>15318</v>
      </c>
      <c r="B1201" t="s">
        <v>15441</v>
      </c>
      <c r="C1201" t="s">
        <v>15448</v>
      </c>
      <c r="D1201" t="s">
        <v>1200</v>
      </c>
      <c r="E1201" t="s">
        <v>3436</v>
      </c>
      <c r="F1201" t="s">
        <v>3452</v>
      </c>
      <c r="G1201" s="3">
        <v>36.457955175920198</v>
      </c>
      <c r="H1201" s="3">
        <v>127.70160012341999</v>
      </c>
      <c r="I1201" t="s">
        <v>4966</v>
      </c>
      <c r="J1201" t="s">
        <v>8325</v>
      </c>
      <c r="K1201" t="s">
        <v>10548</v>
      </c>
      <c r="L1201" t="s">
        <v>3366</v>
      </c>
      <c r="M1201" t="s">
        <v>11914</v>
      </c>
      <c r="N1201" t="s">
        <v>3364</v>
      </c>
      <c r="O1201" t="s">
        <v>3360</v>
      </c>
      <c r="P1201" t="s">
        <v>3364</v>
      </c>
      <c r="Q1201" t="s">
        <v>3361</v>
      </c>
      <c r="R1201" t="s">
        <v>3358</v>
      </c>
      <c r="S1201" t="s">
        <v>15211</v>
      </c>
      <c r="T1201" t="s">
        <v>3383</v>
      </c>
      <c r="U1201" t="s">
        <v>13098</v>
      </c>
      <c r="V1201" t="s">
        <v>15230</v>
      </c>
    </row>
    <row r="1202" spans="1:22" hidden="1">
      <c r="A1202" t="s">
        <v>15318</v>
      </c>
      <c r="B1202" t="s">
        <v>15441</v>
      </c>
      <c r="C1202" t="s">
        <v>15448</v>
      </c>
      <c r="D1202" t="s">
        <v>1201</v>
      </c>
      <c r="E1202" t="s">
        <v>3436</v>
      </c>
      <c r="F1202" t="s">
        <v>3452</v>
      </c>
      <c r="G1202" s="3">
        <v>36.457955161498099</v>
      </c>
      <c r="H1202" s="3">
        <v>127.70160012017099</v>
      </c>
      <c r="I1202" t="s">
        <v>4967</v>
      </c>
      <c r="J1202" t="s">
        <v>8326</v>
      </c>
      <c r="K1202" t="s">
        <v>10548</v>
      </c>
      <c r="L1202" t="s">
        <v>3366</v>
      </c>
      <c r="M1202" t="s">
        <v>11914</v>
      </c>
      <c r="N1202" t="s">
        <v>3364</v>
      </c>
      <c r="O1202" t="s">
        <v>3360</v>
      </c>
      <c r="P1202" t="s">
        <v>3364</v>
      </c>
      <c r="Q1202" t="s">
        <v>3361</v>
      </c>
      <c r="R1202" t="s">
        <v>3358</v>
      </c>
      <c r="S1202" t="s">
        <v>15211</v>
      </c>
      <c r="T1202" t="s">
        <v>3383</v>
      </c>
      <c r="U1202" t="s">
        <v>13099</v>
      </c>
      <c r="V1202" t="s">
        <v>15230</v>
      </c>
    </row>
    <row r="1203" spans="1:22" hidden="1">
      <c r="A1203" t="s">
        <v>15318</v>
      </c>
      <c r="B1203" t="s">
        <v>15441</v>
      </c>
      <c r="C1203" t="s">
        <v>15449</v>
      </c>
      <c r="D1203" t="s">
        <v>1202</v>
      </c>
      <c r="E1203" t="s">
        <v>3439</v>
      </c>
      <c r="F1203" t="s">
        <v>3436</v>
      </c>
      <c r="G1203" s="3">
        <v>36.457955144507501</v>
      </c>
      <c r="H1203" s="3">
        <v>127.70160007374599</v>
      </c>
      <c r="I1203" t="s">
        <v>4968</v>
      </c>
      <c r="J1203" t="s">
        <v>8327</v>
      </c>
      <c r="K1203" t="s">
        <v>11259</v>
      </c>
      <c r="L1203" t="s">
        <v>3366</v>
      </c>
      <c r="M1203" t="s">
        <v>11912</v>
      </c>
      <c r="N1203" t="s">
        <v>3364</v>
      </c>
      <c r="O1203" t="s">
        <v>3359</v>
      </c>
      <c r="P1203" t="s">
        <v>3364</v>
      </c>
      <c r="Q1203" t="s">
        <v>3361</v>
      </c>
      <c r="R1203" t="s">
        <v>3358</v>
      </c>
      <c r="S1203" t="s">
        <v>15211</v>
      </c>
      <c r="T1203" t="s">
        <v>3382</v>
      </c>
      <c r="U1203" t="s">
        <v>13100</v>
      </c>
      <c r="V1203" t="s">
        <v>15231</v>
      </c>
    </row>
    <row r="1204" spans="1:22" hidden="1">
      <c r="A1204" t="s">
        <v>15318</v>
      </c>
      <c r="B1204" t="s">
        <v>15441</v>
      </c>
      <c r="C1204" t="s">
        <v>15449</v>
      </c>
      <c r="D1204" t="s">
        <v>1203</v>
      </c>
      <c r="E1204" t="s">
        <v>3437</v>
      </c>
      <c r="F1204" t="s">
        <v>3425</v>
      </c>
      <c r="G1204" s="3">
        <v>36.457955140296001</v>
      </c>
      <c r="H1204" s="3">
        <v>127.701600071296</v>
      </c>
      <c r="I1204" t="s">
        <v>4969</v>
      </c>
      <c r="J1204" t="s">
        <v>8328</v>
      </c>
      <c r="K1204" t="s">
        <v>11260</v>
      </c>
      <c r="L1204" t="s">
        <v>3366</v>
      </c>
      <c r="M1204" t="s">
        <v>11912</v>
      </c>
      <c r="N1204" t="s">
        <v>3364</v>
      </c>
      <c r="O1204" t="s">
        <v>3359</v>
      </c>
      <c r="P1204" t="s">
        <v>3364</v>
      </c>
      <c r="Q1204" t="s">
        <v>3361</v>
      </c>
      <c r="R1204" t="s">
        <v>3358</v>
      </c>
      <c r="S1204" t="s">
        <v>15211</v>
      </c>
      <c r="T1204" t="s">
        <v>3382</v>
      </c>
      <c r="U1204" t="s">
        <v>13101</v>
      </c>
      <c r="V1204" t="s">
        <v>15231</v>
      </c>
    </row>
    <row r="1205" spans="1:22" hidden="1">
      <c r="A1205" t="s">
        <v>15318</v>
      </c>
      <c r="B1205" t="s">
        <v>15441</v>
      </c>
      <c r="C1205" t="s">
        <v>15449</v>
      </c>
      <c r="D1205" t="s">
        <v>1204</v>
      </c>
      <c r="E1205" t="s">
        <v>3437</v>
      </c>
      <c r="F1205" t="s">
        <v>3431</v>
      </c>
      <c r="G1205" s="3">
        <v>36.457955159288503</v>
      </c>
      <c r="H1205" s="3">
        <v>127.70160008079699</v>
      </c>
      <c r="I1205" t="s">
        <v>4970</v>
      </c>
      <c r="J1205" t="s">
        <v>8329</v>
      </c>
      <c r="K1205" t="s">
        <v>11260</v>
      </c>
      <c r="L1205" t="s">
        <v>3366</v>
      </c>
      <c r="M1205" t="s">
        <v>11912</v>
      </c>
      <c r="N1205" t="s">
        <v>3364</v>
      </c>
      <c r="O1205" t="s">
        <v>3359</v>
      </c>
      <c r="P1205" t="s">
        <v>3364</v>
      </c>
      <c r="Q1205" t="s">
        <v>3361</v>
      </c>
      <c r="R1205" t="s">
        <v>3358</v>
      </c>
      <c r="S1205" t="s">
        <v>15211</v>
      </c>
      <c r="T1205" t="s">
        <v>3382</v>
      </c>
      <c r="U1205" t="s">
        <v>13102</v>
      </c>
      <c r="V1205" t="s">
        <v>15231</v>
      </c>
    </row>
    <row r="1206" spans="1:22" hidden="1">
      <c r="A1206" t="s">
        <v>15318</v>
      </c>
      <c r="B1206" t="s">
        <v>15442</v>
      </c>
      <c r="C1206" t="s">
        <v>15450</v>
      </c>
      <c r="D1206" t="s">
        <v>1205</v>
      </c>
      <c r="E1206" t="s">
        <v>3440</v>
      </c>
      <c r="F1206" t="s">
        <v>3436</v>
      </c>
      <c r="G1206" s="3">
        <v>36.4579551786926</v>
      </c>
      <c r="H1206" s="3">
        <v>127.701600164176</v>
      </c>
      <c r="I1206" t="s">
        <v>4971</v>
      </c>
      <c r="J1206" t="s">
        <v>8330</v>
      </c>
      <c r="K1206" t="s">
        <v>11261</v>
      </c>
      <c r="L1206" t="s">
        <v>3366</v>
      </c>
      <c r="M1206" t="s">
        <v>11886</v>
      </c>
      <c r="N1206" t="s">
        <v>3364</v>
      </c>
      <c r="O1206" t="s">
        <v>3360</v>
      </c>
      <c r="P1206" t="s">
        <v>15211</v>
      </c>
      <c r="Q1206" t="s">
        <v>15211</v>
      </c>
      <c r="R1206" t="s">
        <v>15211</v>
      </c>
      <c r="S1206" t="s">
        <v>15211</v>
      </c>
      <c r="T1206" t="s">
        <v>3368</v>
      </c>
      <c r="U1206" t="s">
        <v>13103</v>
      </c>
      <c r="V1206" t="s">
        <v>15232</v>
      </c>
    </row>
    <row r="1207" spans="1:22" hidden="1">
      <c r="A1207" t="s">
        <v>15318</v>
      </c>
      <c r="B1207" t="s">
        <v>15442</v>
      </c>
      <c r="C1207" t="s">
        <v>15450</v>
      </c>
      <c r="D1207" t="s">
        <v>1206</v>
      </c>
      <c r="E1207" t="s">
        <v>3440</v>
      </c>
      <c r="F1207" t="s">
        <v>3436</v>
      </c>
      <c r="G1207" s="3">
        <v>36.4579551969642</v>
      </c>
      <c r="H1207" s="3">
        <v>127.70160015806201</v>
      </c>
      <c r="I1207" t="s">
        <v>4972</v>
      </c>
      <c r="J1207" t="s">
        <v>8331</v>
      </c>
      <c r="K1207" t="s">
        <v>11262</v>
      </c>
      <c r="L1207" t="s">
        <v>3366</v>
      </c>
      <c r="M1207" t="s">
        <v>11885</v>
      </c>
      <c r="N1207" t="s">
        <v>3364</v>
      </c>
      <c r="O1207" t="s">
        <v>3360</v>
      </c>
      <c r="P1207" t="s">
        <v>15211</v>
      </c>
      <c r="Q1207" t="s">
        <v>15211</v>
      </c>
      <c r="R1207" t="s">
        <v>15211</v>
      </c>
      <c r="S1207" t="s">
        <v>15211</v>
      </c>
      <c r="T1207" t="s">
        <v>3368</v>
      </c>
      <c r="U1207" t="s">
        <v>13104</v>
      </c>
      <c r="V1207" t="s">
        <v>15232</v>
      </c>
    </row>
    <row r="1208" spans="1:22" hidden="1">
      <c r="A1208" t="s">
        <v>15318</v>
      </c>
      <c r="B1208" t="s">
        <v>15442</v>
      </c>
      <c r="C1208" t="s">
        <v>15450</v>
      </c>
      <c r="D1208" t="s">
        <v>1207</v>
      </c>
      <c r="E1208" t="s">
        <v>3440</v>
      </c>
      <c r="F1208" t="s">
        <v>3436</v>
      </c>
      <c r="G1208" s="3">
        <v>36.457955198369199</v>
      </c>
      <c r="H1208" s="3">
        <v>127.701600140772</v>
      </c>
      <c r="I1208" t="s">
        <v>4973</v>
      </c>
      <c r="J1208" t="s">
        <v>8332</v>
      </c>
      <c r="K1208" t="s">
        <v>11262</v>
      </c>
      <c r="L1208" t="s">
        <v>3366</v>
      </c>
      <c r="M1208" t="s">
        <v>11885</v>
      </c>
      <c r="N1208" t="s">
        <v>3364</v>
      </c>
      <c r="O1208" t="s">
        <v>3360</v>
      </c>
      <c r="P1208" t="s">
        <v>15211</v>
      </c>
      <c r="Q1208" t="s">
        <v>15211</v>
      </c>
      <c r="R1208" t="s">
        <v>15211</v>
      </c>
      <c r="S1208" t="s">
        <v>15211</v>
      </c>
      <c r="T1208" t="s">
        <v>3368</v>
      </c>
      <c r="U1208" t="s">
        <v>13089</v>
      </c>
      <c r="V1208" t="s">
        <v>15232</v>
      </c>
    </row>
    <row r="1209" spans="1:22" hidden="1">
      <c r="A1209" t="s">
        <v>15318</v>
      </c>
      <c r="B1209" t="s">
        <v>15442</v>
      </c>
      <c r="C1209" t="s">
        <v>15445</v>
      </c>
      <c r="D1209" t="s">
        <v>1208</v>
      </c>
      <c r="E1209" t="s">
        <v>3443</v>
      </c>
      <c r="F1209" t="s">
        <v>3440</v>
      </c>
      <c r="G1209" s="3">
        <v>36.457955259526202</v>
      </c>
      <c r="H1209" s="3">
        <v>127.70160022789899</v>
      </c>
      <c r="I1209" t="s">
        <v>4974</v>
      </c>
      <c r="J1209" t="s">
        <v>8333</v>
      </c>
      <c r="K1209" t="s">
        <v>11032</v>
      </c>
      <c r="L1209" t="s">
        <v>3366</v>
      </c>
      <c r="M1209" t="s">
        <v>11885</v>
      </c>
      <c r="N1209" t="s">
        <v>3364</v>
      </c>
      <c r="O1209" t="s">
        <v>3360</v>
      </c>
      <c r="P1209" t="s">
        <v>15211</v>
      </c>
      <c r="Q1209" t="s">
        <v>15211</v>
      </c>
      <c r="R1209" t="s">
        <v>15211</v>
      </c>
      <c r="S1209" t="s">
        <v>15211</v>
      </c>
      <c r="T1209" t="s">
        <v>3368</v>
      </c>
      <c r="U1209" t="s">
        <v>13105</v>
      </c>
      <c r="V1209" t="s">
        <v>15233</v>
      </c>
    </row>
    <row r="1210" spans="1:22" hidden="1">
      <c r="A1210" t="s">
        <v>15318</v>
      </c>
      <c r="B1210" t="s">
        <v>15442</v>
      </c>
      <c r="C1210" t="s">
        <v>15445</v>
      </c>
      <c r="D1210" t="s">
        <v>1209</v>
      </c>
      <c r="E1210" t="s">
        <v>3443</v>
      </c>
      <c r="F1210" t="s">
        <v>3440</v>
      </c>
      <c r="G1210" s="3">
        <v>36.457955280072198</v>
      </c>
      <c r="H1210" s="3">
        <v>127.701600218568</v>
      </c>
      <c r="I1210" t="s">
        <v>4975</v>
      </c>
      <c r="J1210" t="s">
        <v>8334</v>
      </c>
      <c r="K1210" t="s">
        <v>11032</v>
      </c>
      <c r="L1210" t="s">
        <v>3366</v>
      </c>
      <c r="M1210" t="s">
        <v>11885</v>
      </c>
      <c r="N1210" t="s">
        <v>3364</v>
      </c>
      <c r="O1210" t="s">
        <v>3360</v>
      </c>
      <c r="P1210" t="s">
        <v>15211</v>
      </c>
      <c r="Q1210" t="s">
        <v>15211</v>
      </c>
      <c r="R1210" t="s">
        <v>15211</v>
      </c>
      <c r="S1210" t="s">
        <v>15211</v>
      </c>
      <c r="T1210" t="s">
        <v>3368</v>
      </c>
      <c r="U1210" t="s">
        <v>13106</v>
      </c>
      <c r="V1210" t="s">
        <v>15233</v>
      </c>
    </row>
    <row r="1211" spans="1:22" hidden="1">
      <c r="A1211" t="s">
        <v>15318</v>
      </c>
      <c r="B1211" t="s">
        <v>15442</v>
      </c>
      <c r="C1211" t="s">
        <v>15445</v>
      </c>
      <c r="D1211" t="s">
        <v>1210</v>
      </c>
      <c r="E1211" t="s">
        <v>3443</v>
      </c>
      <c r="F1211" t="s">
        <v>3440</v>
      </c>
      <c r="G1211" s="3">
        <v>36.457955277031701</v>
      </c>
      <c r="H1211" s="3">
        <v>127.70160020343501</v>
      </c>
      <c r="I1211" t="s">
        <v>4976</v>
      </c>
      <c r="J1211" t="s">
        <v>8335</v>
      </c>
      <c r="K1211" t="s">
        <v>10762</v>
      </c>
      <c r="L1211" t="s">
        <v>3366</v>
      </c>
      <c r="M1211" t="s">
        <v>11885</v>
      </c>
      <c r="N1211" t="s">
        <v>3364</v>
      </c>
      <c r="O1211" t="s">
        <v>3360</v>
      </c>
      <c r="P1211" t="s">
        <v>15211</v>
      </c>
      <c r="Q1211" t="s">
        <v>15211</v>
      </c>
      <c r="R1211" t="s">
        <v>15211</v>
      </c>
      <c r="S1211" t="s">
        <v>15211</v>
      </c>
      <c r="T1211" t="s">
        <v>3368</v>
      </c>
      <c r="U1211" t="s">
        <v>13107</v>
      </c>
      <c r="V1211" t="s">
        <v>15233</v>
      </c>
    </row>
    <row r="1212" spans="1:22" hidden="1">
      <c r="A1212" t="s">
        <v>15318</v>
      </c>
      <c r="B1212" t="s">
        <v>15442</v>
      </c>
      <c r="C1212" t="s">
        <v>15451</v>
      </c>
      <c r="D1212" t="s">
        <v>1211</v>
      </c>
      <c r="E1212" t="s">
        <v>3457</v>
      </c>
      <c r="F1212" t="s">
        <v>3440</v>
      </c>
      <c r="G1212" s="3">
        <v>36.457955243491597</v>
      </c>
      <c r="H1212" s="3">
        <v>127.7016002124</v>
      </c>
      <c r="I1212" t="s">
        <v>4977</v>
      </c>
      <c r="J1212" t="s">
        <v>8336</v>
      </c>
      <c r="K1212" t="s">
        <v>10846</v>
      </c>
      <c r="L1212" t="s">
        <v>3366</v>
      </c>
      <c r="M1212" t="s">
        <v>11891</v>
      </c>
      <c r="N1212" t="s">
        <v>3363</v>
      </c>
      <c r="O1212" t="s">
        <v>3360</v>
      </c>
      <c r="P1212" t="s">
        <v>3363</v>
      </c>
      <c r="Q1212" t="s">
        <v>3361</v>
      </c>
      <c r="R1212" t="s">
        <v>15211</v>
      </c>
      <c r="S1212" t="s">
        <v>15211</v>
      </c>
      <c r="T1212" t="s">
        <v>3379</v>
      </c>
      <c r="U1212" t="s">
        <v>13108</v>
      </c>
      <c r="V1212" t="s">
        <v>15234</v>
      </c>
    </row>
    <row r="1213" spans="1:22" hidden="1">
      <c r="A1213" t="s">
        <v>15318</v>
      </c>
      <c r="B1213" t="s">
        <v>15442</v>
      </c>
      <c r="C1213" t="s">
        <v>15451</v>
      </c>
      <c r="D1213" t="s">
        <v>1212</v>
      </c>
      <c r="E1213" t="s">
        <v>3457</v>
      </c>
      <c r="F1213" t="s">
        <v>3440</v>
      </c>
      <c r="G1213" s="3">
        <v>36.457955219784701</v>
      </c>
      <c r="H1213" s="3">
        <v>127.701600197812</v>
      </c>
      <c r="I1213" t="s">
        <v>4978</v>
      </c>
      <c r="J1213" t="s">
        <v>8337</v>
      </c>
      <c r="K1213" t="s">
        <v>11007</v>
      </c>
      <c r="L1213" t="s">
        <v>3366</v>
      </c>
      <c r="M1213" t="s">
        <v>11896</v>
      </c>
      <c r="N1213" t="s">
        <v>3364</v>
      </c>
      <c r="O1213" t="s">
        <v>3360</v>
      </c>
      <c r="P1213" t="s">
        <v>3363</v>
      </c>
      <c r="Q1213" t="s">
        <v>3361</v>
      </c>
      <c r="R1213" t="s">
        <v>15211</v>
      </c>
      <c r="S1213" t="s">
        <v>15211</v>
      </c>
      <c r="T1213" t="s">
        <v>3380</v>
      </c>
      <c r="U1213" t="s">
        <v>13109</v>
      </c>
      <c r="V1213" t="s">
        <v>15234</v>
      </c>
    </row>
    <row r="1214" spans="1:22" hidden="1">
      <c r="A1214" t="s">
        <v>15318</v>
      </c>
      <c r="B1214" t="s">
        <v>15442</v>
      </c>
      <c r="C1214" t="s">
        <v>15451</v>
      </c>
      <c r="D1214" t="s">
        <v>1213</v>
      </c>
      <c r="E1214" t="s">
        <v>3457</v>
      </c>
      <c r="F1214" t="s">
        <v>3440</v>
      </c>
      <c r="G1214" s="3">
        <v>36.457955217725299</v>
      </c>
      <c r="H1214" s="3">
        <v>127.701600217417</v>
      </c>
      <c r="I1214" t="s">
        <v>4979</v>
      </c>
      <c r="J1214" t="s">
        <v>8338</v>
      </c>
      <c r="K1214" t="s">
        <v>10803</v>
      </c>
      <c r="L1214" t="s">
        <v>3366</v>
      </c>
      <c r="M1214" t="s">
        <v>11891</v>
      </c>
      <c r="N1214" t="s">
        <v>3364</v>
      </c>
      <c r="O1214" t="s">
        <v>3360</v>
      </c>
      <c r="P1214" t="s">
        <v>3363</v>
      </c>
      <c r="Q1214" t="s">
        <v>3361</v>
      </c>
      <c r="R1214" t="s">
        <v>15211</v>
      </c>
      <c r="S1214" t="s">
        <v>15211</v>
      </c>
      <c r="T1214" t="s">
        <v>3380</v>
      </c>
      <c r="U1214" t="s">
        <v>13110</v>
      </c>
      <c r="V1214" t="s">
        <v>15234</v>
      </c>
    </row>
    <row r="1215" spans="1:22">
      <c r="A1215" t="s">
        <v>15318</v>
      </c>
      <c r="B1215" t="s">
        <v>15443</v>
      </c>
      <c r="C1215" t="s">
        <v>15452</v>
      </c>
      <c r="D1215" t="s">
        <v>1214</v>
      </c>
      <c r="E1215" t="s">
        <v>3427</v>
      </c>
      <c r="F1215" t="s">
        <v>3465</v>
      </c>
      <c r="G1215" s="3">
        <v>36.457955227368899</v>
      </c>
      <c r="H1215" s="3">
        <v>127.7016002247</v>
      </c>
      <c r="I1215" t="s">
        <v>4980</v>
      </c>
      <c r="J1215" t="s">
        <v>8339</v>
      </c>
      <c r="K1215" t="s">
        <v>11263</v>
      </c>
      <c r="L1215" t="s">
        <v>3366</v>
      </c>
      <c r="M1215" t="s">
        <v>11903</v>
      </c>
      <c r="N1215" t="s">
        <v>3361</v>
      </c>
      <c r="O1215" t="s">
        <v>15211</v>
      </c>
      <c r="P1215" t="s">
        <v>3362</v>
      </c>
      <c r="Q1215" t="s">
        <v>3361</v>
      </c>
      <c r="R1215" t="s">
        <v>15211</v>
      </c>
      <c r="S1215" t="s">
        <v>15211</v>
      </c>
      <c r="T1215" t="s">
        <v>3372</v>
      </c>
      <c r="U1215" t="s">
        <v>13111</v>
      </c>
      <c r="V1215" t="s">
        <v>15220</v>
      </c>
    </row>
    <row r="1216" spans="1:22">
      <c r="A1216" t="s">
        <v>15318</v>
      </c>
      <c r="B1216" t="s">
        <v>15443</v>
      </c>
      <c r="C1216" t="s">
        <v>15452</v>
      </c>
      <c r="D1216" t="s">
        <v>1215</v>
      </c>
      <c r="E1216" t="s">
        <v>3427</v>
      </c>
      <c r="F1216" t="s">
        <v>3450</v>
      </c>
      <c r="G1216" s="3">
        <v>36.457955218354897</v>
      </c>
      <c r="H1216" s="3">
        <v>127.70160025529501</v>
      </c>
      <c r="I1216" t="s">
        <v>4981</v>
      </c>
      <c r="J1216" t="s">
        <v>8340</v>
      </c>
      <c r="K1216" t="s">
        <v>11264</v>
      </c>
      <c r="L1216" t="s">
        <v>3366</v>
      </c>
      <c r="M1216" t="s">
        <v>11903</v>
      </c>
      <c r="N1216" t="s">
        <v>3361</v>
      </c>
      <c r="O1216" t="s">
        <v>15211</v>
      </c>
      <c r="P1216" t="s">
        <v>3362</v>
      </c>
      <c r="Q1216" t="s">
        <v>3361</v>
      </c>
      <c r="R1216" t="s">
        <v>15211</v>
      </c>
      <c r="S1216" t="s">
        <v>15211</v>
      </c>
      <c r="T1216" t="s">
        <v>3372</v>
      </c>
      <c r="U1216" t="s">
        <v>13112</v>
      </c>
      <c r="V1216" t="s">
        <v>15220</v>
      </c>
    </row>
    <row r="1217" spans="1:22">
      <c r="A1217" t="s">
        <v>15318</v>
      </c>
      <c r="B1217" t="s">
        <v>15443</v>
      </c>
      <c r="C1217" t="s">
        <v>15452</v>
      </c>
      <c r="D1217" t="s">
        <v>1216</v>
      </c>
      <c r="E1217" t="s">
        <v>3427</v>
      </c>
      <c r="F1217" t="s">
        <v>3460</v>
      </c>
      <c r="G1217" s="3">
        <v>36.457955182072901</v>
      </c>
      <c r="H1217" s="3">
        <v>127.701600239558</v>
      </c>
      <c r="I1217" t="s">
        <v>4982</v>
      </c>
      <c r="J1217" t="s">
        <v>8341</v>
      </c>
      <c r="K1217" t="s">
        <v>11265</v>
      </c>
      <c r="L1217" t="s">
        <v>3366</v>
      </c>
      <c r="M1217" t="s">
        <v>11903</v>
      </c>
      <c r="N1217" t="s">
        <v>3361</v>
      </c>
      <c r="O1217" t="s">
        <v>15211</v>
      </c>
      <c r="P1217" t="s">
        <v>3362</v>
      </c>
      <c r="Q1217" t="s">
        <v>3361</v>
      </c>
      <c r="R1217" t="s">
        <v>15211</v>
      </c>
      <c r="S1217" t="s">
        <v>15211</v>
      </c>
      <c r="T1217" t="s">
        <v>3372</v>
      </c>
      <c r="U1217" t="s">
        <v>13113</v>
      </c>
      <c r="V1217" t="s">
        <v>15220</v>
      </c>
    </row>
    <row r="1218" spans="1:22" hidden="1">
      <c r="A1218" t="s">
        <v>15319</v>
      </c>
      <c r="B1218" t="s">
        <v>15441</v>
      </c>
      <c r="C1218" t="s">
        <v>15445</v>
      </c>
      <c r="D1218" t="s">
        <v>1217</v>
      </c>
      <c r="E1218" t="s">
        <v>3457</v>
      </c>
      <c r="F1218" t="s">
        <v>3437</v>
      </c>
      <c r="G1218" s="3">
        <v>36.513397241317001</v>
      </c>
      <c r="H1218" s="3">
        <v>127.72017537813601</v>
      </c>
      <c r="I1218" t="s">
        <v>4983</v>
      </c>
      <c r="J1218" t="s">
        <v>8342</v>
      </c>
      <c r="K1218" t="s">
        <v>11266</v>
      </c>
      <c r="L1218" t="s">
        <v>3366</v>
      </c>
      <c r="M1218" t="s">
        <v>11886</v>
      </c>
      <c r="N1218" t="s">
        <v>3364</v>
      </c>
      <c r="O1218" t="s">
        <v>3359</v>
      </c>
      <c r="P1218" t="s">
        <v>15211</v>
      </c>
      <c r="Q1218" t="s">
        <v>15211</v>
      </c>
      <c r="R1218" t="s">
        <v>15211</v>
      </c>
      <c r="S1218" t="s">
        <v>15211</v>
      </c>
      <c r="T1218" t="s">
        <v>3367</v>
      </c>
      <c r="U1218" t="s">
        <v>13114</v>
      </c>
      <c r="V1218" t="s">
        <v>15228</v>
      </c>
    </row>
    <row r="1219" spans="1:22" hidden="1">
      <c r="A1219" t="s">
        <v>15319</v>
      </c>
      <c r="B1219" t="s">
        <v>15441</v>
      </c>
      <c r="C1219" t="s">
        <v>15445</v>
      </c>
      <c r="D1219" t="s">
        <v>1218</v>
      </c>
      <c r="E1219" t="s">
        <v>3457</v>
      </c>
      <c r="F1219" t="s">
        <v>3437</v>
      </c>
      <c r="G1219" s="3">
        <v>36.513397244105001</v>
      </c>
      <c r="H1219" s="3">
        <v>127.72017537393501</v>
      </c>
      <c r="I1219" t="s">
        <v>4984</v>
      </c>
      <c r="J1219" t="s">
        <v>8343</v>
      </c>
      <c r="K1219" t="s">
        <v>11267</v>
      </c>
      <c r="L1219" t="s">
        <v>3366</v>
      </c>
      <c r="M1219" t="s">
        <v>11886</v>
      </c>
      <c r="N1219" t="s">
        <v>3364</v>
      </c>
      <c r="O1219" t="s">
        <v>3359</v>
      </c>
      <c r="P1219" t="s">
        <v>15211</v>
      </c>
      <c r="Q1219" t="s">
        <v>15211</v>
      </c>
      <c r="R1219" t="s">
        <v>15211</v>
      </c>
      <c r="S1219" t="s">
        <v>15211</v>
      </c>
      <c r="T1219" t="s">
        <v>3367</v>
      </c>
      <c r="U1219" t="s">
        <v>13115</v>
      </c>
      <c r="V1219" t="s">
        <v>15228</v>
      </c>
    </row>
    <row r="1220" spans="1:22" hidden="1">
      <c r="A1220" t="s">
        <v>15319</v>
      </c>
      <c r="B1220" t="s">
        <v>15441</v>
      </c>
      <c r="C1220" t="s">
        <v>15445</v>
      </c>
      <c r="D1220" t="s">
        <v>1219</v>
      </c>
      <c r="E1220" t="s">
        <v>3457</v>
      </c>
      <c r="F1220" t="s">
        <v>3437</v>
      </c>
      <c r="G1220" s="3">
        <v>36.513397269981297</v>
      </c>
      <c r="H1220" s="3">
        <v>127.72017536388501</v>
      </c>
      <c r="I1220" t="s">
        <v>4985</v>
      </c>
      <c r="J1220" t="s">
        <v>8344</v>
      </c>
      <c r="K1220" t="s">
        <v>11268</v>
      </c>
      <c r="L1220" t="s">
        <v>3366</v>
      </c>
      <c r="M1220" t="s">
        <v>11886</v>
      </c>
      <c r="N1220" t="s">
        <v>3364</v>
      </c>
      <c r="O1220" t="s">
        <v>3359</v>
      </c>
      <c r="P1220" t="s">
        <v>15211</v>
      </c>
      <c r="Q1220" t="s">
        <v>15211</v>
      </c>
      <c r="R1220" t="s">
        <v>15211</v>
      </c>
      <c r="S1220" t="s">
        <v>15211</v>
      </c>
      <c r="T1220" t="s">
        <v>3367</v>
      </c>
      <c r="U1220" t="s">
        <v>13116</v>
      </c>
      <c r="V1220" t="s">
        <v>15228</v>
      </c>
    </row>
    <row r="1221" spans="1:22" hidden="1">
      <c r="A1221" t="s">
        <v>15319</v>
      </c>
      <c r="B1221" t="s">
        <v>15441</v>
      </c>
      <c r="C1221" t="s">
        <v>15446</v>
      </c>
      <c r="D1221" t="s">
        <v>1220</v>
      </c>
      <c r="E1221" t="s">
        <v>3443</v>
      </c>
      <c r="F1221" t="s">
        <v>3440</v>
      </c>
      <c r="G1221" s="3">
        <v>36.513397293701999</v>
      </c>
      <c r="H1221" s="3">
        <v>127.720175403789</v>
      </c>
      <c r="I1221" t="s">
        <v>4986</v>
      </c>
      <c r="J1221" t="s">
        <v>8345</v>
      </c>
      <c r="K1221" t="s">
        <v>11269</v>
      </c>
      <c r="L1221" t="s">
        <v>3366</v>
      </c>
      <c r="M1221" t="s">
        <v>11885</v>
      </c>
      <c r="N1221" t="s">
        <v>3365</v>
      </c>
      <c r="O1221" t="s">
        <v>3359</v>
      </c>
      <c r="P1221" t="s">
        <v>15211</v>
      </c>
      <c r="Q1221" t="s">
        <v>15211</v>
      </c>
      <c r="R1221" t="s">
        <v>15211</v>
      </c>
      <c r="S1221" t="s">
        <v>15211</v>
      </c>
      <c r="T1221" t="s">
        <v>3368</v>
      </c>
      <c r="U1221" t="s">
        <v>13117</v>
      </c>
      <c r="V1221" t="s">
        <v>15229</v>
      </c>
    </row>
    <row r="1222" spans="1:22" hidden="1">
      <c r="A1222" t="s">
        <v>15319</v>
      </c>
      <c r="B1222" t="s">
        <v>15441</v>
      </c>
      <c r="C1222" t="s">
        <v>15446</v>
      </c>
      <c r="D1222" t="s">
        <v>1221</v>
      </c>
      <c r="E1222" t="s">
        <v>3443</v>
      </c>
      <c r="F1222" t="s">
        <v>3440</v>
      </c>
      <c r="G1222" s="3">
        <v>36.5133973031298</v>
      </c>
      <c r="H1222" s="3">
        <v>127.720175417809</v>
      </c>
      <c r="I1222" t="s">
        <v>4987</v>
      </c>
      <c r="J1222" t="s">
        <v>8346</v>
      </c>
      <c r="K1222" t="s">
        <v>11270</v>
      </c>
      <c r="L1222" t="s">
        <v>3366</v>
      </c>
      <c r="M1222" t="s">
        <v>11885</v>
      </c>
      <c r="N1222" t="s">
        <v>3365</v>
      </c>
      <c r="O1222" t="s">
        <v>3359</v>
      </c>
      <c r="P1222" t="s">
        <v>15211</v>
      </c>
      <c r="Q1222" t="s">
        <v>15211</v>
      </c>
      <c r="R1222" t="s">
        <v>15211</v>
      </c>
      <c r="S1222" t="s">
        <v>15211</v>
      </c>
      <c r="T1222" t="s">
        <v>3368</v>
      </c>
      <c r="U1222" t="s">
        <v>13118</v>
      </c>
      <c r="V1222" t="s">
        <v>15229</v>
      </c>
    </row>
    <row r="1223" spans="1:22" hidden="1">
      <c r="A1223" t="s">
        <v>15319</v>
      </c>
      <c r="B1223" t="s">
        <v>15441</v>
      </c>
      <c r="C1223" t="s">
        <v>15446</v>
      </c>
      <c r="D1223" t="s">
        <v>1222</v>
      </c>
      <c r="E1223" t="s">
        <v>3443</v>
      </c>
      <c r="F1223" t="s">
        <v>3438</v>
      </c>
      <c r="G1223" s="3">
        <v>36.513397299378298</v>
      </c>
      <c r="H1223" s="3">
        <v>127.720175425215</v>
      </c>
      <c r="I1223" t="s">
        <v>4988</v>
      </c>
      <c r="J1223" t="s">
        <v>8347</v>
      </c>
      <c r="K1223" t="s">
        <v>11271</v>
      </c>
      <c r="L1223" t="s">
        <v>3366</v>
      </c>
      <c r="M1223" t="s">
        <v>11885</v>
      </c>
      <c r="N1223" t="s">
        <v>3365</v>
      </c>
      <c r="O1223" t="s">
        <v>3359</v>
      </c>
      <c r="P1223" t="s">
        <v>15211</v>
      </c>
      <c r="Q1223" t="s">
        <v>15211</v>
      </c>
      <c r="R1223" t="s">
        <v>15211</v>
      </c>
      <c r="S1223" t="s">
        <v>15211</v>
      </c>
      <c r="T1223" t="s">
        <v>3368</v>
      </c>
      <c r="U1223" t="s">
        <v>13119</v>
      </c>
      <c r="V1223" t="s">
        <v>15229</v>
      </c>
    </row>
    <row r="1224" spans="1:22" hidden="1">
      <c r="A1224" t="s">
        <v>15319</v>
      </c>
      <c r="B1224" t="s">
        <v>15441</v>
      </c>
      <c r="C1224" t="s">
        <v>15447</v>
      </c>
      <c r="D1224" t="s">
        <v>1223</v>
      </c>
      <c r="E1224" t="s">
        <v>3443</v>
      </c>
      <c r="F1224" t="s">
        <v>3440</v>
      </c>
      <c r="G1224" s="3">
        <v>36.513397338611398</v>
      </c>
      <c r="H1224" s="3">
        <v>127.72017546602</v>
      </c>
      <c r="I1224" t="s">
        <v>4989</v>
      </c>
      <c r="J1224" t="s">
        <v>8348</v>
      </c>
      <c r="K1224" t="s">
        <v>11272</v>
      </c>
      <c r="L1224" t="s">
        <v>3366</v>
      </c>
      <c r="M1224" t="s">
        <v>11900</v>
      </c>
      <c r="N1224" t="s">
        <v>3365</v>
      </c>
      <c r="O1224" t="s">
        <v>15211</v>
      </c>
      <c r="P1224" t="s">
        <v>15211</v>
      </c>
      <c r="Q1224" t="s">
        <v>15211</v>
      </c>
      <c r="R1224" t="s">
        <v>15211</v>
      </c>
      <c r="S1224" t="s">
        <v>15211</v>
      </c>
      <c r="T1224" t="s">
        <v>3365</v>
      </c>
      <c r="U1224" t="s">
        <v>13120</v>
      </c>
      <c r="V1224" t="s">
        <v>15235</v>
      </c>
    </row>
    <row r="1225" spans="1:22" hidden="1">
      <c r="A1225" t="s">
        <v>15319</v>
      </c>
      <c r="B1225" t="s">
        <v>15441</v>
      </c>
      <c r="C1225" t="s">
        <v>15447</v>
      </c>
      <c r="D1225" t="s">
        <v>1224</v>
      </c>
      <c r="E1225" t="s">
        <v>3443</v>
      </c>
      <c r="F1225" t="s">
        <v>3440</v>
      </c>
      <c r="G1225" s="3">
        <v>36.513397339525199</v>
      </c>
      <c r="H1225" s="3">
        <v>127.720175466161</v>
      </c>
      <c r="I1225" t="s">
        <v>4990</v>
      </c>
      <c r="J1225" t="s">
        <v>8349</v>
      </c>
      <c r="K1225" t="s">
        <v>10571</v>
      </c>
      <c r="L1225" t="s">
        <v>3366</v>
      </c>
      <c r="M1225" t="s">
        <v>11900</v>
      </c>
      <c r="N1225" t="s">
        <v>3365</v>
      </c>
      <c r="O1225" t="s">
        <v>15211</v>
      </c>
      <c r="P1225" t="s">
        <v>15211</v>
      </c>
      <c r="Q1225" t="s">
        <v>15211</v>
      </c>
      <c r="R1225" t="s">
        <v>15211</v>
      </c>
      <c r="S1225" t="s">
        <v>15211</v>
      </c>
      <c r="T1225" t="s">
        <v>3365</v>
      </c>
      <c r="U1225" t="s">
        <v>13121</v>
      </c>
      <c r="V1225" t="s">
        <v>15235</v>
      </c>
    </row>
    <row r="1226" spans="1:22" hidden="1">
      <c r="A1226" t="s">
        <v>15319</v>
      </c>
      <c r="B1226" t="s">
        <v>15441</v>
      </c>
      <c r="C1226" t="s">
        <v>15447</v>
      </c>
      <c r="D1226" t="s">
        <v>1225</v>
      </c>
      <c r="E1226" t="s">
        <v>3443</v>
      </c>
      <c r="F1226" t="s">
        <v>3440</v>
      </c>
      <c r="G1226" s="3">
        <v>36.513397316137798</v>
      </c>
      <c r="H1226" s="3">
        <v>127.720175442498</v>
      </c>
      <c r="I1226" t="s">
        <v>4991</v>
      </c>
      <c r="J1226" t="s">
        <v>8350</v>
      </c>
      <c r="K1226" t="s">
        <v>11273</v>
      </c>
      <c r="L1226" t="s">
        <v>3366</v>
      </c>
      <c r="M1226" t="s">
        <v>11900</v>
      </c>
      <c r="N1226" t="s">
        <v>3365</v>
      </c>
      <c r="O1226" t="s">
        <v>15211</v>
      </c>
      <c r="P1226" t="s">
        <v>15211</v>
      </c>
      <c r="Q1226" t="s">
        <v>15211</v>
      </c>
      <c r="R1226" t="s">
        <v>15211</v>
      </c>
      <c r="S1226" t="s">
        <v>15211</v>
      </c>
      <c r="T1226" t="s">
        <v>3365</v>
      </c>
      <c r="U1226" t="s">
        <v>13122</v>
      </c>
      <c r="V1226" t="s">
        <v>15235</v>
      </c>
    </row>
    <row r="1227" spans="1:22" hidden="1">
      <c r="A1227" t="s">
        <v>15319</v>
      </c>
      <c r="B1227" t="s">
        <v>15441</v>
      </c>
      <c r="C1227" t="s">
        <v>15448</v>
      </c>
      <c r="D1227" t="s">
        <v>1226</v>
      </c>
      <c r="E1227" t="s">
        <v>3440</v>
      </c>
      <c r="F1227" t="s">
        <v>3435</v>
      </c>
      <c r="G1227" s="3">
        <v>36.513397294993901</v>
      </c>
      <c r="H1227" s="3">
        <v>127.720175392336</v>
      </c>
      <c r="I1227" t="s">
        <v>4992</v>
      </c>
      <c r="J1227" t="s">
        <v>8351</v>
      </c>
      <c r="K1227" t="s">
        <v>10782</v>
      </c>
      <c r="L1227" t="s">
        <v>3366</v>
      </c>
      <c r="M1227" t="s">
        <v>11907</v>
      </c>
      <c r="N1227" t="s">
        <v>3365</v>
      </c>
      <c r="O1227" t="s">
        <v>3359</v>
      </c>
      <c r="P1227" t="s">
        <v>3366</v>
      </c>
      <c r="Q1227" t="s">
        <v>3362</v>
      </c>
      <c r="R1227" t="s">
        <v>3358</v>
      </c>
      <c r="S1227" t="s">
        <v>15211</v>
      </c>
      <c r="T1227" t="s">
        <v>3386</v>
      </c>
      <c r="U1227" t="s">
        <v>13123</v>
      </c>
      <c r="V1227" t="s">
        <v>15230</v>
      </c>
    </row>
    <row r="1228" spans="1:22" hidden="1">
      <c r="A1228" t="s">
        <v>15319</v>
      </c>
      <c r="B1228" t="s">
        <v>15441</v>
      </c>
      <c r="C1228" t="s">
        <v>15448</v>
      </c>
      <c r="D1228" t="s">
        <v>1227</v>
      </c>
      <c r="E1228" t="s">
        <v>3438</v>
      </c>
      <c r="F1228" t="s">
        <v>3430</v>
      </c>
      <c r="G1228" s="3">
        <v>36.513397289553403</v>
      </c>
      <c r="H1228" s="3">
        <v>127.72017538229601</v>
      </c>
      <c r="I1228" t="s">
        <v>4993</v>
      </c>
      <c r="J1228" t="s">
        <v>8352</v>
      </c>
      <c r="K1228" t="s">
        <v>11274</v>
      </c>
      <c r="L1228" t="s">
        <v>3366</v>
      </c>
      <c r="M1228" t="s">
        <v>11913</v>
      </c>
      <c r="N1228" t="s">
        <v>3365</v>
      </c>
      <c r="O1228" t="s">
        <v>3360</v>
      </c>
      <c r="P1228" t="s">
        <v>3366</v>
      </c>
      <c r="Q1228" t="s">
        <v>3362</v>
      </c>
      <c r="R1228" t="s">
        <v>3358</v>
      </c>
      <c r="S1228" t="s">
        <v>15211</v>
      </c>
      <c r="T1228" t="s">
        <v>3387</v>
      </c>
      <c r="U1228" t="s">
        <v>13124</v>
      </c>
      <c r="V1228" t="s">
        <v>15230</v>
      </c>
    </row>
    <row r="1229" spans="1:22" hidden="1">
      <c r="A1229" t="s">
        <v>15319</v>
      </c>
      <c r="B1229" t="s">
        <v>15441</v>
      </c>
      <c r="C1229" t="s">
        <v>15448</v>
      </c>
      <c r="D1229" t="s">
        <v>1228</v>
      </c>
      <c r="E1229" t="s">
        <v>3438</v>
      </c>
      <c r="F1229" t="s">
        <v>3430</v>
      </c>
      <c r="G1229" s="3">
        <v>36.5133972808433</v>
      </c>
      <c r="H1229" s="3">
        <v>127.720175373494</v>
      </c>
      <c r="I1229" t="s">
        <v>4994</v>
      </c>
      <c r="J1229" t="s">
        <v>8353</v>
      </c>
      <c r="K1229" t="s">
        <v>11029</v>
      </c>
      <c r="L1229" t="s">
        <v>3366</v>
      </c>
      <c r="M1229" t="s">
        <v>11907</v>
      </c>
      <c r="N1229" t="s">
        <v>3365</v>
      </c>
      <c r="O1229" t="s">
        <v>3360</v>
      </c>
      <c r="P1229" t="s">
        <v>3366</v>
      </c>
      <c r="Q1229" t="s">
        <v>3362</v>
      </c>
      <c r="R1229" t="s">
        <v>3358</v>
      </c>
      <c r="S1229" t="s">
        <v>15211</v>
      </c>
      <c r="T1229" t="s">
        <v>3387</v>
      </c>
      <c r="U1229" t="s">
        <v>13124</v>
      </c>
      <c r="V1229" t="s">
        <v>15230</v>
      </c>
    </row>
    <row r="1230" spans="1:22" hidden="1">
      <c r="A1230" t="s">
        <v>15319</v>
      </c>
      <c r="B1230" t="s">
        <v>15441</v>
      </c>
      <c r="C1230" t="s">
        <v>15449</v>
      </c>
      <c r="D1230" t="s">
        <v>1229</v>
      </c>
      <c r="E1230" t="s">
        <v>3443</v>
      </c>
      <c r="F1230" t="s">
        <v>3427</v>
      </c>
      <c r="G1230" s="3">
        <v>36.513397328451703</v>
      </c>
      <c r="H1230" s="3">
        <v>127.72017534072501</v>
      </c>
      <c r="I1230" t="s">
        <v>4995</v>
      </c>
      <c r="J1230" t="s">
        <v>8354</v>
      </c>
      <c r="K1230" t="s">
        <v>11275</v>
      </c>
      <c r="L1230" t="s">
        <v>3366</v>
      </c>
      <c r="M1230" t="s">
        <v>11913</v>
      </c>
      <c r="N1230" t="s">
        <v>3365</v>
      </c>
      <c r="O1230" t="s">
        <v>3360</v>
      </c>
      <c r="P1230" t="s">
        <v>3366</v>
      </c>
      <c r="Q1230" t="s">
        <v>3362</v>
      </c>
      <c r="R1230" t="s">
        <v>3358</v>
      </c>
      <c r="S1230" t="s">
        <v>15211</v>
      </c>
      <c r="T1230" t="s">
        <v>3387</v>
      </c>
      <c r="U1230" t="s">
        <v>13125</v>
      </c>
      <c r="V1230" t="s">
        <v>15231</v>
      </c>
    </row>
    <row r="1231" spans="1:22" hidden="1">
      <c r="A1231" t="s">
        <v>15319</v>
      </c>
      <c r="B1231" t="s">
        <v>15441</v>
      </c>
      <c r="C1231" t="s">
        <v>15449</v>
      </c>
      <c r="D1231" t="s">
        <v>1230</v>
      </c>
      <c r="E1231" t="s">
        <v>3443</v>
      </c>
      <c r="F1231" t="s">
        <v>3427</v>
      </c>
      <c r="G1231" s="3">
        <v>36.513397327541099</v>
      </c>
      <c r="H1231" s="3">
        <v>127.720175339505</v>
      </c>
      <c r="I1231" t="s">
        <v>4996</v>
      </c>
      <c r="J1231" t="s">
        <v>8355</v>
      </c>
      <c r="K1231" t="s">
        <v>11276</v>
      </c>
      <c r="L1231" t="s">
        <v>3366</v>
      </c>
      <c r="M1231" t="s">
        <v>11913</v>
      </c>
      <c r="N1231" t="s">
        <v>3365</v>
      </c>
      <c r="O1231" t="s">
        <v>3360</v>
      </c>
      <c r="P1231" t="s">
        <v>3366</v>
      </c>
      <c r="Q1231" t="s">
        <v>3362</v>
      </c>
      <c r="R1231" t="s">
        <v>3358</v>
      </c>
      <c r="S1231" t="s">
        <v>15211</v>
      </c>
      <c r="T1231" t="s">
        <v>3387</v>
      </c>
      <c r="U1231" t="s">
        <v>13126</v>
      </c>
      <c r="V1231" t="s">
        <v>15231</v>
      </c>
    </row>
    <row r="1232" spans="1:22" hidden="1">
      <c r="A1232" t="s">
        <v>15319</v>
      </c>
      <c r="B1232" t="s">
        <v>15441</v>
      </c>
      <c r="C1232" t="s">
        <v>15449</v>
      </c>
      <c r="D1232" t="s">
        <v>1231</v>
      </c>
      <c r="E1232" t="s">
        <v>3439</v>
      </c>
      <c r="F1232" t="s">
        <v>3427</v>
      </c>
      <c r="G1232" s="3">
        <v>36.513397337122399</v>
      </c>
      <c r="H1232" s="3">
        <v>127.72017535261899</v>
      </c>
      <c r="I1232" t="s">
        <v>4997</v>
      </c>
      <c r="J1232" t="s">
        <v>8356</v>
      </c>
      <c r="K1232" t="s">
        <v>11277</v>
      </c>
      <c r="L1232" t="s">
        <v>3366</v>
      </c>
      <c r="M1232" t="s">
        <v>11907</v>
      </c>
      <c r="N1232" t="s">
        <v>3365</v>
      </c>
      <c r="O1232" t="s">
        <v>3359</v>
      </c>
      <c r="P1232" t="s">
        <v>3366</v>
      </c>
      <c r="Q1232" t="s">
        <v>3362</v>
      </c>
      <c r="R1232" t="s">
        <v>3358</v>
      </c>
      <c r="S1232" t="s">
        <v>15211</v>
      </c>
      <c r="T1232" t="s">
        <v>3386</v>
      </c>
      <c r="U1232" t="s">
        <v>13127</v>
      </c>
      <c r="V1232" t="s">
        <v>15231</v>
      </c>
    </row>
    <row r="1233" spans="1:22" hidden="1">
      <c r="A1233" t="s">
        <v>15319</v>
      </c>
      <c r="B1233" t="s">
        <v>15442</v>
      </c>
      <c r="C1233" t="s">
        <v>15450</v>
      </c>
      <c r="D1233" t="s">
        <v>1232</v>
      </c>
      <c r="E1233" t="s">
        <v>3439</v>
      </c>
      <c r="F1233" t="s">
        <v>3427</v>
      </c>
      <c r="G1233" s="3">
        <v>36.513397299396502</v>
      </c>
      <c r="H1233" s="3">
        <v>127.72017536544701</v>
      </c>
      <c r="I1233" t="s">
        <v>4998</v>
      </c>
      <c r="J1233" t="s">
        <v>8357</v>
      </c>
      <c r="K1233" t="s">
        <v>10603</v>
      </c>
      <c r="L1233" t="s">
        <v>3366</v>
      </c>
      <c r="M1233" t="s">
        <v>11885</v>
      </c>
      <c r="N1233" t="s">
        <v>3365</v>
      </c>
      <c r="O1233" t="s">
        <v>3360</v>
      </c>
      <c r="P1233" t="s">
        <v>15211</v>
      </c>
      <c r="Q1233" t="s">
        <v>15211</v>
      </c>
      <c r="R1233" t="s">
        <v>15211</v>
      </c>
      <c r="S1233" t="s">
        <v>15211</v>
      </c>
      <c r="T1233" t="s">
        <v>3369</v>
      </c>
      <c r="U1233" t="s">
        <v>13128</v>
      </c>
      <c r="V1233" t="s">
        <v>15232</v>
      </c>
    </row>
    <row r="1234" spans="1:22" hidden="1">
      <c r="A1234" t="s">
        <v>15319</v>
      </c>
      <c r="B1234" t="s">
        <v>15442</v>
      </c>
      <c r="C1234" t="s">
        <v>15450</v>
      </c>
      <c r="D1234" t="s">
        <v>1233</v>
      </c>
      <c r="E1234" t="s">
        <v>3439</v>
      </c>
      <c r="F1234" t="s">
        <v>3427</v>
      </c>
      <c r="G1234" s="3">
        <v>36.513397309573101</v>
      </c>
      <c r="H1234" s="3">
        <v>127.720175350256</v>
      </c>
      <c r="I1234" t="s">
        <v>4999</v>
      </c>
      <c r="J1234" t="s">
        <v>8358</v>
      </c>
      <c r="K1234" t="s">
        <v>10645</v>
      </c>
      <c r="L1234" t="s">
        <v>3366</v>
      </c>
      <c r="M1234" t="s">
        <v>11885</v>
      </c>
      <c r="N1234" t="s">
        <v>3365</v>
      </c>
      <c r="O1234" t="s">
        <v>3359</v>
      </c>
      <c r="P1234" t="s">
        <v>15211</v>
      </c>
      <c r="Q1234" t="s">
        <v>15211</v>
      </c>
      <c r="R1234" t="s">
        <v>15211</v>
      </c>
      <c r="S1234" t="s">
        <v>15211</v>
      </c>
      <c r="T1234" t="s">
        <v>3368</v>
      </c>
      <c r="U1234" t="s">
        <v>13129</v>
      </c>
      <c r="V1234" t="s">
        <v>15232</v>
      </c>
    </row>
    <row r="1235" spans="1:22" hidden="1">
      <c r="A1235" t="s">
        <v>15319</v>
      </c>
      <c r="B1235" t="s">
        <v>15442</v>
      </c>
      <c r="C1235" t="s">
        <v>15450</v>
      </c>
      <c r="D1235" t="s">
        <v>1234</v>
      </c>
      <c r="E1235" t="s">
        <v>3439</v>
      </c>
      <c r="F1235" t="s">
        <v>3428</v>
      </c>
      <c r="G1235" s="3">
        <v>36.513397311307898</v>
      </c>
      <c r="H1235" s="3">
        <v>127.720175344898</v>
      </c>
      <c r="I1235" t="s">
        <v>5000</v>
      </c>
      <c r="J1235" t="s">
        <v>8359</v>
      </c>
      <c r="K1235" t="s">
        <v>10668</v>
      </c>
      <c r="L1235" t="s">
        <v>3366</v>
      </c>
      <c r="M1235" t="s">
        <v>11890</v>
      </c>
      <c r="N1235" t="s">
        <v>3365</v>
      </c>
      <c r="O1235" t="s">
        <v>3360</v>
      </c>
      <c r="P1235" t="s">
        <v>15211</v>
      </c>
      <c r="Q1235" t="s">
        <v>15211</v>
      </c>
      <c r="R1235" t="s">
        <v>15211</v>
      </c>
      <c r="S1235" t="s">
        <v>15211</v>
      </c>
      <c r="T1235" t="s">
        <v>3369</v>
      </c>
      <c r="U1235" t="s">
        <v>13130</v>
      </c>
      <c r="V1235" t="s">
        <v>15232</v>
      </c>
    </row>
    <row r="1236" spans="1:22" hidden="1">
      <c r="A1236" t="s">
        <v>15319</v>
      </c>
      <c r="B1236" t="s">
        <v>15442</v>
      </c>
      <c r="C1236" t="s">
        <v>15445</v>
      </c>
      <c r="D1236" t="s">
        <v>1235</v>
      </c>
      <c r="E1236" t="s">
        <v>3457</v>
      </c>
      <c r="F1236" t="s">
        <v>3437</v>
      </c>
      <c r="G1236" s="3">
        <v>36.513397360580797</v>
      </c>
      <c r="H1236" s="3">
        <v>127.720175320283</v>
      </c>
      <c r="I1236" t="s">
        <v>5001</v>
      </c>
      <c r="J1236" t="s">
        <v>8360</v>
      </c>
      <c r="K1236" t="s">
        <v>11278</v>
      </c>
      <c r="L1236" t="s">
        <v>3366</v>
      </c>
      <c r="M1236" t="s">
        <v>11885</v>
      </c>
      <c r="N1236" t="s">
        <v>3364</v>
      </c>
      <c r="O1236" t="s">
        <v>3359</v>
      </c>
      <c r="P1236" t="s">
        <v>15211</v>
      </c>
      <c r="Q1236" t="s">
        <v>15211</v>
      </c>
      <c r="R1236" t="s">
        <v>15211</v>
      </c>
      <c r="S1236" t="s">
        <v>15211</v>
      </c>
      <c r="T1236" t="s">
        <v>3367</v>
      </c>
      <c r="U1236" t="s">
        <v>13131</v>
      </c>
      <c r="V1236" t="s">
        <v>15233</v>
      </c>
    </row>
    <row r="1237" spans="1:22" hidden="1">
      <c r="A1237" t="s">
        <v>15319</v>
      </c>
      <c r="B1237" t="s">
        <v>15442</v>
      </c>
      <c r="C1237" t="s">
        <v>15445</v>
      </c>
      <c r="D1237" t="s">
        <v>1236</v>
      </c>
      <c r="E1237" t="s">
        <v>3457</v>
      </c>
      <c r="F1237" t="s">
        <v>3437</v>
      </c>
      <c r="G1237" s="3">
        <v>36.513397365600198</v>
      </c>
      <c r="H1237" s="3">
        <v>127.720175339012</v>
      </c>
      <c r="I1237" t="s">
        <v>5002</v>
      </c>
      <c r="J1237" t="s">
        <v>8361</v>
      </c>
      <c r="K1237" t="s">
        <v>11055</v>
      </c>
      <c r="L1237" t="s">
        <v>3366</v>
      </c>
      <c r="M1237" t="s">
        <v>11886</v>
      </c>
      <c r="N1237" t="s">
        <v>3364</v>
      </c>
      <c r="O1237" t="s">
        <v>3359</v>
      </c>
      <c r="P1237" t="s">
        <v>15211</v>
      </c>
      <c r="Q1237" t="s">
        <v>15211</v>
      </c>
      <c r="R1237" t="s">
        <v>15211</v>
      </c>
      <c r="S1237" t="s">
        <v>15211</v>
      </c>
      <c r="T1237" t="s">
        <v>3367</v>
      </c>
      <c r="U1237" t="s">
        <v>13132</v>
      </c>
      <c r="V1237" t="s">
        <v>15233</v>
      </c>
    </row>
    <row r="1238" spans="1:22" hidden="1">
      <c r="A1238" t="s">
        <v>15319</v>
      </c>
      <c r="B1238" t="s">
        <v>15442</v>
      </c>
      <c r="C1238" t="s">
        <v>15445</v>
      </c>
      <c r="D1238" t="s">
        <v>1237</v>
      </c>
      <c r="E1238" t="s">
        <v>3457</v>
      </c>
      <c r="F1238" t="s">
        <v>3437</v>
      </c>
      <c r="G1238" s="3">
        <v>36.513397387077802</v>
      </c>
      <c r="H1238" s="3">
        <v>127.72017535058001</v>
      </c>
      <c r="I1238" t="s">
        <v>5003</v>
      </c>
      <c r="J1238" t="s">
        <v>8362</v>
      </c>
      <c r="K1238" t="s">
        <v>11125</v>
      </c>
      <c r="L1238" t="s">
        <v>3366</v>
      </c>
      <c r="M1238" t="s">
        <v>11885</v>
      </c>
      <c r="N1238" t="s">
        <v>3364</v>
      </c>
      <c r="O1238" t="s">
        <v>3360</v>
      </c>
      <c r="P1238" t="s">
        <v>15211</v>
      </c>
      <c r="Q1238" t="s">
        <v>15211</v>
      </c>
      <c r="R1238" t="s">
        <v>15211</v>
      </c>
      <c r="S1238" t="s">
        <v>15211</v>
      </c>
      <c r="T1238" t="s">
        <v>3368</v>
      </c>
      <c r="U1238" t="s">
        <v>13133</v>
      </c>
      <c r="V1238" t="s">
        <v>15233</v>
      </c>
    </row>
    <row r="1239" spans="1:22" hidden="1">
      <c r="A1239" t="s">
        <v>15319</v>
      </c>
      <c r="B1239" t="s">
        <v>15442</v>
      </c>
      <c r="C1239" t="s">
        <v>15451</v>
      </c>
      <c r="D1239" t="s">
        <v>1238</v>
      </c>
      <c r="E1239" t="s">
        <v>3459</v>
      </c>
      <c r="F1239" t="s">
        <v>3439</v>
      </c>
      <c r="G1239" s="3">
        <v>36.513397389094102</v>
      </c>
      <c r="H1239" s="3">
        <v>127.720175372323</v>
      </c>
      <c r="I1239" t="s">
        <v>5004</v>
      </c>
      <c r="J1239" t="s">
        <v>8363</v>
      </c>
      <c r="K1239" t="s">
        <v>11279</v>
      </c>
      <c r="L1239" t="s">
        <v>3366</v>
      </c>
      <c r="M1239" t="s">
        <v>11914</v>
      </c>
      <c r="N1239" t="s">
        <v>3364</v>
      </c>
      <c r="O1239" t="s">
        <v>3360</v>
      </c>
      <c r="P1239" t="s">
        <v>3366</v>
      </c>
      <c r="Q1239" t="s">
        <v>3361</v>
      </c>
      <c r="R1239" t="s">
        <v>15211</v>
      </c>
      <c r="S1239" t="s">
        <v>15211</v>
      </c>
      <c r="T1239" t="s">
        <v>3383</v>
      </c>
      <c r="U1239" t="s">
        <v>13134</v>
      </c>
      <c r="V1239" t="s">
        <v>15234</v>
      </c>
    </row>
    <row r="1240" spans="1:22" hidden="1">
      <c r="A1240" t="s">
        <v>15319</v>
      </c>
      <c r="B1240" t="s">
        <v>15442</v>
      </c>
      <c r="C1240" t="s">
        <v>15451</v>
      </c>
      <c r="D1240" t="s">
        <v>1239</v>
      </c>
      <c r="E1240" t="s">
        <v>3459</v>
      </c>
      <c r="F1240" t="s">
        <v>3439</v>
      </c>
      <c r="G1240" s="3">
        <v>36.513397390008301</v>
      </c>
      <c r="H1240" s="3">
        <v>127.72017536934599</v>
      </c>
      <c r="I1240" t="s">
        <v>5005</v>
      </c>
      <c r="J1240" t="s">
        <v>8364</v>
      </c>
      <c r="K1240" t="s">
        <v>10837</v>
      </c>
      <c r="L1240" t="s">
        <v>3366</v>
      </c>
      <c r="M1240" t="s">
        <v>11914</v>
      </c>
      <c r="N1240" t="s">
        <v>3364</v>
      </c>
      <c r="O1240" t="s">
        <v>3360</v>
      </c>
      <c r="P1240" t="s">
        <v>3366</v>
      </c>
      <c r="Q1240" t="s">
        <v>3361</v>
      </c>
      <c r="R1240" t="s">
        <v>15211</v>
      </c>
      <c r="S1240" t="s">
        <v>15211</v>
      </c>
      <c r="T1240" t="s">
        <v>3383</v>
      </c>
      <c r="U1240" t="s">
        <v>13135</v>
      </c>
      <c r="V1240" t="s">
        <v>15234</v>
      </c>
    </row>
    <row r="1241" spans="1:22" hidden="1">
      <c r="A1241" t="s">
        <v>15319</v>
      </c>
      <c r="B1241" t="s">
        <v>15442</v>
      </c>
      <c r="C1241" t="s">
        <v>15451</v>
      </c>
      <c r="D1241" t="s">
        <v>1240</v>
      </c>
      <c r="E1241" t="s">
        <v>3457</v>
      </c>
      <c r="F1241" t="s">
        <v>3437</v>
      </c>
      <c r="G1241" s="3">
        <v>36.513397391185499</v>
      </c>
      <c r="H1241" s="3">
        <v>127.720175375906</v>
      </c>
      <c r="I1241" t="s">
        <v>5006</v>
      </c>
      <c r="J1241" t="s">
        <v>8365</v>
      </c>
      <c r="K1241" t="s">
        <v>10831</v>
      </c>
      <c r="L1241" t="s">
        <v>3366</v>
      </c>
      <c r="M1241" t="s">
        <v>11912</v>
      </c>
      <c r="N1241" t="s">
        <v>3364</v>
      </c>
      <c r="O1241" t="s">
        <v>3360</v>
      </c>
      <c r="P1241" t="s">
        <v>3366</v>
      </c>
      <c r="Q1241" t="s">
        <v>3361</v>
      </c>
      <c r="R1241" t="s">
        <v>15211</v>
      </c>
      <c r="S1241" t="s">
        <v>15211</v>
      </c>
      <c r="T1241" t="s">
        <v>3383</v>
      </c>
      <c r="U1241" t="s">
        <v>13136</v>
      </c>
      <c r="V1241" t="s">
        <v>15234</v>
      </c>
    </row>
    <row r="1242" spans="1:22" hidden="1">
      <c r="A1242" t="s">
        <v>15320</v>
      </c>
      <c r="B1242" t="s">
        <v>15441</v>
      </c>
      <c r="C1242" t="s">
        <v>15445</v>
      </c>
      <c r="D1242" t="s">
        <v>1241</v>
      </c>
      <c r="E1242" t="s">
        <v>3439</v>
      </c>
      <c r="F1242" t="s">
        <v>3436</v>
      </c>
      <c r="G1242" s="3">
        <v>36.577176500047102</v>
      </c>
      <c r="H1242" s="3">
        <v>127.660628004055</v>
      </c>
      <c r="I1242" t="s">
        <v>5007</v>
      </c>
      <c r="J1242" t="s">
        <v>8366</v>
      </c>
      <c r="K1242" t="s">
        <v>11280</v>
      </c>
      <c r="L1242" t="s">
        <v>3366</v>
      </c>
      <c r="M1242" t="s">
        <v>11890</v>
      </c>
      <c r="N1242" t="s">
        <v>3365</v>
      </c>
      <c r="O1242" t="s">
        <v>3360</v>
      </c>
      <c r="P1242" t="s">
        <v>15211</v>
      </c>
      <c r="Q1242" t="s">
        <v>15211</v>
      </c>
      <c r="R1242" t="s">
        <v>15211</v>
      </c>
      <c r="S1242" t="s">
        <v>15211</v>
      </c>
      <c r="T1242" t="s">
        <v>3369</v>
      </c>
      <c r="U1242" t="s">
        <v>13137</v>
      </c>
      <c r="V1242" t="s">
        <v>15228</v>
      </c>
    </row>
    <row r="1243" spans="1:22" hidden="1">
      <c r="A1243" t="s">
        <v>15320</v>
      </c>
      <c r="B1243" t="s">
        <v>15441</v>
      </c>
      <c r="C1243" t="s">
        <v>15445</v>
      </c>
      <c r="D1243" t="s">
        <v>1242</v>
      </c>
      <c r="E1243" t="s">
        <v>3439</v>
      </c>
      <c r="F1243" t="s">
        <v>3436</v>
      </c>
      <c r="G1243" s="3">
        <v>36.577176463796199</v>
      </c>
      <c r="H1243" s="3">
        <v>127.66062801114001</v>
      </c>
      <c r="I1243" t="s">
        <v>5008</v>
      </c>
      <c r="J1243" t="s">
        <v>8367</v>
      </c>
      <c r="K1243" t="s">
        <v>11130</v>
      </c>
      <c r="L1243" t="s">
        <v>3366</v>
      </c>
      <c r="M1243" t="s">
        <v>11885</v>
      </c>
      <c r="N1243" t="s">
        <v>3365</v>
      </c>
      <c r="O1243" t="s">
        <v>3359</v>
      </c>
      <c r="P1243" t="s">
        <v>15211</v>
      </c>
      <c r="Q1243" t="s">
        <v>15211</v>
      </c>
      <c r="R1243" t="s">
        <v>15211</v>
      </c>
      <c r="S1243" t="s">
        <v>15211</v>
      </c>
      <c r="T1243" t="s">
        <v>3368</v>
      </c>
      <c r="U1243" t="s">
        <v>13138</v>
      </c>
      <c r="V1243" t="s">
        <v>15228</v>
      </c>
    </row>
    <row r="1244" spans="1:22" hidden="1">
      <c r="A1244" t="s">
        <v>15320</v>
      </c>
      <c r="B1244" t="s">
        <v>15441</v>
      </c>
      <c r="C1244" t="s">
        <v>15445</v>
      </c>
      <c r="D1244" t="s">
        <v>1243</v>
      </c>
      <c r="E1244" t="s">
        <v>3439</v>
      </c>
      <c r="F1244" t="s">
        <v>3436</v>
      </c>
      <c r="G1244" s="3">
        <v>36.577176451882401</v>
      </c>
      <c r="H1244" s="3">
        <v>127.66062801028301</v>
      </c>
      <c r="I1244" t="s">
        <v>5009</v>
      </c>
      <c r="J1244" t="s">
        <v>8368</v>
      </c>
      <c r="K1244" t="s">
        <v>11281</v>
      </c>
      <c r="L1244" t="s">
        <v>3366</v>
      </c>
      <c r="M1244" t="s">
        <v>11885</v>
      </c>
      <c r="N1244" t="s">
        <v>3365</v>
      </c>
      <c r="O1244" t="s">
        <v>3359</v>
      </c>
      <c r="P1244" t="s">
        <v>15211</v>
      </c>
      <c r="Q1244" t="s">
        <v>15211</v>
      </c>
      <c r="R1244" t="s">
        <v>15211</v>
      </c>
      <c r="S1244" t="s">
        <v>15211</v>
      </c>
      <c r="T1244" t="s">
        <v>3368</v>
      </c>
      <c r="U1244" t="s">
        <v>13139</v>
      </c>
      <c r="V1244" t="s">
        <v>15228</v>
      </c>
    </row>
    <row r="1245" spans="1:22" hidden="1">
      <c r="A1245" t="s">
        <v>15320</v>
      </c>
      <c r="B1245" t="s">
        <v>15441</v>
      </c>
      <c r="C1245" t="s">
        <v>15446</v>
      </c>
      <c r="D1245" t="s">
        <v>1244</v>
      </c>
      <c r="E1245" t="s">
        <v>3439</v>
      </c>
      <c r="F1245" t="s">
        <v>3436</v>
      </c>
      <c r="G1245" s="3">
        <v>36.577176516937897</v>
      </c>
      <c r="H1245" s="3">
        <v>127.66062805475001</v>
      </c>
      <c r="I1245" t="s">
        <v>5010</v>
      </c>
      <c r="J1245" t="s">
        <v>8369</v>
      </c>
      <c r="K1245" t="s">
        <v>10604</v>
      </c>
      <c r="L1245" t="s">
        <v>3366</v>
      </c>
      <c r="M1245" t="s">
        <v>11890</v>
      </c>
      <c r="N1245" t="s">
        <v>3365</v>
      </c>
      <c r="O1245" t="s">
        <v>3360</v>
      </c>
      <c r="P1245" t="s">
        <v>15211</v>
      </c>
      <c r="Q1245" t="s">
        <v>15211</v>
      </c>
      <c r="R1245" t="s">
        <v>15211</v>
      </c>
      <c r="S1245" t="s">
        <v>15211</v>
      </c>
      <c r="T1245" t="s">
        <v>3369</v>
      </c>
      <c r="U1245" t="s">
        <v>13140</v>
      </c>
      <c r="V1245" t="s">
        <v>15229</v>
      </c>
    </row>
    <row r="1246" spans="1:22" hidden="1">
      <c r="A1246" t="s">
        <v>15320</v>
      </c>
      <c r="B1246" t="s">
        <v>15441</v>
      </c>
      <c r="C1246" t="s">
        <v>15446</v>
      </c>
      <c r="D1246" t="s">
        <v>1245</v>
      </c>
      <c r="E1246" t="s">
        <v>3439</v>
      </c>
      <c r="F1246" t="s">
        <v>3436</v>
      </c>
      <c r="G1246" s="3">
        <v>36.577176510921703</v>
      </c>
      <c r="H1246" s="3">
        <v>127.660628039359</v>
      </c>
      <c r="I1246" t="s">
        <v>5011</v>
      </c>
      <c r="J1246" t="s">
        <v>8370</v>
      </c>
      <c r="K1246" t="s">
        <v>10604</v>
      </c>
      <c r="L1246" t="s">
        <v>3366</v>
      </c>
      <c r="M1246" t="s">
        <v>11890</v>
      </c>
      <c r="N1246" t="s">
        <v>3365</v>
      </c>
      <c r="O1246" t="s">
        <v>3360</v>
      </c>
      <c r="P1246" t="s">
        <v>15211</v>
      </c>
      <c r="Q1246" t="s">
        <v>15211</v>
      </c>
      <c r="R1246" t="s">
        <v>15211</v>
      </c>
      <c r="S1246" t="s">
        <v>15211</v>
      </c>
      <c r="T1246" t="s">
        <v>3369</v>
      </c>
      <c r="U1246" t="s">
        <v>13141</v>
      </c>
      <c r="V1246" t="s">
        <v>15229</v>
      </c>
    </row>
    <row r="1247" spans="1:22" hidden="1">
      <c r="A1247" t="s">
        <v>15320</v>
      </c>
      <c r="B1247" t="s">
        <v>15441</v>
      </c>
      <c r="C1247" t="s">
        <v>15446</v>
      </c>
      <c r="D1247" t="s">
        <v>1246</v>
      </c>
      <c r="E1247" t="s">
        <v>3439</v>
      </c>
      <c r="F1247" t="s">
        <v>3436</v>
      </c>
      <c r="G1247" s="3">
        <v>36.577176502360899</v>
      </c>
      <c r="H1247" s="3">
        <v>127.660628060104</v>
      </c>
      <c r="I1247" t="s">
        <v>5012</v>
      </c>
      <c r="J1247" t="s">
        <v>8371</v>
      </c>
      <c r="K1247" t="s">
        <v>11282</v>
      </c>
      <c r="L1247" t="s">
        <v>3366</v>
      </c>
      <c r="M1247" t="s">
        <v>11890</v>
      </c>
      <c r="N1247" t="s">
        <v>3365</v>
      </c>
      <c r="O1247" t="s">
        <v>3360</v>
      </c>
      <c r="P1247" t="s">
        <v>15211</v>
      </c>
      <c r="Q1247" t="s">
        <v>15211</v>
      </c>
      <c r="R1247" t="s">
        <v>15211</v>
      </c>
      <c r="S1247" t="s">
        <v>15211</v>
      </c>
      <c r="T1247" t="s">
        <v>3369</v>
      </c>
      <c r="U1247" t="s">
        <v>13142</v>
      </c>
      <c r="V1247" t="s">
        <v>15229</v>
      </c>
    </row>
    <row r="1248" spans="1:22" hidden="1">
      <c r="A1248" t="s">
        <v>15320</v>
      </c>
      <c r="B1248" t="s">
        <v>15441</v>
      </c>
      <c r="C1248" t="s">
        <v>15447</v>
      </c>
      <c r="D1248" t="s">
        <v>1247</v>
      </c>
      <c r="E1248" t="s">
        <v>3440</v>
      </c>
      <c r="F1248" t="s">
        <v>3434</v>
      </c>
      <c r="G1248" s="3">
        <v>36.577176399396201</v>
      </c>
      <c r="H1248" s="3">
        <v>127.660628107801</v>
      </c>
      <c r="I1248" t="s">
        <v>5013</v>
      </c>
      <c r="J1248" t="s">
        <v>8372</v>
      </c>
      <c r="K1248" t="s">
        <v>11191</v>
      </c>
      <c r="L1248" t="s">
        <v>3366</v>
      </c>
      <c r="M1248" t="s">
        <v>11900</v>
      </c>
      <c r="N1248" t="s">
        <v>3365</v>
      </c>
      <c r="O1248" t="s">
        <v>15211</v>
      </c>
      <c r="P1248" t="s">
        <v>15211</v>
      </c>
      <c r="Q1248" t="s">
        <v>15211</v>
      </c>
      <c r="R1248" t="s">
        <v>15211</v>
      </c>
      <c r="S1248" t="s">
        <v>15211</v>
      </c>
      <c r="T1248" t="s">
        <v>3365</v>
      </c>
      <c r="U1248" t="s">
        <v>13143</v>
      </c>
      <c r="V1248" t="s">
        <v>15235</v>
      </c>
    </row>
    <row r="1249" spans="1:22" hidden="1">
      <c r="A1249" t="s">
        <v>15320</v>
      </c>
      <c r="B1249" t="s">
        <v>15441</v>
      </c>
      <c r="C1249" t="s">
        <v>15447</v>
      </c>
      <c r="D1249" t="s">
        <v>1248</v>
      </c>
      <c r="E1249" t="s">
        <v>3437</v>
      </c>
      <c r="F1249" t="s">
        <v>3431</v>
      </c>
      <c r="G1249" s="3">
        <v>36.5771763977164</v>
      </c>
      <c r="H1249" s="3">
        <v>127.66062807550399</v>
      </c>
      <c r="I1249" t="s">
        <v>5014</v>
      </c>
      <c r="J1249" t="s">
        <v>8373</v>
      </c>
      <c r="K1249" t="s">
        <v>11283</v>
      </c>
      <c r="L1249" t="s">
        <v>3366</v>
      </c>
      <c r="M1249" t="s">
        <v>11900</v>
      </c>
      <c r="N1249" t="s">
        <v>3365</v>
      </c>
      <c r="O1249" t="s">
        <v>15211</v>
      </c>
      <c r="P1249" t="s">
        <v>15211</v>
      </c>
      <c r="Q1249" t="s">
        <v>15211</v>
      </c>
      <c r="R1249" t="s">
        <v>15211</v>
      </c>
      <c r="S1249" t="s">
        <v>15211</v>
      </c>
      <c r="T1249" t="s">
        <v>3365</v>
      </c>
      <c r="U1249" t="s">
        <v>13144</v>
      </c>
      <c r="V1249" t="s">
        <v>15235</v>
      </c>
    </row>
    <row r="1250" spans="1:22" hidden="1">
      <c r="A1250" t="s">
        <v>15320</v>
      </c>
      <c r="B1250" t="s">
        <v>15441</v>
      </c>
      <c r="C1250" t="s">
        <v>15447</v>
      </c>
      <c r="D1250" t="s">
        <v>1249</v>
      </c>
      <c r="E1250" t="s">
        <v>3437</v>
      </c>
      <c r="F1250" t="s">
        <v>3431</v>
      </c>
      <c r="G1250" s="3">
        <v>36.577176424375899</v>
      </c>
      <c r="H1250" s="3">
        <v>127.660628041226</v>
      </c>
      <c r="I1250" t="s">
        <v>5015</v>
      </c>
      <c r="J1250" t="s">
        <v>8374</v>
      </c>
      <c r="K1250" t="s">
        <v>11283</v>
      </c>
      <c r="L1250" t="s">
        <v>3366</v>
      </c>
      <c r="M1250" t="s">
        <v>11900</v>
      </c>
      <c r="N1250" t="s">
        <v>3365</v>
      </c>
      <c r="O1250" t="s">
        <v>15211</v>
      </c>
      <c r="P1250" t="s">
        <v>15211</v>
      </c>
      <c r="Q1250" t="s">
        <v>15211</v>
      </c>
      <c r="R1250" t="s">
        <v>15211</v>
      </c>
      <c r="S1250" t="s">
        <v>15211</v>
      </c>
      <c r="T1250" t="s">
        <v>3365</v>
      </c>
      <c r="U1250" t="s">
        <v>13145</v>
      </c>
      <c r="V1250" t="s">
        <v>15235</v>
      </c>
    </row>
    <row r="1251" spans="1:22" hidden="1">
      <c r="A1251" t="s">
        <v>15320</v>
      </c>
      <c r="B1251" t="s">
        <v>15441</v>
      </c>
      <c r="C1251" t="s">
        <v>15448</v>
      </c>
      <c r="D1251" t="s">
        <v>1250</v>
      </c>
      <c r="E1251" t="s">
        <v>3431</v>
      </c>
      <c r="F1251" t="s">
        <v>3452</v>
      </c>
      <c r="G1251" s="3">
        <v>36.577176447538299</v>
      </c>
      <c r="H1251" s="3">
        <v>127.66062816982</v>
      </c>
      <c r="I1251" t="s">
        <v>5016</v>
      </c>
      <c r="J1251" t="s">
        <v>8375</v>
      </c>
      <c r="K1251" t="s">
        <v>11284</v>
      </c>
      <c r="L1251" t="s">
        <v>3366</v>
      </c>
      <c r="M1251" t="s">
        <v>11904</v>
      </c>
      <c r="N1251" t="s">
        <v>3365</v>
      </c>
      <c r="O1251" t="s">
        <v>3360</v>
      </c>
      <c r="P1251" t="s">
        <v>3367</v>
      </c>
      <c r="Q1251" t="s">
        <v>3363</v>
      </c>
      <c r="R1251" t="s">
        <v>3358</v>
      </c>
      <c r="S1251" t="s">
        <v>15211</v>
      </c>
      <c r="T1251" t="s">
        <v>3389</v>
      </c>
      <c r="U1251" t="s">
        <v>13146</v>
      </c>
      <c r="V1251" t="s">
        <v>15230</v>
      </c>
    </row>
    <row r="1252" spans="1:22" hidden="1">
      <c r="A1252" t="s">
        <v>15320</v>
      </c>
      <c r="B1252" t="s">
        <v>15441</v>
      </c>
      <c r="C1252" t="s">
        <v>15448</v>
      </c>
      <c r="D1252" t="s">
        <v>1251</v>
      </c>
      <c r="E1252" t="s">
        <v>3434</v>
      </c>
      <c r="F1252" t="s">
        <v>3426</v>
      </c>
      <c r="G1252" s="3">
        <v>36.577176459857696</v>
      </c>
      <c r="H1252" s="3">
        <v>127.66062816956</v>
      </c>
      <c r="I1252" t="s">
        <v>5017</v>
      </c>
      <c r="J1252" t="s">
        <v>8376</v>
      </c>
      <c r="K1252" t="s">
        <v>11285</v>
      </c>
      <c r="L1252" t="s">
        <v>3366</v>
      </c>
      <c r="M1252" t="s">
        <v>11906</v>
      </c>
      <c r="N1252" t="s">
        <v>3365</v>
      </c>
      <c r="O1252" t="s">
        <v>3360</v>
      </c>
      <c r="P1252" t="s">
        <v>3367</v>
      </c>
      <c r="Q1252" t="s">
        <v>3363</v>
      </c>
      <c r="R1252" t="s">
        <v>3358</v>
      </c>
      <c r="S1252" t="s">
        <v>15211</v>
      </c>
      <c r="T1252" t="s">
        <v>3389</v>
      </c>
      <c r="U1252" t="s">
        <v>13147</v>
      </c>
      <c r="V1252" t="s">
        <v>15230</v>
      </c>
    </row>
    <row r="1253" spans="1:22" hidden="1">
      <c r="A1253" t="s">
        <v>15320</v>
      </c>
      <c r="B1253" t="s">
        <v>15441</v>
      </c>
      <c r="C1253" t="s">
        <v>15448</v>
      </c>
      <c r="D1253" t="s">
        <v>1252</v>
      </c>
      <c r="E1253" t="s">
        <v>3435</v>
      </c>
      <c r="F1253" t="s">
        <v>3465</v>
      </c>
      <c r="G1253" s="3">
        <v>36.577176469259001</v>
      </c>
      <c r="H1253" s="3">
        <v>127.660628171478</v>
      </c>
      <c r="I1253" t="s">
        <v>5018</v>
      </c>
      <c r="J1253" t="s">
        <v>8377</v>
      </c>
      <c r="K1253" t="s">
        <v>11286</v>
      </c>
      <c r="L1253" t="s">
        <v>3366</v>
      </c>
      <c r="M1253" t="s">
        <v>11904</v>
      </c>
      <c r="N1253" t="s">
        <v>3365</v>
      </c>
      <c r="O1253" t="s">
        <v>3360</v>
      </c>
      <c r="P1253" t="s">
        <v>3367</v>
      </c>
      <c r="Q1253" t="s">
        <v>3363</v>
      </c>
      <c r="R1253" t="s">
        <v>3358</v>
      </c>
      <c r="S1253" t="s">
        <v>15211</v>
      </c>
      <c r="T1253" t="s">
        <v>3389</v>
      </c>
      <c r="U1253" t="s">
        <v>13148</v>
      </c>
      <c r="V1253" t="s">
        <v>15230</v>
      </c>
    </row>
    <row r="1254" spans="1:22" hidden="1">
      <c r="A1254" t="s">
        <v>15320</v>
      </c>
      <c r="B1254" t="s">
        <v>15441</v>
      </c>
      <c r="C1254" t="s">
        <v>15449</v>
      </c>
      <c r="D1254" t="s">
        <v>1253</v>
      </c>
      <c r="E1254" t="s">
        <v>3440</v>
      </c>
      <c r="F1254" t="s">
        <v>3425</v>
      </c>
      <c r="G1254" s="3">
        <v>36.577176498973699</v>
      </c>
      <c r="H1254" s="3">
        <v>127.660628150343</v>
      </c>
      <c r="I1254" t="s">
        <v>5019</v>
      </c>
      <c r="J1254" t="s">
        <v>8378</v>
      </c>
      <c r="K1254" t="s">
        <v>10756</v>
      </c>
      <c r="L1254" t="s">
        <v>3366</v>
      </c>
      <c r="M1254" t="s">
        <v>11911</v>
      </c>
      <c r="N1254" t="s">
        <v>3365</v>
      </c>
      <c r="O1254" t="s">
        <v>15211</v>
      </c>
      <c r="P1254" t="s">
        <v>3367</v>
      </c>
      <c r="Q1254" t="s">
        <v>3363</v>
      </c>
      <c r="R1254" t="s">
        <v>3358</v>
      </c>
      <c r="S1254" t="s">
        <v>15211</v>
      </c>
      <c r="T1254" t="s">
        <v>3385</v>
      </c>
      <c r="U1254" t="s">
        <v>13149</v>
      </c>
      <c r="V1254" t="s">
        <v>15231</v>
      </c>
    </row>
    <row r="1255" spans="1:22" hidden="1">
      <c r="A1255" t="s">
        <v>15320</v>
      </c>
      <c r="B1255" t="s">
        <v>15441</v>
      </c>
      <c r="C1255" t="s">
        <v>15449</v>
      </c>
      <c r="D1255" t="s">
        <v>1254</v>
      </c>
      <c r="E1255" t="s">
        <v>3440</v>
      </c>
      <c r="F1255" t="s">
        <v>3434</v>
      </c>
      <c r="G1255" s="3">
        <v>36.577176502104997</v>
      </c>
      <c r="H1255" s="3">
        <v>127.660628138692</v>
      </c>
      <c r="I1255" t="s">
        <v>5020</v>
      </c>
      <c r="J1255" t="s">
        <v>8379</v>
      </c>
      <c r="K1255" t="s">
        <v>10756</v>
      </c>
      <c r="L1255" t="s">
        <v>3366</v>
      </c>
      <c r="M1255" t="s">
        <v>11911</v>
      </c>
      <c r="N1255" t="s">
        <v>3365</v>
      </c>
      <c r="O1255" t="s">
        <v>15211</v>
      </c>
      <c r="P1255" t="s">
        <v>3367</v>
      </c>
      <c r="Q1255" t="s">
        <v>3363</v>
      </c>
      <c r="R1255" t="s">
        <v>3358</v>
      </c>
      <c r="S1255" t="s">
        <v>15211</v>
      </c>
      <c r="T1255" t="s">
        <v>3385</v>
      </c>
      <c r="U1255" t="s">
        <v>13150</v>
      </c>
      <c r="V1255" t="s">
        <v>15231</v>
      </c>
    </row>
    <row r="1256" spans="1:22" hidden="1">
      <c r="A1256" t="s">
        <v>15320</v>
      </c>
      <c r="B1256" t="s">
        <v>15441</v>
      </c>
      <c r="C1256" t="s">
        <v>15449</v>
      </c>
      <c r="D1256" t="s">
        <v>1255</v>
      </c>
      <c r="E1256" t="s">
        <v>3438</v>
      </c>
      <c r="F1256" t="s">
        <v>3435</v>
      </c>
      <c r="G1256" s="3">
        <v>36.577176483698601</v>
      </c>
      <c r="H1256" s="3">
        <v>127.660628149229</v>
      </c>
      <c r="I1256" t="s">
        <v>5021</v>
      </c>
      <c r="J1256" t="s">
        <v>8380</v>
      </c>
      <c r="K1256" t="s">
        <v>10756</v>
      </c>
      <c r="L1256" t="s">
        <v>3366</v>
      </c>
      <c r="M1256" t="s">
        <v>11911</v>
      </c>
      <c r="N1256" t="s">
        <v>3365</v>
      </c>
      <c r="O1256" t="s">
        <v>15211</v>
      </c>
      <c r="P1256" t="s">
        <v>3367</v>
      </c>
      <c r="Q1256" t="s">
        <v>3363</v>
      </c>
      <c r="R1256" t="s">
        <v>3358</v>
      </c>
      <c r="S1256" t="s">
        <v>15211</v>
      </c>
      <c r="T1256" t="s">
        <v>3385</v>
      </c>
      <c r="U1256" t="s">
        <v>13151</v>
      </c>
      <c r="V1256" t="s">
        <v>15231</v>
      </c>
    </row>
    <row r="1257" spans="1:22" hidden="1">
      <c r="A1257" t="s">
        <v>15320</v>
      </c>
      <c r="B1257" t="s">
        <v>15442</v>
      </c>
      <c r="C1257" t="s">
        <v>15450</v>
      </c>
      <c r="D1257" t="s">
        <v>1256</v>
      </c>
      <c r="E1257" t="s">
        <v>3427</v>
      </c>
      <c r="F1257" t="s">
        <v>3441</v>
      </c>
      <c r="G1257" s="3">
        <v>36.5771763814747</v>
      </c>
      <c r="H1257" s="3">
        <v>127.66062814697101</v>
      </c>
      <c r="I1257" t="s">
        <v>5022</v>
      </c>
      <c r="J1257" t="s">
        <v>8381</v>
      </c>
      <c r="K1257" t="s">
        <v>11153</v>
      </c>
      <c r="L1257" t="s">
        <v>3366</v>
      </c>
      <c r="M1257" t="s">
        <v>11890</v>
      </c>
      <c r="N1257" t="s">
        <v>3365</v>
      </c>
      <c r="O1257" t="s">
        <v>3360</v>
      </c>
      <c r="P1257" t="s">
        <v>15211</v>
      </c>
      <c r="Q1257" t="s">
        <v>15211</v>
      </c>
      <c r="R1257" t="s">
        <v>15211</v>
      </c>
      <c r="S1257" t="s">
        <v>15211</v>
      </c>
      <c r="T1257" t="s">
        <v>3369</v>
      </c>
      <c r="U1257" t="s">
        <v>13152</v>
      </c>
      <c r="V1257" t="s">
        <v>15232</v>
      </c>
    </row>
    <row r="1258" spans="1:22" hidden="1">
      <c r="A1258" t="s">
        <v>15320</v>
      </c>
      <c r="B1258" t="s">
        <v>15442</v>
      </c>
      <c r="C1258" t="s">
        <v>15450</v>
      </c>
      <c r="D1258" t="s">
        <v>1257</v>
      </c>
      <c r="E1258" t="s">
        <v>3427</v>
      </c>
      <c r="F1258" t="s">
        <v>3441</v>
      </c>
      <c r="G1258" s="3">
        <v>36.577176418570602</v>
      </c>
      <c r="H1258" s="3">
        <v>127.660628130367</v>
      </c>
      <c r="I1258" t="s">
        <v>5023</v>
      </c>
      <c r="J1258" t="s">
        <v>8382</v>
      </c>
      <c r="K1258" t="s">
        <v>11153</v>
      </c>
      <c r="L1258" t="s">
        <v>3366</v>
      </c>
      <c r="M1258" t="s">
        <v>11890</v>
      </c>
      <c r="N1258" t="s">
        <v>3365</v>
      </c>
      <c r="O1258" t="s">
        <v>3360</v>
      </c>
      <c r="P1258" t="s">
        <v>15211</v>
      </c>
      <c r="Q1258" t="s">
        <v>15211</v>
      </c>
      <c r="R1258" t="s">
        <v>15211</v>
      </c>
      <c r="S1258" t="s">
        <v>15211</v>
      </c>
      <c r="T1258" t="s">
        <v>3369</v>
      </c>
      <c r="U1258" t="s">
        <v>13153</v>
      </c>
      <c r="V1258" t="s">
        <v>15232</v>
      </c>
    </row>
    <row r="1259" spans="1:22" hidden="1">
      <c r="A1259" t="s">
        <v>15320</v>
      </c>
      <c r="B1259" t="s">
        <v>15442</v>
      </c>
      <c r="C1259" t="s">
        <v>15450</v>
      </c>
      <c r="D1259" t="s">
        <v>1258</v>
      </c>
      <c r="E1259" t="s">
        <v>3427</v>
      </c>
      <c r="F1259" t="s">
        <v>3453</v>
      </c>
      <c r="G1259" s="3">
        <v>36.577176434368901</v>
      </c>
      <c r="H1259" s="3">
        <v>127.66062808785701</v>
      </c>
      <c r="I1259" t="s">
        <v>5024</v>
      </c>
      <c r="J1259" t="s">
        <v>8383</v>
      </c>
      <c r="K1259" t="s">
        <v>11152</v>
      </c>
      <c r="L1259" t="s">
        <v>3366</v>
      </c>
      <c r="M1259" t="s">
        <v>11890</v>
      </c>
      <c r="N1259" t="s">
        <v>3365</v>
      </c>
      <c r="O1259" t="s">
        <v>3360</v>
      </c>
      <c r="P1259" t="s">
        <v>15211</v>
      </c>
      <c r="Q1259" t="s">
        <v>15211</v>
      </c>
      <c r="R1259" t="s">
        <v>15211</v>
      </c>
      <c r="S1259" t="s">
        <v>15211</v>
      </c>
      <c r="T1259" t="s">
        <v>3369</v>
      </c>
      <c r="U1259" t="s">
        <v>13154</v>
      </c>
      <c r="V1259" t="s">
        <v>15232</v>
      </c>
    </row>
    <row r="1260" spans="1:22" hidden="1">
      <c r="A1260" t="s">
        <v>15320</v>
      </c>
      <c r="B1260" t="s">
        <v>15442</v>
      </c>
      <c r="C1260" t="s">
        <v>15445</v>
      </c>
      <c r="D1260" t="s">
        <v>1259</v>
      </c>
      <c r="E1260" t="s">
        <v>3439</v>
      </c>
      <c r="F1260" t="s">
        <v>3436</v>
      </c>
      <c r="G1260" s="3">
        <v>36.577176547725202</v>
      </c>
      <c r="H1260" s="3">
        <v>127.66062807553099</v>
      </c>
      <c r="I1260" t="s">
        <v>5025</v>
      </c>
      <c r="J1260" t="s">
        <v>8384</v>
      </c>
      <c r="K1260" t="s">
        <v>10942</v>
      </c>
      <c r="L1260" t="s">
        <v>3366</v>
      </c>
      <c r="M1260" t="s">
        <v>11890</v>
      </c>
      <c r="N1260" t="s">
        <v>3365</v>
      </c>
      <c r="O1260" t="s">
        <v>3360</v>
      </c>
      <c r="P1260" t="s">
        <v>15211</v>
      </c>
      <c r="Q1260" t="s">
        <v>15211</v>
      </c>
      <c r="R1260" t="s">
        <v>15211</v>
      </c>
      <c r="S1260" t="s">
        <v>15211</v>
      </c>
      <c r="T1260" t="s">
        <v>3369</v>
      </c>
      <c r="U1260" t="s">
        <v>13155</v>
      </c>
      <c r="V1260" t="s">
        <v>15233</v>
      </c>
    </row>
    <row r="1261" spans="1:22" hidden="1">
      <c r="A1261" t="s">
        <v>15320</v>
      </c>
      <c r="B1261" t="s">
        <v>15442</v>
      </c>
      <c r="C1261" t="s">
        <v>15445</v>
      </c>
      <c r="D1261" t="s">
        <v>1260</v>
      </c>
      <c r="E1261" t="s">
        <v>3439</v>
      </c>
      <c r="F1261" t="s">
        <v>3436</v>
      </c>
      <c r="G1261" s="3">
        <v>36.577176549460702</v>
      </c>
      <c r="H1261" s="3">
        <v>127.66062805861201</v>
      </c>
      <c r="I1261" t="s">
        <v>5026</v>
      </c>
      <c r="J1261" t="s">
        <v>8385</v>
      </c>
      <c r="K1261" t="s">
        <v>11287</v>
      </c>
      <c r="L1261" t="s">
        <v>3366</v>
      </c>
      <c r="M1261" t="s">
        <v>11885</v>
      </c>
      <c r="N1261" t="s">
        <v>3365</v>
      </c>
      <c r="O1261" t="s">
        <v>3360</v>
      </c>
      <c r="P1261" t="s">
        <v>15211</v>
      </c>
      <c r="Q1261" t="s">
        <v>15211</v>
      </c>
      <c r="R1261" t="s">
        <v>15211</v>
      </c>
      <c r="S1261" t="s">
        <v>15211</v>
      </c>
      <c r="T1261" t="s">
        <v>3369</v>
      </c>
      <c r="U1261" t="s">
        <v>13156</v>
      </c>
      <c r="V1261" t="s">
        <v>15233</v>
      </c>
    </row>
    <row r="1262" spans="1:22" hidden="1">
      <c r="A1262" t="s">
        <v>15320</v>
      </c>
      <c r="B1262" t="s">
        <v>15442</v>
      </c>
      <c r="C1262" t="s">
        <v>15445</v>
      </c>
      <c r="D1262" t="s">
        <v>1261</v>
      </c>
      <c r="E1262" t="s">
        <v>3439</v>
      </c>
      <c r="F1262" t="s">
        <v>3436</v>
      </c>
      <c r="G1262" s="3">
        <v>36.5771765626194</v>
      </c>
      <c r="H1262" s="3">
        <v>127.660628044427</v>
      </c>
      <c r="I1262" t="s">
        <v>5027</v>
      </c>
      <c r="J1262" t="s">
        <v>8386</v>
      </c>
      <c r="K1262" t="s">
        <v>3631</v>
      </c>
      <c r="L1262" t="s">
        <v>3366</v>
      </c>
      <c r="M1262" t="s">
        <v>11885</v>
      </c>
      <c r="N1262" t="s">
        <v>3364</v>
      </c>
      <c r="O1262" t="s">
        <v>3360</v>
      </c>
      <c r="P1262" t="s">
        <v>15211</v>
      </c>
      <c r="Q1262" t="s">
        <v>15211</v>
      </c>
      <c r="R1262" t="s">
        <v>15211</v>
      </c>
      <c r="S1262" t="s">
        <v>15211</v>
      </c>
      <c r="T1262" t="s">
        <v>3368</v>
      </c>
      <c r="U1262" t="s">
        <v>13157</v>
      </c>
      <c r="V1262" t="s">
        <v>15233</v>
      </c>
    </row>
    <row r="1263" spans="1:22" hidden="1">
      <c r="A1263" t="s">
        <v>15320</v>
      </c>
      <c r="B1263" t="s">
        <v>15442</v>
      </c>
      <c r="C1263" t="s">
        <v>15451</v>
      </c>
      <c r="D1263" t="s">
        <v>1262</v>
      </c>
      <c r="E1263" t="s">
        <v>3443</v>
      </c>
      <c r="F1263" t="s">
        <v>3438</v>
      </c>
      <c r="G1263" s="3">
        <v>36.577176533337799</v>
      </c>
      <c r="H1263" s="3">
        <v>127.66062809853599</v>
      </c>
      <c r="I1263" t="s">
        <v>5028</v>
      </c>
      <c r="J1263" t="s">
        <v>8387</v>
      </c>
      <c r="K1263" t="s">
        <v>11288</v>
      </c>
      <c r="L1263" t="s">
        <v>3366</v>
      </c>
      <c r="M1263" t="s">
        <v>11910</v>
      </c>
      <c r="N1263" t="s">
        <v>3364</v>
      </c>
      <c r="O1263" t="s">
        <v>3360</v>
      </c>
      <c r="P1263" t="s">
        <v>3366</v>
      </c>
      <c r="Q1263" t="s">
        <v>3361</v>
      </c>
      <c r="R1263" t="s">
        <v>15211</v>
      </c>
      <c r="S1263" t="s">
        <v>15211</v>
      </c>
      <c r="T1263" t="s">
        <v>3383</v>
      </c>
      <c r="U1263" t="s">
        <v>13158</v>
      </c>
      <c r="V1263" t="s">
        <v>15234</v>
      </c>
    </row>
    <row r="1264" spans="1:22" hidden="1">
      <c r="A1264" t="s">
        <v>15320</v>
      </c>
      <c r="B1264" t="s">
        <v>15442</v>
      </c>
      <c r="C1264" t="s">
        <v>15451</v>
      </c>
      <c r="D1264" t="s">
        <v>1263</v>
      </c>
      <c r="E1264" t="s">
        <v>3443</v>
      </c>
      <c r="F1264" t="s">
        <v>3438</v>
      </c>
      <c r="G1264" s="3">
        <v>36.577176530474397</v>
      </c>
      <c r="H1264" s="3">
        <v>127.660628074401</v>
      </c>
      <c r="I1264" t="s">
        <v>5029</v>
      </c>
      <c r="J1264" t="s">
        <v>8388</v>
      </c>
      <c r="K1264" t="s">
        <v>11288</v>
      </c>
      <c r="L1264" t="s">
        <v>3366</v>
      </c>
      <c r="M1264" t="s">
        <v>11910</v>
      </c>
      <c r="N1264" t="s">
        <v>3365</v>
      </c>
      <c r="O1264" t="s">
        <v>3360</v>
      </c>
      <c r="P1264" t="s">
        <v>3366</v>
      </c>
      <c r="Q1264" t="s">
        <v>3361</v>
      </c>
      <c r="R1264" t="s">
        <v>15211</v>
      </c>
      <c r="S1264" t="s">
        <v>15211</v>
      </c>
      <c r="T1264" t="s">
        <v>3384</v>
      </c>
      <c r="U1264" t="s">
        <v>13159</v>
      </c>
      <c r="V1264" t="s">
        <v>15234</v>
      </c>
    </row>
    <row r="1265" spans="1:22" hidden="1">
      <c r="A1265" t="s">
        <v>15320</v>
      </c>
      <c r="B1265" t="s">
        <v>15442</v>
      </c>
      <c r="C1265" t="s">
        <v>15451</v>
      </c>
      <c r="D1265" t="s">
        <v>1264</v>
      </c>
      <c r="E1265" t="s">
        <v>3443</v>
      </c>
      <c r="F1265" t="s">
        <v>3427</v>
      </c>
      <c r="G1265" s="3">
        <v>36.577176530168103</v>
      </c>
      <c r="H1265" s="3">
        <v>127.660628077456</v>
      </c>
      <c r="I1265" t="s">
        <v>5030</v>
      </c>
      <c r="J1265" t="s">
        <v>8389</v>
      </c>
      <c r="K1265" t="s">
        <v>11288</v>
      </c>
      <c r="L1265" t="s">
        <v>3366</v>
      </c>
      <c r="M1265" t="s">
        <v>11910</v>
      </c>
      <c r="N1265" t="s">
        <v>3365</v>
      </c>
      <c r="O1265" t="s">
        <v>3360</v>
      </c>
      <c r="P1265" t="s">
        <v>3366</v>
      </c>
      <c r="Q1265" t="s">
        <v>3361</v>
      </c>
      <c r="R1265" t="s">
        <v>15211</v>
      </c>
      <c r="S1265" t="s">
        <v>15211</v>
      </c>
      <c r="T1265" t="s">
        <v>3384</v>
      </c>
      <c r="U1265" t="s">
        <v>13160</v>
      </c>
      <c r="V1265" t="s">
        <v>15234</v>
      </c>
    </row>
    <row r="1266" spans="1:22" hidden="1">
      <c r="A1266" t="s">
        <v>15321</v>
      </c>
      <c r="B1266" t="s">
        <v>15441</v>
      </c>
      <c r="C1266" t="s">
        <v>15445</v>
      </c>
      <c r="D1266" t="s">
        <v>1265</v>
      </c>
      <c r="E1266" t="s">
        <v>3440</v>
      </c>
      <c r="F1266" t="s">
        <v>3428</v>
      </c>
      <c r="G1266" s="3">
        <v>36.627103272271903</v>
      </c>
      <c r="H1266" s="3">
        <v>127.39458460440601</v>
      </c>
      <c r="I1266" t="s">
        <v>5031</v>
      </c>
      <c r="J1266" t="s">
        <v>8390</v>
      </c>
      <c r="K1266" t="s">
        <v>10768</v>
      </c>
      <c r="L1266" t="s">
        <v>3366</v>
      </c>
      <c r="M1266" t="s">
        <v>11887</v>
      </c>
      <c r="N1266" t="s">
        <v>3363</v>
      </c>
      <c r="O1266" t="s">
        <v>15211</v>
      </c>
      <c r="P1266" t="s">
        <v>15211</v>
      </c>
      <c r="Q1266" t="s">
        <v>15211</v>
      </c>
      <c r="R1266" t="s">
        <v>15211</v>
      </c>
      <c r="S1266" t="s">
        <v>15211</v>
      </c>
      <c r="T1266" t="s">
        <v>3363</v>
      </c>
      <c r="U1266" t="s">
        <v>13161</v>
      </c>
      <c r="V1266" t="s">
        <v>15228</v>
      </c>
    </row>
    <row r="1267" spans="1:22" hidden="1">
      <c r="A1267" t="s">
        <v>15321</v>
      </c>
      <c r="B1267" t="s">
        <v>15441</v>
      </c>
      <c r="C1267" t="s">
        <v>15445</v>
      </c>
      <c r="D1267" t="s">
        <v>1266</v>
      </c>
      <c r="E1267" t="s">
        <v>3440</v>
      </c>
      <c r="F1267" t="s">
        <v>3428</v>
      </c>
      <c r="G1267" s="3">
        <v>36.627103280998398</v>
      </c>
      <c r="H1267" s="3">
        <v>127.39458461346</v>
      </c>
      <c r="I1267" t="s">
        <v>5032</v>
      </c>
      <c r="J1267" t="s">
        <v>8391</v>
      </c>
      <c r="K1267" t="s">
        <v>11289</v>
      </c>
      <c r="L1267" t="s">
        <v>3366</v>
      </c>
      <c r="M1267" t="s">
        <v>11887</v>
      </c>
      <c r="N1267" t="s">
        <v>3363</v>
      </c>
      <c r="O1267" t="s">
        <v>15211</v>
      </c>
      <c r="P1267" t="s">
        <v>15211</v>
      </c>
      <c r="Q1267" t="s">
        <v>15211</v>
      </c>
      <c r="R1267" t="s">
        <v>15211</v>
      </c>
      <c r="S1267" t="s">
        <v>15211</v>
      </c>
      <c r="T1267" t="s">
        <v>3363</v>
      </c>
      <c r="U1267" t="s">
        <v>13162</v>
      </c>
      <c r="V1267" t="s">
        <v>15228</v>
      </c>
    </row>
    <row r="1268" spans="1:22" hidden="1">
      <c r="A1268" t="s">
        <v>15321</v>
      </c>
      <c r="B1268" t="s">
        <v>15441</v>
      </c>
      <c r="C1268" t="s">
        <v>15445</v>
      </c>
      <c r="D1268" t="s">
        <v>1267</v>
      </c>
      <c r="E1268" t="s">
        <v>3440</v>
      </c>
      <c r="F1268" t="s">
        <v>3428</v>
      </c>
      <c r="G1268" s="3">
        <v>36.627103271091599</v>
      </c>
      <c r="H1268" s="3">
        <v>127.39458459225401</v>
      </c>
      <c r="I1268" t="s">
        <v>5033</v>
      </c>
      <c r="J1268" t="s">
        <v>8392</v>
      </c>
      <c r="K1268" t="s">
        <v>10637</v>
      </c>
      <c r="L1268" t="s">
        <v>3366</v>
      </c>
      <c r="M1268" t="s">
        <v>11887</v>
      </c>
      <c r="N1268" t="s">
        <v>3363</v>
      </c>
      <c r="O1268" t="s">
        <v>15211</v>
      </c>
      <c r="P1268" t="s">
        <v>15211</v>
      </c>
      <c r="Q1268" t="s">
        <v>15211</v>
      </c>
      <c r="R1268" t="s">
        <v>15211</v>
      </c>
      <c r="S1268" t="s">
        <v>15211</v>
      </c>
      <c r="T1268" t="s">
        <v>3363</v>
      </c>
      <c r="U1268" t="s">
        <v>13163</v>
      </c>
      <c r="V1268" t="s">
        <v>15228</v>
      </c>
    </row>
    <row r="1269" spans="1:22" hidden="1">
      <c r="A1269" t="s">
        <v>15321</v>
      </c>
      <c r="B1269" t="s">
        <v>15441</v>
      </c>
      <c r="C1269" t="s">
        <v>15446</v>
      </c>
      <c r="D1269" t="s">
        <v>1268</v>
      </c>
      <c r="E1269" t="s">
        <v>3440</v>
      </c>
      <c r="F1269" t="s">
        <v>3436</v>
      </c>
      <c r="G1269" s="3">
        <v>36.627103280841403</v>
      </c>
      <c r="H1269" s="3">
        <v>127.394584545355</v>
      </c>
      <c r="I1269" t="s">
        <v>5034</v>
      </c>
      <c r="J1269" t="s">
        <v>8393</v>
      </c>
      <c r="K1269" t="s">
        <v>11057</v>
      </c>
      <c r="L1269" t="s">
        <v>3366</v>
      </c>
      <c r="M1269" t="s">
        <v>11909</v>
      </c>
      <c r="N1269" t="s">
        <v>3362</v>
      </c>
      <c r="O1269" t="s">
        <v>15211</v>
      </c>
      <c r="P1269" t="s">
        <v>15211</v>
      </c>
      <c r="Q1269" t="s">
        <v>15211</v>
      </c>
      <c r="R1269" t="s">
        <v>15211</v>
      </c>
      <c r="S1269" t="s">
        <v>15211</v>
      </c>
      <c r="T1269" t="s">
        <v>3362</v>
      </c>
      <c r="U1269" t="s">
        <v>13164</v>
      </c>
      <c r="V1269" t="s">
        <v>15229</v>
      </c>
    </row>
    <row r="1270" spans="1:22" hidden="1">
      <c r="A1270" t="s">
        <v>15321</v>
      </c>
      <c r="B1270" t="s">
        <v>15441</v>
      </c>
      <c r="C1270" t="s">
        <v>15446</v>
      </c>
      <c r="D1270" t="s">
        <v>1269</v>
      </c>
      <c r="E1270" t="s">
        <v>3438</v>
      </c>
      <c r="F1270" t="s">
        <v>3436</v>
      </c>
      <c r="G1270" s="3">
        <v>36.627103345788697</v>
      </c>
      <c r="H1270" s="3">
        <v>127.39458458682201</v>
      </c>
      <c r="I1270" t="s">
        <v>5035</v>
      </c>
      <c r="J1270" t="s">
        <v>8394</v>
      </c>
      <c r="K1270" t="s">
        <v>11290</v>
      </c>
      <c r="L1270" t="s">
        <v>3366</v>
      </c>
      <c r="M1270" t="s">
        <v>11887</v>
      </c>
      <c r="N1270" t="s">
        <v>3362</v>
      </c>
      <c r="O1270" t="s">
        <v>15211</v>
      </c>
      <c r="P1270" t="s">
        <v>15211</v>
      </c>
      <c r="Q1270" t="s">
        <v>15211</v>
      </c>
      <c r="R1270" t="s">
        <v>15211</v>
      </c>
      <c r="S1270" t="s">
        <v>15211</v>
      </c>
      <c r="T1270" t="s">
        <v>3362</v>
      </c>
      <c r="U1270" t="s">
        <v>13165</v>
      </c>
      <c r="V1270" t="s">
        <v>15229</v>
      </c>
    </row>
    <row r="1271" spans="1:22" hidden="1">
      <c r="A1271" t="s">
        <v>15321</v>
      </c>
      <c r="B1271" t="s">
        <v>15441</v>
      </c>
      <c r="C1271" t="s">
        <v>15446</v>
      </c>
      <c r="D1271" t="s">
        <v>1270</v>
      </c>
      <c r="E1271" t="s">
        <v>3438</v>
      </c>
      <c r="F1271" t="s">
        <v>3436</v>
      </c>
      <c r="G1271" s="3">
        <v>36.627103364613298</v>
      </c>
      <c r="H1271" s="3">
        <v>127.394584597356</v>
      </c>
      <c r="I1271" t="s">
        <v>5036</v>
      </c>
      <c r="J1271" t="s">
        <v>8395</v>
      </c>
      <c r="K1271" t="s">
        <v>10642</v>
      </c>
      <c r="L1271" t="s">
        <v>3366</v>
      </c>
      <c r="M1271" t="s">
        <v>11887</v>
      </c>
      <c r="N1271" t="s">
        <v>3363</v>
      </c>
      <c r="O1271" t="s">
        <v>15211</v>
      </c>
      <c r="P1271" t="s">
        <v>15211</v>
      </c>
      <c r="Q1271" t="s">
        <v>15211</v>
      </c>
      <c r="R1271" t="s">
        <v>15211</v>
      </c>
      <c r="S1271" t="s">
        <v>15211</v>
      </c>
      <c r="T1271" t="s">
        <v>3363</v>
      </c>
      <c r="U1271" t="s">
        <v>13166</v>
      </c>
      <c r="V1271" t="s">
        <v>15229</v>
      </c>
    </row>
    <row r="1272" spans="1:22" hidden="1">
      <c r="A1272" t="s">
        <v>15321</v>
      </c>
      <c r="B1272" t="s">
        <v>15441</v>
      </c>
      <c r="C1272" t="s">
        <v>15447</v>
      </c>
      <c r="D1272" t="s">
        <v>1271</v>
      </c>
      <c r="E1272" t="s">
        <v>3428</v>
      </c>
      <c r="F1272" t="s">
        <v>3434</v>
      </c>
      <c r="G1272" s="3">
        <v>36.627103371524399</v>
      </c>
      <c r="H1272" s="3">
        <v>127.394584553135</v>
      </c>
      <c r="I1272" t="s">
        <v>5037</v>
      </c>
      <c r="J1272" t="s">
        <v>8396</v>
      </c>
      <c r="K1272" t="s">
        <v>11291</v>
      </c>
      <c r="L1272" t="s">
        <v>3366</v>
      </c>
      <c r="M1272" t="s">
        <v>11887</v>
      </c>
      <c r="N1272" t="s">
        <v>3363</v>
      </c>
      <c r="O1272" t="s">
        <v>15211</v>
      </c>
      <c r="P1272" t="s">
        <v>15211</v>
      </c>
      <c r="Q1272" t="s">
        <v>15211</v>
      </c>
      <c r="R1272" t="s">
        <v>15211</v>
      </c>
      <c r="S1272" t="s">
        <v>15211</v>
      </c>
      <c r="T1272" t="s">
        <v>3363</v>
      </c>
      <c r="U1272" t="s">
        <v>13167</v>
      </c>
      <c r="V1272" t="s">
        <v>15235</v>
      </c>
    </row>
    <row r="1273" spans="1:22" hidden="1">
      <c r="A1273" t="s">
        <v>15321</v>
      </c>
      <c r="B1273" t="s">
        <v>15441</v>
      </c>
      <c r="C1273" t="s">
        <v>15447</v>
      </c>
      <c r="D1273" t="s">
        <v>1272</v>
      </c>
      <c r="E1273" t="s">
        <v>3427</v>
      </c>
      <c r="F1273" t="s">
        <v>3431</v>
      </c>
      <c r="G1273" s="3">
        <v>36.627103339024103</v>
      </c>
      <c r="H1273" s="3">
        <v>127.39458452861</v>
      </c>
      <c r="I1273" t="s">
        <v>5038</v>
      </c>
      <c r="J1273" t="s">
        <v>8397</v>
      </c>
      <c r="K1273" t="s">
        <v>11292</v>
      </c>
      <c r="L1273" t="s">
        <v>3366</v>
      </c>
      <c r="M1273" t="s">
        <v>11887</v>
      </c>
      <c r="N1273" t="s">
        <v>3363</v>
      </c>
      <c r="O1273" t="s">
        <v>15211</v>
      </c>
      <c r="P1273" t="s">
        <v>15211</v>
      </c>
      <c r="Q1273" t="s">
        <v>15211</v>
      </c>
      <c r="R1273" t="s">
        <v>15211</v>
      </c>
      <c r="S1273" t="s">
        <v>15211</v>
      </c>
      <c r="T1273" t="s">
        <v>3363</v>
      </c>
      <c r="U1273" t="s">
        <v>13168</v>
      </c>
      <c r="V1273" t="s">
        <v>15235</v>
      </c>
    </row>
    <row r="1274" spans="1:22" hidden="1">
      <c r="A1274" t="s">
        <v>15321</v>
      </c>
      <c r="B1274" t="s">
        <v>15441</v>
      </c>
      <c r="C1274" t="s">
        <v>15447</v>
      </c>
      <c r="D1274" t="s">
        <v>1273</v>
      </c>
      <c r="E1274" t="s">
        <v>3427</v>
      </c>
      <c r="F1274" t="s">
        <v>3431</v>
      </c>
      <c r="G1274" s="3">
        <v>36.627103342555301</v>
      </c>
      <c r="H1274" s="3">
        <v>127.39458455365001</v>
      </c>
      <c r="I1274" t="s">
        <v>5039</v>
      </c>
      <c r="J1274" t="s">
        <v>8398</v>
      </c>
      <c r="K1274" t="s">
        <v>11293</v>
      </c>
      <c r="L1274" t="s">
        <v>3366</v>
      </c>
      <c r="M1274" t="s">
        <v>11887</v>
      </c>
      <c r="N1274" t="s">
        <v>3363</v>
      </c>
      <c r="O1274" t="s">
        <v>15211</v>
      </c>
      <c r="P1274" t="s">
        <v>15211</v>
      </c>
      <c r="Q1274" t="s">
        <v>15211</v>
      </c>
      <c r="R1274" t="s">
        <v>15211</v>
      </c>
      <c r="S1274" t="s">
        <v>15211</v>
      </c>
      <c r="T1274" t="s">
        <v>3363</v>
      </c>
      <c r="U1274" t="s">
        <v>13169</v>
      </c>
      <c r="V1274" t="s">
        <v>15235</v>
      </c>
    </row>
    <row r="1275" spans="1:22" hidden="1">
      <c r="A1275" t="s">
        <v>15321</v>
      </c>
      <c r="B1275" t="s">
        <v>15441</v>
      </c>
      <c r="C1275" t="s">
        <v>15448</v>
      </c>
      <c r="D1275" t="s">
        <v>1274</v>
      </c>
      <c r="E1275" t="s">
        <v>3431</v>
      </c>
      <c r="F1275" t="s">
        <v>3433</v>
      </c>
      <c r="G1275" s="3">
        <v>36.6271033195965</v>
      </c>
      <c r="H1275" s="3">
        <v>127.39458471831399</v>
      </c>
      <c r="I1275" t="s">
        <v>5040</v>
      </c>
      <c r="J1275" t="s">
        <v>8399</v>
      </c>
      <c r="K1275" t="s">
        <v>10758</v>
      </c>
      <c r="L1275" t="s">
        <v>3366</v>
      </c>
      <c r="M1275" t="s">
        <v>11889</v>
      </c>
      <c r="N1275" t="s">
        <v>3363</v>
      </c>
      <c r="O1275" t="s">
        <v>15211</v>
      </c>
      <c r="P1275" t="s">
        <v>3363</v>
      </c>
      <c r="Q1275" t="s">
        <v>3362</v>
      </c>
      <c r="R1275" t="s">
        <v>3358</v>
      </c>
      <c r="S1275" t="s">
        <v>15211</v>
      </c>
      <c r="T1275" t="s">
        <v>3378</v>
      </c>
      <c r="U1275" t="s">
        <v>13170</v>
      </c>
      <c r="V1275" t="s">
        <v>15230</v>
      </c>
    </row>
    <row r="1276" spans="1:22" hidden="1">
      <c r="A1276" t="s">
        <v>15321</v>
      </c>
      <c r="B1276" t="s">
        <v>15441</v>
      </c>
      <c r="C1276" t="s">
        <v>15448</v>
      </c>
      <c r="D1276" t="s">
        <v>1275</v>
      </c>
      <c r="E1276" t="s">
        <v>3434</v>
      </c>
      <c r="F1276" t="s">
        <v>3452</v>
      </c>
      <c r="G1276" s="3">
        <v>36.627103317072702</v>
      </c>
      <c r="H1276" s="3">
        <v>127.394584714049</v>
      </c>
      <c r="I1276" t="s">
        <v>5041</v>
      </c>
      <c r="J1276" t="s">
        <v>8400</v>
      </c>
      <c r="K1276" t="s">
        <v>10943</v>
      </c>
      <c r="L1276" t="s">
        <v>3366</v>
      </c>
      <c r="M1276" t="s">
        <v>11888</v>
      </c>
      <c r="N1276" t="s">
        <v>3363</v>
      </c>
      <c r="O1276" t="s">
        <v>15211</v>
      </c>
      <c r="P1276" t="s">
        <v>3363</v>
      </c>
      <c r="Q1276" t="s">
        <v>3362</v>
      </c>
      <c r="R1276" t="s">
        <v>3358</v>
      </c>
      <c r="S1276" t="s">
        <v>15211</v>
      </c>
      <c r="T1276" t="s">
        <v>3378</v>
      </c>
      <c r="U1276" t="s">
        <v>13171</v>
      </c>
      <c r="V1276" t="s">
        <v>15230</v>
      </c>
    </row>
    <row r="1277" spans="1:22" hidden="1">
      <c r="A1277" t="s">
        <v>15321</v>
      </c>
      <c r="B1277" t="s">
        <v>15441</v>
      </c>
      <c r="C1277" t="s">
        <v>15448</v>
      </c>
      <c r="D1277" t="s">
        <v>1276</v>
      </c>
      <c r="E1277" t="s">
        <v>3434</v>
      </c>
      <c r="F1277" t="s">
        <v>3461</v>
      </c>
      <c r="G1277" s="3">
        <v>36.627103345667798</v>
      </c>
      <c r="H1277" s="3">
        <v>127.394584706215</v>
      </c>
      <c r="I1277" t="s">
        <v>5042</v>
      </c>
      <c r="J1277" t="s">
        <v>8401</v>
      </c>
      <c r="K1277" t="s">
        <v>3619</v>
      </c>
      <c r="L1277" t="s">
        <v>3366</v>
      </c>
      <c r="M1277" t="s">
        <v>11888</v>
      </c>
      <c r="N1277" t="s">
        <v>3363</v>
      </c>
      <c r="O1277" t="s">
        <v>15211</v>
      </c>
      <c r="P1277" t="s">
        <v>3363</v>
      </c>
      <c r="Q1277" t="s">
        <v>3362</v>
      </c>
      <c r="R1277" t="s">
        <v>3358</v>
      </c>
      <c r="S1277" t="s">
        <v>15211</v>
      </c>
      <c r="T1277" t="s">
        <v>3378</v>
      </c>
      <c r="U1277" t="s">
        <v>13172</v>
      </c>
      <c r="V1277" t="s">
        <v>15230</v>
      </c>
    </row>
    <row r="1278" spans="1:22" hidden="1">
      <c r="A1278" t="s">
        <v>15321</v>
      </c>
      <c r="B1278" t="s">
        <v>15441</v>
      </c>
      <c r="C1278" t="s">
        <v>15449</v>
      </c>
      <c r="D1278" t="s">
        <v>1277</v>
      </c>
      <c r="E1278" t="s">
        <v>3428</v>
      </c>
      <c r="F1278" t="s">
        <v>3430</v>
      </c>
      <c r="G1278" s="3">
        <v>36.627103405105899</v>
      </c>
      <c r="H1278" s="3">
        <v>127.39458464579199</v>
      </c>
      <c r="I1278" t="s">
        <v>5043</v>
      </c>
      <c r="J1278" t="s">
        <v>8402</v>
      </c>
      <c r="K1278" t="s">
        <v>10775</v>
      </c>
      <c r="L1278" t="s">
        <v>3366</v>
      </c>
      <c r="M1278" t="s">
        <v>11888</v>
      </c>
      <c r="N1278" t="s">
        <v>3363</v>
      </c>
      <c r="O1278" t="s">
        <v>15211</v>
      </c>
      <c r="P1278" t="s">
        <v>3363</v>
      </c>
      <c r="Q1278" t="s">
        <v>3362</v>
      </c>
      <c r="R1278" t="s">
        <v>3358</v>
      </c>
      <c r="S1278" t="s">
        <v>15211</v>
      </c>
      <c r="T1278" t="s">
        <v>3378</v>
      </c>
      <c r="U1278" t="s">
        <v>13173</v>
      </c>
      <c r="V1278" t="s">
        <v>15231</v>
      </c>
    </row>
    <row r="1279" spans="1:22" hidden="1">
      <c r="A1279" t="s">
        <v>15321</v>
      </c>
      <c r="B1279" t="s">
        <v>15441</v>
      </c>
      <c r="C1279" t="s">
        <v>15449</v>
      </c>
      <c r="D1279" t="s">
        <v>1278</v>
      </c>
      <c r="E1279" t="s">
        <v>3428</v>
      </c>
      <c r="F1279" t="s">
        <v>3430</v>
      </c>
      <c r="G1279" s="3">
        <v>36.627103424943201</v>
      </c>
      <c r="H1279" s="3">
        <v>127.394584635943</v>
      </c>
      <c r="I1279" t="s">
        <v>5044</v>
      </c>
      <c r="J1279" t="s">
        <v>8403</v>
      </c>
      <c r="K1279" t="s">
        <v>11189</v>
      </c>
      <c r="L1279" t="s">
        <v>3366</v>
      </c>
      <c r="M1279" t="s">
        <v>11896</v>
      </c>
      <c r="N1279" t="s">
        <v>3363</v>
      </c>
      <c r="O1279" t="s">
        <v>15211</v>
      </c>
      <c r="P1279" t="s">
        <v>3363</v>
      </c>
      <c r="Q1279" t="s">
        <v>3363</v>
      </c>
      <c r="R1279" t="s">
        <v>3358</v>
      </c>
      <c r="S1279" t="s">
        <v>15211</v>
      </c>
      <c r="T1279" t="s">
        <v>3379</v>
      </c>
      <c r="U1279" t="s">
        <v>13174</v>
      </c>
      <c r="V1279" t="s">
        <v>15231</v>
      </c>
    </row>
    <row r="1280" spans="1:22" hidden="1">
      <c r="A1280" t="s">
        <v>15321</v>
      </c>
      <c r="B1280" t="s">
        <v>15441</v>
      </c>
      <c r="C1280" t="s">
        <v>15449</v>
      </c>
      <c r="D1280" t="s">
        <v>1279</v>
      </c>
      <c r="E1280" t="s">
        <v>3428</v>
      </c>
      <c r="F1280" t="s">
        <v>3430</v>
      </c>
      <c r="G1280" s="3">
        <v>36.627103413466003</v>
      </c>
      <c r="H1280" s="3">
        <v>127.394584629299</v>
      </c>
      <c r="I1280" t="s">
        <v>5045</v>
      </c>
      <c r="J1280" t="s">
        <v>8404</v>
      </c>
      <c r="K1280" t="s">
        <v>10750</v>
      </c>
      <c r="L1280" t="s">
        <v>3366</v>
      </c>
      <c r="M1280" t="s">
        <v>11896</v>
      </c>
      <c r="N1280" t="s">
        <v>3364</v>
      </c>
      <c r="O1280" t="s">
        <v>15211</v>
      </c>
      <c r="P1280" t="s">
        <v>3363</v>
      </c>
      <c r="Q1280" t="s">
        <v>3363</v>
      </c>
      <c r="R1280" t="s">
        <v>3358</v>
      </c>
      <c r="S1280" t="s">
        <v>15211</v>
      </c>
      <c r="T1280" t="s">
        <v>3380</v>
      </c>
      <c r="U1280" t="s">
        <v>13175</v>
      </c>
      <c r="V1280" t="s">
        <v>15231</v>
      </c>
    </row>
    <row r="1281" spans="1:22" hidden="1">
      <c r="A1281" t="s">
        <v>15321</v>
      </c>
      <c r="B1281" t="s">
        <v>15442</v>
      </c>
      <c r="C1281" t="s">
        <v>15450</v>
      </c>
      <c r="D1281" t="s">
        <v>1280</v>
      </c>
      <c r="E1281" t="s">
        <v>3431</v>
      </c>
      <c r="F1281" t="s">
        <v>3441</v>
      </c>
      <c r="G1281" s="3">
        <v>36.627103324200903</v>
      </c>
      <c r="H1281" s="3">
        <v>127.394584617126</v>
      </c>
      <c r="I1281" t="s">
        <v>5046</v>
      </c>
      <c r="J1281" t="s">
        <v>8405</v>
      </c>
      <c r="K1281" t="s">
        <v>11294</v>
      </c>
      <c r="L1281" t="s">
        <v>3366</v>
      </c>
      <c r="M1281" t="s">
        <v>11887</v>
      </c>
      <c r="N1281" t="s">
        <v>3363</v>
      </c>
      <c r="O1281" t="s">
        <v>15211</v>
      </c>
      <c r="P1281" t="s">
        <v>15211</v>
      </c>
      <c r="Q1281" t="s">
        <v>15211</v>
      </c>
      <c r="R1281" t="s">
        <v>15211</v>
      </c>
      <c r="S1281" t="s">
        <v>15211</v>
      </c>
      <c r="T1281" t="s">
        <v>3363</v>
      </c>
      <c r="U1281" t="s">
        <v>13176</v>
      </c>
      <c r="V1281" t="s">
        <v>15232</v>
      </c>
    </row>
    <row r="1282" spans="1:22" hidden="1">
      <c r="A1282" t="s">
        <v>15321</v>
      </c>
      <c r="B1282" t="s">
        <v>15442</v>
      </c>
      <c r="C1282" t="s">
        <v>15450</v>
      </c>
      <c r="D1282" t="s">
        <v>1281</v>
      </c>
      <c r="E1282" t="s">
        <v>3425</v>
      </c>
      <c r="F1282" t="s">
        <v>3441</v>
      </c>
      <c r="G1282" s="3">
        <v>36.6271033107964</v>
      </c>
      <c r="H1282" s="3">
        <v>127.394584613506</v>
      </c>
      <c r="I1282" t="s">
        <v>5047</v>
      </c>
      <c r="J1282" t="s">
        <v>8406</v>
      </c>
      <c r="K1282" t="s">
        <v>11295</v>
      </c>
      <c r="L1282" t="s">
        <v>3366</v>
      </c>
      <c r="M1282" t="s">
        <v>11887</v>
      </c>
      <c r="N1282" t="s">
        <v>3364</v>
      </c>
      <c r="O1282" t="s">
        <v>15211</v>
      </c>
      <c r="P1282" t="s">
        <v>15211</v>
      </c>
      <c r="Q1282" t="s">
        <v>15211</v>
      </c>
      <c r="R1282" t="s">
        <v>15211</v>
      </c>
      <c r="S1282" t="s">
        <v>15211</v>
      </c>
      <c r="T1282" t="s">
        <v>3364</v>
      </c>
      <c r="U1282" t="s">
        <v>13177</v>
      </c>
      <c r="V1282" t="s">
        <v>15232</v>
      </c>
    </row>
    <row r="1283" spans="1:22" hidden="1">
      <c r="A1283" t="s">
        <v>15321</v>
      </c>
      <c r="B1283" t="s">
        <v>15442</v>
      </c>
      <c r="C1283" t="s">
        <v>15450</v>
      </c>
      <c r="D1283" t="s">
        <v>1282</v>
      </c>
      <c r="E1283" t="s">
        <v>3425</v>
      </c>
      <c r="F1283" t="s">
        <v>3442</v>
      </c>
      <c r="G1283" s="3">
        <v>36.6271032839066</v>
      </c>
      <c r="H1283" s="3">
        <v>127.394584586872</v>
      </c>
      <c r="I1283" t="s">
        <v>5048</v>
      </c>
      <c r="J1283" t="s">
        <v>8407</v>
      </c>
      <c r="K1283" t="s">
        <v>11221</v>
      </c>
      <c r="L1283" t="s">
        <v>3366</v>
      </c>
      <c r="M1283" t="s">
        <v>11887</v>
      </c>
      <c r="N1283" t="s">
        <v>3364</v>
      </c>
      <c r="O1283" t="s">
        <v>15211</v>
      </c>
      <c r="P1283" t="s">
        <v>15211</v>
      </c>
      <c r="Q1283" t="s">
        <v>15211</v>
      </c>
      <c r="R1283" t="s">
        <v>15211</v>
      </c>
      <c r="S1283" t="s">
        <v>15211</v>
      </c>
      <c r="T1283" t="s">
        <v>3364</v>
      </c>
      <c r="U1283" t="s">
        <v>13178</v>
      </c>
      <c r="V1283" t="s">
        <v>15232</v>
      </c>
    </row>
    <row r="1284" spans="1:22" hidden="1">
      <c r="A1284" t="s">
        <v>15321</v>
      </c>
      <c r="B1284" t="s">
        <v>15442</v>
      </c>
      <c r="C1284" t="s">
        <v>15445</v>
      </c>
      <c r="D1284" t="s">
        <v>1283</v>
      </c>
      <c r="E1284" t="s">
        <v>3428</v>
      </c>
      <c r="F1284" t="s">
        <v>3435</v>
      </c>
      <c r="G1284" s="3">
        <v>36.6271032838238</v>
      </c>
      <c r="H1284" s="3">
        <v>127.39458453318601</v>
      </c>
      <c r="I1284" t="s">
        <v>5049</v>
      </c>
      <c r="J1284" t="s">
        <v>8408</v>
      </c>
      <c r="K1284" t="s">
        <v>11054</v>
      </c>
      <c r="L1284" t="s">
        <v>3366</v>
      </c>
      <c r="M1284" t="s">
        <v>11892</v>
      </c>
      <c r="N1284" t="s">
        <v>3364</v>
      </c>
      <c r="O1284" t="s">
        <v>15211</v>
      </c>
      <c r="P1284" t="s">
        <v>15211</v>
      </c>
      <c r="Q1284" t="s">
        <v>15211</v>
      </c>
      <c r="R1284" t="s">
        <v>15211</v>
      </c>
      <c r="S1284" t="s">
        <v>15211</v>
      </c>
      <c r="T1284" t="s">
        <v>3364</v>
      </c>
      <c r="U1284" t="s">
        <v>13179</v>
      </c>
      <c r="V1284" t="s">
        <v>15233</v>
      </c>
    </row>
    <row r="1285" spans="1:22" hidden="1">
      <c r="A1285" t="s">
        <v>15321</v>
      </c>
      <c r="B1285" t="s">
        <v>15442</v>
      </c>
      <c r="C1285" t="s">
        <v>15445</v>
      </c>
      <c r="D1285" t="s">
        <v>1284</v>
      </c>
      <c r="E1285" t="s">
        <v>3427</v>
      </c>
      <c r="F1285" t="s">
        <v>3434</v>
      </c>
      <c r="G1285" s="3">
        <v>36.6271033249308</v>
      </c>
      <c r="H1285" s="3">
        <v>127.394584527315</v>
      </c>
      <c r="I1285" t="s">
        <v>5050</v>
      </c>
      <c r="J1285" t="s">
        <v>8409</v>
      </c>
      <c r="K1285" t="s">
        <v>3632</v>
      </c>
      <c r="L1285" t="s">
        <v>3366</v>
      </c>
      <c r="M1285" t="s">
        <v>11892</v>
      </c>
      <c r="N1285" t="s">
        <v>3364</v>
      </c>
      <c r="O1285" t="s">
        <v>15211</v>
      </c>
      <c r="P1285" t="s">
        <v>15211</v>
      </c>
      <c r="Q1285" t="s">
        <v>15211</v>
      </c>
      <c r="R1285" t="s">
        <v>15211</v>
      </c>
      <c r="S1285" t="s">
        <v>15211</v>
      </c>
      <c r="T1285" t="s">
        <v>3364</v>
      </c>
      <c r="U1285" t="s">
        <v>13180</v>
      </c>
      <c r="V1285" t="s">
        <v>15233</v>
      </c>
    </row>
    <row r="1286" spans="1:22" hidden="1">
      <c r="A1286" t="s">
        <v>15321</v>
      </c>
      <c r="B1286" t="s">
        <v>15442</v>
      </c>
      <c r="C1286" t="s">
        <v>15445</v>
      </c>
      <c r="D1286" t="s">
        <v>1285</v>
      </c>
      <c r="E1286" t="s">
        <v>3428</v>
      </c>
      <c r="F1286" t="s">
        <v>3434</v>
      </c>
      <c r="G1286" s="3">
        <v>36.627103295453999</v>
      </c>
      <c r="H1286" s="3">
        <v>127.394584528576</v>
      </c>
      <c r="I1286" t="s">
        <v>5051</v>
      </c>
      <c r="J1286" t="s">
        <v>8410</v>
      </c>
      <c r="K1286" t="s">
        <v>3643</v>
      </c>
      <c r="L1286" t="s">
        <v>3366</v>
      </c>
      <c r="M1286" t="s">
        <v>11892</v>
      </c>
      <c r="N1286" t="s">
        <v>3364</v>
      </c>
      <c r="O1286" t="s">
        <v>15211</v>
      </c>
      <c r="P1286" t="s">
        <v>15211</v>
      </c>
      <c r="Q1286" t="s">
        <v>15211</v>
      </c>
      <c r="R1286" t="s">
        <v>15211</v>
      </c>
      <c r="S1286" t="s">
        <v>15211</v>
      </c>
      <c r="T1286" t="s">
        <v>3364</v>
      </c>
      <c r="U1286" t="s">
        <v>13181</v>
      </c>
      <c r="V1286" t="s">
        <v>15233</v>
      </c>
    </row>
    <row r="1287" spans="1:22" hidden="1">
      <c r="A1287" t="s">
        <v>15321</v>
      </c>
      <c r="B1287" t="s">
        <v>15442</v>
      </c>
      <c r="C1287" t="s">
        <v>15451</v>
      </c>
      <c r="D1287" t="s">
        <v>1286</v>
      </c>
      <c r="E1287" t="s">
        <v>3443</v>
      </c>
      <c r="F1287" t="s">
        <v>3438</v>
      </c>
      <c r="G1287" s="3">
        <v>36.6271033926241</v>
      </c>
      <c r="H1287" s="3">
        <v>127.39458464524201</v>
      </c>
      <c r="I1287" t="s">
        <v>5052</v>
      </c>
      <c r="J1287" t="s">
        <v>8411</v>
      </c>
      <c r="K1287" t="s">
        <v>11296</v>
      </c>
      <c r="L1287" t="s">
        <v>3366</v>
      </c>
      <c r="M1287" t="s">
        <v>11888</v>
      </c>
      <c r="N1287" t="s">
        <v>3364</v>
      </c>
      <c r="O1287" t="s">
        <v>15211</v>
      </c>
      <c r="P1287" t="s">
        <v>3363</v>
      </c>
      <c r="Q1287" t="s">
        <v>3363</v>
      </c>
      <c r="R1287" t="s">
        <v>15211</v>
      </c>
      <c r="S1287" t="s">
        <v>15211</v>
      </c>
      <c r="T1287" t="s">
        <v>3378</v>
      </c>
      <c r="U1287" t="s">
        <v>13182</v>
      </c>
      <c r="V1287" t="s">
        <v>15234</v>
      </c>
    </row>
    <row r="1288" spans="1:22" hidden="1">
      <c r="A1288" t="s">
        <v>15321</v>
      </c>
      <c r="B1288" t="s">
        <v>15442</v>
      </c>
      <c r="C1288" t="s">
        <v>15451</v>
      </c>
      <c r="D1288" t="s">
        <v>1287</v>
      </c>
      <c r="E1288" t="s">
        <v>3439</v>
      </c>
      <c r="F1288" t="s">
        <v>3427</v>
      </c>
      <c r="G1288" s="3">
        <v>36.6271033752015</v>
      </c>
      <c r="H1288" s="3">
        <v>127.394584643576</v>
      </c>
      <c r="I1288" t="s">
        <v>5053</v>
      </c>
      <c r="J1288" t="s">
        <v>8412</v>
      </c>
      <c r="K1288" t="s">
        <v>3674</v>
      </c>
      <c r="L1288" t="s">
        <v>3366</v>
      </c>
      <c r="M1288" t="s">
        <v>11889</v>
      </c>
      <c r="N1288" t="s">
        <v>3364</v>
      </c>
      <c r="O1288" t="s">
        <v>15211</v>
      </c>
      <c r="P1288" t="s">
        <v>3363</v>
      </c>
      <c r="Q1288" t="s">
        <v>3363</v>
      </c>
      <c r="R1288" t="s">
        <v>15211</v>
      </c>
      <c r="S1288" t="s">
        <v>15211</v>
      </c>
      <c r="T1288" t="s">
        <v>3378</v>
      </c>
      <c r="U1288" t="s">
        <v>13183</v>
      </c>
      <c r="V1288" t="s">
        <v>15234</v>
      </c>
    </row>
    <row r="1289" spans="1:22" hidden="1">
      <c r="A1289" t="s">
        <v>15321</v>
      </c>
      <c r="B1289" t="s">
        <v>15442</v>
      </c>
      <c r="C1289" t="s">
        <v>15451</v>
      </c>
      <c r="D1289" t="s">
        <v>1288</v>
      </c>
      <c r="E1289" t="s">
        <v>3437</v>
      </c>
      <c r="F1289" t="s">
        <v>3428</v>
      </c>
      <c r="G1289" s="3">
        <v>36.627103394648202</v>
      </c>
      <c r="H1289" s="3">
        <v>127.39458465806101</v>
      </c>
      <c r="I1289" t="s">
        <v>5054</v>
      </c>
      <c r="J1289" t="s">
        <v>8413</v>
      </c>
      <c r="K1289" t="s">
        <v>10826</v>
      </c>
      <c r="L1289" t="s">
        <v>3366</v>
      </c>
      <c r="M1289" t="s">
        <v>11889</v>
      </c>
      <c r="N1289" t="s">
        <v>3364</v>
      </c>
      <c r="O1289" t="s">
        <v>15211</v>
      </c>
      <c r="P1289" t="s">
        <v>3362</v>
      </c>
      <c r="Q1289" t="s">
        <v>3363</v>
      </c>
      <c r="R1289" t="s">
        <v>15211</v>
      </c>
      <c r="S1289" t="s">
        <v>15211</v>
      </c>
      <c r="T1289" t="s">
        <v>3377</v>
      </c>
      <c r="U1289" t="s">
        <v>13184</v>
      </c>
      <c r="V1289" t="s">
        <v>15234</v>
      </c>
    </row>
    <row r="1290" spans="1:22">
      <c r="A1290" t="s">
        <v>15321</v>
      </c>
      <c r="B1290" t="s">
        <v>15443</v>
      </c>
      <c r="C1290" t="s">
        <v>15452</v>
      </c>
      <c r="D1290" t="s">
        <v>1289</v>
      </c>
      <c r="E1290" t="s">
        <v>3440</v>
      </c>
      <c r="F1290" t="s">
        <v>3435</v>
      </c>
      <c r="G1290" s="3">
        <v>36.627103444851997</v>
      </c>
      <c r="H1290" s="3">
        <v>127.394584842629</v>
      </c>
      <c r="I1290" t="s">
        <v>5055</v>
      </c>
      <c r="J1290" t="s">
        <v>8414</v>
      </c>
      <c r="K1290" t="s">
        <v>11099</v>
      </c>
      <c r="L1290" t="s">
        <v>3366</v>
      </c>
      <c r="M1290" t="s">
        <v>11895</v>
      </c>
      <c r="N1290" t="s">
        <v>3360</v>
      </c>
      <c r="O1290" t="s">
        <v>15211</v>
      </c>
      <c r="P1290" t="s">
        <v>3362</v>
      </c>
      <c r="Q1290" t="s">
        <v>3362</v>
      </c>
      <c r="R1290" t="s">
        <v>15211</v>
      </c>
      <c r="S1290" t="s">
        <v>15211</v>
      </c>
      <c r="T1290" t="s">
        <v>3372</v>
      </c>
      <c r="U1290" t="s">
        <v>13185</v>
      </c>
      <c r="V1290" t="s">
        <v>15220</v>
      </c>
    </row>
    <row r="1291" spans="1:22">
      <c r="A1291" t="s">
        <v>15321</v>
      </c>
      <c r="B1291" t="s">
        <v>15443</v>
      </c>
      <c r="C1291" t="s">
        <v>15452</v>
      </c>
      <c r="D1291" t="s">
        <v>1290</v>
      </c>
      <c r="E1291" t="s">
        <v>3440</v>
      </c>
      <c r="F1291" t="s">
        <v>3435</v>
      </c>
      <c r="G1291" s="3">
        <v>36.627103456224098</v>
      </c>
      <c r="H1291" s="3">
        <v>127.39458484096799</v>
      </c>
      <c r="I1291" t="s">
        <v>5056</v>
      </c>
      <c r="J1291" t="s">
        <v>8415</v>
      </c>
      <c r="K1291" t="s">
        <v>3616</v>
      </c>
      <c r="L1291" t="s">
        <v>3366</v>
      </c>
      <c r="M1291" t="s">
        <v>11903</v>
      </c>
      <c r="N1291" t="s">
        <v>3360</v>
      </c>
      <c r="O1291" t="s">
        <v>15211</v>
      </c>
      <c r="P1291" t="s">
        <v>3362</v>
      </c>
      <c r="Q1291" t="s">
        <v>3362</v>
      </c>
      <c r="R1291" t="s">
        <v>15211</v>
      </c>
      <c r="S1291" t="s">
        <v>15211</v>
      </c>
      <c r="T1291" t="s">
        <v>3372</v>
      </c>
      <c r="U1291" t="s">
        <v>13186</v>
      </c>
      <c r="V1291" t="s">
        <v>15220</v>
      </c>
    </row>
    <row r="1292" spans="1:22">
      <c r="A1292" t="s">
        <v>15321</v>
      </c>
      <c r="B1292" t="s">
        <v>15443</v>
      </c>
      <c r="C1292" t="s">
        <v>15452</v>
      </c>
      <c r="D1292" t="s">
        <v>1291</v>
      </c>
      <c r="E1292" t="s">
        <v>3440</v>
      </c>
      <c r="F1292" t="s">
        <v>3434</v>
      </c>
      <c r="G1292" s="3">
        <v>36.627103458453398</v>
      </c>
      <c r="H1292" s="3">
        <v>127.39458481254</v>
      </c>
      <c r="I1292" t="s">
        <v>5057</v>
      </c>
      <c r="J1292" t="s">
        <v>8416</v>
      </c>
      <c r="K1292" t="s">
        <v>11297</v>
      </c>
      <c r="L1292" t="s">
        <v>3366</v>
      </c>
      <c r="M1292" t="s">
        <v>11903</v>
      </c>
      <c r="N1292" t="s">
        <v>3360</v>
      </c>
      <c r="O1292" t="s">
        <v>15211</v>
      </c>
      <c r="P1292" t="s">
        <v>3362</v>
      </c>
      <c r="Q1292" t="s">
        <v>3362</v>
      </c>
      <c r="R1292" t="s">
        <v>15211</v>
      </c>
      <c r="S1292" t="s">
        <v>15211</v>
      </c>
      <c r="T1292" t="s">
        <v>3372</v>
      </c>
      <c r="U1292" t="s">
        <v>13187</v>
      </c>
      <c r="V1292" t="s">
        <v>15220</v>
      </c>
    </row>
    <row r="1293" spans="1:22" hidden="1">
      <c r="A1293" t="s">
        <v>15322</v>
      </c>
      <c r="B1293" t="s">
        <v>15441</v>
      </c>
      <c r="C1293" t="s">
        <v>15445</v>
      </c>
      <c r="D1293" t="s">
        <v>1292</v>
      </c>
      <c r="E1293" t="s">
        <v>3438</v>
      </c>
      <c r="F1293" t="s">
        <v>3434</v>
      </c>
      <c r="G1293" s="3">
        <v>36.599681068225998</v>
      </c>
      <c r="H1293" s="3">
        <v>127.286607688082</v>
      </c>
      <c r="I1293" t="s">
        <v>5058</v>
      </c>
      <c r="J1293" t="s">
        <v>8417</v>
      </c>
      <c r="K1293" t="s">
        <v>10878</v>
      </c>
      <c r="L1293" t="s">
        <v>3382</v>
      </c>
      <c r="M1293" t="s">
        <v>11900</v>
      </c>
      <c r="N1293" t="s">
        <v>3362</v>
      </c>
      <c r="O1293" t="s">
        <v>3359</v>
      </c>
      <c r="P1293" t="s">
        <v>15211</v>
      </c>
      <c r="Q1293" t="s">
        <v>15211</v>
      </c>
      <c r="R1293" t="s">
        <v>15211</v>
      </c>
      <c r="S1293" t="s">
        <v>15211</v>
      </c>
      <c r="T1293" t="s">
        <v>3365</v>
      </c>
      <c r="U1293" t="s">
        <v>13188</v>
      </c>
      <c r="V1293" t="s">
        <v>15228</v>
      </c>
    </row>
    <row r="1294" spans="1:22" hidden="1">
      <c r="A1294" t="s">
        <v>15322</v>
      </c>
      <c r="B1294" t="s">
        <v>15441</v>
      </c>
      <c r="C1294" t="s">
        <v>15445</v>
      </c>
      <c r="D1294" t="s">
        <v>1293</v>
      </c>
      <c r="E1294" t="s">
        <v>3438</v>
      </c>
      <c r="F1294" t="s">
        <v>3434</v>
      </c>
      <c r="G1294" s="3">
        <v>36.599681066491499</v>
      </c>
      <c r="H1294" s="3">
        <v>127.286607703681</v>
      </c>
      <c r="I1294" t="s">
        <v>5059</v>
      </c>
      <c r="J1294" t="s">
        <v>8418</v>
      </c>
      <c r="K1294" t="s">
        <v>11298</v>
      </c>
      <c r="L1294" t="s">
        <v>3366</v>
      </c>
      <c r="M1294" t="s">
        <v>11900</v>
      </c>
      <c r="N1294" t="s">
        <v>3362</v>
      </c>
      <c r="O1294" t="s">
        <v>3359</v>
      </c>
      <c r="P1294" t="s">
        <v>15211</v>
      </c>
      <c r="Q1294" t="s">
        <v>15211</v>
      </c>
      <c r="R1294" t="s">
        <v>15211</v>
      </c>
      <c r="S1294" t="s">
        <v>15211</v>
      </c>
      <c r="T1294" t="s">
        <v>3365</v>
      </c>
      <c r="U1294" t="s">
        <v>13189</v>
      </c>
      <c r="V1294" t="s">
        <v>15228</v>
      </c>
    </row>
    <row r="1295" spans="1:22" hidden="1">
      <c r="A1295" t="s">
        <v>15322</v>
      </c>
      <c r="B1295" t="s">
        <v>15441</v>
      </c>
      <c r="C1295" t="s">
        <v>15445</v>
      </c>
      <c r="D1295" t="s">
        <v>1294</v>
      </c>
      <c r="E1295" t="s">
        <v>3440</v>
      </c>
      <c r="F1295" t="s">
        <v>3434</v>
      </c>
      <c r="G1295" s="3">
        <v>36.599681053264398</v>
      </c>
      <c r="H1295" s="3">
        <v>127.28660769207301</v>
      </c>
      <c r="I1295" t="s">
        <v>5060</v>
      </c>
      <c r="J1295" t="s">
        <v>8419</v>
      </c>
      <c r="K1295" t="s">
        <v>11299</v>
      </c>
      <c r="L1295" t="s">
        <v>3366</v>
      </c>
      <c r="M1295" t="s">
        <v>11900</v>
      </c>
      <c r="N1295" t="s">
        <v>3362</v>
      </c>
      <c r="O1295" t="s">
        <v>3359</v>
      </c>
      <c r="P1295" t="s">
        <v>15211</v>
      </c>
      <c r="Q1295" t="s">
        <v>15211</v>
      </c>
      <c r="R1295" t="s">
        <v>15211</v>
      </c>
      <c r="S1295" t="s">
        <v>15211</v>
      </c>
      <c r="T1295" t="s">
        <v>3365</v>
      </c>
      <c r="U1295" t="s">
        <v>13190</v>
      </c>
      <c r="V1295" t="s">
        <v>15228</v>
      </c>
    </row>
    <row r="1296" spans="1:22" hidden="1">
      <c r="A1296" t="s">
        <v>15322</v>
      </c>
      <c r="B1296" t="s">
        <v>15441</v>
      </c>
      <c r="C1296" t="s">
        <v>15446</v>
      </c>
      <c r="D1296" t="s">
        <v>1295</v>
      </c>
      <c r="E1296" t="s">
        <v>3438</v>
      </c>
      <c r="F1296" t="s">
        <v>3434</v>
      </c>
      <c r="G1296" s="3">
        <v>36.599681206306599</v>
      </c>
      <c r="H1296" s="3">
        <v>127.286607761003</v>
      </c>
      <c r="I1296" t="s">
        <v>5061</v>
      </c>
      <c r="J1296" t="s">
        <v>8420</v>
      </c>
      <c r="K1296" t="s">
        <v>11300</v>
      </c>
      <c r="L1296" t="s">
        <v>3366</v>
      </c>
      <c r="M1296" t="s">
        <v>11900</v>
      </c>
      <c r="N1296" t="s">
        <v>3362</v>
      </c>
      <c r="O1296" t="s">
        <v>3359</v>
      </c>
      <c r="P1296" t="s">
        <v>15211</v>
      </c>
      <c r="Q1296" t="s">
        <v>15211</v>
      </c>
      <c r="R1296" t="s">
        <v>15211</v>
      </c>
      <c r="S1296" t="s">
        <v>15211</v>
      </c>
      <c r="T1296" t="s">
        <v>3365</v>
      </c>
      <c r="U1296" t="s">
        <v>13191</v>
      </c>
      <c r="V1296" t="s">
        <v>15229</v>
      </c>
    </row>
    <row r="1297" spans="1:22" hidden="1">
      <c r="A1297" t="s">
        <v>15322</v>
      </c>
      <c r="B1297" t="s">
        <v>15441</v>
      </c>
      <c r="C1297" t="s">
        <v>15446</v>
      </c>
      <c r="D1297" t="s">
        <v>1296</v>
      </c>
      <c r="E1297" t="s">
        <v>3427</v>
      </c>
      <c r="F1297" t="s">
        <v>3429</v>
      </c>
      <c r="G1297" s="3">
        <v>36.599681246809801</v>
      </c>
      <c r="H1297" s="3">
        <v>127.286607775313</v>
      </c>
      <c r="I1297" t="s">
        <v>5062</v>
      </c>
      <c r="J1297" t="s">
        <v>8421</v>
      </c>
      <c r="K1297" t="s">
        <v>11301</v>
      </c>
      <c r="L1297" t="s">
        <v>3366</v>
      </c>
      <c r="M1297" t="s">
        <v>11900</v>
      </c>
      <c r="N1297" t="s">
        <v>3362</v>
      </c>
      <c r="O1297" t="s">
        <v>3359</v>
      </c>
      <c r="P1297" t="s">
        <v>15211</v>
      </c>
      <c r="Q1297" t="s">
        <v>15211</v>
      </c>
      <c r="R1297" t="s">
        <v>15211</v>
      </c>
      <c r="S1297" t="s">
        <v>15211</v>
      </c>
      <c r="T1297" t="s">
        <v>3365</v>
      </c>
      <c r="U1297" t="s">
        <v>13192</v>
      </c>
      <c r="V1297" t="s">
        <v>15229</v>
      </c>
    </row>
    <row r="1298" spans="1:22" hidden="1">
      <c r="A1298" t="s">
        <v>15322</v>
      </c>
      <c r="B1298" t="s">
        <v>15441</v>
      </c>
      <c r="C1298" t="s">
        <v>15446</v>
      </c>
      <c r="D1298" t="s">
        <v>1297</v>
      </c>
      <c r="E1298" t="s">
        <v>3427</v>
      </c>
      <c r="F1298" t="s">
        <v>3429</v>
      </c>
      <c r="G1298" s="3">
        <v>36.599681197004898</v>
      </c>
      <c r="H1298" s="3">
        <v>127.286607803558</v>
      </c>
      <c r="I1298" t="s">
        <v>5063</v>
      </c>
      <c r="J1298" t="s">
        <v>8422</v>
      </c>
      <c r="K1298" t="s">
        <v>11302</v>
      </c>
      <c r="L1298" t="s">
        <v>3366</v>
      </c>
      <c r="M1298" t="s">
        <v>11900</v>
      </c>
      <c r="N1298" t="s">
        <v>3362</v>
      </c>
      <c r="O1298" t="s">
        <v>3359</v>
      </c>
      <c r="P1298" t="s">
        <v>15211</v>
      </c>
      <c r="Q1298" t="s">
        <v>15211</v>
      </c>
      <c r="R1298" t="s">
        <v>15211</v>
      </c>
      <c r="S1298" t="s">
        <v>15211</v>
      </c>
      <c r="T1298" t="s">
        <v>3365</v>
      </c>
      <c r="U1298" t="s">
        <v>13193</v>
      </c>
      <c r="V1298" t="s">
        <v>15229</v>
      </c>
    </row>
    <row r="1299" spans="1:22" hidden="1">
      <c r="A1299" t="s">
        <v>15322</v>
      </c>
      <c r="B1299" t="s">
        <v>15441</v>
      </c>
      <c r="C1299" t="s">
        <v>15448</v>
      </c>
      <c r="D1299" t="s">
        <v>1298</v>
      </c>
      <c r="E1299" t="s">
        <v>3430</v>
      </c>
      <c r="F1299" t="s">
        <v>3579</v>
      </c>
      <c r="G1299" s="3">
        <v>36.599680969639202</v>
      </c>
      <c r="H1299" s="3">
        <v>127.286607738147</v>
      </c>
      <c r="I1299" t="s">
        <v>5064</v>
      </c>
      <c r="J1299" t="s">
        <v>8423</v>
      </c>
      <c r="K1299" t="s">
        <v>10669</v>
      </c>
      <c r="L1299" t="s">
        <v>3366</v>
      </c>
      <c r="M1299" t="s">
        <v>11888</v>
      </c>
      <c r="N1299" t="s">
        <v>3362</v>
      </c>
      <c r="O1299" t="s">
        <v>3359</v>
      </c>
      <c r="P1299" t="s">
        <v>3362</v>
      </c>
      <c r="Q1299" t="s">
        <v>3362</v>
      </c>
      <c r="R1299" t="s">
        <v>3357</v>
      </c>
      <c r="S1299" t="s">
        <v>15211</v>
      </c>
      <c r="T1299" t="s">
        <v>3378</v>
      </c>
      <c r="U1299" t="s">
        <v>13194</v>
      </c>
      <c r="V1299" t="s">
        <v>15230</v>
      </c>
    </row>
    <row r="1300" spans="1:22" hidden="1">
      <c r="A1300" t="s">
        <v>15322</v>
      </c>
      <c r="B1300" t="s">
        <v>15441</v>
      </c>
      <c r="C1300" t="s">
        <v>15448</v>
      </c>
      <c r="D1300" t="s">
        <v>1299</v>
      </c>
      <c r="E1300" t="s">
        <v>3430</v>
      </c>
      <c r="F1300" t="s">
        <v>3579</v>
      </c>
      <c r="G1300" s="3">
        <v>36.599680983590098</v>
      </c>
      <c r="H1300" s="3">
        <v>127.28660773485799</v>
      </c>
      <c r="I1300" t="s">
        <v>5065</v>
      </c>
      <c r="J1300" t="s">
        <v>8424</v>
      </c>
      <c r="K1300" t="s">
        <v>10669</v>
      </c>
      <c r="L1300" t="s">
        <v>3366</v>
      </c>
      <c r="M1300" t="s">
        <v>11888</v>
      </c>
      <c r="N1300" t="s">
        <v>3362</v>
      </c>
      <c r="O1300" t="s">
        <v>3359</v>
      </c>
      <c r="P1300" t="s">
        <v>3362</v>
      </c>
      <c r="Q1300" t="s">
        <v>3362</v>
      </c>
      <c r="R1300" t="s">
        <v>3357</v>
      </c>
      <c r="S1300" t="s">
        <v>15211</v>
      </c>
      <c r="T1300" t="s">
        <v>3378</v>
      </c>
      <c r="U1300" t="s">
        <v>13195</v>
      </c>
      <c r="V1300" t="s">
        <v>15230</v>
      </c>
    </row>
    <row r="1301" spans="1:22" hidden="1">
      <c r="A1301" t="s">
        <v>15322</v>
      </c>
      <c r="B1301" t="s">
        <v>15441</v>
      </c>
      <c r="C1301" t="s">
        <v>15448</v>
      </c>
      <c r="D1301" t="s">
        <v>1300</v>
      </c>
      <c r="E1301" t="s">
        <v>3430</v>
      </c>
      <c r="F1301" t="s">
        <v>3579</v>
      </c>
      <c r="G1301" s="3">
        <v>36.5996809670484</v>
      </c>
      <c r="H1301" s="3">
        <v>127.286607703822</v>
      </c>
      <c r="I1301" t="s">
        <v>5066</v>
      </c>
      <c r="J1301" t="s">
        <v>8425</v>
      </c>
      <c r="K1301" t="s">
        <v>3763</v>
      </c>
      <c r="L1301" t="s">
        <v>3366</v>
      </c>
      <c r="M1301" t="s">
        <v>11888</v>
      </c>
      <c r="N1301" t="s">
        <v>3362</v>
      </c>
      <c r="O1301" t="s">
        <v>3359</v>
      </c>
      <c r="P1301" t="s">
        <v>3362</v>
      </c>
      <c r="Q1301" t="s">
        <v>3362</v>
      </c>
      <c r="R1301" t="s">
        <v>3357</v>
      </c>
      <c r="S1301" t="s">
        <v>15211</v>
      </c>
      <c r="T1301" t="s">
        <v>3378</v>
      </c>
      <c r="U1301" t="s">
        <v>13194</v>
      </c>
      <c r="V1301" t="s">
        <v>15230</v>
      </c>
    </row>
    <row r="1302" spans="1:22" hidden="1">
      <c r="A1302" t="s">
        <v>15322</v>
      </c>
      <c r="B1302" t="s">
        <v>15441</v>
      </c>
      <c r="C1302" t="s">
        <v>15449</v>
      </c>
      <c r="D1302" t="s">
        <v>1301</v>
      </c>
      <c r="E1302" t="s">
        <v>3437</v>
      </c>
      <c r="F1302" t="s">
        <v>3431</v>
      </c>
      <c r="G1302" s="3">
        <v>36.599680970701201</v>
      </c>
      <c r="H1302" s="3">
        <v>127.286607718798</v>
      </c>
      <c r="I1302" t="s">
        <v>5067</v>
      </c>
      <c r="J1302" t="s">
        <v>8426</v>
      </c>
      <c r="K1302" t="s">
        <v>10747</v>
      </c>
      <c r="L1302" t="s">
        <v>3366</v>
      </c>
      <c r="M1302" t="s">
        <v>11908</v>
      </c>
      <c r="N1302" t="s">
        <v>3362</v>
      </c>
      <c r="O1302" t="s">
        <v>3359</v>
      </c>
      <c r="P1302" t="s">
        <v>3361</v>
      </c>
      <c r="Q1302" t="s">
        <v>3362</v>
      </c>
      <c r="R1302" t="s">
        <v>15211</v>
      </c>
      <c r="S1302" t="s">
        <v>15211</v>
      </c>
      <c r="T1302" t="s">
        <v>3376</v>
      </c>
      <c r="U1302" t="s">
        <v>13196</v>
      </c>
      <c r="V1302" t="s">
        <v>15231</v>
      </c>
    </row>
    <row r="1303" spans="1:22" hidden="1">
      <c r="A1303" t="s">
        <v>15322</v>
      </c>
      <c r="B1303" t="s">
        <v>15441</v>
      </c>
      <c r="C1303" t="s">
        <v>15449</v>
      </c>
      <c r="D1303" t="s">
        <v>1302</v>
      </c>
      <c r="E1303" t="s">
        <v>3437</v>
      </c>
      <c r="F1303" t="s">
        <v>3431</v>
      </c>
      <c r="G1303" s="3">
        <v>36.5996809765752</v>
      </c>
      <c r="H1303" s="3">
        <v>127.2866077165</v>
      </c>
      <c r="I1303" t="s">
        <v>5068</v>
      </c>
      <c r="J1303" t="s">
        <v>8427</v>
      </c>
      <c r="K1303" t="s">
        <v>11303</v>
      </c>
      <c r="L1303" t="s">
        <v>3366</v>
      </c>
      <c r="M1303" t="s">
        <v>11908</v>
      </c>
      <c r="N1303" t="s">
        <v>3362</v>
      </c>
      <c r="O1303" t="s">
        <v>3359</v>
      </c>
      <c r="P1303" t="s">
        <v>3361</v>
      </c>
      <c r="Q1303" t="s">
        <v>3362</v>
      </c>
      <c r="R1303" t="s">
        <v>15211</v>
      </c>
      <c r="S1303" t="s">
        <v>15211</v>
      </c>
      <c r="T1303" t="s">
        <v>3376</v>
      </c>
      <c r="U1303" t="s">
        <v>13197</v>
      </c>
      <c r="V1303" t="s">
        <v>15231</v>
      </c>
    </row>
    <row r="1304" spans="1:22" hidden="1">
      <c r="A1304" t="s">
        <v>15322</v>
      </c>
      <c r="B1304" t="s">
        <v>15441</v>
      </c>
      <c r="C1304" t="s">
        <v>15449</v>
      </c>
      <c r="D1304" t="s">
        <v>1303</v>
      </c>
      <c r="E1304" t="s">
        <v>3440</v>
      </c>
      <c r="F1304" t="s">
        <v>3434</v>
      </c>
      <c r="G1304" s="3">
        <v>36.599680975632502</v>
      </c>
      <c r="H1304" s="3">
        <v>127.286607721748</v>
      </c>
      <c r="I1304" t="s">
        <v>5069</v>
      </c>
      <c r="J1304" t="s">
        <v>8428</v>
      </c>
      <c r="K1304" t="s">
        <v>3644</v>
      </c>
      <c r="L1304" t="s">
        <v>3366</v>
      </c>
      <c r="M1304" t="s">
        <v>11908</v>
      </c>
      <c r="N1304" t="s">
        <v>3362</v>
      </c>
      <c r="O1304" t="s">
        <v>3359</v>
      </c>
      <c r="P1304" t="s">
        <v>3361</v>
      </c>
      <c r="Q1304" t="s">
        <v>3362</v>
      </c>
      <c r="R1304" t="s">
        <v>15211</v>
      </c>
      <c r="S1304" t="s">
        <v>15211</v>
      </c>
      <c r="T1304" t="s">
        <v>3376</v>
      </c>
      <c r="U1304" t="s">
        <v>13198</v>
      </c>
      <c r="V1304" t="s">
        <v>15231</v>
      </c>
    </row>
    <row r="1305" spans="1:22" hidden="1">
      <c r="A1305" t="s">
        <v>15322</v>
      </c>
      <c r="B1305" t="s">
        <v>15442</v>
      </c>
      <c r="C1305" t="s">
        <v>15450</v>
      </c>
      <c r="D1305" t="s">
        <v>1304</v>
      </c>
      <c r="E1305" t="s">
        <v>3425</v>
      </c>
      <c r="F1305" t="s">
        <v>3433</v>
      </c>
      <c r="G1305" s="3">
        <v>36.5996810706622</v>
      </c>
      <c r="H1305" s="3">
        <v>127.286607704955</v>
      </c>
      <c r="I1305" t="s">
        <v>5070</v>
      </c>
      <c r="J1305" t="s">
        <v>8429</v>
      </c>
      <c r="K1305" t="s">
        <v>10486</v>
      </c>
      <c r="L1305" t="s">
        <v>3366</v>
      </c>
      <c r="M1305" t="s">
        <v>11900</v>
      </c>
      <c r="N1305" t="s">
        <v>3362</v>
      </c>
      <c r="O1305" t="s">
        <v>3359</v>
      </c>
      <c r="P1305" t="s">
        <v>15211</v>
      </c>
      <c r="Q1305" t="s">
        <v>15211</v>
      </c>
      <c r="R1305" t="s">
        <v>15211</v>
      </c>
      <c r="S1305" t="s">
        <v>15211</v>
      </c>
      <c r="T1305" t="s">
        <v>3365</v>
      </c>
      <c r="U1305" t="s">
        <v>13199</v>
      </c>
      <c r="V1305" t="s">
        <v>15232</v>
      </c>
    </row>
    <row r="1306" spans="1:22" hidden="1">
      <c r="A1306" t="s">
        <v>15322</v>
      </c>
      <c r="B1306" t="s">
        <v>15442</v>
      </c>
      <c r="C1306" t="s">
        <v>15450</v>
      </c>
      <c r="D1306" t="s">
        <v>1305</v>
      </c>
      <c r="E1306" t="s">
        <v>3425</v>
      </c>
      <c r="F1306" t="s">
        <v>3433</v>
      </c>
      <c r="G1306" s="3">
        <v>36.599681050335001</v>
      </c>
      <c r="H1306" s="3">
        <v>127.286607729346</v>
      </c>
      <c r="I1306" t="s">
        <v>5071</v>
      </c>
      <c r="J1306" t="s">
        <v>8430</v>
      </c>
      <c r="K1306" t="s">
        <v>11304</v>
      </c>
      <c r="L1306" t="s">
        <v>3366</v>
      </c>
      <c r="M1306" t="s">
        <v>11900</v>
      </c>
      <c r="N1306" t="s">
        <v>3362</v>
      </c>
      <c r="O1306" t="s">
        <v>3359</v>
      </c>
      <c r="P1306" t="s">
        <v>15211</v>
      </c>
      <c r="Q1306" t="s">
        <v>15211</v>
      </c>
      <c r="R1306" t="s">
        <v>15211</v>
      </c>
      <c r="S1306" t="s">
        <v>15211</v>
      </c>
      <c r="T1306" t="s">
        <v>3365</v>
      </c>
      <c r="U1306" t="s">
        <v>13200</v>
      </c>
      <c r="V1306" t="s">
        <v>15232</v>
      </c>
    </row>
    <row r="1307" spans="1:22" hidden="1">
      <c r="A1307" t="s">
        <v>15322</v>
      </c>
      <c r="B1307" t="s">
        <v>15442</v>
      </c>
      <c r="C1307" t="s">
        <v>15450</v>
      </c>
      <c r="D1307" t="s">
        <v>1306</v>
      </c>
      <c r="E1307" t="s">
        <v>3425</v>
      </c>
      <c r="F1307" t="s">
        <v>3433</v>
      </c>
      <c r="G1307" s="3">
        <v>36.599680995421899</v>
      </c>
      <c r="H1307" s="3">
        <v>127.286607727221</v>
      </c>
      <c r="I1307" t="s">
        <v>5072</v>
      </c>
      <c r="J1307" t="s">
        <v>8431</v>
      </c>
      <c r="K1307" t="s">
        <v>11166</v>
      </c>
      <c r="L1307" t="s">
        <v>3366</v>
      </c>
      <c r="M1307" t="s">
        <v>11900</v>
      </c>
      <c r="N1307" t="s">
        <v>3362</v>
      </c>
      <c r="O1307" t="s">
        <v>3359</v>
      </c>
      <c r="P1307" t="s">
        <v>15211</v>
      </c>
      <c r="Q1307" t="s">
        <v>15211</v>
      </c>
      <c r="R1307" t="s">
        <v>15211</v>
      </c>
      <c r="S1307" t="s">
        <v>15211</v>
      </c>
      <c r="T1307" t="s">
        <v>3365</v>
      </c>
      <c r="U1307" t="s">
        <v>13193</v>
      </c>
      <c r="V1307" t="s">
        <v>15232</v>
      </c>
    </row>
    <row r="1308" spans="1:22" hidden="1">
      <c r="A1308" t="s">
        <v>15322</v>
      </c>
      <c r="B1308" t="s">
        <v>15442</v>
      </c>
      <c r="C1308" t="s">
        <v>15445</v>
      </c>
      <c r="D1308" t="s">
        <v>1307</v>
      </c>
      <c r="E1308" t="s">
        <v>3440</v>
      </c>
      <c r="F1308" t="s">
        <v>3425</v>
      </c>
      <c r="G1308" s="3">
        <v>36.5996810093107</v>
      </c>
      <c r="H1308" s="3">
        <v>127.286607602356</v>
      </c>
      <c r="I1308" t="s">
        <v>5073</v>
      </c>
      <c r="J1308" t="s">
        <v>8432</v>
      </c>
      <c r="K1308" t="s">
        <v>11305</v>
      </c>
      <c r="L1308" t="s">
        <v>3366</v>
      </c>
      <c r="M1308" t="s">
        <v>11900</v>
      </c>
      <c r="N1308" t="s">
        <v>3362</v>
      </c>
      <c r="O1308" t="s">
        <v>3359</v>
      </c>
      <c r="P1308" t="s">
        <v>15211</v>
      </c>
      <c r="Q1308" t="s">
        <v>15211</v>
      </c>
      <c r="R1308" t="s">
        <v>15211</v>
      </c>
      <c r="S1308" t="s">
        <v>15211</v>
      </c>
      <c r="T1308" t="s">
        <v>3365</v>
      </c>
      <c r="U1308" t="s">
        <v>13201</v>
      </c>
      <c r="V1308" t="s">
        <v>15233</v>
      </c>
    </row>
    <row r="1309" spans="1:22" hidden="1">
      <c r="A1309" t="s">
        <v>15322</v>
      </c>
      <c r="B1309" t="s">
        <v>15442</v>
      </c>
      <c r="C1309" t="s">
        <v>15445</v>
      </c>
      <c r="D1309" t="s">
        <v>1308</v>
      </c>
      <c r="E1309" t="s">
        <v>3440</v>
      </c>
      <c r="F1309" t="s">
        <v>3425</v>
      </c>
      <c r="G1309" s="3">
        <v>36.599681043610403</v>
      </c>
      <c r="H1309" s="3">
        <v>127.286607592829</v>
      </c>
      <c r="I1309" t="s">
        <v>5074</v>
      </c>
      <c r="J1309" t="s">
        <v>8433</v>
      </c>
      <c r="K1309" t="s">
        <v>11306</v>
      </c>
      <c r="L1309" t="s">
        <v>3366</v>
      </c>
      <c r="M1309" t="s">
        <v>11900</v>
      </c>
      <c r="N1309" t="s">
        <v>3362</v>
      </c>
      <c r="O1309" t="s">
        <v>3359</v>
      </c>
      <c r="P1309" t="s">
        <v>15211</v>
      </c>
      <c r="Q1309" t="s">
        <v>15211</v>
      </c>
      <c r="R1309" t="s">
        <v>15211</v>
      </c>
      <c r="S1309" t="s">
        <v>15211</v>
      </c>
      <c r="T1309" t="s">
        <v>3365</v>
      </c>
      <c r="U1309" t="s">
        <v>13202</v>
      </c>
      <c r="V1309" t="s">
        <v>15233</v>
      </c>
    </row>
    <row r="1310" spans="1:22" hidden="1">
      <c r="A1310" t="s">
        <v>15322</v>
      </c>
      <c r="B1310" t="s">
        <v>15442</v>
      </c>
      <c r="C1310" t="s">
        <v>15445</v>
      </c>
      <c r="D1310" t="s">
        <v>1309</v>
      </c>
      <c r="E1310" t="s">
        <v>3440</v>
      </c>
      <c r="F1310" t="s">
        <v>3425</v>
      </c>
      <c r="G1310" s="3">
        <v>36.599681040693099</v>
      </c>
      <c r="H1310" s="3">
        <v>127.28660764390899</v>
      </c>
      <c r="I1310" t="s">
        <v>5075</v>
      </c>
      <c r="J1310" t="s">
        <v>8434</v>
      </c>
      <c r="K1310" t="s">
        <v>11307</v>
      </c>
      <c r="L1310" t="s">
        <v>3366</v>
      </c>
      <c r="M1310" t="s">
        <v>11900</v>
      </c>
      <c r="N1310" t="s">
        <v>3362</v>
      </c>
      <c r="O1310" t="s">
        <v>3359</v>
      </c>
      <c r="P1310" t="s">
        <v>15211</v>
      </c>
      <c r="Q1310" t="s">
        <v>15211</v>
      </c>
      <c r="R1310" t="s">
        <v>15211</v>
      </c>
      <c r="S1310" t="s">
        <v>15211</v>
      </c>
      <c r="T1310" t="s">
        <v>3365</v>
      </c>
      <c r="U1310" t="s">
        <v>13203</v>
      </c>
      <c r="V1310" t="s">
        <v>15233</v>
      </c>
    </row>
    <row r="1311" spans="1:22" hidden="1">
      <c r="A1311" t="s">
        <v>15322</v>
      </c>
      <c r="B1311" t="s">
        <v>15442</v>
      </c>
      <c r="C1311" t="s">
        <v>15451</v>
      </c>
      <c r="D1311" t="s">
        <v>1310</v>
      </c>
      <c r="E1311" t="s">
        <v>3439</v>
      </c>
      <c r="F1311" t="s">
        <v>3427</v>
      </c>
      <c r="G1311" s="3">
        <v>36.599680969825002</v>
      </c>
      <c r="H1311" s="3">
        <v>127.286607632635</v>
      </c>
      <c r="I1311" t="s">
        <v>5076</v>
      </c>
      <c r="J1311" t="s">
        <v>8435</v>
      </c>
      <c r="K1311" t="s">
        <v>10668</v>
      </c>
      <c r="L1311" t="s">
        <v>3366</v>
      </c>
      <c r="M1311" t="s">
        <v>11889</v>
      </c>
      <c r="N1311" t="s">
        <v>3362</v>
      </c>
      <c r="O1311" t="s">
        <v>3359</v>
      </c>
      <c r="P1311" t="s">
        <v>3362</v>
      </c>
      <c r="Q1311" t="s">
        <v>3362</v>
      </c>
      <c r="R1311" t="s">
        <v>15211</v>
      </c>
      <c r="S1311" t="s">
        <v>15211</v>
      </c>
      <c r="T1311" t="s">
        <v>3377</v>
      </c>
      <c r="U1311" t="s">
        <v>13204</v>
      </c>
      <c r="V1311" t="s">
        <v>15234</v>
      </c>
    </row>
    <row r="1312" spans="1:22" hidden="1">
      <c r="A1312" t="s">
        <v>15322</v>
      </c>
      <c r="B1312" t="s">
        <v>15442</v>
      </c>
      <c r="C1312" t="s">
        <v>15451</v>
      </c>
      <c r="D1312" t="s">
        <v>1311</v>
      </c>
      <c r="E1312" t="s">
        <v>3439</v>
      </c>
      <c r="F1312" t="s">
        <v>3427</v>
      </c>
      <c r="G1312" s="3">
        <v>36.599680970155397</v>
      </c>
      <c r="H1312" s="3">
        <v>127.286607619355</v>
      </c>
      <c r="I1312" t="s">
        <v>5077</v>
      </c>
      <c r="J1312" t="s">
        <v>8436</v>
      </c>
      <c r="K1312" t="s">
        <v>11308</v>
      </c>
      <c r="L1312" t="s">
        <v>3366</v>
      </c>
      <c r="M1312" t="s">
        <v>11889</v>
      </c>
      <c r="N1312" t="s">
        <v>3362</v>
      </c>
      <c r="O1312" t="s">
        <v>3359</v>
      </c>
      <c r="P1312" t="s">
        <v>3362</v>
      </c>
      <c r="Q1312" t="s">
        <v>3362</v>
      </c>
      <c r="R1312" t="s">
        <v>15211</v>
      </c>
      <c r="S1312" t="s">
        <v>15211</v>
      </c>
      <c r="T1312" t="s">
        <v>3377</v>
      </c>
      <c r="U1312" t="s">
        <v>13205</v>
      </c>
      <c r="V1312" t="s">
        <v>15234</v>
      </c>
    </row>
    <row r="1313" spans="1:22" hidden="1">
      <c r="A1313" t="s">
        <v>15322</v>
      </c>
      <c r="B1313" t="s">
        <v>15442</v>
      </c>
      <c r="C1313" t="s">
        <v>15451</v>
      </c>
      <c r="D1313" t="s">
        <v>1312</v>
      </c>
      <c r="E1313" t="s">
        <v>3439</v>
      </c>
      <c r="F1313" t="s">
        <v>3428</v>
      </c>
      <c r="G1313" s="3">
        <v>36.599680973875003</v>
      </c>
      <c r="H1313" s="3">
        <v>127.286607629081</v>
      </c>
      <c r="I1313" t="s">
        <v>5078</v>
      </c>
      <c r="J1313" t="s">
        <v>8437</v>
      </c>
      <c r="K1313" t="s">
        <v>3718</v>
      </c>
      <c r="L1313" t="s">
        <v>3366</v>
      </c>
      <c r="M1313" t="s">
        <v>11889</v>
      </c>
      <c r="N1313" t="s">
        <v>3362</v>
      </c>
      <c r="O1313" t="s">
        <v>3359</v>
      </c>
      <c r="P1313" t="s">
        <v>3362</v>
      </c>
      <c r="Q1313" t="s">
        <v>3362</v>
      </c>
      <c r="R1313" t="s">
        <v>15211</v>
      </c>
      <c r="S1313" t="s">
        <v>15211</v>
      </c>
      <c r="T1313" t="s">
        <v>3377</v>
      </c>
      <c r="U1313" t="s">
        <v>13206</v>
      </c>
      <c r="V1313" t="s">
        <v>15234</v>
      </c>
    </row>
    <row r="1314" spans="1:22">
      <c r="A1314" t="s">
        <v>15322</v>
      </c>
      <c r="B1314" t="s">
        <v>15443</v>
      </c>
      <c r="C1314" t="s">
        <v>15452</v>
      </c>
      <c r="D1314" t="s">
        <v>1313</v>
      </c>
      <c r="E1314" t="s">
        <v>3427</v>
      </c>
      <c r="F1314" t="s">
        <v>3453</v>
      </c>
      <c r="G1314" s="3">
        <v>36.599680994249503</v>
      </c>
      <c r="H1314" s="3">
        <v>127.286607763411</v>
      </c>
      <c r="I1314" t="s">
        <v>5079</v>
      </c>
      <c r="J1314" t="s">
        <v>8438</v>
      </c>
      <c r="K1314" t="s">
        <v>11309</v>
      </c>
      <c r="L1314" t="s">
        <v>3366</v>
      </c>
      <c r="M1314" t="s">
        <v>11902</v>
      </c>
      <c r="N1314" t="s">
        <v>15211</v>
      </c>
      <c r="O1314" t="s">
        <v>15211</v>
      </c>
      <c r="P1314" t="s">
        <v>3361</v>
      </c>
      <c r="Q1314" t="s">
        <v>3361</v>
      </c>
      <c r="R1314" t="s">
        <v>15211</v>
      </c>
      <c r="S1314" t="s">
        <v>15211</v>
      </c>
      <c r="T1314" t="s">
        <v>3366</v>
      </c>
      <c r="U1314" t="s">
        <v>13207</v>
      </c>
      <c r="V1314" t="s">
        <v>15220</v>
      </c>
    </row>
    <row r="1315" spans="1:22">
      <c r="A1315" t="s">
        <v>15322</v>
      </c>
      <c r="B1315" t="s">
        <v>15443</v>
      </c>
      <c r="C1315" t="s">
        <v>15452</v>
      </c>
      <c r="D1315" t="s">
        <v>1314</v>
      </c>
      <c r="E1315" t="s">
        <v>3427</v>
      </c>
      <c r="F1315" t="s">
        <v>3433</v>
      </c>
      <c r="G1315" s="3">
        <v>36.599680978729801</v>
      </c>
      <c r="H1315" s="3">
        <v>127.286607786403</v>
      </c>
      <c r="I1315" t="s">
        <v>5080</v>
      </c>
      <c r="J1315" t="s">
        <v>8439</v>
      </c>
      <c r="K1315" t="s">
        <v>11310</v>
      </c>
      <c r="L1315" t="s">
        <v>3366</v>
      </c>
      <c r="M1315" t="s">
        <v>11902</v>
      </c>
      <c r="N1315" t="s">
        <v>15211</v>
      </c>
      <c r="O1315" t="s">
        <v>15211</v>
      </c>
      <c r="P1315" t="s">
        <v>3361</v>
      </c>
      <c r="Q1315" t="s">
        <v>3361</v>
      </c>
      <c r="R1315" t="s">
        <v>15211</v>
      </c>
      <c r="S1315" t="s">
        <v>15211</v>
      </c>
      <c r="T1315" t="s">
        <v>3366</v>
      </c>
      <c r="U1315" t="s">
        <v>13208</v>
      </c>
      <c r="V1315" t="s">
        <v>15220</v>
      </c>
    </row>
    <row r="1316" spans="1:22">
      <c r="A1316" t="s">
        <v>15322</v>
      </c>
      <c r="B1316" t="s">
        <v>15443</v>
      </c>
      <c r="C1316" t="s">
        <v>15452</v>
      </c>
      <c r="D1316" t="s">
        <v>1315</v>
      </c>
      <c r="E1316" t="s">
        <v>3427</v>
      </c>
      <c r="F1316" t="s">
        <v>3432</v>
      </c>
      <c r="G1316" s="3">
        <v>36.5996809703746</v>
      </c>
      <c r="H1316" s="3">
        <v>127.286607767185</v>
      </c>
      <c r="I1316" t="s">
        <v>5081</v>
      </c>
      <c r="J1316" t="s">
        <v>8440</v>
      </c>
      <c r="K1316" t="s">
        <v>11311</v>
      </c>
      <c r="L1316" t="s">
        <v>3366</v>
      </c>
      <c r="M1316" t="s">
        <v>11902</v>
      </c>
      <c r="N1316" t="s">
        <v>15211</v>
      </c>
      <c r="O1316" t="s">
        <v>15211</v>
      </c>
      <c r="P1316" t="s">
        <v>3361</v>
      </c>
      <c r="Q1316" t="s">
        <v>3361</v>
      </c>
      <c r="R1316" t="s">
        <v>15211</v>
      </c>
      <c r="S1316" t="s">
        <v>15211</v>
      </c>
      <c r="T1316" t="s">
        <v>3366</v>
      </c>
      <c r="U1316" t="s">
        <v>13209</v>
      </c>
      <c r="V1316" t="s">
        <v>15220</v>
      </c>
    </row>
    <row r="1317" spans="1:22" hidden="1">
      <c r="A1317" t="s">
        <v>15323</v>
      </c>
      <c r="B1317" t="s">
        <v>15441</v>
      </c>
      <c r="C1317" t="s">
        <v>15445</v>
      </c>
      <c r="D1317" t="s">
        <v>1316</v>
      </c>
      <c r="E1317" t="s">
        <v>3438</v>
      </c>
      <c r="F1317" t="s">
        <v>3425</v>
      </c>
      <c r="G1317" s="3">
        <v>36.3589565893882</v>
      </c>
      <c r="H1317" s="3">
        <v>127.24409036949601</v>
      </c>
      <c r="I1317" t="s">
        <v>5082</v>
      </c>
      <c r="J1317" t="s">
        <v>8441</v>
      </c>
      <c r="K1317" t="s">
        <v>3638</v>
      </c>
      <c r="L1317" t="s">
        <v>3366</v>
      </c>
      <c r="M1317" t="s">
        <v>11890</v>
      </c>
      <c r="N1317" t="s">
        <v>3364</v>
      </c>
      <c r="O1317" t="s">
        <v>3361</v>
      </c>
      <c r="P1317" t="s">
        <v>15211</v>
      </c>
      <c r="Q1317" t="s">
        <v>15211</v>
      </c>
      <c r="R1317" t="s">
        <v>15211</v>
      </c>
      <c r="S1317" t="s">
        <v>15211</v>
      </c>
      <c r="T1317" t="s">
        <v>3369</v>
      </c>
      <c r="U1317" t="s">
        <v>13210</v>
      </c>
      <c r="V1317" t="s">
        <v>15228</v>
      </c>
    </row>
    <row r="1318" spans="1:22" hidden="1">
      <c r="A1318" t="s">
        <v>15323</v>
      </c>
      <c r="B1318" t="s">
        <v>15441</v>
      </c>
      <c r="C1318" t="s">
        <v>15445</v>
      </c>
      <c r="D1318" t="s">
        <v>1317</v>
      </c>
      <c r="E1318" t="s">
        <v>3438</v>
      </c>
      <c r="F1318" t="s">
        <v>3425</v>
      </c>
      <c r="G1318" s="3">
        <v>36.358956618114398</v>
      </c>
      <c r="H1318" s="3">
        <v>127.24409040378301</v>
      </c>
      <c r="I1318" t="s">
        <v>5083</v>
      </c>
      <c r="J1318" t="s">
        <v>8442</v>
      </c>
      <c r="K1318" t="s">
        <v>3638</v>
      </c>
      <c r="L1318" t="s">
        <v>3366</v>
      </c>
      <c r="M1318" t="s">
        <v>11890</v>
      </c>
      <c r="N1318" t="s">
        <v>3364</v>
      </c>
      <c r="O1318" t="s">
        <v>3361</v>
      </c>
      <c r="P1318" t="s">
        <v>15211</v>
      </c>
      <c r="Q1318" t="s">
        <v>15211</v>
      </c>
      <c r="R1318" t="s">
        <v>15211</v>
      </c>
      <c r="S1318" t="s">
        <v>15211</v>
      </c>
      <c r="T1318" t="s">
        <v>3369</v>
      </c>
      <c r="U1318" t="s">
        <v>13211</v>
      </c>
      <c r="V1318" t="s">
        <v>15228</v>
      </c>
    </row>
    <row r="1319" spans="1:22" hidden="1">
      <c r="A1319" t="s">
        <v>15323</v>
      </c>
      <c r="B1319" t="s">
        <v>15441</v>
      </c>
      <c r="C1319" t="s">
        <v>15445</v>
      </c>
      <c r="D1319" t="s">
        <v>1318</v>
      </c>
      <c r="E1319" t="s">
        <v>3438</v>
      </c>
      <c r="F1319" t="s">
        <v>3425</v>
      </c>
      <c r="G1319" s="3">
        <v>36.358956698650097</v>
      </c>
      <c r="H1319" s="3">
        <v>127.24409038880501</v>
      </c>
      <c r="I1319" t="s">
        <v>5084</v>
      </c>
      <c r="J1319" t="s">
        <v>8443</v>
      </c>
      <c r="K1319" t="s">
        <v>11312</v>
      </c>
      <c r="L1319" t="s">
        <v>3366</v>
      </c>
      <c r="M1319" t="s">
        <v>11890</v>
      </c>
      <c r="N1319" t="s">
        <v>3364</v>
      </c>
      <c r="O1319" t="s">
        <v>3361</v>
      </c>
      <c r="P1319" t="s">
        <v>15211</v>
      </c>
      <c r="Q1319" t="s">
        <v>15211</v>
      </c>
      <c r="R1319" t="s">
        <v>15211</v>
      </c>
      <c r="S1319" t="s">
        <v>15211</v>
      </c>
      <c r="T1319" t="s">
        <v>3369</v>
      </c>
      <c r="U1319" t="s">
        <v>13212</v>
      </c>
      <c r="V1319" t="s">
        <v>15228</v>
      </c>
    </row>
    <row r="1320" spans="1:22" hidden="1">
      <c r="A1320" t="s">
        <v>15323</v>
      </c>
      <c r="B1320" t="s">
        <v>15441</v>
      </c>
      <c r="C1320" t="s">
        <v>15446</v>
      </c>
      <c r="D1320" t="s">
        <v>1319</v>
      </c>
      <c r="E1320" t="s">
        <v>3428</v>
      </c>
      <c r="F1320" t="s">
        <v>3434</v>
      </c>
      <c r="G1320" s="3">
        <v>36.358956728405602</v>
      </c>
      <c r="H1320" s="3">
        <v>127.244090393081</v>
      </c>
      <c r="I1320" t="s">
        <v>5085</v>
      </c>
      <c r="J1320" t="s">
        <v>8444</v>
      </c>
      <c r="K1320" t="s">
        <v>10757</v>
      </c>
      <c r="L1320" t="s">
        <v>3366</v>
      </c>
      <c r="M1320" t="s">
        <v>11890</v>
      </c>
      <c r="N1320" t="s">
        <v>3364</v>
      </c>
      <c r="O1320" t="s">
        <v>3361</v>
      </c>
      <c r="P1320" t="s">
        <v>15211</v>
      </c>
      <c r="Q1320" t="s">
        <v>15211</v>
      </c>
      <c r="R1320" t="s">
        <v>15211</v>
      </c>
      <c r="S1320" t="s">
        <v>15211</v>
      </c>
      <c r="T1320" t="s">
        <v>3369</v>
      </c>
      <c r="U1320" t="s">
        <v>13213</v>
      </c>
      <c r="V1320" t="s">
        <v>15229</v>
      </c>
    </row>
    <row r="1321" spans="1:22" hidden="1">
      <c r="A1321" t="s">
        <v>15323</v>
      </c>
      <c r="B1321" t="s">
        <v>15441</v>
      </c>
      <c r="C1321" t="s">
        <v>15446</v>
      </c>
      <c r="D1321" t="s">
        <v>1320</v>
      </c>
      <c r="E1321" t="s">
        <v>3436</v>
      </c>
      <c r="F1321" t="s">
        <v>3429</v>
      </c>
      <c r="G1321" s="3">
        <v>36.3589567504862</v>
      </c>
      <c r="H1321" s="3">
        <v>127.24409036276001</v>
      </c>
      <c r="I1321" t="s">
        <v>5086</v>
      </c>
      <c r="J1321" t="s">
        <v>8445</v>
      </c>
      <c r="K1321" t="s">
        <v>10873</v>
      </c>
      <c r="L1321" t="s">
        <v>3366</v>
      </c>
      <c r="M1321" t="s">
        <v>11890</v>
      </c>
      <c r="N1321" t="s">
        <v>3364</v>
      </c>
      <c r="O1321" t="s">
        <v>3361</v>
      </c>
      <c r="P1321" t="s">
        <v>15211</v>
      </c>
      <c r="Q1321" t="s">
        <v>15211</v>
      </c>
      <c r="R1321" t="s">
        <v>15211</v>
      </c>
      <c r="S1321" t="s">
        <v>15211</v>
      </c>
      <c r="T1321" t="s">
        <v>3369</v>
      </c>
      <c r="U1321" t="s">
        <v>13214</v>
      </c>
      <c r="V1321" t="s">
        <v>15229</v>
      </c>
    </row>
    <row r="1322" spans="1:22" hidden="1">
      <c r="A1322" t="s">
        <v>15323</v>
      </c>
      <c r="B1322" t="s">
        <v>15441</v>
      </c>
      <c r="C1322" t="s">
        <v>15446</v>
      </c>
      <c r="D1322" t="s">
        <v>1321</v>
      </c>
      <c r="E1322" t="s">
        <v>3428</v>
      </c>
      <c r="F1322" t="s">
        <v>3434</v>
      </c>
      <c r="G1322" s="3">
        <v>36.358956799027403</v>
      </c>
      <c r="H1322" s="3">
        <v>127.244090280034</v>
      </c>
      <c r="I1322" t="s">
        <v>5087</v>
      </c>
      <c r="J1322" t="s">
        <v>8446</v>
      </c>
      <c r="K1322" t="s">
        <v>10873</v>
      </c>
      <c r="L1322" t="s">
        <v>3366</v>
      </c>
      <c r="M1322" t="s">
        <v>11890</v>
      </c>
      <c r="N1322" t="s">
        <v>3364</v>
      </c>
      <c r="O1322" t="s">
        <v>3361</v>
      </c>
      <c r="P1322" t="s">
        <v>15211</v>
      </c>
      <c r="Q1322" t="s">
        <v>15211</v>
      </c>
      <c r="R1322" t="s">
        <v>15211</v>
      </c>
      <c r="S1322" t="s">
        <v>15211</v>
      </c>
      <c r="T1322" t="s">
        <v>3369</v>
      </c>
      <c r="U1322" t="s">
        <v>13215</v>
      </c>
      <c r="V1322" t="s">
        <v>15229</v>
      </c>
    </row>
    <row r="1323" spans="1:22" hidden="1">
      <c r="A1323" t="s">
        <v>15323</v>
      </c>
      <c r="B1323" t="s">
        <v>15441</v>
      </c>
      <c r="C1323" t="s">
        <v>15447</v>
      </c>
      <c r="D1323" t="s">
        <v>1322</v>
      </c>
      <c r="E1323" t="s">
        <v>3428</v>
      </c>
      <c r="F1323" t="s">
        <v>3425</v>
      </c>
      <c r="G1323" s="3">
        <v>36.358956608654502</v>
      </c>
      <c r="H1323" s="3">
        <v>127.24409037750399</v>
      </c>
      <c r="I1323" t="s">
        <v>5088</v>
      </c>
      <c r="J1323" t="s">
        <v>8447</v>
      </c>
      <c r="K1323" t="s">
        <v>11313</v>
      </c>
      <c r="L1323" t="s">
        <v>3366</v>
      </c>
      <c r="M1323" t="s">
        <v>11892</v>
      </c>
      <c r="N1323" t="s">
        <v>3364</v>
      </c>
      <c r="O1323" t="s">
        <v>15211</v>
      </c>
      <c r="P1323" t="s">
        <v>15211</v>
      </c>
      <c r="Q1323" t="s">
        <v>15211</v>
      </c>
      <c r="R1323" t="s">
        <v>15211</v>
      </c>
      <c r="S1323" t="s">
        <v>15211</v>
      </c>
      <c r="T1323" t="s">
        <v>3364</v>
      </c>
      <c r="U1323" t="s">
        <v>13216</v>
      </c>
      <c r="V1323" t="s">
        <v>15235</v>
      </c>
    </row>
    <row r="1324" spans="1:22" hidden="1">
      <c r="A1324" t="s">
        <v>15323</v>
      </c>
      <c r="B1324" t="s">
        <v>15441</v>
      </c>
      <c r="C1324" t="s">
        <v>15447</v>
      </c>
      <c r="D1324" t="s">
        <v>1323</v>
      </c>
      <c r="E1324" t="s">
        <v>3427</v>
      </c>
      <c r="F1324" t="s">
        <v>3425</v>
      </c>
      <c r="G1324" s="3">
        <v>36.358956628029702</v>
      </c>
      <c r="H1324" s="3">
        <v>127.24409035326801</v>
      </c>
      <c r="I1324" t="s">
        <v>5089</v>
      </c>
      <c r="J1324" t="s">
        <v>8448</v>
      </c>
      <c r="K1324" t="s">
        <v>10934</v>
      </c>
      <c r="L1324" t="s">
        <v>3366</v>
      </c>
      <c r="M1324" t="s">
        <v>11892</v>
      </c>
      <c r="N1324" t="s">
        <v>3364</v>
      </c>
      <c r="O1324" t="s">
        <v>15211</v>
      </c>
      <c r="P1324" t="s">
        <v>15211</v>
      </c>
      <c r="Q1324" t="s">
        <v>15211</v>
      </c>
      <c r="R1324" t="s">
        <v>15211</v>
      </c>
      <c r="S1324" t="s">
        <v>15211</v>
      </c>
      <c r="T1324" t="s">
        <v>3364</v>
      </c>
      <c r="U1324" t="s">
        <v>13217</v>
      </c>
      <c r="V1324" t="s">
        <v>15235</v>
      </c>
    </row>
    <row r="1325" spans="1:22" hidden="1">
      <c r="A1325" t="s">
        <v>15323</v>
      </c>
      <c r="B1325" t="s">
        <v>15441</v>
      </c>
      <c r="C1325" t="s">
        <v>15447</v>
      </c>
      <c r="D1325" t="s">
        <v>1324</v>
      </c>
      <c r="E1325" t="s">
        <v>3428</v>
      </c>
      <c r="F1325" t="s">
        <v>3425</v>
      </c>
      <c r="G1325" s="3">
        <v>36.358956626903797</v>
      </c>
      <c r="H1325" s="3">
        <v>127.244090339219</v>
      </c>
      <c r="I1325" t="s">
        <v>5090</v>
      </c>
      <c r="J1325" t="s">
        <v>8449</v>
      </c>
      <c r="K1325" t="s">
        <v>10934</v>
      </c>
      <c r="L1325" t="s">
        <v>3366</v>
      </c>
      <c r="M1325" t="s">
        <v>11892</v>
      </c>
      <c r="N1325" t="s">
        <v>3364</v>
      </c>
      <c r="O1325" t="s">
        <v>15211</v>
      </c>
      <c r="P1325" t="s">
        <v>15211</v>
      </c>
      <c r="Q1325" t="s">
        <v>15211</v>
      </c>
      <c r="R1325" t="s">
        <v>15211</v>
      </c>
      <c r="S1325" t="s">
        <v>15211</v>
      </c>
      <c r="T1325" t="s">
        <v>3364</v>
      </c>
      <c r="U1325" t="s">
        <v>13218</v>
      </c>
      <c r="V1325" t="s">
        <v>15235</v>
      </c>
    </row>
    <row r="1326" spans="1:22" hidden="1">
      <c r="A1326" t="s">
        <v>15323</v>
      </c>
      <c r="B1326" t="s">
        <v>15441</v>
      </c>
      <c r="C1326" t="s">
        <v>15448</v>
      </c>
      <c r="D1326" t="s">
        <v>1325</v>
      </c>
      <c r="E1326" t="s">
        <v>3429</v>
      </c>
      <c r="F1326" t="s">
        <v>3464</v>
      </c>
      <c r="G1326" s="3">
        <v>36.3589567953209</v>
      </c>
      <c r="H1326" s="3">
        <v>127.24409022633201</v>
      </c>
      <c r="I1326" t="s">
        <v>5091</v>
      </c>
      <c r="J1326" t="s">
        <v>8450</v>
      </c>
      <c r="K1326" t="s">
        <v>11314</v>
      </c>
      <c r="L1326" t="s">
        <v>3366</v>
      </c>
      <c r="M1326" t="s">
        <v>11912</v>
      </c>
      <c r="N1326" t="s">
        <v>3364</v>
      </c>
      <c r="O1326" t="s">
        <v>3361</v>
      </c>
      <c r="P1326" t="s">
        <v>3361</v>
      </c>
      <c r="Q1326" t="s">
        <v>3363</v>
      </c>
      <c r="R1326" t="s">
        <v>3357</v>
      </c>
      <c r="S1326" t="s">
        <v>15211</v>
      </c>
      <c r="T1326" t="s">
        <v>3382</v>
      </c>
      <c r="U1326" t="s">
        <v>13219</v>
      </c>
      <c r="V1326" t="s">
        <v>15230</v>
      </c>
    </row>
    <row r="1327" spans="1:22" hidden="1">
      <c r="A1327" t="s">
        <v>15323</v>
      </c>
      <c r="B1327" t="s">
        <v>15441</v>
      </c>
      <c r="C1327" t="s">
        <v>15448</v>
      </c>
      <c r="D1327" t="s">
        <v>1326</v>
      </c>
      <c r="E1327" t="s">
        <v>3430</v>
      </c>
      <c r="F1327" t="s">
        <v>3466</v>
      </c>
      <c r="G1327" s="3">
        <v>36.3589568031257</v>
      </c>
      <c r="H1327" s="3">
        <v>127.244090267948</v>
      </c>
      <c r="I1327" t="s">
        <v>5092</v>
      </c>
      <c r="J1327" t="s">
        <v>8451</v>
      </c>
      <c r="K1327" t="s">
        <v>11121</v>
      </c>
      <c r="L1327" t="s">
        <v>3366</v>
      </c>
      <c r="M1327" t="s">
        <v>11914</v>
      </c>
      <c r="N1327" t="s">
        <v>3364</v>
      </c>
      <c r="O1327" t="s">
        <v>3361</v>
      </c>
      <c r="P1327" t="s">
        <v>3361</v>
      </c>
      <c r="Q1327" t="s">
        <v>3363</v>
      </c>
      <c r="R1327" t="s">
        <v>3357</v>
      </c>
      <c r="S1327" t="s">
        <v>15211</v>
      </c>
      <c r="T1327" t="s">
        <v>3382</v>
      </c>
      <c r="U1327" t="s">
        <v>13220</v>
      </c>
      <c r="V1327" t="s">
        <v>15230</v>
      </c>
    </row>
    <row r="1328" spans="1:22" hidden="1">
      <c r="A1328" t="s">
        <v>15323</v>
      </c>
      <c r="B1328" t="s">
        <v>15441</v>
      </c>
      <c r="C1328" t="s">
        <v>15448</v>
      </c>
      <c r="D1328" t="s">
        <v>1327</v>
      </c>
      <c r="E1328" t="s">
        <v>3430</v>
      </c>
      <c r="F1328" t="s">
        <v>3466</v>
      </c>
      <c r="G1328" s="3">
        <v>36.358956782580499</v>
      </c>
      <c r="H1328" s="3">
        <v>127.244090293441</v>
      </c>
      <c r="I1328" t="s">
        <v>5093</v>
      </c>
      <c r="J1328" t="s">
        <v>8452</v>
      </c>
      <c r="K1328" t="s">
        <v>11315</v>
      </c>
      <c r="L1328" t="s">
        <v>3366</v>
      </c>
      <c r="M1328" t="s">
        <v>11914</v>
      </c>
      <c r="N1328" t="s">
        <v>3364</v>
      </c>
      <c r="O1328" t="s">
        <v>3362</v>
      </c>
      <c r="P1328" t="s">
        <v>3361</v>
      </c>
      <c r="Q1328" t="s">
        <v>3363</v>
      </c>
      <c r="R1328" t="s">
        <v>3357</v>
      </c>
      <c r="S1328" t="s">
        <v>15211</v>
      </c>
      <c r="T1328" t="s">
        <v>3383</v>
      </c>
      <c r="U1328" t="s">
        <v>13220</v>
      </c>
      <c r="V1328" t="s">
        <v>15230</v>
      </c>
    </row>
    <row r="1329" spans="1:22" hidden="1">
      <c r="A1329" t="s">
        <v>15323</v>
      </c>
      <c r="B1329" t="s">
        <v>15441</v>
      </c>
      <c r="C1329" t="s">
        <v>15449</v>
      </c>
      <c r="D1329" t="s">
        <v>1328</v>
      </c>
      <c r="E1329" t="s">
        <v>3439</v>
      </c>
      <c r="F1329" t="s">
        <v>3428</v>
      </c>
      <c r="G1329" s="3">
        <v>36.358956746917201</v>
      </c>
      <c r="H1329" s="3">
        <v>127.24409039240901</v>
      </c>
      <c r="I1329" t="s">
        <v>5094</v>
      </c>
      <c r="J1329" t="s">
        <v>8453</v>
      </c>
      <c r="K1329" t="s">
        <v>10802</v>
      </c>
      <c r="L1329" t="s">
        <v>3366</v>
      </c>
      <c r="M1329" t="s">
        <v>11912</v>
      </c>
      <c r="N1329" t="s">
        <v>3364</v>
      </c>
      <c r="O1329" t="s">
        <v>3362</v>
      </c>
      <c r="P1329" t="s">
        <v>3361</v>
      </c>
      <c r="Q1329" t="s">
        <v>3363</v>
      </c>
      <c r="R1329" t="s">
        <v>15211</v>
      </c>
      <c r="S1329" t="s">
        <v>15211</v>
      </c>
      <c r="T1329" t="s">
        <v>3382</v>
      </c>
      <c r="U1329" t="s">
        <v>13221</v>
      </c>
      <c r="V1329" t="s">
        <v>15231</v>
      </c>
    </row>
    <row r="1330" spans="1:22" hidden="1">
      <c r="A1330" t="s">
        <v>15323</v>
      </c>
      <c r="B1330" t="s">
        <v>15441</v>
      </c>
      <c r="C1330" t="s">
        <v>15449</v>
      </c>
      <c r="D1330" t="s">
        <v>1329</v>
      </c>
      <c r="E1330" t="s">
        <v>3437</v>
      </c>
      <c r="F1330" t="s">
        <v>3425</v>
      </c>
      <c r="G1330" s="3">
        <v>36.358956741705398</v>
      </c>
      <c r="H1330" s="3">
        <v>127.24409037668801</v>
      </c>
      <c r="I1330" t="s">
        <v>5095</v>
      </c>
      <c r="J1330" t="s">
        <v>8454</v>
      </c>
      <c r="K1330" t="s">
        <v>10802</v>
      </c>
      <c r="L1330" t="s">
        <v>3366</v>
      </c>
      <c r="M1330" t="s">
        <v>11912</v>
      </c>
      <c r="N1330" t="s">
        <v>3364</v>
      </c>
      <c r="O1330" t="s">
        <v>3362</v>
      </c>
      <c r="P1330" t="s">
        <v>3361</v>
      </c>
      <c r="Q1330" t="s">
        <v>3363</v>
      </c>
      <c r="R1330" t="s">
        <v>15211</v>
      </c>
      <c r="S1330" t="s">
        <v>15211</v>
      </c>
      <c r="T1330" t="s">
        <v>3382</v>
      </c>
      <c r="U1330" t="s">
        <v>13222</v>
      </c>
      <c r="V1330" t="s">
        <v>15231</v>
      </c>
    </row>
    <row r="1331" spans="1:22" hidden="1">
      <c r="A1331" t="s">
        <v>15323</v>
      </c>
      <c r="B1331" t="s">
        <v>15441</v>
      </c>
      <c r="C1331" t="s">
        <v>15449</v>
      </c>
      <c r="D1331" t="s">
        <v>1330</v>
      </c>
      <c r="E1331" t="s">
        <v>3440</v>
      </c>
      <c r="F1331" t="s">
        <v>3431</v>
      </c>
      <c r="G1331" s="3">
        <v>36.358956745412499</v>
      </c>
      <c r="H1331" s="3">
        <v>127.244090345054</v>
      </c>
      <c r="I1331" t="s">
        <v>5096</v>
      </c>
      <c r="J1331" t="s">
        <v>8455</v>
      </c>
      <c r="K1331" t="s">
        <v>11316</v>
      </c>
      <c r="L1331" t="s">
        <v>3366</v>
      </c>
      <c r="M1331" t="s">
        <v>11912</v>
      </c>
      <c r="N1331" t="s">
        <v>3364</v>
      </c>
      <c r="O1331" t="s">
        <v>3362</v>
      </c>
      <c r="P1331" t="s">
        <v>3361</v>
      </c>
      <c r="Q1331" t="s">
        <v>3363</v>
      </c>
      <c r="R1331" t="s">
        <v>15211</v>
      </c>
      <c r="S1331" t="s">
        <v>15211</v>
      </c>
      <c r="T1331" t="s">
        <v>3382</v>
      </c>
      <c r="U1331" t="s">
        <v>13223</v>
      </c>
      <c r="V1331" t="s">
        <v>15231</v>
      </c>
    </row>
    <row r="1332" spans="1:22" hidden="1">
      <c r="A1332" t="s">
        <v>15323</v>
      </c>
      <c r="B1332" t="s">
        <v>15442</v>
      </c>
      <c r="C1332" t="s">
        <v>15450</v>
      </c>
      <c r="D1332" t="s">
        <v>1331</v>
      </c>
      <c r="E1332" t="s">
        <v>3429</v>
      </c>
      <c r="F1332" t="s">
        <v>3465</v>
      </c>
      <c r="G1332" s="3">
        <v>36.358956565923698</v>
      </c>
      <c r="H1332" s="3">
        <v>127.24409030025799</v>
      </c>
      <c r="I1332" t="s">
        <v>5097</v>
      </c>
      <c r="J1332" t="s">
        <v>8456</v>
      </c>
      <c r="K1332" t="s">
        <v>10875</v>
      </c>
      <c r="L1332" t="s">
        <v>3366</v>
      </c>
      <c r="M1332" t="s">
        <v>11894</v>
      </c>
      <c r="N1332" t="s">
        <v>3364</v>
      </c>
      <c r="O1332" t="s">
        <v>3362</v>
      </c>
      <c r="P1332" t="s">
        <v>15211</v>
      </c>
      <c r="Q1332" t="s">
        <v>15211</v>
      </c>
      <c r="R1332" t="s">
        <v>15211</v>
      </c>
      <c r="S1332" t="s">
        <v>15211</v>
      </c>
      <c r="T1332" t="s">
        <v>3370</v>
      </c>
      <c r="U1332" t="s">
        <v>13224</v>
      </c>
      <c r="V1332" t="s">
        <v>15232</v>
      </c>
    </row>
    <row r="1333" spans="1:22" hidden="1">
      <c r="A1333" t="s">
        <v>15323</v>
      </c>
      <c r="B1333" t="s">
        <v>15442</v>
      </c>
      <c r="C1333" t="s">
        <v>15450</v>
      </c>
      <c r="D1333" t="s">
        <v>1332</v>
      </c>
      <c r="E1333" t="s">
        <v>3434</v>
      </c>
      <c r="F1333" t="s">
        <v>3433</v>
      </c>
      <c r="G1333" s="3">
        <v>36.358956598310101</v>
      </c>
      <c r="H1333" s="3">
        <v>127.24409029459299</v>
      </c>
      <c r="I1333" t="s">
        <v>5098</v>
      </c>
      <c r="J1333" t="s">
        <v>8457</v>
      </c>
      <c r="K1333" t="s">
        <v>10875</v>
      </c>
      <c r="L1333" t="s">
        <v>3366</v>
      </c>
      <c r="M1333" t="s">
        <v>11894</v>
      </c>
      <c r="N1333" t="s">
        <v>3364</v>
      </c>
      <c r="O1333" t="s">
        <v>3362</v>
      </c>
      <c r="P1333" t="s">
        <v>15211</v>
      </c>
      <c r="Q1333" t="s">
        <v>15211</v>
      </c>
      <c r="R1333" t="s">
        <v>15211</v>
      </c>
      <c r="S1333" t="s">
        <v>15211</v>
      </c>
      <c r="T1333" t="s">
        <v>3370</v>
      </c>
      <c r="U1333" t="s">
        <v>13225</v>
      </c>
      <c r="V1333" t="s">
        <v>15232</v>
      </c>
    </row>
    <row r="1334" spans="1:22" hidden="1">
      <c r="A1334" t="s">
        <v>15323</v>
      </c>
      <c r="B1334" t="s">
        <v>15442</v>
      </c>
      <c r="C1334" t="s">
        <v>15450</v>
      </c>
      <c r="D1334" t="s">
        <v>1333</v>
      </c>
      <c r="E1334" t="s">
        <v>3431</v>
      </c>
      <c r="F1334" t="s">
        <v>3441</v>
      </c>
      <c r="G1334" s="3">
        <v>36.358956620744898</v>
      </c>
      <c r="H1334" s="3">
        <v>127.244090344062</v>
      </c>
      <c r="I1334" t="s">
        <v>5099</v>
      </c>
      <c r="J1334" t="s">
        <v>8458</v>
      </c>
      <c r="K1334" t="s">
        <v>11317</v>
      </c>
      <c r="L1334" t="s">
        <v>3366</v>
      </c>
      <c r="M1334" t="s">
        <v>11894</v>
      </c>
      <c r="N1334" t="s">
        <v>3364</v>
      </c>
      <c r="O1334" t="s">
        <v>3362</v>
      </c>
      <c r="P1334" t="s">
        <v>15211</v>
      </c>
      <c r="Q1334" t="s">
        <v>15211</v>
      </c>
      <c r="R1334" t="s">
        <v>15211</v>
      </c>
      <c r="S1334" t="s">
        <v>15211</v>
      </c>
      <c r="T1334" t="s">
        <v>3370</v>
      </c>
      <c r="U1334" t="s">
        <v>13226</v>
      </c>
      <c r="V1334" t="s">
        <v>15232</v>
      </c>
    </row>
    <row r="1335" spans="1:22" hidden="1">
      <c r="A1335" t="s">
        <v>15323</v>
      </c>
      <c r="B1335" t="s">
        <v>15442</v>
      </c>
      <c r="C1335" t="s">
        <v>15445</v>
      </c>
      <c r="D1335" t="s">
        <v>1334</v>
      </c>
      <c r="E1335" t="s">
        <v>3438</v>
      </c>
      <c r="F1335" t="s">
        <v>3436</v>
      </c>
      <c r="G1335" s="3">
        <v>36.358956676762098</v>
      </c>
      <c r="H1335" s="3">
        <v>127.24409031106801</v>
      </c>
      <c r="I1335" t="s">
        <v>5100</v>
      </c>
      <c r="J1335" t="s">
        <v>8459</v>
      </c>
      <c r="K1335" t="s">
        <v>11318</v>
      </c>
      <c r="L1335" t="s">
        <v>3366</v>
      </c>
      <c r="M1335" t="s">
        <v>11894</v>
      </c>
      <c r="N1335" t="s">
        <v>3364</v>
      </c>
      <c r="O1335" t="s">
        <v>3362</v>
      </c>
      <c r="P1335" t="s">
        <v>15211</v>
      </c>
      <c r="Q1335" t="s">
        <v>15211</v>
      </c>
      <c r="R1335" t="s">
        <v>15211</v>
      </c>
      <c r="S1335" t="s">
        <v>15211</v>
      </c>
      <c r="T1335" t="s">
        <v>3370</v>
      </c>
      <c r="U1335" t="s">
        <v>13227</v>
      </c>
      <c r="V1335" t="s">
        <v>15233</v>
      </c>
    </row>
    <row r="1336" spans="1:22" hidden="1">
      <c r="A1336" t="s">
        <v>15323</v>
      </c>
      <c r="B1336" t="s">
        <v>15442</v>
      </c>
      <c r="C1336" t="s">
        <v>15445</v>
      </c>
      <c r="D1336" t="s">
        <v>1335</v>
      </c>
      <c r="E1336" t="s">
        <v>3427</v>
      </c>
      <c r="F1336" t="s">
        <v>3425</v>
      </c>
      <c r="G1336" s="3">
        <v>36.358956720266796</v>
      </c>
      <c r="H1336" s="3">
        <v>127.244090317008</v>
      </c>
      <c r="I1336" t="s">
        <v>5101</v>
      </c>
      <c r="J1336" t="s">
        <v>8460</v>
      </c>
      <c r="K1336" t="s">
        <v>11318</v>
      </c>
      <c r="L1336" t="s">
        <v>3366</v>
      </c>
      <c r="M1336" t="s">
        <v>11894</v>
      </c>
      <c r="N1336" t="s">
        <v>3364</v>
      </c>
      <c r="O1336" t="s">
        <v>3362</v>
      </c>
      <c r="P1336" t="s">
        <v>15211</v>
      </c>
      <c r="Q1336" t="s">
        <v>15211</v>
      </c>
      <c r="R1336" t="s">
        <v>15211</v>
      </c>
      <c r="S1336" t="s">
        <v>15211</v>
      </c>
      <c r="T1336" t="s">
        <v>3370</v>
      </c>
      <c r="U1336" t="s">
        <v>13228</v>
      </c>
      <c r="V1336" t="s">
        <v>15233</v>
      </c>
    </row>
    <row r="1337" spans="1:22" hidden="1">
      <c r="A1337" t="s">
        <v>15323</v>
      </c>
      <c r="B1337" t="s">
        <v>15442</v>
      </c>
      <c r="C1337" t="s">
        <v>15445</v>
      </c>
      <c r="D1337" t="s">
        <v>1336</v>
      </c>
      <c r="E1337" t="s">
        <v>3438</v>
      </c>
      <c r="F1337" t="s">
        <v>3436</v>
      </c>
      <c r="G1337" s="3">
        <v>36.3589567699523</v>
      </c>
      <c r="H1337" s="3">
        <v>127.244090309719</v>
      </c>
      <c r="I1337" t="s">
        <v>5102</v>
      </c>
      <c r="J1337" t="s">
        <v>8461</v>
      </c>
      <c r="K1337" t="s">
        <v>11319</v>
      </c>
      <c r="L1337" t="s">
        <v>3366</v>
      </c>
      <c r="M1337" t="s">
        <v>11894</v>
      </c>
      <c r="N1337" t="s">
        <v>3364</v>
      </c>
      <c r="O1337" t="s">
        <v>3362</v>
      </c>
      <c r="P1337" t="s">
        <v>15211</v>
      </c>
      <c r="Q1337" t="s">
        <v>15211</v>
      </c>
      <c r="R1337" t="s">
        <v>15211</v>
      </c>
      <c r="S1337" t="s">
        <v>15211</v>
      </c>
      <c r="T1337" t="s">
        <v>3370</v>
      </c>
      <c r="U1337" t="s">
        <v>13229</v>
      </c>
      <c r="V1337" t="s">
        <v>15233</v>
      </c>
    </row>
    <row r="1338" spans="1:22" hidden="1">
      <c r="A1338" t="s">
        <v>15323</v>
      </c>
      <c r="B1338" t="s">
        <v>15442</v>
      </c>
      <c r="C1338" t="s">
        <v>15451</v>
      </c>
      <c r="D1338" t="s">
        <v>1337</v>
      </c>
      <c r="E1338" t="s">
        <v>3439</v>
      </c>
      <c r="F1338" t="s">
        <v>3428</v>
      </c>
      <c r="G1338" s="3">
        <v>36.358956788013103</v>
      </c>
      <c r="H1338" s="3">
        <v>127.244090332876</v>
      </c>
      <c r="I1338" t="s">
        <v>5103</v>
      </c>
      <c r="J1338" t="s">
        <v>8462</v>
      </c>
      <c r="K1338" t="s">
        <v>11320</v>
      </c>
      <c r="L1338" t="s">
        <v>3366</v>
      </c>
      <c r="M1338" t="s">
        <v>11893</v>
      </c>
      <c r="N1338" t="s">
        <v>3364</v>
      </c>
      <c r="O1338" t="s">
        <v>3362</v>
      </c>
      <c r="P1338" t="s">
        <v>3361</v>
      </c>
      <c r="Q1338" t="s">
        <v>3363</v>
      </c>
      <c r="R1338" t="s">
        <v>15211</v>
      </c>
      <c r="S1338" t="s">
        <v>15211</v>
      </c>
      <c r="T1338" t="s">
        <v>3382</v>
      </c>
      <c r="U1338" t="s">
        <v>13230</v>
      </c>
      <c r="V1338" t="s">
        <v>15234</v>
      </c>
    </row>
    <row r="1339" spans="1:22" hidden="1">
      <c r="A1339" t="s">
        <v>15323</v>
      </c>
      <c r="B1339" t="s">
        <v>15442</v>
      </c>
      <c r="C1339" t="s">
        <v>15451</v>
      </c>
      <c r="D1339" t="s">
        <v>1338</v>
      </c>
      <c r="E1339" t="s">
        <v>3437</v>
      </c>
      <c r="F1339" t="s">
        <v>3436</v>
      </c>
      <c r="G1339" s="3">
        <v>36.358956803764897</v>
      </c>
      <c r="H1339" s="3">
        <v>127.244090298285</v>
      </c>
      <c r="I1339" t="s">
        <v>5104</v>
      </c>
      <c r="J1339" t="s">
        <v>8463</v>
      </c>
      <c r="K1339" t="s">
        <v>10758</v>
      </c>
      <c r="L1339" t="s">
        <v>3366</v>
      </c>
      <c r="M1339" t="s">
        <v>11893</v>
      </c>
      <c r="N1339" t="s">
        <v>3364</v>
      </c>
      <c r="O1339" t="s">
        <v>3362</v>
      </c>
      <c r="P1339" t="s">
        <v>3361</v>
      </c>
      <c r="Q1339" t="s">
        <v>3362</v>
      </c>
      <c r="R1339" t="s">
        <v>15211</v>
      </c>
      <c r="S1339" t="s">
        <v>15211</v>
      </c>
      <c r="T1339" t="s">
        <v>3381</v>
      </c>
      <c r="U1339" t="s">
        <v>13231</v>
      </c>
      <c r="V1339" t="s">
        <v>15234</v>
      </c>
    </row>
    <row r="1340" spans="1:22" hidden="1">
      <c r="A1340" t="s">
        <v>15323</v>
      </c>
      <c r="B1340" t="s">
        <v>15442</v>
      </c>
      <c r="C1340" t="s">
        <v>15451</v>
      </c>
      <c r="D1340" t="s">
        <v>1339</v>
      </c>
      <c r="E1340" t="s">
        <v>3437</v>
      </c>
      <c r="F1340" t="s">
        <v>3425</v>
      </c>
      <c r="G1340" s="3">
        <v>36.358956790076299</v>
      </c>
      <c r="H1340" s="3">
        <v>127.24409030678</v>
      </c>
      <c r="I1340" t="s">
        <v>5105</v>
      </c>
      <c r="J1340" t="s">
        <v>8464</v>
      </c>
      <c r="K1340" t="s">
        <v>3674</v>
      </c>
      <c r="L1340" t="s">
        <v>3366</v>
      </c>
      <c r="M1340" t="s">
        <v>11912</v>
      </c>
      <c r="N1340" t="s">
        <v>3364</v>
      </c>
      <c r="O1340" t="s">
        <v>3362</v>
      </c>
      <c r="P1340" t="s">
        <v>3361</v>
      </c>
      <c r="Q1340" t="s">
        <v>3363</v>
      </c>
      <c r="R1340" t="s">
        <v>15211</v>
      </c>
      <c r="S1340" t="s">
        <v>15211</v>
      </c>
      <c r="T1340" t="s">
        <v>3382</v>
      </c>
      <c r="U1340" t="s">
        <v>13232</v>
      </c>
      <c r="V1340" t="s">
        <v>15234</v>
      </c>
    </row>
    <row r="1341" spans="1:22">
      <c r="A1341" t="s">
        <v>15323</v>
      </c>
      <c r="B1341" t="s">
        <v>15443</v>
      </c>
      <c r="C1341" t="s">
        <v>15452</v>
      </c>
      <c r="D1341" t="s">
        <v>1340</v>
      </c>
      <c r="E1341" t="s">
        <v>3438</v>
      </c>
      <c r="F1341" t="s">
        <v>3453</v>
      </c>
      <c r="G1341" s="3">
        <v>36.358956447671503</v>
      </c>
      <c r="H1341" s="3">
        <v>127.244090120208</v>
      </c>
      <c r="I1341" t="s">
        <v>5106</v>
      </c>
      <c r="J1341" t="s">
        <v>8465</v>
      </c>
      <c r="K1341" t="s">
        <v>11321</v>
      </c>
      <c r="L1341" t="s">
        <v>3366</v>
      </c>
      <c r="M1341" t="s">
        <v>11895</v>
      </c>
      <c r="N1341" t="s">
        <v>3360</v>
      </c>
      <c r="O1341" t="s">
        <v>15211</v>
      </c>
      <c r="P1341" t="s">
        <v>3361</v>
      </c>
      <c r="Q1341" t="s">
        <v>3362</v>
      </c>
      <c r="R1341" t="s">
        <v>15211</v>
      </c>
      <c r="S1341" t="s">
        <v>15211</v>
      </c>
      <c r="T1341" t="s">
        <v>3371</v>
      </c>
      <c r="U1341" t="s">
        <v>13233</v>
      </c>
      <c r="V1341" t="s">
        <v>15220</v>
      </c>
    </row>
    <row r="1342" spans="1:22">
      <c r="A1342" t="s">
        <v>15323</v>
      </c>
      <c r="B1342" t="s">
        <v>15443</v>
      </c>
      <c r="C1342" t="s">
        <v>15452</v>
      </c>
      <c r="D1342" t="s">
        <v>1341</v>
      </c>
      <c r="E1342" t="s">
        <v>3452</v>
      </c>
      <c r="F1342" t="s">
        <v>3579</v>
      </c>
      <c r="G1342" s="3">
        <v>36.358956454720897</v>
      </c>
      <c r="H1342" s="3">
        <v>127.24409018114901</v>
      </c>
      <c r="I1342" t="s">
        <v>5107</v>
      </c>
      <c r="J1342" t="s">
        <v>8466</v>
      </c>
      <c r="K1342" t="s">
        <v>11257</v>
      </c>
      <c r="L1342" t="s">
        <v>3370</v>
      </c>
      <c r="M1342" t="s">
        <v>11901</v>
      </c>
      <c r="N1342" t="s">
        <v>3361</v>
      </c>
      <c r="O1342" t="s">
        <v>15211</v>
      </c>
      <c r="P1342" t="s">
        <v>3361</v>
      </c>
      <c r="Q1342" t="s">
        <v>3363</v>
      </c>
      <c r="R1342" t="s">
        <v>15211</v>
      </c>
      <c r="S1342" t="s">
        <v>15211</v>
      </c>
      <c r="T1342" t="s">
        <v>3373</v>
      </c>
      <c r="U1342" t="s">
        <v>13234</v>
      </c>
      <c r="V1342" t="s">
        <v>15220</v>
      </c>
    </row>
    <row r="1343" spans="1:22">
      <c r="A1343" t="s">
        <v>15323</v>
      </c>
      <c r="B1343" t="s">
        <v>15443</v>
      </c>
      <c r="C1343" t="s">
        <v>15452</v>
      </c>
      <c r="D1343" t="s">
        <v>1342</v>
      </c>
      <c r="E1343" t="s">
        <v>3426</v>
      </c>
      <c r="F1343" t="s">
        <v>3477</v>
      </c>
      <c r="G1343" s="3">
        <v>36.358956392883897</v>
      </c>
      <c r="H1343" s="3">
        <v>127.244090193708</v>
      </c>
      <c r="I1343" t="s">
        <v>5108</v>
      </c>
      <c r="J1343" t="s">
        <v>8467</v>
      </c>
      <c r="K1343" t="s">
        <v>11255</v>
      </c>
      <c r="L1343" t="s">
        <v>3394</v>
      </c>
      <c r="M1343" t="s">
        <v>11903</v>
      </c>
      <c r="N1343" t="s">
        <v>3360</v>
      </c>
      <c r="O1343" t="s">
        <v>15211</v>
      </c>
      <c r="P1343" t="s">
        <v>3361</v>
      </c>
      <c r="Q1343" t="s">
        <v>3363</v>
      </c>
      <c r="R1343" t="s">
        <v>15211</v>
      </c>
      <c r="S1343" t="s">
        <v>15211</v>
      </c>
      <c r="T1343" t="s">
        <v>3372</v>
      </c>
      <c r="U1343" t="s">
        <v>13235</v>
      </c>
      <c r="V1343" t="s">
        <v>15220</v>
      </c>
    </row>
    <row r="1344" spans="1:22" hidden="1">
      <c r="A1344" t="s">
        <v>15324</v>
      </c>
      <c r="B1344" t="s">
        <v>15441</v>
      </c>
      <c r="C1344" t="s">
        <v>15449</v>
      </c>
      <c r="D1344" t="s">
        <v>1343</v>
      </c>
      <c r="E1344" t="s">
        <v>3427</v>
      </c>
      <c r="F1344" t="s">
        <v>3453</v>
      </c>
      <c r="G1344" s="3">
        <v>36.2871721341035</v>
      </c>
      <c r="H1344" s="3">
        <v>127.391073415644</v>
      </c>
      <c r="I1344" t="s">
        <v>5109</v>
      </c>
      <c r="J1344" t="s">
        <v>8468</v>
      </c>
      <c r="K1344" t="s">
        <v>10662</v>
      </c>
      <c r="L1344" t="s">
        <v>3366</v>
      </c>
      <c r="M1344" t="s">
        <v>11893</v>
      </c>
      <c r="N1344" t="s">
        <v>3362</v>
      </c>
      <c r="O1344" t="s">
        <v>3361</v>
      </c>
      <c r="P1344" t="s">
        <v>3362</v>
      </c>
      <c r="Q1344" t="s">
        <v>3364</v>
      </c>
      <c r="R1344" t="s">
        <v>15211</v>
      </c>
      <c r="S1344" t="s">
        <v>15211</v>
      </c>
      <c r="T1344" t="s">
        <v>3381</v>
      </c>
      <c r="U1344" t="s">
        <v>13236</v>
      </c>
      <c r="V1344" t="s">
        <v>15231</v>
      </c>
    </row>
    <row r="1345" spans="1:22" hidden="1">
      <c r="A1345" t="s">
        <v>15324</v>
      </c>
      <c r="B1345" t="s">
        <v>15441</v>
      </c>
      <c r="C1345" t="s">
        <v>15449</v>
      </c>
      <c r="D1345" t="s">
        <v>1344</v>
      </c>
      <c r="E1345" t="s">
        <v>3428</v>
      </c>
      <c r="F1345" t="s">
        <v>3433</v>
      </c>
      <c r="G1345" s="3">
        <v>36.287172150651799</v>
      </c>
      <c r="H1345" s="3">
        <v>127.391073451522</v>
      </c>
      <c r="I1345" t="s">
        <v>5110</v>
      </c>
      <c r="J1345" t="s">
        <v>8469</v>
      </c>
      <c r="K1345" t="s">
        <v>10889</v>
      </c>
      <c r="L1345" t="s">
        <v>3366</v>
      </c>
      <c r="M1345" t="s">
        <v>11891</v>
      </c>
      <c r="N1345" t="s">
        <v>3362</v>
      </c>
      <c r="O1345" t="s">
        <v>3361</v>
      </c>
      <c r="P1345" t="s">
        <v>3362</v>
      </c>
      <c r="Q1345" t="s">
        <v>3364</v>
      </c>
      <c r="R1345" t="s">
        <v>15211</v>
      </c>
      <c r="S1345" t="s">
        <v>15211</v>
      </c>
      <c r="T1345" t="s">
        <v>3381</v>
      </c>
      <c r="U1345" t="s">
        <v>13237</v>
      </c>
      <c r="V1345" t="s">
        <v>15231</v>
      </c>
    </row>
    <row r="1346" spans="1:22" hidden="1">
      <c r="A1346" t="s">
        <v>15324</v>
      </c>
      <c r="B1346" t="s">
        <v>15441</v>
      </c>
      <c r="C1346" t="s">
        <v>15449</v>
      </c>
      <c r="D1346" t="s">
        <v>1345</v>
      </c>
      <c r="E1346" t="s">
        <v>3427</v>
      </c>
      <c r="F1346" t="s">
        <v>3453</v>
      </c>
      <c r="G1346" s="3">
        <v>36.287172160016198</v>
      </c>
      <c r="H1346" s="3">
        <v>127.391073464898</v>
      </c>
      <c r="I1346" t="s">
        <v>5111</v>
      </c>
      <c r="J1346" t="s">
        <v>8470</v>
      </c>
      <c r="K1346" t="s">
        <v>3652</v>
      </c>
      <c r="L1346" t="s">
        <v>3366</v>
      </c>
      <c r="M1346" t="s">
        <v>11891</v>
      </c>
      <c r="N1346" t="s">
        <v>3362</v>
      </c>
      <c r="O1346" t="s">
        <v>3361</v>
      </c>
      <c r="P1346" t="s">
        <v>3362</v>
      </c>
      <c r="Q1346" t="s">
        <v>3363</v>
      </c>
      <c r="R1346" t="s">
        <v>15211</v>
      </c>
      <c r="S1346" t="s">
        <v>15211</v>
      </c>
      <c r="T1346" t="s">
        <v>3380</v>
      </c>
      <c r="U1346" t="s">
        <v>13238</v>
      </c>
      <c r="V1346" t="s">
        <v>15231</v>
      </c>
    </row>
    <row r="1347" spans="1:22" hidden="1">
      <c r="A1347" t="s">
        <v>15324</v>
      </c>
      <c r="B1347" t="s">
        <v>15441</v>
      </c>
      <c r="C1347" t="s">
        <v>15448</v>
      </c>
      <c r="D1347" t="s">
        <v>1346</v>
      </c>
      <c r="E1347" t="s">
        <v>3430</v>
      </c>
      <c r="F1347" t="s">
        <v>3540</v>
      </c>
      <c r="G1347" s="3">
        <v>36.287172171659897</v>
      </c>
      <c r="H1347" s="3">
        <v>127.391073486168</v>
      </c>
      <c r="I1347" t="s">
        <v>5112</v>
      </c>
      <c r="J1347" t="s">
        <v>8471</v>
      </c>
      <c r="K1347" t="s">
        <v>11143</v>
      </c>
      <c r="L1347" t="s">
        <v>3366</v>
      </c>
      <c r="M1347" t="s">
        <v>11893</v>
      </c>
      <c r="N1347" t="s">
        <v>3362</v>
      </c>
      <c r="O1347" t="s">
        <v>3361</v>
      </c>
      <c r="P1347" t="s">
        <v>3361</v>
      </c>
      <c r="Q1347" t="s">
        <v>3363</v>
      </c>
      <c r="R1347" t="s">
        <v>3357</v>
      </c>
      <c r="S1347" t="s">
        <v>15211</v>
      </c>
      <c r="T1347" t="s">
        <v>3380</v>
      </c>
      <c r="U1347" t="s">
        <v>13239</v>
      </c>
      <c r="V1347" t="s">
        <v>15230</v>
      </c>
    </row>
    <row r="1348" spans="1:22" hidden="1">
      <c r="A1348" t="s">
        <v>15324</v>
      </c>
      <c r="B1348" t="s">
        <v>15441</v>
      </c>
      <c r="C1348" t="s">
        <v>15448</v>
      </c>
      <c r="D1348" t="s">
        <v>1347</v>
      </c>
      <c r="E1348" t="s">
        <v>3429</v>
      </c>
      <c r="F1348" t="s">
        <v>3467</v>
      </c>
      <c r="G1348" s="3">
        <v>36.287172183903998</v>
      </c>
      <c r="H1348" s="3">
        <v>127.39107349800901</v>
      </c>
      <c r="I1348" t="s">
        <v>5113</v>
      </c>
      <c r="J1348" t="s">
        <v>8472</v>
      </c>
      <c r="K1348" t="s">
        <v>11181</v>
      </c>
      <c r="L1348" t="s">
        <v>3366</v>
      </c>
      <c r="M1348" t="s">
        <v>11893</v>
      </c>
      <c r="N1348" t="s">
        <v>3362</v>
      </c>
      <c r="O1348" t="s">
        <v>3361</v>
      </c>
      <c r="P1348" t="s">
        <v>3361</v>
      </c>
      <c r="Q1348" t="s">
        <v>3364</v>
      </c>
      <c r="R1348" t="s">
        <v>3357</v>
      </c>
      <c r="S1348" t="s">
        <v>15211</v>
      </c>
      <c r="T1348" t="s">
        <v>3381</v>
      </c>
      <c r="U1348" t="s">
        <v>13240</v>
      </c>
      <c r="V1348" t="s">
        <v>15230</v>
      </c>
    </row>
    <row r="1349" spans="1:22" hidden="1">
      <c r="A1349" t="s">
        <v>15324</v>
      </c>
      <c r="B1349" t="s">
        <v>15441</v>
      </c>
      <c r="C1349" t="s">
        <v>15448</v>
      </c>
      <c r="D1349" t="s">
        <v>1348</v>
      </c>
      <c r="E1349" t="s">
        <v>3430</v>
      </c>
      <c r="F1349" t="s">
        <v>3540</v>
      </c>
      <c r="G1349" s="3">
        <v>36.2871721592443</v>
      </c>
      <c r="H1349" s="3">
        <v>127.39107344906201</v>
      </c>
      <c r="I1349" t="s">
        <v>5114</v>
      </c>
      <c r="J1349" t="s">
        <v>8473</v>
      </c>
      <c r="K1349" t="s">
        <v>11322</v>
      </c>
      <c r="L1349" t="s">
        <v>3366</v>
      </c>
      <c r="M1349" t="s">
        <v>11893</v>
      </c>
      <c r="N1349" t="s">
        <v>3362</v>
      </c>
      <c r="O1349" t="s">
        <v>3361</v>
      </c>
      <c r="P1349" t="s">
        <v>3361</v>
      </c>
      <c r="Q1349" t="s">
        <v>3364</v>
      </c>
      <c r="R1349" t="s">
        <v>3357</v>
      </c>
      <c r="S1349" t="s">
        <v>15211</v>
      </c>
      <c r="T1349" t="s">
        <v>3381</v>
      </c>
      <c r="U1349" t="s">
        <v>13241</v>
      </c>
      <c r="V1349" t="s">
        <v>15230</v>
      </c>
    </row>
    <row r="1350" spans="1:22" hidden="1">
      <c r="A1350" t="s">
        <v>15324</v>
      </c>
      <c r="B1350" t="s">
        <v>15442</v>
      </c>
      <c r="C1350" t="s">
        <v>15450</v>
      </c>
      <c r="D1350" t="s">
        <v>1349</v>
      </c>
      <c r="E1350" t="s">
        <v>3425</v>
      </c>
      <c r="F1350" t="s">
        <v>3463</v>
      </c>
      <c r="G1350" s="3">
        <v>36.287171872461698</v>
      </c>
      <c r="H1350" s="3">
        <v>127.391074407709</v>
      </c>
      <c r="I1350" t="s">
        <v>5115</v>
      </c>
      <c r="J1350" t="s">
        <v>8474</v>
      </c>
      <c r="K1350" t="s">
        <v>10607</v>
      </c>
      <c r="L1350" t="s">
        <v>3366</v>
      </c>
      <c r="M1350" t="s">
        <v>11885</v>
      </c>
      <c r="N1350" t="s">
        <v>3362</v>
      </c>
      <c r="O1350" t="s">
        <v>15211</v>
      </c>
      <c r="P1350" t="s">
        <v>15211</v>
      </c>
      <c r="Q1350" t="s">
        <v>15211</v>
      </c>
      <c r="R1350" t="s">
        <v>15211</v>
      </c>
      <c r="S1350" t="s">
        <v>15211</v>
      </c>
      <c r="T1350" t="s">
        <v>3362</v>
      </c>
      <c r="U1350" t="s">
        <v>13242</v>
      </c>
      <c r="V1350" t="s">
        <v>15232</v>
      </c>
    </row>
    <row r="1351" spans="1:22" hidden="1">
      <c r="A1351" t="s">
        <v>15324</v>
      </c>
      <c r="B1351" t="s">
        <v>15442</v>
      </c>
      <c r="C1351" t="s">
        <v>15450</v>
      </c>
      <c r="D1351" t="s">
        <v>1350</v>
      </c>
      <c r="E1351" t="s">
        <v>3425</v>
      </c>
      <c r="F1351" t="s">
        <v>3463</v>
      </c>
      <c r="G1351" s="3">
        <v>36.287171888792301</v>
      </c>
      <c r="H1351" s="3">
        <v>127.391074454978</v>
      </c>
      <c r="I1351" t="s">
        <v>5116</v>
      </c>
      <c r="J1351" t="s">
        <v>8475</v>
      </c>
      <c r="K1351" t="s">
        <v>11323</v>
      </c>
      <c r="L1351" t="s">
        <v>3366</v>
      </c>
      <c r="M1351" t="s">
        <v>11885</v>
      </c>
      <c r="N1351" t="s">
        <v>3362</v>
      </c>
      <c r="O1351" t="s">
        <v>15211</v>
      </c>
      <c r="P1351" t="s">
        <v>15211</v>
      </c>
      <c r="Q1351" t="s">
        <v>15211</v>
      </c>
      <c r="R1351" t="s">
        <v>15211</v>
      </c>
      <c r="S1351" t="s">
        <v>15211</v>
      </c>
      <c r="T1351" t="s">
        <v>3362</v>
      </c>
      <c r="U1351" t="s">
        <v>13243</v>
      </c>
      <c r="V1351" t="s">
        <v>15232</v>
      </c>
    </row>
    <row r="1352" spans="1:22" hidden="1">
      <c r="A1352" t="s">
        <v>15324</v>
      </c>
      <c r="B1352" t="s">
        <v>15442</v>
      </c>
      <c r="C1352" t="s">
        <v>15450</v>
      </c>
      <c r="D1352" t="s">
        <v>1351</v>
      </c>
      <c r="E1352" t="s">
        <v>3425</v>
      </c>
      <c r="F1352" t="s">
        <v>3463</v>
      </c>
      <c r="G1352" s="3">
        <v>36.287171918033302</v>
      </c>
      <c r="H1352" s="3">
        <v>127.391074418824</v>
      </c>
      <c r="I1352" t="s">
        <v>5117</v>
      </c>
      <c r="J1352" t="s">
        <v>8476</v>
      </c>
      <c r="K1352" t="s">
        <v>11324</v>
      </c>
      <c r="L1352" t="s">
        <v>3366</v>
      </c>
      <c r="M1352" t="s">
        <v>11885</v>
      </c>
      <c r="N1352" t="s">
        <v>3362</v>
      </c>
      <c r="O1352" t="s">
        <v>15211</v>
      </c>
      <c r="P1352" t="s">
        <v>15211</v>
      </c>
      <c r="Q1352" t="s">
        <v>15211</v>
      </c>
      <c r="R1352" t="s">
        <v>15211</v>
      </c>
      <c r="S1352" t="s">
        <v>15211</v>
      </c>
      <c r="T1352" t="s">
        <v>3362</v>
      </c>
      <c r="U1352" t="s">
        <v>13244</v>
      </c>
      <c r="V1352" t="s">
        <v>15232</v>
      </c>
    </row>
    <row r="1353" spans="1:22" hidden="1">
      <c r="A1353" t="s">
        <v>15324</v>
      </c>
      <c r="B1353" t="s">
        <v>15442</v>
      </c>
      <c r="C1353" t="s">
        <v>15445</v>
      </c>
      <c r="D1353" t="s">
        <v>1352</v>
      </c>
      <c r="E1353" t="s">
        <v>3427</v>
      </c>
      <c r="F1353" t="s">
        <v>3452</v>
      </c>
      <c r="G1353" s="3">
        <v>36.287172009045896</v>
      </c>
      <c r="H1353" s="3">
        <v>127.391073555947</v>
      </c>
      <c r="I1353" t="s">
        <v>5118</v>
      </c>
      <c r="J1353" t="s">
        <v>8477</v>
      </c>
      <c r="K1353" t="s">
        <v>11325</v>
      </c>
      <c r="L1353" t="s">
        <v>3366</v>
      </c>
      <c r="M1353" t="s">
        <v>11885</v>
      </c>
      <c r="N1353" t="s">
        <v>3362</v>
      </c>
      <c r="O1353" t="s">
        <v>15211</v>
      </c>
      <c r="P1353" t="s">
        <v>15211</v>
      </c>
      <c r="Q1353" t="s">
        <v>15211</v>
      </c>
      <c r="R1353" t="s">
        <v>15211</v>
      </c>
      <c r="S1353" t="s">
        <v>15211</v>
      </c>
      <c r="T1353" t="s">
        <v>3362</v>
      </c>
      <c r="U1353" t="s">
        <v>13241</v>
      </c>
      <c r="V1353" t="s">
        <v>15233</v>
      </c>
    </row>
    <row r="1354" spans="1:22" hidden="1">
      <c r="A1354" t="s">
        <v>15324</v>
      </c>
      <c r="B1354" t="s">
        <v>15442</v>
      </c>
      <c r="C1354" t="s">
        <v>15445</v>
      </c>
      <c r="D1354" t="s">
        <v>1353</v>
      </c>
      <c r="E1354" t="s">
        <v>3427</v>
      </c>
      <c r="F1354" t="s">
        <v>3452</v>
      </c>
      <c r="G1354" s="3">
        <v>36.287172044962801</v>
      </c>
      <c r="H1354" s="3">
        <v>127.39107356258801</v>
      </c>
      <c r="I1354" t="s">
        <v>5119</v>
      </c>
      <c r="J1354" t="s">
        <v>8478</v>
      </c>
      <c r="K1354" t="s">
        <v>10627</v>
      </c>
      <c r="L1354" t="s">
        <v>3366</v>
      </c>
      <c r="M1354" t="s">
        <v>11885</v>
      </c>
      <c r="N1354" t="s">
        <v>3362</v>
      </c>
      <c r="O1354" t="s">
        <v>15211</v>
      </c>
      <c r="P1354" t="s">
        <v>15211</v>
      </c>
      <c r="Q1354" t="s">
        <v>15211</v>
      </c>
      <c r="R1354" t="s">
        <v>15211</v>
      </c>
      <c r="S1354" t="s">
        <v>15211</v>
      </c>
      <c r="T1354" t="s">
        <v>3362</v>
      </c>
      <c r="U1354" t="s">
        <v>13245</v>
      </c>
      <c r="V1354" t="s">
        <v>15233</v>
      </c>
    </row>
    <row r="1355" spans="1:22" hidden="1">
      <c r="A1355" t="s">
        <v>15324</v>
      </c>
      <c r="B1355" t="s">
        <v>15442</v>
      </c>
      <c r="C1355" t="s">
        <v>15445</v>
      </c>
      <c r="D1355" t="s">
        <v>1354</v>
      </c>
      <c r="E1355" t="s">
        <v>3427</v>
      </c>
      <c r="F1355" t="s">
        <v>3452</v>
      </c>
      <c r="G1355" s="3">
        <v>36.287172030366797</v>
      </c>
      <c r="H1355" s="3">
        <v>127.391073536173</v>
      </c>
      <c r="I1355" t="s">
        <v>5120</v>
      </c>
      <c r="J1355" t="s">
        <v>8479</v>
      </c>
      <c r="K1355" t="s">
        <v>11326</v>
      </c>
      <c r="L1355" t="s">
        <v>3366</v>
      </c>
      <c r="M1355" t="s">
        <v>11885</v>
      </c>
      <c r="N1355" t="s">
        <v>3362</v>
      </c>
      <c r="O1355" t="s">
        <v>15211</v>
      </c>
      <c r="P1355" t="s">
        <v>15211</v>
      </c>
      <c r="Q1355" t="s">
        <v>15211</v>
      </c>
      <c r="R1355" t="s">
        <v>15211</v>
      </c>
      <c r="S1355" t="s">
        <v>15211</v>
      </c>
      <c r="T1355" t="s">
        <v>3362</v>
      </c>
      <c r="U1355" t="s">
        <v>13246</v>
      </c>
      <c r="V1355" t="s">
        <v>15233</v>
      </c>
    </row>
    <row r="1356" spans="1:22" hidden="1">
      <c r="A1356" t="s">
        <v>15324</v>
      </c>
      <c r="B1356" t="s">
        <v>15442</v>
      </c>
      <c r="C1356" t="s">
        <v>15451</v>
      </c>
      <c r="D1356" t="s">
        <v>1355</v>
      </c>
      <c r="E1356" t="s">
        <v>3440</v>
      </c>
      <c r="F1356" t="s">
        <v>3434</v>
      </c>
      <c r="G1356" s="3">
        <v>36.287172016160099</v>
      </c>
      <c r="H1356" s="3">
        <v>127.39107331213199</v>
      </c>
      <c r="I1356" t="s">
        <v>5121</v>
      </c>
      <c r="J1356" t="s">
        <v>8480</v>
      </c>
      <c r="K1356" t="s">
        <v>11008</v>
      </c>
      <c r="L1356" t="s">
        <v>3366</v>
      </c>
      <c r="M1356" t="s">
        <v>11912</v>
      </c>
      <c r="N1356" t="s">
        <v>3362</v>
      </c>
      <c r="O1356" t="s">
        <v>15211</v>
      </c>
      <c r="P1356" t="s">
        <v>15211</v>
      </c>
      <c r="Q1356" t="s">
        <v>15211</v>
      </c>
      <c r="R1356" t="s">
        <v>15211</v>
      </c>
      <c r="S1356" t="s">
        <v>15211</v>
      </c>
      <c r="T1356" t="s">
        <v>3362</v>
      </c>
      <c r="U1356" t="s">
        <v>13247</v>
      </c>
      <c r="V1356" t="s">
        <v>15234</v>
      </c>
    </row>
    <row r="1357" spans="1:22" hidden="1">
      <c r="A1357" t="s">
        <v>15324</v>
      </c>
      <c r="B1357" t="s">
        <v>15442</v>
      </c>
      <c r="C1357" t="s">
        <v>15451</v>
      </c>
      <c r="D1357" t="s">
        <v>1356</v>
      </c>
      <c r="E1357" t="s">
        <v>3438</v>
      </c>
      <c r="F1357" t="s">
        <v>3430</v>
      </c>
      <c r="G1357" s="3">
        <v>36.287171962360198</v>
      </c>
      <c r="H1357" s="3">
        <v>127.39107328894799</v>
      </c>
      <c r="I1357" t="s">
        <v>5122</v>
      </c>
      <c r="J1357" t="s">
        <v>8481</v>
      </c>
      <c r="K1357" t="s">
        <v>11008</v>
      </c>
      <c r="L1357" t="s">
        <v>3366</v>
      </c>
      <c r="M1357" t="s">
        <v>11912</v>
      </c>
      <c r="N1357" t="s">
        <v>3362</v>
      </c>
      <c r="O1357" t="s">
        <v>15211</v>
      </c>
      <c r="P1357" t="s">
        <v>15211</v>
      </c>
      <c r="Q1357" t="s">
        <v>15211</v>
      </c>
      <c r="R1357" t="s">
        <v>15211</v>
      </c>
      <c r="S1357" t="s">
        <v>15211</v>
      </c>
      <c r="T1357" t="s">
        <v>3362</v>
      </c>
      <c r="U1357" t="s">
        <v>13248</v>
      </c>
      <c r="V1357" t="s">
        <v>15234</v>
      </c>
    </row>
    <row r="1358" spans="1:22" hidden="1">
      <c r="A1358" t="s">
        <v>15324</v>
      </c>
      <c r="B1358" t="s">
        <v>15442</v>
      </c>
      <c r="C1358" t="s">
        <v>15451</v>
      </c>
      <c r="D1358" t="s">
        <v>1357</v>
      </c>
      <c r="E1358" t="s">
        <v>3438</v>
      </c>
      <c r="F1358" t="s">
        <v>3442</v>
      </c>
      <c r="G1358" s="3">
        <v>36.287171946602299</v>
      </c>
      <c r="H1358" s="3">
        <v>127.39107327788599</v>
      </c>
      <c r="I1358" t="s">
        <v>5123</v>
      </c>
      <c r="J1358" t="s">
        <v>8482</v>
      </c>
      <c r="K1358" t="s">
        <v>11008</v>
      </c>
      <c r="L1358" t="s">
        <v>3366</v>
      </c>
      <c r="M1358" t="s">
        <v>11912</v>
      </c>
      <c r="N1358" t="s">
        <v>3362</v>
      </c>
      <c r="O1358" t="s">
        <v>15211</v>
      </c>
      <c r="P1358" t="s">
        <v>15211</v>
      </c>
      <c r="Q1358" t="s">
        <v>15211</v>
      </c>
      <c r="R1358" t="s">
        <v>15211</v>
      </c>
      <c r="S1358" t="s">
        <v>15211</v>
      </c>
      <c r="T1358" t="s">
        <v>3362</v>
      </c>
      <c r="U1358" t="s">
        <v>13249</v>
      </c>
      <c r="V1358" t="s">
        <v>15234</v>
      </c>
    </row>
    <row r="1359" spans="1:22">
      <c r="A1359" t="s">
        <v>15324</v>
      </c>
      <c r="B1359" t="s">
        <v>15443</v>
      </c>
      <c r="C1359" t="s">
        <v>15452</v>
      </c>
      <c r="D1359" t="s">
        <v>1358</v>
      </c>
      <c r="E1359" t="s">
        <v>3436</v>
      </c>
      <c r="F1359" t="s">
        <v>3452</v>
      </c>
      <c r="G1359" s="3">
        <v>36.287171995579101</v>
      </c>
      <c r="H1359" s="3">
        <v>127.39107307261899</v>
      </c>
      <c r="I1359" t="s">
        <v>5124</v>
      </c>
      <c r="J1359" t="s">
        <v>8483</v>
      </c>
      <c r="K1359" t="s">
        <v>11137</v>
      </c>
      <c r="L1359" t="s">
        <v>3366</v>
      </c>
      <c r="M1359" t="s">
        <v>11901</v>
      </c>
      <c r="N1359" t="s">
        <v>3362</v>
      </c>
      <c r="O1359" t="s">
        <v>15211</v>
      </c>
      <c r="P1359" t="s">
        <v>15211</v>
      </c>
      <c r="Q1359" t="s">
        <v>15211</v>
      </c>
      <c r="R1359" t="s">
        <v>15211</v>
      </c>
      <c r="S1359" t="s">
        <v>15211</v>
      </c>
      <c r="T1359" t="s">
        <v>3362</v>
      </c>
      <c r="U1359" t="s">
        <v>13250</v>
      </c>
      <c r="V1359" t="s">
        <v>15220</v>
      </c>
    </row>
    <row r="1360" spans="1:22">
      <c r="A1360" t="s">
        <v>15324</v>
      </c>
      <c r="B1360" t="s">
        <v>15443</v>
      </c>
      <c r="C1360" t="s">
        <v>15452</v>
      </c>
      <c r="D1360" t="s">
        <v>1359</v>
      </c>
      <c r="E1360" t="s">
        <v>3436</v>
      </c>
      <c r="F1360" t="s">
        <v>3452</v>
      </c>
      <c r="G1360" s="3">
        <v>36.2871719870653</v>
      </c>
      <c r="H1360" s="3">
        <v>127.391073099148</v>
      </c>
      <c r="I1360" t="s">
        <v>5125</v>
      </c>
      <c r="J1360" t="s">
        <v>8484</v>
      </c>
      <c r="K1360" t="s">
        <v>10773</v>
      </c>
      <c r="L1360" t="s">
        <v>3366</v>
      </c>
      <c r="M1360" t="s">
        <v>11903</v>
      </c>
      <c r="N1360" t="s">
        <v>3362</v>
      </c>
      <c r="O1360" t="s">
        <v>15211</v>
      </c>
      <c r="P1360" t="s">
        <v>15211</v>
      </c>
      <c r="Q1360" t="s">
        <v>15211</v>
      </c>
      <c r="R1360" t="s">
        <v>15211</v>
      </c>
      <c r="S1360" t="s">
        <v>15211</v>
      </c>
      <c r="T1360" t="s">
        <v>3362</v>
      </c>
      <c r="U1360" t="s">
        <v>13251</v>
      </c>
      <c r="V1360" t="s">
        <v>15220</v>
      </c>
    </row>
    <row r="1361" spans="1:22">
      <c r="A1361" t="s">
        <v>15324</v>
      </c>
      <c r="B1361" t="s">
        <v>15443</v>
      </c>
      <c r="C1361" t="s">
        <v>15452</v>
      </c>
      <c r="D1361" t="s">
        <v>1360</v>
      </c>
      <c r="E1361" t="s">
        <v>3425</v>
      </c>
      <c r="F1361" t="s">
        <v>3462</v>
      </c>
      <c r="G1361" s="3">
        <v>36.287171997703403</v>
      </c>
      <c r="H1361" s="3">
        <v>127.39107310356199</v>
      </c>
      <c r="I1361" t="s">
        <v>5126</v>
      </c>
      <c r="J1361" t="s">
        <v>8485</v>
      </c>
      <c r="K1361" t="s">
        <v>11327</v>
      </c>
      <c r="L1361" t="s">
        <v>3366</v>
      </c>
      <c r="M1361" t="s">
        <v>11901</v>
      </c>
      <c r="N1361" t="s">
        <v>3362</v>
      </c>
      <c r="O1361" t="s">
        <v>15211</v>
      </c>
      <c r="P1361" t="s">
        <v>15211</v>
      </c>
      <c r="Q1361" t="s">
        <v>15211</v>
      </c>
      <c r="R1361" t="s">
        <v>15211</v>
      </c>
      <c r="S1361" t="s">
        <v>15211</v>
      </c>
      <c r="T1361" t="s">
        <v>3362</v>
      </c>
      <c r="U1361" t="s">
        <v>13252</v>
      </c>
      <c r="V1361" t="s">
        <v>15220</v>
      </c>
    </row>
    <row r="1362" spans="1:22" hidden="1">
      <c r="A1362" t="s">
        <v>15324</v>
      </c>
      <c r="B1362" t="s">
        <v>15441</v>
      </c>
      <c r="C1362" t="s">
        <v>15445</v>
      </c>
      <c r="D1362" t="s">
        <v>1361</v>
      </c>
      <c r="E1362" t="s">
        <v>3427</v>
      </c>
      <c r="F1362" t="s">
        <v>3461</v>
      </c>
      <c r="G1362" s="3">
        <v>36.2871719105555</v>
      </c>
      <c r="H1362" s="3">
        <v>127.391073396102</v>
      </c>
      <c r="I1362" t="s">
        <v>5127</v>
      </c>
      <c r="J1362" t="s">
        <v>8486</v>
      </c>
      <c r="K1362" t="s">
        <v>11328</v>
      </c>
      <c r="L1362" t="s">
        <v>3366</v>
      </c>
      <c r="M1362" t="s">
        <v>11886</v>
      </c>
      <c r="N1362" t="s">
        <v>3362</v>
      </c>
      <c r="O1362" t="s">
        <v>15211</v>
      </c>
      <c r="P1362" t="s">
        <v>15211</v>
      </c>
      <c r="Q1362" t="s">
        <v>15211</v>
      </c>
      <c r="R1362" t="s">
        <v>15211</v>
      </c>
      <c r="S1362" t="s">
        <v>15211</v>
      </c>
      <c r="T1362" t="s">
        <v>3362</v>
      </c>
      <c r="U1362" t="s">
        <v>13253</v>
      </c>
      <c r="V1362" t="s">
        <v>15228</v>
      </c>
    </row>
    <row r="1363" spans="1:22" hidden="1">
      <c r="A1363" t="s">
        <v>15324</v>
      </c>
      <c r="B1363" t="s">
        <v>15441</v>
      </c>
      <c r="C1363" t="s">
        <v>15445</v>
      </c>
      <c r="D1363" t="s">
        <v>1362</v>
      </c>
      <c r="E1363" t="s">
        <v>3427</v>
      </c>
      <c r="F1363" t="s">
        <v>3461</v>
      </c>
      <c r="G1363" s="3">
        <v>36.287171871952197</v>
      </c>
      <c r="H1363" s="3">
        <v>127.391073419409</v>
      </c>
      <c r="I1363" t="s">
        <v>5128</v>
      </c>
      <c r="J1363" t="s">
        <v>8487</v>
      </c>
      <c r="K1363" t="s">
        <v>11329</v>
      </c>
      <c r="L1363" t="s">
        <v>3366</v>
      </c>
      <c r="M1363" t="s">
        <v>11886</v>
      </c>
      <c r="N1363" t="s">
        <v>3362</v>
      </c>
      <c r="O1363" t="s">
        <v>15211</v>
      </c>
      <c r="P1363" t="s">
        <v>15211</v>
      </c>
      <c r="Q1363" t="s">
        <v>15211</v>
      </c>
      <c r="R1363" t="s">
        <v>15211</v>
      </c>
      <c r="S1363" t="s">
        <v>15211</v>
      </c>
      <c r="T1363" t="s">
        <v>3362</v>
      </c>
      <c r="U1363" t="s">
        <v>13254</v>
      </c>
      <c r="V1363" t="s">
        <v>15228</v>
      </c>
    </row>
    <row r="1364" spans="1:22" hidden="1">
      <c r="A1364" t="s">
        <v>15324</v>
      </c>
      <c r="B1364" t="s">
        <v>15441</v>
      </c>
      <c r="C1364" t="s">
        <v>15445</v>
      </c>
      <c r="D1364" t="s">
        <v>1363</v>
      </c>
      <c r="E1364" t="s">
        <v>3428</v>
      </c>
      <c r="F1364" t="s">
        <v>3426</v>
      </c>
      <c r="G1364" s="3">
        <v>36.287171905857299</v>
      </c>
      <c r="H1364" s="3">
        <v>127.39107344713101</v>
      </c>
      <c r="I1364" t="s">
        <v>5129</v>
      </c>
      <c r="J1364" t="s">
        <v>8488</v>
      </c>
      <c r="K1364" t="s">
        <v>11330</v>
      </c>
      <c r="L1364" t="s">
        <v>3366</v>
      </c>
      <c r="M1364" t="s">
        <v>11886</v>
      </c>
      <c r="N1364" t="s">
        <v>3362</v>
      </c>
      <c r="O1364" t="s">
        <v>15211</v>
      </c>
      <c r="P1364" t="s">
        <v>15211</v>
      </c>
      <c r="Q1364" t="s">
        <v>15211</v>
      </c>
      <c r="R1364" t="s">
        <v>15211</v>
      </c>
      <c r="S1364" t="s">
        <v>15211</v>
      </c>
      <c r="T1364" t="s">
        <v>3362</v>
      </c>
      <c r="U1364" t="s">
        <v>13255</v>
      </c>
      <c r="V1364" t="s">
        <v>15228</v>
      </c>
    </row>
    <row r="1365" spans="1:22" hidden="1">
      <c r="A1365" t="s">
        <v>15324</v>
      </c>
      <c r="B1365" t="s">
        <v>15441</v>
      </c>
      <c r="C1365" t="s">
        <v>15446</v>
      </c>
      <c r="D1365" t="s">
        <v>1364</v>
      </c>
      <c r="E1365" t="s">
        <v>3428</v>
      </c>
      <c r="F1365" t="s">
        <v>3465</v>
      </c>
      <c r="G1365" s="3">
        <v>36.287171901124402</v>
      </c>
      <c r="H1365" s="3">
        <v>127.391073488077</v>
      </c>
      <c r="I1365" t="s">
        <v>5130</v>
      </c>
      <c r="J1365" t="s">
        <v>8489</v>
      </c>
      <c r="K1365" t="s">
        <v>11331</v>
      </c>
      <c r="L1365" t="s">
        <v>3387</v>
      </c>
      <c r="M1365" t="s">
        <v>11902</v>
      </c>
      <c r="N1365" t="s">
        <v>3361</v>
      </c>
      <c r="O1365" t="s">
        <v>3360</v>
      </c>
      <c r="P1365" t="s">
        <v>15211</v>
      </c>
      <c r="Q1365" t="s">
        <v>15211</v>
      </c>
      <c r="R1365" t="s">
        <v>15211</v>
      </c>
      <c r="S1365" t="s">
        <v>15211</v>
      </c>
      <c r="T1365" t="s">
        <v>3365</v>
      </c>
      <c r="U1365" t="s">
        <v>13256</v>
      </c>
      <c r="V1365" t="s">
        <v>15229</v>
      </c>
    </row>
    <row r="1366" spans="1:22" hidden="1">
      <c r="A1366" t="s">
        <v>15324</v>
      </c>
      <c r="B1366" t="s">
        <v>15441</v>
      </c>
      <c r="C1366" t="s">
        <v>15446</v>
      </c>
      <c r="D1366" t="s">
        <v>1365</v>
      </c>
      <c r="E1366" t="s">
        <v>3428</v>
      </c>
      <c r="F1366" t="s">
        <v>3465</v>
      </c>
      <c r="G1366" s="3">
        <v>36.2871718825348</v>
      </c>
      <c r="H1366" s="3">
        <v>127.391073540712</v>
      </c>
      <c r="I1366" t="s">
        <v>5131</v>
      </c>
      <c r="J1366" t="s">
        <v>8490</v>
      </c>
      <c r="K1366" t="s">
        <v>11332</v>
      </c>
      <c r="L1366" t="s">
        <v>3366</v>
      </c>
      <c r="M1366" t="s">
        <v>11902</v>
      </c>
      <c r="N1366" t="s">
        <v>3361</v>
      </c>
      <c r="O1366" t="s">
        <v>3361</v>
      </c>
      <c r="P1366" t="s">
        <v>15211</v>
      </c>
      <c r="Q1366" t="s">
        <v>15211</v>
      </c>
      <c r="R1366" t="s">
        <v>15211</v>
      </c>
      <c r="S1366" t="s">
        <v>15211</v>
      </c>
      <c r="T1366" t="s">
        <v>3366</v>
      </c>
      <c r="U1366" t="s">
        <v>13257</v>
      </c>
      <c r="V1366" t="s">
        <v>15229</v>
      </c>
    </row>
    <row r="1367" spans="1:22" hidden="1">
      <c r="A1367" t="s">
        <v>15324</v>
      </c>
      <c r="B1367" t="s">
        <v>15441</v>
      </c>
      <c r="C1367" t="s">
        <v>15446</v>
      </c>
      <c r="D1367" t="s">
        <v>1366</v>
      </c>
      <c r="E1367" t="s">
        <v>3429</v>
      </c>
      <c r="F1367" t="s">
        <v>3464</v>
      </c>
      <c r="G1367" s="3">
        <v>36.287171845490398</v>
      </c>
      <c r="H1367" s="3">
        <v>127.391073550627</v>
      </c>
      <c r="I1367" t="s">
        <v>5132</v>
      </c>
      <c r="J1367" t="s">
        <v>8491</v>
      </c>
      <c r="K1367" t="s">
        <v>11333</v>
      </c>
      <c r="L1367" t="s">
        <v>3366</v>
      </c>
      <c r="M1367" t="s">
        <v>11902</v>
      </c>
      <c r="N1367" t="s">
        <v>3361</v>
      </c>
      <c r="O1367" t="s">
        <v>3361</v>
      </c>
      <c r="P1367" t="s">
        <v>15211</v>
      </c>
      <c r="Q1367" t="s">
        <v>15211</v>
      </c>
      <c r="R1367" t="s">
        <v>15211</v>
      </c>
      <c r="S1367" t="s">
        <v>15211</v>
      </c>
      <c r="T1367" t="s">
        <v>3366</v>
      </c>
      <c r="U1367" t="s">
        <v>13258</v>
      </c>
      <c r="V1367" t="s">
        <v>15229</v>
      </c>
    </row>
    <row r="1368" spans="1:22" hidden="1">
      <c r="A1368" t="s">
        <v>15325</v>
      </c>
      <c r="B1368" t="s">
        <v>15441</v>
      </c>
      <c r="C1368" t="s">
        <v>15445</v>
      </c>
      <c r="D1368" t="s">
        <v>1367</v>
      </c>
      <c r="E1368" t="s">
        <v>3427</v>
      </c>
      <c r="F1368" t="s">
        <v>3435</v>
      </c>
      <c r="G1368" s="3">
        <v>36.0253273797845</v>
      </c>
      <c r="H1368" s="3">
        <v>126.94455219116099</v>
      </c>
      <c r="I1368" t="s">
        <v>5133</v>
      </c>
      <c r="J1368" t="s">
        <v>8492</v>
      </c>
      <c r="K1368" t="s">
        <v>11334</v>
      </c>
      <c r="L1368" t="s">
        <v>3366</v>
      </c>
      <c r="M1368" t="s">
        <v>11886</v>
      </c>
      <c r="N1368" t="s">
        <v>3364</v>
      </c>
      <c r="O1368" t="s">
        <v>3360</v>
      </c>
      <c r="P1368" t="s">
        <v>15211</v>
      </c>
      <c r="Q1368" t="s">
        <v>15211</v>
      </c>
      <c r="R1368" t="s">
        <v>15211</v>
      </c>
      <c r="S1368" t="s">
        <v>15211</v>
      </c>
      <c r="T1368" t="s">
        <v>3368</v>
      </c>
      <c r="U1368" t="s">
        <v>13259</v>
      </c>
      <c r="V1368" t="s">
        <v>15228</v>
      </c>
    </row>
    <row r="1369" spans="1:22" hidden="1">
      <c r="A1369" t="s">
        <v>15325</v>
      </c>
      <c r="B1369" t="s">
        <v>15441</v>
      </c>
      <c r="C1369" t="s">
        <v>15445</v>
      </c>
      <c r="D1369" t="s">
        <v>1368</v>
      </c>
      <c r="E1369" t="s">
        <v>3438</v>
      </c>
      <c r="F1369" t="s">
        <v>3434</v>
      </c>
      <c r="G1369" s="3">
        <v>36.025327366453801</v>
      </c>
      <c r="H1369" s="3">
        <v>126.94455218593799</v>
      </c>
      <c r="I1369" t="s">
        <v>5134</v>
      </c>
      <c r="J1369" t="s">
        <v>8493</v>
      </c>
      <c r="K1369" t="s">
        <v>11335</v>
      </c>
      <c r="L1369" t="s">
        <v>3366</v>
      </c>
      <c r="M1369" t="s">
        <v>11885</v>
      </c>
      <c r="N1369" t="s">
        <v>3364</v>
      </c>
      <c r="O1369" t="s">
        <v>3360</v>
      </c>
      <c r="P1369" t="s">
        <v>15211</v>
      </c>
      <c r="Q1369" t="s">
        <v>15211</v>
      </c>
      <c r="R1369" t="s">
        <v>15211</v>
      </c>
      <c r="S1369" t="s">
        <v>15211</v>
      </c>
      <c r="T1369" t="s">
        <v>3368</v>
      </c>
      <c r="U1369" t="s">
        <v>13260</v>
      </c>
      <c r="V1369" t="s">
        <v>15228</v>
      </c>
    </row>
    <row r="1370" spans="1:22" hidden="1">
      <c r="A1370" t="s">
        <v>15325</v>
      </c>
      <c r="B1370" t="s">
        <v>15441</v>
      </c>
      <c r="C1370" t="s">
        <v>15445</v>
      </c>
      <c r="D1370" t="s">
        <v>1369</v>
      </c>
      <c r="E1370" t="s">
        <v>3427</v>
      </c>
      <c r="F1370" t="s">
        <v>3435</v>
      </c>
      <c r="G1370" s="3">
        <v>36.025327350119099</v>
      </c>
      <c r="H1370" s="3">
        <v>126.944552159572</v>
      </c>
      <c r="I1370" t="s">
        <v>5135</v>
      </c>
      <c r="J1370" t="s">
        <v>8494</v>
      </c>
      <c r="K1370" t="s">
        <v>3629</v>
      </c>
      <c r="L1370" t="s">
        <v>3366</v>
      </c>
      <c r="M1370" t="s">
        <v>11885</v>
      </c>
      <c r="N1370" t="s">
        <v>3364</v>
      </c>
      <c r="O1370" t="s">
        <v>3360</v>
      </c>
      <c r="P1370" t="s">
        <v>15211</v>
      </c>
      <c r="Q1370" t="s">
        <v>15211</v>
      </c>
      <c r="R1370" t="s">
        <v>15211</v>
      </c>
      <c r="S1370" t="s">
        <v>15211</v>
      </c>
      <c r="T1370" t="s">
        <v>3368</v>
      </c>
      <c r="U1370" t="s">
        <v>13261</v>
      </c>
      <c r="V1370" t="s">
        <v>15228</v>
      </c>
    </row>
    <row r="1371" spans="1:22" hidden="1">
      <c r="A1371" t="s">
        <v>15325</v>
      </c>
      <c r="B1371" t="s">
        <v>15441</v>
      </c>
      <c r="C1371" t="s">
        <v>15446</v>
      </c>
      <c r="D1371" t="s">
        <v>1370</v>
      </c>
      <c r="E1371" t="s">
        <v>3427</v>
      </c>
      <c r="F1371" t="s">
        <v>3434</v>
      </c>
      <c r="G1371" s="3">
        <v>36.025327354227201</v>
      </c>
      <c r="H1371" s="3">
        <v>126.944552112762</v>
      </c>
      <c r="I1371" t="s">
        <v>5136</v>
      </c>
      <c r="J1371" t="s">
        <v>8495</v>
      </c>
      <c r="K1371" t="s">
        <v>11181</v>
      </c>
      <c r="L1371" t="s">
        <v>3366</v>
      </c>
      <c r="M1371" t="s">
        <v>11885</v>
      </c>
      <c r="N1371" t="s">
        <v>3364</v>
      </c>
      <c r="O1371" t="s">
        <v>3360</v>
      </c>
      <c r="P1371" t="s">
        <v>15211</v>
      </c>
      <c r="Q1371" t="s">
        <v>15211</v>
      </c>
      <c r="R1371" t="s">
        <v>15211</v>
      </c>
      <c r="S1371" t="s">
        <v>15211</v>
      </c>
      <c r="T1371" t="s">
        <v>3368</v>
      </c>
      <c r="U1371" t="s">
        <v>13262</v>
      </c>
      <c r="V1371" t="s">
        <v>15229</v>
      </c>
    </row>
    <row r="1372" spans="1:22" hidden="1">
      <c r="A1372" t="s">
        <v>15325</v>
      </c>
      <c r="B1372" t="s">
        <v>15441</v>
      </c>
      <c r="C1372" t="s">
        <v>15446</v>
      </c>
      <c r="D1372" t="s">
        <v>1371</v>
      </c>
      <c r="E1372" t="s">
        <v>3427</v>
      </c>
      <c r="F1372" t="s">
        <v>3434</v>
      </c>
      <c r="G1372" s="3">
        <v>36.025327360877398</v>
      </c>
      <c r="H1372" s="3">
        <v>126.944552140781</v>
      </c>
      <c r="I1372" t="s">
        <v>5137</v>
      </c>
      <c r="J1372" t="s">
        <v>8496</v>
      </c>
      <c r="K1372" t="s">
        <v>11334</v>
      </c>
      <c r="L1372" t="s">
        <v>3366</v>
      </c>
      <c r="M1372" t="s">
        <v>11885</v>
      </c>
      <c r="N1372" t="s">
        <v>3364</v>
      </c>
      <c r="O1372" t="s">
        <v>3360</v>
      </c>
      <c r="P1372" t="s">
        <v>15211</v>
      </c>
      <c r="Q1372" t="s">
        <v>15211</v>
      </c>
      <c r="R1372" t="s">
        <v>15211</v>
      </c>
      <c r="S1372" t="s">
        <v>15211</v>
      </c>
      <c r="T1372" t="s">
        <v>3368</v>
      </c>
      <c r="U1372" t="s">
        <v>13263</v>
      </c>
      <c r="V1372" t="s">
        <v>15229</v>
      </c>
    </row>
    <row r="1373" spans="1:22" hidden="1">
      <c r="A1373" t="s">
        <v>15325</v>
      </c>
      <c r="B1373" t="s">
        <v>15441</v>
      </c>
      <c r="C1373" t="s">
        <v>15446</v>
      </c>
      <c r="D1373" t="s">
        <v>1372</v>
      </c>
      <c r="E1373" t="s">
        <v>3427</v>
      </c>
      <c r="F1373" t="s">
        <v>3434</v>
      </c>
      <c r="G1373" s="3">
        <v>36.025327328521698</v>
      </c>
      <c r="H1373" s="3">
        <v>126.94455216974799</v>
      </c>
      <c r="I1373" t="s">
        <v>5138</v>
      </c>
      <c r="J1373" t="s">
        <v>8497</v>
      </c>
      <c r="K1373" t="s">
        <v>11099</v>
      </c>
      <c r="L1373" t="s">
        <v>3366</v>
      </c>
      <c r="M1373" t="s">
        <v>11886</v>
      </c>
      <c r="N1373" t="s">
        <v>3363</v>
      </c>
      <c r="O1373" t="s">
        <v>3360</v>
      </c>
      <c r="P1373" t="s">
        <v>15211</v>
      </c>
      <c r="Q1373" t="s">
        <v>15211</v>
      </c>
      <c r="R1373" t="s">
        <v>15211</v>
      </c>
      <c r="S1373" t="s">
        <v>15211</v>
      </c>
      <c r="T1373" t="s">
        <v>3367</v>
      </c>
      <c r="U1373" t="s">
        <v>13264</v>
      </c>
      <c r="V1373" t="s">
        <v>15229</v>
      </c>
    </row>
    <row r="1374" spans="1:22" hidden="1">
      <c r="A1374" t="s">
        <v>15325</v>
      </c>
      <c r="B1374" t="s">
        <v>15441</v>
      </c>
      <c r="C1374" t="s">
        <v>15447</v>
      </c>
      <c r="D1374" t="s">
        <v>1373</v>
      </c>
      <c r="E1374" t="s">
        <v>3436</v>
      </c>
      <c r="F1374" t="s">
        <v>3430</v>
      </c>
      <c r="G1374" s="3">
        <v>36.0253275183697</v>
      </c>
      <c r="H1374" s="3">
        <v>126.944552162929</v>
      </c>
      <c r="I1374" t="s">
        <v>5139</v>
      </c>
      <c r="J1374" t="s">
        <v>8498</v>
      </c>
      <c r="K1374" t="s">
        <v>11336</v>
      </c>
      <c r="L1374" t="s">
        <v>3366</v>
      </c>
      <c r="M1374" t="s">
        <v>11892</v>
      </c>
      <c r="N1374" t="s">
        <v>3364</v>
      </c>
      <c r="O1374" t="s">
        <v>15211</v>
      </c>
      <c r="P1374" t="s">
        <v>15211</v>
      </c>
      <c r="Q1374" t="s">
        <v>15211</v>
      </c>
      <c r="R1374" t="s">
        <v>15211</v>
      </c>
      <c r="S1374" t="s">
        <v>15211</v>
      </c>
      <c r="T1374" t="s">
        <v>3364</v>
      </c>
      <c r="U1374" t="s">
        <v>13265</v>
      </c>
      <c r="V1374" t="s">
        <v>15235</v>
      </c>
    </row>
    <row r="1375" spans="1:22" hidden="1">
      <c r="A1375" t="s">
        <v>15325</v>
      </c>
      <c r="B1375" t="s">
        <v>15441</v>
      </c>
      <c r="C1375" t="s">
        <v>15447</v>
      </c>
      <c r="D1375" t="s">
        <v>1374</v>
      </c>
      <c r="E1375" t="s">
        <v>3428</v>
      </c>
      <c r="F1375" t="s">
        <v>3435</v>
      </c>
      <c r="G1375" s="3">
        <v>36.025327497532899</v>
      </c>
      <c r="H1375" s="3">
        <v>126.94455212369201</v>
      </c>
      <c r="I1375" t="s">
        <v>5140</v>
      </c>
      <c r="J1375" t="s">
        <v>8499</v>
      </c>
      <c r="K1375" t="s">
        <v>11292</v>
      </c>
      <c r="L1375" t="s">
        <v>3366</v>
      </c>
      <c r="M1375" t="s">
        <v>11892</v>
      </c>
      <c r="N1375" t="s">
        <v>3364</v>
      </c>
      <c r="O1375" t="s">
        <v>15211</v>
      </c>
      <c r="P1375" t="s">
        <v>15211</v>
      </c>
      <c r="Q1375" t="s">
        <v>15211</v>
      </c>
      <c r="R1375" t="s">
        <v>15211</v>
      </c>
      <c r="S1375" t="s">
        <v>15211</v>
      </c>
      <c r="T1375" t="s">
        <v>3364</v>
      </c>
      <c r="U1375" t="s">
        <v>13266</v>
      </c>
      <c r="V1375" t="s">
        <v>15235</v>
      </c>
    </row>
    <row r="1376" spans="1:22" hidden="1">
      <c r="A1376" t="s">
        <v>15325</v>
      </c>
      <c r="B1376" t="s">
        <v>15441</v>
      </c>
      <c r="C1376" t="s">
        <v>15447</v>
      </c>
      <c r="D1376" t="s">
        <v>1375</v>
      </c>
      <c r="E1376" t="s">
        <v>3428</v>
      </c>
      <c r="F1376" t="s">
        <v>3429</v>
      </c>
      <c r="G1376" s="3">
        <v>36.0253275698526</v>
      </c>
      <c r="H1376" s="3">
        <v>126.944552116743</v>
      </c>
      <c r="I1376" t="s">
        <v>5141</v>
      </c>
      <c r="J1376" t="s">
        <v>8500</v>
      </c>
      <c r="K1376" t="s">
        <v>11337</v>
      </c>
      <c r="L1376" t="s">
        <v>3366</v>
      </c>
      <c r="M1376" t="s">
        <v>11892</v>
      </c>
      <c r="N1376" t="s">
        <v>3364</v>
      </c>
      <c r="O1376" t="s">
        <v>15211</v>
      </c>
      <c r="P1376" t="s">
        <v>15211</v>
      </c>
      <c r="Q1376" t="s">
        <v>15211</v>
      </c>
      <c r="R1376" t="s">
        <v>15211</v>
      </c>
      <c r="S1376" t="s">
        <v>15211</v>
      </c>
      <c r="T1376" t="s">
        <v>3364</v>
      </c>
      <c r="U1376" t="s">
        <v>13267</v>
      </c>
      <c r="V1376" t="s">
        <v>15235</v>
      </c>
    </row>
    <row r="1377" spans="1:22" hidden="1">
      <c r="A1377" t="s">
        <v>15325</v>
      </c>
      <c r="B1377" t="s">
        <v>15441</v>
      </c>
      <c r="C1377" t="s">
        <v>15449</v>
      </c>
      <c r="D1377" t="s">
        <v>1376</v>
      </c>
      <c r="E1377" t="s">
        <v>3434</v>
      </c>
      <c r="F1377" t="s">
        <v>3465</v>
      </c>
      <c r="G1377" s="3">
        <v>36.025327373345803</v>
      </c>
      <c r="H1377" s="3">
        <v>126.944552232714</v>
      </c>
      <c r="I1377" t="s">
        <v>5142</v>
      </c>
      <c r="J1377" t="s">
        <v>8501</v>
      </c>
      <c r="K1377" t="s">
        <v>10618</v>
      </c>
      <c r="L1377" t="s">
        <v>3366</v>
      </c>
      <c r="M1377" t="s">
        <v>11888</v>
      </c>
      <c r="N1377" t="s">
        <v>3364</v>
      </c>
      <c r="O1377" t="s">
        <v>3360</v>
      </c>
      <c r="P1377" t="s">
        <v>3361</v>
      </c>
      <c r="Q1377" t="s">
        <v>3359</v>
      </c>
      <c r="R1377" t="s">
        <v>3358</v>
      </c>
      <c r="S1377" t="s">
        <v>15211</v>
      </c>
      <c r="T1377" t="s">
        <v>3378</v>
      </c>
      <c r="U1377" t="s">
        <v>13268</v>
      </c>
      <c r="V1377" t="s">
        <v>15231</v>
      </c>
    </row>
    <row r="1378" spans="1:22" hidden="1">
      <c r="A1378" t="s">
        <v>15325</v>
      </c>
      <c r="B1378" t="s">
        <v>15441</v>
      </c>
      <c r="C1378" t="s">
        <v>15449</v>
      </c>
      <c r="D1378" t="s">
        <v>1377</v>
      </c>
      <c r="E1378" t="s">
        <v>3434</v>
      </c>
      <c r="F1378" t="s">
        <v>3465</v>
      </c>
      <c r="G1378" s="3">
        <v>36.025327378117801</v>
      </c>
      <c r="H1378" s="3">
        <v>126.944552248381</v>
      </c>
      <c r="I1378" t="s">
        <v>5143</v>
      </c>
      <c r="J1378" t="s">
        <v>8502</v>
      </c>
      <c r="K1378" t="s">
        <v>10618</v>
      </c>
      <c r="L1378" t="s">
        <v>3366</v>
      </c>
      <c r="M1378" t="s">
        <v>11888</v>
      </c>
      <c r="N1378" t="s">
        <v>3364</v>
      </c>
      <c r="O1378" t="s">
        <v>3360</v>
      </c>
      <c r="P1378" t="s">
        <v>3361</v>
      </c>
      <c r="Q1378" t="s">
        <v>3359</v>
      </c>
      <c r="R1378" t="s">
        <v>3358</v>
      </c>
      <c r="S1378" t="s">
        <v>15211</v>
      </c>
      <c r="T1378" t="s">
        <v>3378</v>
      </c>
      <c r="U1378" t="s">
        <v>13269</v>
      </c>
      <c r="V1378" t="s">
        <v>15231</v>
      </c>
    </row>
    <row r="1379" spans="1:22" hidden="1">
      <c r="A1379" t="s">
        <v>15325</v>
      </c>
      <c r="B1379" t="s">
        <v>15441</v>
      </c>
      <c r="C1379" t="s">
        <v>15449</v>
      </c>
      <c r="D1379" t="s">
        <v>1378</v>
      </c>
      <c r="E1379" t="s">
        <v>3434</v>
      </c>
      <c r="F1379" t="s">
        <v>3450</v>
      </c>
      <c r="G1379" s="3">
        <v>36.025327365023202</v>
      </c>
      <c r="H1379" s="3">
        <v>126.944552244806</v>
      </c>
      <c r="I1379" t="s">
        <v>5144</v>
      </c>
      <c r="J1379" t="s">
        <v>8503</v>
      </c>
      <c r="K1379" t="s">
        <v>11338</v>
      </c>
      <c r="L1379" t="s">
        <v>3366</v>
      </c>
      <c r="M1379" t="s">
        <v>11888</v>
      </c>
      <c r="N1379" t="s">
        <v>3364</v>
      </c>
      <c r="O1379" t="s">
        <v>3360</v>
      </c>
      <c r="P1379" t="s">
        <v>3361</v>
      </c>
      <c r="Q1379" t="s">
        <v>3359</v>
      </c>
      <c r="R1379" t="s">
        <v>3358</v>
      </c>
      <c r="S1379" t="s">
        <v>15211</v>
      </c>
      <c r="T1379" t="s">
        <v>3378</v>
      </c>
      <c r="U1379" t="s">
        <v>13270</v>
      </c>
      <c r="V1379" t="s">
        <v>15231</v>
      </c>
    </row>
    <row r="1380" spans="1:22" hidden="1">
      <c r="A1380" t="s">
        <v>15325</v>
      </c>
      <c r="B1380" t="s">
        <v>15442</v>
      </c>
      <c r="C1380" t="s">
        <v>15450</v>
      </c>
      <c r="D1380" t="s">
        <v>1379</v>
      </c>
      <c r="E1380" t="s">
        <v>3433</v>
      </c>
      <c r="F1380" t="s">
        <v>3515</v>
      </c>
      <c r="G1380" s="3">
        <v>36.025327155117999</v>
      </c>
      <c r="H1380" s="3">
        <v>126.944553580723</v>
      </c>
      <c r="I1380" t="s">
        <v>5145</v>
      </c>
      <c r="J1380" t="s">
        <v>8504</v>
      </c>
      <c r="K1380" t="s">
        <v>11033</v>
      </c>
      <c r="L1380" t="s">
        <v>3366</v>
      </c>
      <c r="M1380" t="s">
        <v>11885</v>
      </c>
      <c r="N1380" t="s">
        <v>3364</v>
      </c>
      <c r="O1380" t="s">
        <v>3360</v>
      </c>
      <c r="P1380" t="s">
        <v>15211</v>
      </c>
      <c r="Q1380" t="s">
        <v>15211</v>
      </c>
      <c r="R1380" t="s">
        <v>15211</v>
      </c>
      <c r="S1380" t="s">
        <v>15211</v>
      </c>
      <c r="T1380" t="s">
        <v>3368</v>
      </c>
      <c r="U1380" t="s">
        <v>13271</v>
      </c>
      <c r="V1380" t="s">
        <v>15232</v>
      </c>
    </row>
    <row r="1381" spans="1:22" hidden="1">
      <c r="A1381" t="s">
        <v>15325</v>
      </c>
      <c r="B1381" t="s">
        <v>15442</v>
      </c>
      <c r="C1381" t="s">
        <v>15450</v>
      </c>
      <c r="D1381" t="s">
        <v>1380</v>
      </c>
      <c r="E1381" t="s">
        <v>3453</v>
      </c>
      <c r="F1381" t="s">
        <v>3463</v>
      </c>
      <c r="G1381" s="3">
        <v>36.0253271520249</v>
      </c>
      <c r="H1381" s="3">
        <v>126.944553580742</v>
      </c>
      <c r="I1381" t="s">
        <v>5146</v>
      </c>
      <c r="J1381" t="s">
        <v>8505</v>
      </c>
      <c r="K1381" t="s">
        <v>10762</v>
      </c>
      <c r="L1381" t="s">
        <v>3366</v>
      </c>
      <c r="M1381" t="s">
        <v>11885</v>
      </c>
      <c r="N1381" t="s">
        <v>3364</v>
      </c>
      <c r="O1381" t="s">
        <v>3360</v>
      </c>
      <c r="P1381" t="s">
        <v>15211</v>
      </c>
      <c r="Q1381" t="s">
        <v>15211</v>
      </c>
      <c r="R1381" t="s">
        <v>15211</v>
      </c>
      <c r="S1381" t="s">
        <v>15211</v>
      </c>
      <c r="T1381" t="s">
        <v>3368</v>
      </c>
      <c r="U1381" t="s">
        <v>13272</v>
      </c>
      <c r="V1381" t="s">
        <v>15232</v>
      </c>
    </row>
    <row r="1382" spans="1:22" hidden="1">
      <c r="A1382" t="s">
        <v>15325</v>
      </c>
      <c r="B1382" t="s">
        <v>15442</v>
      </c>
      <c r="C1382" t="s">
        <v>15450</v>
      </c>
      <c r="D1382" t="s">
        <v>1381</v>
      </c>
      <c r="E1382" t="s">
        <v>3433</v>
      </c>
      <c r="F1382" t="s">
        <v>3463</v>
      </c>
      <c r="G1382" s="3">
        <v>36.025327171038697</v>
      </c>
      <c r="H1382" s="3">
        <v>126.94455349570499</v>
      </c>
      <c r="I1382" t="s">
        <v>5147</v>
      </c>
      <c r="J1382" t="s">
        <v>8506</v>
      </c>
      <c r="K1382" t="s">
        <v>11032</v>
      </c>
      <c r="L1382" t="s">
        <v>3366</v>
      </c>
      <c r="M1382" t="s">
        <v>11885</v>
      </c>
      <c r="N1382" t="s">
        <v>3364</v>
      </c>
      <c r="O1382" t="s">
        <v>3360</v>
      </c>
      <c r="P1382" t="s">
        <v>15211</v>
      </c>
      <c r="Q1382" t="s">
        <v>15211</v>
      </c>
      <c r="R1382" t="s">
        <v>15211</v>
      </c>
      <c r="S1382" t="s">
        <v>15211</v>
      </c>
      <c r="T1382" t="s">
        <v>3368</v>
      </c>
      <c r="U1382" t="s">
        <v>13273</v>
      </c>
      <c r="V1382" t="s">
        <v>15232</v>
      </c>
    </row>
    <row r="1383" spans="1:22" hidden="1">
      <c r="A1383" t="s">
        <v>15325</v>
      </c>
      <c r="B1383" t="s">
        <v>15442</v>
      </c>
      <c r="C1383" t="s">
        <v>15445</v>
      </c>
      <c r="D1383" t="s">
        <v>1382</v>
      </c>
      <c r="E1383" t="s">
        <v>3438</v>
      </c>
      <c r="F1383" t="s">
        <v>3434</v>
      </c>
      <c r="G1383" s="3">
        <v>36.0253274534087</v>
      </c>
      <c r="H1383" s="3">
        <v>126.944552280922</v>
      </c>
      <c r="I1383" t="s">
        <v>5148</v>
      </c>
      <c r="J1383" t="s">
        <v>8507</v>
      </c>
      <c r="K1383" t="s">
        <v>11339</v>
      </c>
      <c r="L1383" t="s">
        <v>3366</v>
      </c>
      <c r="M1383" t="s">
        <v>11885</v>
      </c>
      <c r="N1383" t="s">
        <v>3364</v>
      </c>
      <c r="O1383" t="s">
        <v>3360</v>
      </c>
      <c r="P1383" t="s">
        <v>15211</v>
      </c>
      <c r="Q1383" t="s">
        <v>15211</v>
      </c>
      <c r="R1383" t="s">
        <v>15211</v>
      </c>
      <c r="S1383" t="s">
        <v>15211</v>
      </c>
      <c r="T1383" t="s">
        <v>3368</v>
      </c>
      <c r="U1383" t="s">
        <v>13274</v>
      </c>
      <c r="V1383" t="s">
        <v>15233</v>
      </c>
    </row>
    <row r="1384" spans="1:22" hidden="1">
      <c r="A1384" t="s">
        <v>15325</v>
      </c>
      <c r="B1384" t="s">
        <v>15442</v>
      </c>
      <c r="C1384" t="s">
        <v>15445</v>
      </c>
      <c r="D1384" t="s">
        <v>1383</v>
      </c>
      <c r="E1384" t="s">
        <v>3438</v>
      </c>
      <c r="F1384" t="s">
        <v>3434</v>
      </c>
      <c r="G1384" s="3">
        <v>36.025327438348903</v>
      </c>
      <c r="H1384" s="3">
        <v>126.944552265044</v>
      </c>
      <c r="I1384" t="s">
        <v>5149</v>
      </c>
      <c r="J1384" t="s">
        <v>8508</v>
      </c>
      <c r="K1384" t="s">
        <v>10505</v>
      </c>
      <c r="L1384" t="s">
        <v>3366</v>
      </c>
      <c r="M1384" t="s">
        <v>11885</v>
      </c>
      <c r="N1384" t="s">
        <v>3364</v>
      </c>
      <c r="O1384" t="s">
        <v>3360</v>
      </c>
      <c r="P1384" t="s">
        <v>15211</v>
      </c>
      <c r="Q1384" t="s">
        <v>15211</v>
      </c>
      <c r="R1384" t="s">
        <v>15211</v>
      </c>
      <c r="S1384" t="s">
        <v>15211</v>
      </c>
      <c r="T1384" t="s">
        <v>3368</v>
      </c>
      <c r="U1384" t="s">
        <v>13275</v>
      </c>
      <c r="V1384" t="s">
        <v>15233</v>
      </c>
    </row>
    <row r="1385" spans="1:22" hidden="1">
      <c r="A1385" t="s">
        <v>15325</v>
      </c>
      <c r="B1385" t="s">
        <v>15442</v>
      </c>
      <c r="C1385" t="s">
        <v>15445</v>
      </c>
      <c r="D1385" t="s">
        <v>1384</v>
      </c>
      <c r="E1385" t="s">
        <v>3427</v>
      </c>
      <c r="F1385" t="s">
        <v>3429</v>
      </c>
      <c r="G1385" s="3">
        <v>36.025327514418898</v>
      </c>
      <c r="H1385" s="3">
        <v>126.94455223379801</v>
      </c>
      <c r="I1385" t="s">
        <v>5150</v>
      </c>
      <c r="J1385" t="s">
        <v>8509</v>
      </c>
      <c r="K1385" t="s">
        <v>11195</v>
      </c>
      <c r="L1385" t="s">
        <v>3366</v>
      </c>
      <c r="M1385" t="s">
        <v>11885</v>
      </c>
      <c r="N1385" t="s">
        <v>3364</v>
      </c>
      <c r="O1385" t="s">
        <v>3360</v>
      </c>
      <c r="P1385" t="s">
        <v>15211</v>
      </c>
      <c r="Q1385" t="s">
        <v>15211</v>
      </c>
      <c r="R1385" t="s">
        <v>15211</v>
      </c>
      <c r="S1385" t="s">
        <v>15211</v>
      </c>
      <c r="T1385" t="s">
        <v>3368</v>
      </c>
      <c r="U1385" t="s">
        <v>13276</v>
      </c>
      <c r="V1385" t="s">
        <v>15233</v>
      </c>
    </row>
    <row r="1386" spans="1:22" hidden="1">
      <c r="A1386" t="s">
        <v>15325</v>
      </c>
      <c r="B1386" t="s">
        <v>15442</v>
      </c>
      <c r="C1386" t="s">
        <v>15451</v>
      </c>
      <c r="D1386" t="s">
        <v>1385</v>
      </c>
      <c r="E1386" t="s">
        <v>3427</v>
      </c>
      <c r="F1386" t="s">
        <v>3430</v>
      </c>
      <c r="G1386" s="3">
        <v>36.025327482907201</v>
      </c>
      <c r="H1386" s="3">
        <v>126.94455220879701</v>
      </c>
      <c r="I1386" t="s">
        <v>5151</v>
      </c>
      <c r="J1386" t="s">
        <v>8510</v>
      </c>
      <c r="K1386" t="s">
        <v>11006</v>
      </c>
      <c r="L1386" t="s">
        <v>3366</v>
      </c>
      <c r="M1386" t="s">
        <v>11899</v>
      </c>
      <c r="N1386" t="s">
        <v>3364</v>
      </c>
      <c r="O1386" t="s">
        <v>3360</v>
      </c>
      <c r="P1386" t="s">
        <v>3361</v>
      </c>
      <c r="Q1386" t="s">
        <v>3359</v>
      </c>
      <c r="R1386" t="s">
        <v>15211</v>
      </c>
      <c r="S1386" t="s">
        <v>15211</v>
      </c>
      <c r="T1386" t="s">
        <v>3376</v>
      </c>
      <c r="U1386" t="s">
        <v>13277</v>
      </c>
      <c r="V1386" t="s">
        <v>15234</v>
      </c>
    </row>
    <row r="1387" spans="1:22" hidden="1">
      <c r="A1387" t="s">
        <v>15325</v>
      </c>
      <c r="B1387" t="s">
        <v>15442</v>
      </c>
      <c r="C1387" t="s">
        <v>15451</v>
      </c>
      <c r="D1387" t="s">
        <v>1386</v>
      </c>
      <c r="E1387" t="s">
        <v>3427</v>
      </c>
      <c r="F1387" t="s">
        <v>3442</v>
      </c>
      <c r="G1387" s="3">
        <v>36.0253275021932</v>
      </c>
      <c r="H1387" s="3">
        <v>126.944552199553</v>
      </c>
      <c r="I1387" t="s">
        <v>5152</v>
      </c>
      <c r="J1387" t="s">
        <v>8511</v>
      </c>
      <c r="K1387" t="s">
        <v>11006</v>
      </c>
      <c r="L1387" t="s">
        <v>3366</v>
      </c>
      <c r="M1387" t="s">
        <v>11899</v>
      </c>
      <c r="N1387" t="s">
        <v>3364</v>
      </c>
      <c r="O1387" t="s">
        <v>3360</v>
      </c>
      <c r="P1387" t="s">
        <v>3361</v>
      </c>
      <c r="Q1387" t="s">
        <v>3359</v>
      </c>
      <c r="R1387" t="s">
        <v>15211</v>
      </c>
      <c r="S1387" t="s">
        <v>15211</v>
      </c>
      <c r="T1387" t="s">
        <v>3376</v>
      </c>
      <c r="U1387" t="s">
        <v>13278</v>
      </c>
      <c r="V1387" t="s">
        <v>15234</v>
      </c>
    </row>
    <row r="1388" spans="1:22" hidden="1">
      <c r="A1388" t="s">
        <v>15325</v>
      </c>
      <c r="B1388" t="s">
        <v>15442</v>
      </c>
      <c r="C1388" t="s">
        <v>15451</v>
      </c>
      <c r="D1388" t="s">
        <v>1387</v>
      </c>
      <c r="E1388" t="s">
        <v>3436</v>
      </c>
      <c r="F1388" t="s">
        <v>3433</v>
      </c>
      <c r="G1388" s="3">
        <v>36.025327474085302</v>
      </c>
      <c r="H1388" s="3">
        <v>126.944552230778</v>
      </c>
      <c r="I1388" t="s">
        <v>5153</v>
      </c>
      <c r="J1388" t="s">
        <v>8512</v>
      </c>
      <c r="K1388" t="s">
        <v>11007</v>
      </c>
      <c r="L1388" t="s">
        <v>3366</v>
      </c>
      <c r="M1388" t="s">
        <v>11899</v>
      </c>
      <c r="N1388" t="s">
        <v>3364</v>
      </c>
      <c r="O1388" t="s">
        <v>3360</v>
      </c>
      <c r="P1388" t="s">
        <v>3361</v>
      </c>
      <c r="Q1388" t="s">
        <v>3359</v>
      </c>
      <c r="R1388" t="s">
        <v>15211</v>
      </c>
      <c r="S1388" t="s">
        <v>15211</v>
      </c>
      <c r="T1388" t="s">
        <v>3376</v>
      </c>
      <c r="U1388" t="s">
        <v>13279</v>
      </c>
      <c r="V1388" t="s">
        <v>15234</v>
      </c>
    </row>
    <row r="1389" spans="1:22" hidden="1">
      <c r="A1389" t="s">
        <v>15326</v>
      </c>
      <c r="B1389" t="s">
        <v>15441</v>
      </c>
      <c r="C1389" t="s">
        <v>15445</v>
      </c>
      <c r="D1389" t="s">
        <v>1388</v>
      </c>
      <c r="E1389" t="s">
        <v>3439</v>
      </c>
      <c r="F1389" t="s">
        <v>3427</v>
      </c>
      <c r="G1389" s="3">
        <v>36.038789334421502</v>
      </c>
      <c r="H1389" s="3">
        <v>126.82987168003299</v>
      </c>
      <c r="I1389" t="s">
        <v>5154</v>
      </c>
      <c r="J1389" t="s">
        <v>8513</v>
      </c>
      <c r="K1389" t="s">
        <v>10646</v>
      </c>
      <c r="L1389" t="s">
        <v>3366</v>
      </c>
      <c r="M1389" t="s">
        <v>11890</v>
      </c>
      <c r="N1389" t="s">
        <v>3364</v>
      </c>
      <c r="O1389" t="s">
        <v>3361</v>
      </c>
      <c r="P1389" t="s">
        <v>15211</v>
      </c>
      <c r="Q1389" t="s">
        <v>15211</v>
      </c>
      <c r="R1389" t="s">
        <v>15211</v>
      </c>
      <c r="S1389" t="s">
        <v>15211</v>
      </c>
      <c r="T1389" t="s">
        <v>3369</v>
      </c>
      <c r="U1389" t="s">
        <v>13280</v>
      </c>
      <c r="V1389" t="s">
        <v>15228</v>
      </c>
    </row>
    <row r="1390" spans="1:22" hidden="1">
      <c r="A1390" t="s">
        <v>15326</v>
      </c>
      <c r="B1390" t="s">
        <v>15441</v>
      </c>
      <c r="C1390" t="s">
        <v>15445</v>
      </c>
      <c r="D1390" t="s">
        <v>1389</v>
      </c>
      <c r="E1390" t="s">
        <v>3439</v>
      </c>
      <c r="F1390" t="s">
        <v>3427</v>
      </c>
      <c r="G1390" s="3">
        <v>36.038789334052701</v>
      </c>
      <c r="H1390" s="3">
        <v>126.82987169389401</v>
      </c>
      <c r="I1390" t="s">
        <v>5155</v>
      </c>
      <c r="J1390" t="s">
        <v>8514</v>
      </c>
      <c r="K1390" t="s">
        <v>11340</v>
      </c>
      <c r="L1390" t="s">
        <v>3366</v>
      </c>
      <c r="M1390" t="s">
        <v>11890</v>
      </c>
      <c r="N1390" t="s">
        <v>3364</v>
      </c>
      <c r="O1390" t="s">
        <v>3361</v>
      </c>
      <c r="P1390" t="s">
        <v>15211</v>
      </c>
      <c r="Q1390" t="s">
        <v>15211</v>
      </c>
      <c r="R1390" t="s">
        <v>15211</v>
      </c>
      <c r="S1390" t="s">
        <v>15211</v>
      </c>
      <c r="T1390" t="s">
        <v>3369</v>
      </c>
      <c r="U1390" t="s">
        <v>13281</v>
      </c>
      <c r="V1390" t="s">
        <v>15228</v>
      </c>
    </row>
    <row r="1391" spans="1:22" hidden="1">
      <c r="A1391" t="s">
        <v>15326</v>
      </c>
      <c r="B1391" t="s">
        <v>15441</v>
      </c>
      <c r="C1391" t="s">
        <v>15445</v>
      </c>
      <c r="D1391" t="s">
        <v>1390</v>
      </c>
      <c r="E1391" t="s">
        <v>3439</v>
      </c>
      <c r="F1391" t="s">
        <v>3428</v>
      </c>
      <c r="G1391" s="3">
        <v>36.0387893388965</v>
      </c>
      <c r="H1391" s="3">
        <v>126.829871686998</v>
      </c>
      <c r="I1391" t="s">
        <v>5156</v>
      </c>
      <c r="J1391" t="s">
        <v>8515</v>
      </c>
      <c r="K1391" t="s">
        <v>11335</v>
      </c>
      <c r="L1391" t="s">
        <v>3366</v>
      </c>
      <c r="M1391" t="s">
        <v>11890</v>
      </c>
      <c r="N1391" t="s">
        <v>3364</v>
      </c>
      <c r="O1391" t="s">
        <v>3361</v>
      </c>
      <c r="P1391" t="s">
        <v>15211</v>
      </c>
      <c r="Q1391" t="s">
        <v>15211</v>
      </c>
      <c r="R1391" t="s">
        <v>15211</v>
      </c>
      <c r="S1391" t="s">
        <v>15211</v>
      </c>
      <c r="T1391" t="s">
        <v>3369</v>
      </c>
      <c r="U1391" t="s">
        <v>13282</v>
      </c>
      <c r="V1391" t="s">
        <v>15228</v>
      </c>
    </row>
    <row r="1392" spans="1:22" hidden="1">
      <c r="A1392" t="s">
        <v>15326</v>
      </c>
      <c r="B1392" t="s">
        <v>15441</v>
      </c>
      <c r="C1392" t="s">
        <v>15446</v>
      </c>
      <c r="D1392" t="s">
        <v>1391</v>
      </c>
      <c r="E1392" t="s">
        <v>3439</v>
      </c>
      <c r="F1392" t="s">
        <v>3428</v>
      </c>
      <c r="G1392" s="3">
        <v>36.038789326403297</v>
      </c>
      <c r="H1392" s="3">
        <v>126.829871756815</v>
      </c>
      <c r="I1392" t="s">
        <v>5157</v>
      </c>
      <c r="J1392" t="s">
        <v>8516</v>
      </c>
      <c r="K1392" t="s">
        <v>11334</v>
      </c>
      <c r="L1392" t="s">
        <v>3366</v>
      </c>
      <c r="M1392" t="s">
        <v>11890</v>
      </c>
      <c r="N1392" t="s">
        <v>3364</v>
      </c>
      <c r="O1392" t="s">
        <v>3361</v>
      </c>
      <c r="P1392" t="s">
        <v>15211</v>
      </c>
      <c r="Q1392" t="s">
        <v>15211</v>
      </c>
      <c r="R1392" t="s">
        <v>15211</v>
      </c>
      <c r="S1392" t="s">
        <v>15211</v>
      </c>
      <c r="T1392" t="s">
        <v>3369</v>
      </c>
      <c r="U1392" t="s">
        <v>13283</v>
      </c>
      <c r="V1392" t="s">
        <v>15229</v>
      </c>
    </row>
    <row r="1393" spans="1:22" hidden="1">
      <c r="A1393" t="s">
        <v>15326</v>
      </c>
      <c r="B1393" t="s">
        <v>15441</v>
      </c>
      <c r="C1393" t="s">
        <v>15446</v>
      </c>
      <c r="D1393" t="s">
        <v>1392</v>
      </c>
      <c r="E1393" t="s">
        <v>3439</v>
      </c>
      <c r="F1393" t="s">
        <v>3428</v>
      </c>
      <c r="G1393" s="3">
        <v>36.038789337941601</v>
      </c>
      <c r="H1393" s="3">
        <v>126.829871758208</v>
      </c>
      <c r="I1393" t="s">
        <v>5158</v>
      </c>
      <c r="J1393" t="s">
        <v>8517</v>
      </c>
      <c r="K1393" t="s">
        <v>11123</v>
      </c>
      <c r="L1393" t="s">
        <v>3366</v>
      </c>
      <c r="M1393" t="s">
        <v>11890</v>
      </c>
      <c r="N1393" t="s">
        <v>3364</v>
      </c>
      <c r="O1393" t="s">
        <v>3361</v>
      </c>
      <c r="P1393" t="s">
        <v>15211</v>
      </c>
      <c r="Q1393" t="s">
        <v>15211</v>
      </c>
      <c r="R1393" t="s">
        <v>15211</v>
      </c>
      <c r="S1393" t="s">
        <v>15211</v>
      </c>
      <c r="T1393" t="s">
        <v>3369</v>
      </c>
      <c r="U1393" t="s">
        <v>13284</v>
      </c>
      <c r="V1393" t="s">
        <v>15229</v>
      </c>
    </row>
    <row r="1394" spans="1:22" hidden="1">
      <c r="A1394" t="s">
        <v>15326</v>
      </c>
      <c r="B1394" t="s">
        <v>15441</v>
      </c>
      <c r="C1394" t="s">
        <v>15446</v>
      </c>
      <c r="D1394" t="s">
        <v>1393</v>
      </c>
      <c r="E1394" t="s">
        <v>3439</v>
      </c>
      <c r="F1394" t="s">
        <v>3428</v>
      </c>
      <c r="G1394" s="3">
        <v>36.038789338233002</v>
      </c>
      <c r="H1394" s="3">
        <v>126.829871760572</v>
      </c>
      <c r="I1394" t="s">
        <v>5159</v>
      </c>
      <c r="J1394" t="s">
        <v>8518</v>
      </c>
      <c r="K1394" t="s">
        <v>11179</v>
      </c>
      <c r="L1394" t="s">
        <v>3366</v>
      </c>
      <c r="M1394" t="s">
        <v>11890</v>
      </c>
      <c r="N1394" t="s">
        <v>3364</v>
      </c>
      <c r="O1394" t="s">
        <v>3361</v>
      </c>
      <c r="P1394" t="s">
        <v>15211</v>
      </c>
      <c r="Q1394" t="s">
        <v>15211</v>
      </c>
      <c r="R1394" t="s">
        <v>15211</v>
      </c>
      <c r="S1394" t="s">
        <v>15211</v>
      </c>
      <c r="T1394" t="s">
        <v>3369</v>
      </c>
      <c r="U1394" t="s">
        <v>13285</v>
      </c>
      <c r="V1394" t="s">
        <v>15229</v>
      </c>
    </row>
    <row r="1395" spans="1:22" hidden="1">
      <c r="A1395" t="s">
        <v>15326</v>
      </c>
      <c r="B1395" t="s">
        <v>15441</v>
      </c>
      <c r="C1395" t="s">
        <v>15447</v>
      </c>
      <c r="D1395" t="s">
        <v>1394</v>
      </c>
      <c r="E1395" t="s">
        <v>3437</v>
      </c>
      <c r="F1395" t="s">
        <v>3436</v>
      </c>
      <c r="G1395" s="3">
        <v>36.038789365282497</v>
      </c>
      <c r="H1395" s="3">
        <v>126.829871758929</v>
      </c>
      <c r="I1395" t="s">
        <v>5160</v>
      </c>
      <c r="J1395" t="s">
        <v>8519</v>
      </c>
      <c r="K1395" t="s">
        <v>10545</v>
      </c>
      <c r="L1395" t="s">
        <v>3366</v>
      </c>
      <c r="M1395" t="s">
        <v>11900</v>
      </c>
      <c r="N1395" t="s">
        <v>3364</v>
      </c>
      <c r="O1395" t="s">
        <v>15211</v>
      </c>
      <c r="P1395" t="s">
        <v>15211</v>
      </c>
      <c r="Q1395" t="s">
        <v>15211</v>
      </c>
      <c r="R1395" t="s">
        <v>15211</v>
      </c>
      <c r="S1395" t="s">
        <v>15211</v>
      </c>
      <c r="T1395" t="s">
        <v>3364</v>
      </c>
      <c r="U1395" t="s">
        <v>13286</v>
      </c>
      <c r="V1395" t="s">
        <v>15235</v>
      </c>
    </row>
    <row r="1396" spans="1:22" hidden="1">
      <c r="A1396" t="s">
        <v>15326</v>
      </c>
      <c r="B1396" t="s">
        <v>15441</v>
      </c>
      <c r="C1396" t="s">
        <v>15447</v>
      </c>
      <c r="D1396" t="s">
        <v>1395</v>
      </c>
      <c r="E1396" t="s">
        <v>3437</v>
      </c>
      <c r="F1396" t="s">
        <v>3428</v>
      </c>
      <c r="G1396" s="3">
        <v>36.038789366384698</v>
      </c>
      <c r="H1396" s="3">
        <v>126.82987176247499</v>
      </c>
      <c r="I1396" t="s">
        <v>5161</v>
      </c>
      <c r="J1396" t="s">
        <v>8520</v>
      </c>
      <c r="K1396" t="s">
        <v>10545</v>
      </c>
      <c r="L1396" t="s">
        <v>3366</v>
      </c>
      <c r="M1396" t="s">
        <v>11900</v>
      </c>
      <c r="N1396" t="s">
        <v>3365</v>
      </c>
      <c r="O1396" t="s">
        <v>15211</v>
      </c>
      <c r="P1396" t="s">
        <v>15211</v>
      </c>
      <c r="Q1396" t="s">
        <v>15211</v>
      </c>
      <c r="R1396" t="s">
        <v>15211</v>
      </c>
      <c r="S1396" t="s">
        <v>15211</v>
      </c>
      <c r="T1396" t="s">
        <v>3365</v>
      </c>
      <c r="U1396" t="s">
        <v>13287</v>
      </c>
      <c r="V1396" t="s">
        <v>15235</v>
      </c>
    </row>
    <row r="1397" spans="1:22" hidden="1">
      <c r="A1397" t="s">
        <v>15326</v>
      </c>
      <c r="B1397" t="s">
        <v>15441</v>
      </c>
      <c r="C1397" t="s">
        <v>15447</v>
      </c>
      <c r="D1397" t="s">
        <v>1396</v>
      </c>
      <c r="E1397" t="s">
        <v>3439</v>
      </c>
      <c r="F1397" t="s">
        <v>3428</v>
      </c>
      <c r="G1397" s="3">
        <v>36.038789361990702</v>
      </c>
      <c r="H1397" s="3">
        <v>126.829871783645</v>
      </c>
      <c r="I1397" t="s">
        <v>5162</v>
      </c>
      <c r="J1397" t="s">
        <v>8521</v>
      </c>
      <c r="K1397" t="s">
        <v>10547</v>
      </c>
      <c r="L1397" t="s">
        <v>3366</v>
      </c>
      <c r="M1397" t="s">
        <v>11900</v>
      </c>
      <c r="N1397" t="s">
        <v>3365</v>
      </c>
      <c r="O1397" t="s">
        <v>15211</v>
      </c>
      <c r="P1397" t="s">
        <v>15211</v>
      </c>
      <c r="Q1397" t="s">
        <v>15211</v>
      </c>
      <c r="R1397" t="s">
        <v>15211</v>
      </c>
      <c r="S1397" t="s">
        <v>15211</v>
      </c>
      <c r="T1397" t="s">
        <v>3365</v>
      </c>
      <c r="U1397" t="s">
        <v>13288</v>
      </c>
      <c r="V1397" t="s">
        <v>15235</v>
      </c>
    </row>
    <row r="1398" spans="1:22" hidden="1">
      <c r="A1398" t="s">
        <v>15326</v>
      </c>
      <c r="B1398" t="s">
        <v>15441</v>
      </c>
      <c r="C1398" t="s">
        <v>15448</v>
      </c>
      <c r="D1398" t="s">
        <v>1397</v>
      </c>
      <c r="E1398" t="s">
        <v>3435</v>
      </c>
      <c r="F1398" t="s">
        <v>3450</v>
      </c>
      <c r="G1398" s="3">
        <v>36.038789281</v>
      </c>
      <c r="H1398" s="3">
        <v>126.829871680263</v>
      </c>
      <c r="I1398" t="s">
        <v>5163</v>
      </c>
      <c r="J1398" t="s">
        <v>8522</v>
      </c>
      <c r="K1398" t="s">
        <v>11341</v>
      </c>
      <c r="L1398" t="s">
        <v>3366</v>
      </c>
      <c r="M1398" t="s">
        <v>11893</v>
      </c>
      <c r="N1398" t="s">
        <v>3365</v>
      </c>
      <c r="O1398" t="s">
        <v>3361</v>
      </c>
      <c r="P1398" t="s">
        <v>3363</v>
      </c>
      <c r="Q1398" t="s">
        <v>3358</v>
      </c>
      <c r="R1398" t="s">
        <v>3358</v>
      </c>
      <c r="S1398" t="s">
        <v>15211</v>
      </c>
      <c r="T1398" t="s">
        <v>3381</v>
      </c>
      <c r="U1398" t="s">
        <v>13289</v>
      </c>
      <c r="V1398" t="s">
        <v>15230</v>
      </c>
    </row>
    <row r="1399" spans="1:22" hidden="1">
      <c r="A1399" t="s">
        <v>15326</v>
      </c>
      <c r="B1399" t="s">
        <v>15441</v>
      </c>
      <c r="C1399" t="s">
        <v>15448</v>
      </c>
      <c r="D1399" t="s">
        <v>1398</v>
      </c>
      <c r="E1399" t="s">
        <v>3435</v>
      </c>
      <c r="F1399" t="s">
        <v>3450</v>
      </c>
      <c r="G1399" s="3">
        <v>36.038789269610497</v>
      </c>
      <c r="H1399" s="3">
        <v>126.82987168072501</v>
      </c>
      <c r="I1399" t="s">
        <v>5164</v>
      </c>
      <c r="J1399" t="s">
        <v>8523</v>
      </c>
      <c r="K1399" t="s">
        <v>3662</v>
      </c>
      <c r="L1399" t="s">
        <v>3366</v>
      </c>
      <c r="M1399" t="s">
        <v>11893</v>
      </c>
      <c r="N1399" t="s">
        <v>3365</v>
      </c>
      <c r="O1399" t="s">
        <v>3361</v>
      </c>
      <c r="P1399" t="s">
        <v>3363</v>
      </c>
      <c r="Q1399" t="s">
        <v>3358</v>
      </c>
      <c r="R1399" t="s">
        <v>3358</v>
      </c>
      <c r="S1399" t="s">
        <v>15211</v>
      </c>
      <c r="T1399" t="s">
        <v>3381</v>
      </c>
      <c r="U1399" t="s">
        <v>13290</v>
      </c>
      <c r="V1399" t="s">
        <v>15230</v>
      </c>
    </row>
    <row r="1400" spans="1:22" hidden="1">
      <c r="A1400" t="s">
        <v>15326</v>
      </c>
      <c r="B1400" t="s">
        <v>15441</v>
      </c>
      <c r="C1400" t="s">
        <v>15448</v>
      </c>
      <c r="D1400" t="s">
        <v>1399</v>
      </c>
      <c r="E1400" t="s">
        <v>3435</v>
      </c>
      <c r="F1400" t="s">
        <v>3450</v>
      </c>
      <c r="G1400" s="3">
        <v>36.038789266770699</v>
      </c>
      <c r="H1400" s="3">
        <v>126.829871682901</v>
      </c>
      <c r="I1400" t="s">
        <v>5165</v>
      </c>
      <c r="J1400" t="s">
        <v>8524</v>
      </c>
      <c r="K1400" t="s">
        <v>11342</v>
      </c>
      <c r="L1400" t="s">
        <v>3366</v>
      </c>
      <c r="M1400" t="s">
        <v>11893</v>
      </c>
      <c r="N1400" t="s">
        <v>3365</v>
      </c>
      <c r="O1400" t="s">
        <v>3361</v>
      </c>
      <c r="P1400" t="s">
        <v>3363</v>
      </c>
      <c r="Q1400" t="s">
        <v>3358</v>
      </c>
      <c r="R1400" t="s">
        <v>3358</v>
      </c>
      <c r="S1400" t="s">
        <v>15211</v>
      </c>
      <c r="T1400" t="s">
        <v>3381</v>
      </c>
      <c r="U1400" t="s">
        <v>13291</v>
      </c>
      <c r="V1400" t="s">
        <v>15230</v>
      </c>
    </row>
    <row r="1401" spans="1:22" hidden="1">
      <c r="A1401" t="s">
        <v>15326</v>
      </c>
      <c r="B1401" t="s">
        <v>15441</v>
      </c>
      <c r="C1401" t="s">
        <v>15449</v>
      </c>
      <c r="D1401" t="s">
        <v>1400</v>
      </c>
      <c r="E1401" t="s">
        <v>3438</v>
      </c>
      <c r="F1401" t="s">
        <v>3435</v>
      </c>
      <c r="G1401" s="3">
        <v>36.0387893143036</v>
      </c>
      <c r="H1401" s="3">
        <v>126.829871677437</v>
      </c>
      <c r="I1401" t="s">
        <v>5166</v>
      </c>
      <c r="J1401" t="s">
        <v>8525</v>
      </c>
      <c r="K1401" t="s">
        <v>10847</v>
      </c>
      <c r="L1401" t="s">
        <v>3366</v>
      </c>
      <c r="M1401" t="s">
        <v>11896</v>
      </c>
      <c r="N1401" t="s">
        <v>3365</v>
      </c>
      <c r="O1401" t="s">
        <v>3359</v>
      </c>
      <c r="P1401" t="s">
        <v>3363</v>
      </c>
      <c r="Q1401" t="s">
        <v>3358</v>
      </c>
      <c r="R1401" t="s">
        <v>3358</v>
      </c>
      <c r="S1401" t="s">
        <v>15211</v>
      </c>
      <c r="T1401" t="s">
        <v>3379</v>
      </c>
      <c r="U1401" t="s">
        <v>13292</v>
      </c>
      <c r="V1401" t="s">
        <v>15231</v>
      </c>
    </row>
    <row r="1402" spans="1:22" hidden="1">
      <c r="A1402" t="s">
        <v>15326</v>
      </c>
      <c r="B1402" t="s">
        <v>15441</v>
      </c>
      <c r="C1402" t="s">
        <v>15449</v>
      </c>
      <c r="D1402" t="s">
        <v>1401</v>
      </c>
      <c r="E1402" t="s">
        <v>3438</v>
      </c>
      <c r="F1402" t="s">
        <v>3435</v>
      </c>
      <c r="G1402" s="3">
        <v>36.038789309800698</v>
      </c>
      <c r="H1402" s="3">
        <v>126.829871692764</v>
      </c>
      <c r="I1402" t="s">
        <v>5167</v>
      </c>
      <c r="J1402" t="s">
        <v>8526</v>
      </c>
      <c r="K1402" t="s">
        <v>11343</v>
      </c>
      <c r="L1402" t="s">
        <v>3366</v>
      </c>
      <c r="M1402" t="s">
        <v>11888</v>
      </c>
      <c r="N1402" t="s">
        <v>3365</v>
      </c>
      <c r="O1402" t="s">
        <v>3359</v>
      </c>
      <c r="P1402" t="s">
        <v>3363</v>
      </c>
      <c r="Q1402" t="s">
        <v>3358</v>
      </c>
      <c r="R1402" t="s">
        <v>3358</v>
      </c>
      <c r="S1402" t="s">
        <v>15211</v>
      </c>
      <c r="T1402" t="s">
        <v>3379</v>
      </c>
      <c r="U1402" t="s">
        <v>13293</v>
      </c>
      <c r="V1402" t="s">
        <v>15231</v>
      </c>
    </row>
    <row r="1403" spans="1:22" hidden="1">
      <c r="A1403" t="s">
        <v>15326</v>
      </c>
      <c r="B1403" t="s">
        <v>15441</v>
      </c>
      <c r="C1403" t="s">
        <v>15449</v>
      </c>
      <c r="D1403" t="s">
        <v>1402</v>
      </c>
      <c r="E1403" t="s">
        <v>3438</v>
      </c>
      <c r="F1403" t="s">
        <v>3435</v>
      </c>
      <c r="G1403" s="3">
        <v>36.038789317983998</v>
      </c>
      <c r="H1403" s="3">
        <v>126.829871684767</v>
      </c>
      <c r="I1403" t="s">
        <v>5168</v>
      </c>
      <c r="J1403" t="s">
        <v>8527</v>
      </c>
      <c r="K1403" t="s">
        <v>11207</v>
      </c>
      <c r="L1403" t="s">
        <v>3366</v>
      </c>
      <c r="M1403" t="s">
        <v>11896</v>
      </c>
      <c r="N1403" t="s">
        <v>3365</v>
      </c>
      <c r="O1403" t="s">
        <v>3359</v>
      </c>
      <c r="P1403" t="s">
        <v>3363</v>
      </c>
      <c r="Q1403" t="s">
        <v>3358</v>
      </c>
      <c r="R1403" t="s">
        <v>3358</v>
      </c>
      <c r="S1403" t="s">
        <v>15211</v>
      </c>
      <c r="T1403" t="s">
        <v>3379</v>
      </c>
      <c r="U1403" t="s">
        <v>13294</v>
      </c>
      <c r="V1403" t="s">
        <v>15231</v>
      </c>
    </row>
    <row r="1404" spans="1:22" hidden="1">
      <c r="A1404" t="s">
        <v>15326</v>
      </c>
      <c r="B1404" t="s">
        <v>15442</v>
      </c>
      <c r="C1404" t="s">
        <v>15450</v>
      </c>
      <c r="D1404" t="s">
        <v>1403</v>
      </c>
      <c r="E1404" t="s">
        <v>3438</v>
      </c>
      <c r="F1404" t="s">
        <v>3435</v>
      </c>
      <c r="G1404" s="3">
        <v>36.038789288223803</v>
      </c>
      <c r="H1404" s="3">
        <v>126.829871707164</v>
      </c>
      <c r="I1404" t="s">
        <v>5169</v>
      </c>
      <c r="J1404" t="s">
        <v>8528</v>
      </c>
      <c r="K1404" t="s">
        <v>3506</v>
      </c>
      <c r="L1404" t="s">
        <v>3366</v>
      </c>
      <c r="M1404" t="s">
        <v>11894</v>
      </c>
      <c r="N1404" t="s">
        <v>3366</v>
      </c>
      <c r="O1404" t="s">
        <v>3361</v>
      </c>
      <c r="P1404" t="s">
        <v>15211</v>
      </c>
      <c r="Q1404" t="s">
        <v>15211</v>
      </c>
      <c r="R1404" t="s">
        <v>15211</v>
      </c>
      <c r="S1404" t="s">
        <v>15211</v>
      </c>
      <c r="T1404" t="s">
        <v>3371</v>
      </c>
      <c r="U1404" t="s">
        <v>13295</v>
      </c>
      <c r="V1404" t="s">
        <v>15232</v>
      </c>
    </row>
    <row r="1405" spans="1:22" hidden="1">
      <c r="A1405" t="s">
        <v>15326</v>
      </c>
      <c r="B1405" t="s">
        <v>15442</v>
      </c>
      <c r="C1405" t="s">
        <v>15450</v>
      </c>
      <c r="D1405" t="s">
        <v>1404</v>
      </c>
      <c r="E1405" t="s">
        <v>3438</v>
      </c>
      <c r="F1405" t="s">
        <v>3435</v>
      </c>
      <c r="G1405" s="3">
        <v>36.038789289905502</v>
      </c>
      <c r="H1405" s="3">
        <v>126.829871709635</v>
      </c>
      <c r="I1405" t="s">
        <v>5170</v>
      </c>
      <c r="J1405" t="s">
        <v>8529</v>
      </c>
      <c r="K1405" t="s">
        <v>11344</v>
      </c>
      <c r="L1405" t="s">
        <v>3366</v>
      </c>
      <c r="M1405" t="s">
        <v>11895</v>
      </c>
      <c r="N1405" t="s">
        <v>3366</v>
      </c>
      <c r="O1405" t="s">
        <v>3361</v>
      </c>
      <c r="P1405" t="s">
        <v>15211</v>
      </c>
      <c r="Q1405" t="s">
        <v>15211</v>
      </c>
      <c r="R1405" t="s">
        <v>15211</v>
      </c>
      <c r="S1405" t="s">
        <v>15211</v>
      </c>
      <c r="T1405" t="s">
        <v>3371</v>
      </c>
      <c r="U1405" t="s">
        <v>13296</v>
      </c>
      <c r="V1405" t="s">
        <v>15232</v>
      </c>
    </row>
    <row r="1406" spans="1:22" hidden="1">
      <c r="A1406" t="s">
        <v>15326</v>
      </c>
      <c r="B1406" t="s">
        <v>15442</v>
      </c>
      <c r="C1406" t="s">
        <v>15450</v>
      </c>
      <c r="D1406" t="s">
        <v>1405</v>
      </c>
      <c r="E1406" t="s">
        <v>3427</v>
      </c>
      <c r="F1406" t="s">
        <v>3435</v>
      </c>
      <c r="G1406" s="3">
        <v>36.038789289115499</v>
      </c>
      <c r="H1406" s="3">
        <v>126.82987171038</v>
      </c>
      <c r="I1406" t="s">
        <v>5171</v>
      </c>
      <c r="J1406" t="s">
        <v>8530</v>
      </c>
      <c r="K1406" t="s">
        <v>10841</v>
      </c>
      <c r="L1406" t="s">
        <v>3366</v>
      </c>
      <c r="M1406" t="s">
        <v>11894</v>
      </c>
      <c r="N1406" t="s">
        <v>3366</v>
      </c>
      <c r="O1406" t="s">
        <v>3361</v>
      </c>
      <c r="P1406" t="s">
        <v>15211</v>
      </c>
      <c r="Q1406" t="s">
        <v>15211</v>
      </c>
      <c r="R1406" t="s">
        <v>15211</v>
      </c>
      <c r="S1406" t="s">
        <v>15211</v>
      </c>
      <c r="T1406" t="s">
        <v>3371</v>
      </c>
      <c r="U1406" t="s">
        <v>13297</v>
      </c>
      <c r="V1406" t="s">
        <v>15232</v>
      </c>
    </row>
    <row r="1407" spans="1:22" hidden="1">
      <c r="A1407" t="s">
        <v>15326</v>
      </c>
      <c r="B1407" t="s">
        <v>15442</v>
      </c>
      <c r="C1407" t="s">
        <v>15445</v>
      </c>
      <c r="D1407" t="s">
        <v>1406</v>
      </c>
      <c r="E1407" t="s">
        <v>3443</v>
      </c>
      <c r="F1407" t="s">
        <v>3438</v>
      </c>
      <c r="G1407" s="3">
        <v>36.038789361519498</v>
      </c>
      <c r="H1407" s="3">
        <v>126.829871713714</v>
      </c>
      <c r="I1407" t="s">
        <v>5172</v>
      </c>
      <c r="J1407" t="s">
        <v>8531</v>
      </c>
      <c r="K1407" t="s">
        <v>10810</v>
      </c>
      <c r="L1407" t="s">
        <v>3366</v>
      </c>
      <c r="M1407" t="s">
        <v>11895</v>
      </c>
      <c r="N1407" t="s">
        <v>3366</v>
      </c>
      <c r="O1407" t="s">
        <v>3361</v>
      </c>
      <c r="P1407" t="s">
        <v>15211</v>
      </c>
      <c r="Q1407" t="s">
        <v>15211</v>
      </c>
      <c r="R1407" t="s">
        <v>15211</v>
      </c>
      <c r="S1407" t="s">
        <v>15211</v>
      </c>
      <c r="T1407" t="s">
        <v>3371</v>
      </c>
      <c r="U1407" t="s">
        <v>13298</v>
      </c>
      <c r="V1407" t="s">
        <v>15233</v>
      </c>
    </row>
    <row r="1408" spans="1:22" hidden="1">
      <c r="A1408" t="s">
        <v>15326</v>
      </c>
      <c r="B1408" t="s">
        <v>15442</v>
      </c>
      <c r="C1408" t="s">
        <v>15445</v>
      </c>
      <c r="D1408" t="s">
        <v>1407</v>
      </c>
      <c r="E1408" t="s">
        <v>3443</v>
      </c>
      <c r="F1408" t="s">
        <v>3438</v>
      </c>
      <c r="G1408" s="3">
        <v>36.0387893520316</v>
      </c>
      <c r="H1408" s="3">
        <v>126.82987172046499</v>
      </c>
      <c r="I1408" t="s">
        <v>5173</v>
      </c>
      <c r="J1408" t="s">
        <v>8532</v>
      </c>
      <c r="K1408" t="s">
        <v>10968</v>
      </c>
      <c r="L1408" t="s">
        <v>3366</v>
      </c>
      <c r="M1408" t="s">
        <v>11895</v>
      </c>
      <c r="N1408" t="s">
        <v>3366</v>
      </c>
      <c r="O1408" t="s">
        <v>3361</v>
      </c>
      <c r="P1408" t="s">
        <v>15211</v>
      </c>
      <c r="Q1408" t="s">
        <v>15211</v>
      </c>
      <c r="R1408" t="s">
        <v>15211</v>
      </c>
      <c r="S1408" t="s">
        <v>15211</v>
      </c>
      <c r="T1408" t="s">
        <v>3371</v>
      </c>
      <c r="U1408" t="s">
        <v>13299</v>
      </c>
      <c r="V1408" t="s">
        <v>15233</v>
      </c>
    </row>
    <row r="1409" spans="1:22" hidden="1">
      <c r="A1409" t="s">
        <v>15326</v>
      </c>
      <c r="B1409" t="s">
        <v>15442</v>
      </c>
      <c r="C1409" t="s">
        <v>15445</v>
      </c>
      <c r="D1409" t="s">
        <v>1408</v>
      </c>
      <c r="E1409" t="s">
        <v>3439</v>
      </c>
      <c r="F1409" t="s">
        <v>3438</v>
      </c>
      <c r="G1409" s="3">
        <v>36.038789365092498</v>
      </c>
      <c r="H1409" s="3">
        <v>126.829871708277</v>
      </c>
      <c r="I1409" t="s">
        <v>5174</v>
      </c>
      <c r="J1409" t="s">
        <v>8533</v>
      </c>
      <c r="K1409" t="s">
        <v>10643</v>
      </c>
      <c r="L1409" t="s">
        <v>3366</v>
      </c>
      <c r="M1409" t="s">
        <v>11895</v>
      </c>
      <c r="N1409" t="s">
        <v>3366</v>
      </c>
      <c r="O1409" t="s">
        <v>3361</v>
      </c>
      <c r="P1409" t="s">
        <v>15211</v>
      </c>
      <c r="Q1409" t="s">
        <v>15211</v>
      </c>
      <c r="R1409" t="s">
        <v>15211</v>
      </c>
      <c r="S1409" t="s">
        <v>15211</v>
      </c>
      <c r="T1409" t="s">
        <v>3371</v>
      </c>
      <c r="U1409" t="s">
        <v>13300</v>
      </c>
      <c r="V1409" t="s">
        <v>15233</v>
      </c>
    </row>
    <row r="1410" spans="1:22" hidden="1">
      <c r="A1410" t="s">
        <v>15326</v>
      </c>
      <c r="B1410" t="s">
        <v>15442</v>
      </c>
      <c r="C1410" t="s">
        <v>15451</v>
      </c>
      <c r="D1410" t="s">
        <v>1409</v>
      </c>
      <c r="E1410" t="s">
        <v>3457</v>
      </c>
      <c r="F1410" t="s">
        <v>3437</v>
      </c>
      <c r="G1410" s="3">
        <v>36.0387893525781</v>
      </c>
      <c r="H1410" s="3">
        <v>126.829871724973</v>
      </c>
      <c r="I1410" t="s">
        <v>5175</v>
      </c>
      <c r="J1410" t="s">
        <v>8534</v>
      </c>
      <c r="K1410" t="s">
        <v>11345</v>
      </c>
      <c r="L1410" t="s">
        <v>3366</v>
      </c>
      <c r="M1410" t="s">
        <v>11891</v>
      </c>
      <c r="N1410" t="s">
        <v>3366</v>
      </c>
      <c r="O1410" t="s">
        <v>3361</v>
      </c>
      <c r="P1410" t="s">
        <v>3363</v>
      </c>
      <c r="Q1410" t="s">
        <v>3358</v>
      </c>
      <c r="R1410" t="s">
        <v>15211</v>
      </c>
      <c r="S1410" t="s">
        <v>15211</v>
      </c>
      <c r="T1410" t="s">
        <v>3380</v>
      </c>
      <c r="U1410" t="s">
        <v>13301</v>
      </c>
      <c r="V1410" t="s">
        <v>15234</v>
      </c>
    </row>
    <row r="1411" spans="1:22" hidden="1">
      <c r="A1411" t="s">
        <v>15326</v>
      </c>
      <c r="B1411" t="s">
        <v>15442</v>
      </c>
      <c r="C1411" t="s">
        <v>15451</v>
      </c>
      <c r="D1411" t="s">
        <v>1410</v>
      </c>
      <c r="E1411" t="s">
        <v>3457</v>
      </c>
      <c r="F1411" t="s">
        <v>3437</v>
      </c>
      <c r="G1411" s="3">
        <v>36.038789369297902</v>
      </c>
      <c r="H1411" s="3">
        <v>126.82987172411799</v>
      </c>
      <c r="I1411" t="s">
        <v>5176</v>
      </c>
      <c r="J1411" t="s">
        <v>8535</v>
      </c>
      <c r="K1411" t="s">
        <v>11346</v>
      </c>
      <c r="L1411" t="s">
        <v>3366</v>
      </c>
      <c r="M1411" t="s">
        <v>11891</v>
      </c>
      <c r="N1411" t="s">
        <v>3366</v>
      </c>
      <c r="O1411" t="s">
        <v>3361</v>
      </c>
      <c r="P1411" t="s">
        <v>3363</v>
      </c>
      <c r="Q1411" t="s">
        <v>3358</v>
      </c>
      <c r="R1411" t="s">
        <v>15211</v>
      </c>
      <c r="S1411" t="s">
        <v>15211</v>
      </c>
      <c r="T1411" t="s">
        <v>3380</v>
      </c>
      <c r="U1411" t="s">
        <v>13302</v>
      </c>
      <c r="V1411" t="s">
        <v>15234</v>
      </c>
    </row>
    <row r="1412" spans="1:22" hidden="1">
      <c r="A1412" t="s">
        <v>15326</v>
      </c>
      <c r="B1412" t="s">
        <v>15442</v>
      </c>
      <c r="C1412" t="s">
        <v>15451</v>
      </c>
      <c r="D1412" t="s">
        <v>1411</v>
      </c>
      <c r="E1412" t="s">
        <v>3457</v>
      </c>
      <c r="F1412" t="s">
        <v>3437</v>
      </c>
      <c r="G1412" s="3">
        <v>36.038789374199702</v>
      </c>
      <c r="H1412" s="3">
        <v>126.82987173758001</v>
      </c>
      <c r="I1412" t="s">
        <v>5177</v>
      </c>
      <c r="J1412" t="s">
        <v>8536</v>
      </c>
      <c r="K1412" t="s">
        <v>11031</v>
      </c>
      <c r="L1412" t="s">
        <v>3366</v>
      </c>
      <c r="M1412" t="s">
        <v>11893</v>
      </c>
      <c r="N1412" t="s">
        <v>3366</v>
      </c>
      <c r="O1412" t="s">
        <v>3361</v>
      </c>
      <c r="P1412" t="s">
        <v>3364</v>
      </c>
      <c r="Q1412" t="s">
        <v>3358</v>
      </c>
      <c r="R1412" t="s">
        <v>15211</v>
      </c>
      <c r="S1412" t="s">
        <v>15211</v>
      </c>
      <c r="T1412" t="s">
        <v>3381</v>
      </c>
      <c r="U1412" t="s">
        <v>13303</v>
      </c>
      <c r="V1412" t="s">
        <v>15234</v>
      </c>
    </row>
    <row r="1413" spans="1:22">
      <c r="A1413" t="s">
        <v>15326</v>
      </c>
      <c r="B1413" t="s">
        <v>15443</v>
      </c>
      <c r="C1413" t="s">
        <v>15452</v>
      </c>
      <c r="D1413" t="s">
        <v>1412</v>
      </c>
      <c r="E1413" t="s">
        <v>3436</v>
      </c>
      <c r="F1413" t="s">
        <v>3465</v>
      </c>
      <c r="G1413" s="3">
        <v>36.038789260775999</v>
      </c>
      <c r="H1413" s="3">
        <v>126.829871729982</v>
      </c>
      <c r="I1413" t="s">
        <v>5178</v>
      </c>
      <c r="J1413" t="s">
        <v>8537</v>
      </c>
      <c r="K1413" t="s">
        <v>3714</v>
      </c>
      <c r="L1413" t="s">
        <v>3366</v>
      </c>
      <c r="M1413" t="s">
        <v>11890</v>
      </c>
      <c r="N1413" t="s">
        <v>3361</v>
      </c>
      <c r="O1413" t="s">
        <v>15211</v>
      </c>
      <c r="P1413" t="s">
        <v>3363</v>
      </c>
      <c r="Q1413" t="s">
        <v>3358</v>
      </c>
      <c r="R1413" t="s">
        <v>15211</v>
      </c>
      <c r="S1413" t="s">
        <v>15211</v>
      </c>
      <c r="T1413" t="s">
        <v>3370</v>
      </c>
      <c r="U1413" t="s">
        <v>13304</v>
      </c>
      <c r="V1413" t="s">
        <v>15220</v>
      </c>
    </row>
    <row r="1414" spans="1:22">
      <c r="A1414" t="s">
        <v>15326</v>
      </c>
      <c r="B1414" t="s">
        <v>15443</v>
      </c>
      <c r="C1414" t="s">
        <v>15452</v>
      </c>
      <c r="D1414" t="s">
        <v>1413</v>
      </c>
      <c r="E1414" t="s">
        <v>3425</v>
      </c>
      <c r="F1414" t="s">
        <v>3450</v>
      </c>
      <c r="G1414" s="3">
        <v>36.038789259287903</v>
      </c>
      <c r="H1414" s="3">
        <v>126.82987171251401</v>
      </c>
      <c r="I1414" t="s">
        <v>5179</v>
      </c>
      <c r="J1414" t="s">
        <v>8538</v>
      </c>
      <c r="K1414" t="s">
        <v>11088</v>
      </c>
      <c r="L1414" t="s">
        <v>3366</v>
      </c>
      <c r="M1414" t="s">
        <v>11894</v>
      </c>
      <c r="N1414" t="s">
        <v>3361</v>
      </c>
      <c r="O1414" t="s">
        <v>15211</v>
      </c>
      <c r="P1414" t="s">
        <v>3363</v>
      </c>
      <c r="Q1414" t="s">
        <v>3358</v>
      </c>
      <c r="R1414" t="s">
        <v>15211</v>
      </c>
      <c r="S1414" t="s">
        <v>15211</v>
      </c>
      <c r="T1414" t="s">
        <v>3370</v>
      </c>
      <c r="U1414" t="s">
        <v>13305</v>
      </c>
      <c r="V1414" t="s">
        <v>15220</v>
      </c>
    </row>
    <row r="1415" spans="1:22">
      <c r="A1415" t="s">
        <v>15326</v>
      </c>
      <c r="B1415" t="s">
        <v>15443</v>
      </c>
      <c r="C1415" t="s">
        <v>15452</v>
      </c>
      <c r="D1415" t="s">
        <v>1414</v>
      </c>
      <c r="E1415" t="s">
        <v>3425</v>
      </c>
      <c r="F1415" t="s">
        <v>3460</v>
      </c>
      <c r="G1415" s="3">
        <v>36.038789267904001</v>
      </c>
      <c r="H1415" s="3">
        <v>126.829871690226</v>
      </c>
      <c r="I1415" t="s">
        <v>5180</v>
      </c>
      <c r="J1415" t="s">
        <v>8539</v>
      </c>
      <c r="K1415" t="s">
        <v>11347</v>
      </c>
      <c r="L1415" t="s">
        <v>3366</v>
      </c>
      <c r="M1415" t="s">
        <v>11894</v>
      </c>
      <c r="N1415" t="s">
        <v>3361</v>
      </c>
      <c r="O1415" t="s">
        <v>15211</v>
      </c>
      <c r="P1415" t="s">
        <v>3363</v>
      </c>
      <c r="Q1415" t="s">
        <v>3358</v>
      </c>
      <c r="R1415" t="s">
        <v>15211</v>
      </c>
      <c r="S1415" t="s">
        <v>15211</v>
      </c>
      <c r="T1415" t="s">
        <v>3370</v>
      </c>
      <c r="U1415" t="s">
        <v>13306</v>
      </c>
      <c r="V1415" t="s">
        <v>15220</v>
      </c>
    </row>
    <row r="1416" spans="1:22" hidden="1">
      <c r="A1416" t="s">
        <v>15327</v>
      </c>
      <c r="B1416" t="s">
        <v>15441</v>
      </c>
      <c r="C1416" t="s">
        <v>15445</v>
      </c>
      <c r="D1416" t="s">
        <v>1415</v>
      </c>
      <c r="E1416" t="s">
        <v>3438</v>
      </c>
      <c r="F1416" t="s">
        <v>3431</v>
      </c>
      <c r="G1416" s="3">
        <v>36.253595043050098</v>
      </c>
      <c r="H1416" s="3">
        <v>126.814020476436</v>
      </c>
      <c r="I1416" t="s">
        <v>5181</v>
      </c>
      <c r="J1416" t="s">
        <v>8540</v>
      </c>
      <c r="K1416" t="s">
        <v>11095</v>
      </c>
      <c r="L1416" t="s">
        <v>3366</v>
      </c>
      <c r="M1416" t="s">
        <v>11890</v>
      </c>
      <c r="N1416" t="s">
        <v>3365</v>
      </c>
      <c r="O1416" t="s">
        <v>3360</v>
      </c>
      <c r="P1416" t="s">
        <v>15211</v>
      </c>
      <c r="Q1416" t="s">
        <v>15211</v>
      </c>
      <c r="R1416" t="s">
        <v>15211</v>
      </c>
      <c r="S1416" t="s">
        <v>15211</v>
      </c>
      <c r="T1416" t="s">
        <v>3369</v>
      </c>
      <c r="U1416" t="s">
        <v>13307</v>
      </c>
      <c r="V1416" t="s">
        <v>15228</v>
      </c>
    </row>
    <row r="1417" spans="1:22" hidden="1">
      <c r="A1417" t="s">
        <v>15327</v>
      </c>
      <c r="B1417" t="s">
        <v>15441</v>
      </c>
      <c r="C1417" t="s">
        <v>15445</v>
      </c>
      <c r="D1417" t="s">
        <v>1416</v>
      </c>
      <c r="E1417" t="s">
        <v>3438</v>
      </c>
      <c r="F1417" t="s">
        <v>3431</v>
      </c>
      <c r="G1417" s="3">
        <v>36.253594995780901</v>
      </c>
      <c r="H1417" s="3">
        <v>126.81402046441001</v>
      </c>
      <c r="I1417" t="s">
        <v>5182</v>
      </c>
      <c r="J1417" t="s">
        <v>8541</v>
      </c>
      <c r="K1417" t="s">
        <v>3628</v>
      </c>
      <c r="L1417" t="s">
        <v>3366</v>
      </c>
      <c r="M1417" t="s">
        <v>11890</v>
      </c>
      <c r="N1417" t="s">
        <v>3365</v>
      </c>
      <c r="O1417" t="s">
        <v>3360</v>
      </c>
      <c r="P1417" t="s">
        <v>15211</v>
      </c>
      <c r="Q1417" t="s">
        <v>15211</v>
      </c>
      <c r="R1417" t="s">
        <v>15211</v>
      </c>
      <c r="S1417" t="s">
        <v>15211</v>
      </c>
      <c r="T1417" t="s">
        <v>3369</v>
      </c>
      <c r="U1417" t="s">
        <v>13308</v>
      </c>
      <c r="V1417" t="s">
        <v>15228</v>
      </c>
    </row>
    <row r="1418" spans="1:22" hidden="1">
      <c r="A1418" t="s">
        <v>15327</v>
      </c>
      <c r="B1418" t="s">
        <v>15441</v>
      </c>
      <c r="C1418" t="s">
        <v>15445</v>
      </c>
      <c r="D1418" t="s">
        <v>1417</v>
      </c>
      <c r="E1418" t="s">
        <v>3438</v>
      </c>
      <c r="F1418" t="s">
        <v>3431</v>
      </c>
      <c r="G1418" s="3">
        <v>36.253594992642398</v>
      </c>
      <c r="H1418" s="3">
        <v>126.81402046005999</v>
      </c>
      <c r="I1418" t="s">
        <v>5183</v>
      </c>
      <c r="J1418" t="s">
        <v>8542</v>
      </c>
      <c r="K1418" t="s">
        <v>10595</v>
      </c>
      <c r="L1418" t="s">
        <v>3366</v>
      </c>
      <c r="M1418" t="s">
        <v>11890</v>
      </c>
      <c r="N1418" t="s">
        <v>3365</v>
      </c>
      <c r="O1418" t="s">
        <v>3360</v>
      </c>
      <c r="P1418" t="s">
        <v>15211</v>
      </c>
      <c r="Q1418" t="s">
        <v>15211</v>
      </c>
      <c r="R1418" t="s">
        <v>15211</v>
      </c>
      <c r="S1418" t="s">
        <v>15211</v>
      </c>
      <c r="T1418" t="s">
        <v>3369</v>
      </c>
      <c r="U1418" t="s">
        <v>13309</v>
      </c>
      <c r="V1418" t="s">
        <v>15228</v>
      </c>
    </row>
    <row r="1419" spans="1:22" hidden="1">
      <c r="A1419" t="s">
        <v>15327</v>
      </c>
      <c r="B1419" t="s">
        <v>15441</v>
      </c>
      <c r="C1419" t="s">
        <v>15446</v>
      </c>
      <c r="D1419" t="s">
        <v>1418</v>
      </c>
      <c r="E1419" t="s">
        <v>3427</v>
      </c>
      <c r="F1419" t="s">
        <v>3434</v>
      </c>
      <c r="G1419" s="3">
        <v>36.253594890091797</v>
      </c>
      <c r="H1419" s="3">
        <v>126.81402042583299</v>
      </c>
      <c r="I1419" t="s">
        <v>5184</v>
      </c>
      <c r="J1419" t="s">
        <v>8543</v>
      </c>
      <c r="K1419" t="s">
        <v>11348</v>
      </c>
      <c r="L1419" t="s">
        <v>3366</v>
      </c>
      <c r="M1419" t="s">
        <v>11890</v>
      </c>
      <c r="N1419" t="s">
        <v>3365</v>
      </c>
      <c r="O1419" t="s">
        <v>3360</v>
      </c>
      <c r="P1419" t="s">
        <v>15211</v>
      </c>
      <c r="Q1419" t="s">
        <v>15211</v>
      </c>
      <c r="R1419" t="s">
        <v>15211</v>
      </c>
      <c r="S1419" t="s">
        <v>15211</v>
      </c>
      <c r="T1419" t="s">
        <v>3369</v>
      </c>
      <c r="U1419" t="s">
        <v>13310</v>
      </c>
      <c r="V1419" t="s">
        <v>15229</v>
      </c>
    </row>
    <row r="1420" spans="1:22" hidden="1">
      <c r="A1420" t="s">
        <v>15327</v>
      </c>
      <c r="B1420" t="s">
        <v>15441</v>
      </c>
      <c r="C1420" t="s">
        <v>15446</v>
      </c>
      <c r="D1420" t="s">
        <v>1419</v>
      </c>
      <c r="E1420" t="s">
        <v>3427</v>
      </c>
      <c r="F1420" t="s">
        <v>3434</v>
      </c>
      <c r="G1420" s="3">
        <v>36.253594915898297</v>
      </c>
      <c r="H1420" s="3">
        <v>126.81402045260199</v>
      </c>
      <c r="I1420" t="s">
        <v>5185</v>
      </c>
      <c r="J1420" t="s">
        <v>8544</v>
      </c>
      <c r="K1420" t="s">
        <v>10557</v>
      </c>
      <c r="L1420" t="s">
        <v>3366</v>
      </c>
      <c r="M1420" t="s">
        <v>11890</v>
      </c>
      <c r="N1420" t="s">
        <v>3365</v>
      </c>
      <c r="O1420" t="s">
        <v>3360</v>
      </c>
      <c r="P1420" t="s">
        <v>15211</v>
      </c>
      <c r="Q1420" t="s">
        <v>15211</v>
      </c>
      <c r="R1420" t="s">
        <v>15211</v>
      </c>
      <c r="S1420" t="s">
        <v>15211</v>
      </c>
      <c r="T1420" t="s">
        <v>3369</v>
      </c>
      <c r="U1420" t="s">
        <v>13311</v>
      </c>
      <c r="V1420" t="s">
        <v>15229</v>
      </c>
    </row>
    <row r="1421" spans="1:22" hidden="1">
      <c r="A1421" t="s">
        <v>15327</v>
      </c>
      <c r="B1421" t="s">
        <v>15441</v>
      </c>
      <c r="C1421" t="s">
        <v>15446</v>
      </c>
      <c r="D1421" t="s">
        <v>1420</v>
      </c>
      <c r="E1421" t="s">
        <v>3427</v>
      </c>
      <c r="F1421" t="s">
        <v>3434</v>
      </c>
      <c r="G1421" s="3">
        <v>36.253594891882798</v>
      </c>
      <c r="H1421" s="3">
        <v>126.814020387082</v>
      </c>
      <c r="I1421" t="s">
        <v>5186</v>
      </c>
      <c r="J1421" t="s">
        <v>8545</v>
      </c>
      <c r="K1421" t="s">
        <v>11349</v>
      </c>
      <c r="L1421" t="s">
        <v>3366</v>
      </c>
      <c r="M1421" t="s">
        <v>11890</v>
      </c>
      <c r="N1421" t="s">
        <v>3365</v>
      </c>
      <c r="O1421" t="s">
        <v>3360</v>
      </c>
      <c r="P1421" t="s">
        <v>15211</v>
      </c>
      <c r="Q1421" t="s">
        <v>15211</v>
      </c>
      <c r="R1421" t="s">
        <v>15211</v>
      </c>
      <c r="S1421" t="s">
        <v>15211</v>
      </c>
      <c r="T1421" t="s">
        <v>3369</v>
      </c>
      <c r="U1421" t="s">
        <v>13312</v>
      </c>
      <c r="V1421" t="s">
        <v>15229</v>
      </c>
    </row>
    <row r="1422" spans="1:22" hidden="1">
      <c r="A1422" t="s">
        <v>15327</v>
      </c>
      <c r="B1422" t="s">
        <v>15441</v>
      </c>
      <c r="C1422" t="s">
        <v>15447</v>
      </c>
      <c r="D1422" t="s">
        <v>1421</v>
      </c>
      <c r="E1422" t="s">
        <v>3427</v>
      </c>
      <c r="F1422" t="s">
        <v>3431</v>
      </c>
      <c r="G1422" s="3">
        <v>36.2535949306262</v>
      </c>
      <c r="H1422" s="3">
        <v>126.81402041213499</v>
      </c>
      <c r="I1422" t="s">
        <v>5187</v>
      </c>
      <c r="J1422" t="s">
        <v>8546</v>
      </c>
      <c r="K1422" t="s">
        <v>11269</v>
      </c>
      <c r="L1422" t="s">
        <v>3366</v>
      </c>
      <c r="M1422" t="s">
        <v>11900</v>
      </c>
      <c r="N1422" t="s">
        <v>3365</v>
      </c>
      <c r="O1422" t="s">
        <v>15211</v>
      </c>
      <c r="P1422" t="s">
        <v>15211</v>
      </c>
      <c r="Q1422" t="s">
        <v>15211</v>
      </c>
      <c r="R1422" t="s">
        <v>15211</v>
      </c>
      <c r="S1422" t="s">
        <v>15211</v>
      </c>
      <c r="T1422" t="s">
        <v>3365</v>
      </c>
      <c r="U1422" t="s">
        <v>13313</v>
      </c>
      <c r="V1422" t="s">
        <v>15235</v>
      </c>
    </row>
    <row r="1423" spans="1:22" hidden="1">
      <c r="A1423" t="s">
        <v>15327</v>
      </c>
      <c r="B1423" t="s">
        <v>15441</v>
      </c>
      <c r="C1423" t="s">
        <v>15447</v>
      </c>
      <c r="D1423" t="s">
        <v>1422</v>
      </c>
      <c r="E1423" t="s">
        <v>3427</v>
      </c>
      <c r="F1423" t="s">
        <v>3431</v>
      </c>
      <c r="G1423" s="3">
        <v>36.253594951654797</v>
      </c>
      <c r="H1423" s="3">
        <v>126.814020441621</v>
      </c>
      <c r="I1423" t="s">
        <v>5188</v>
      </c>
      <c r="J1423" t="s">
        <v>8547</v>
      </c>
      <c r="K1423" t="s">
        <v>10892</v>
      </c>
      <c r="L1423" t="s">
        <v>3366</v>
      </c>
      <c r="M1423" t="s">
        <v>11900</v>
      </c>
      <c r="N1423" t="s">
        <v>3365</v>
      </c>
      <c r="O1423" t="s">
        <v>15211</v>
      </c>
      <c r="P1423" t="s">
        <v>15211</v>
      </c>
      <c r="Q1423" t="s">
        <v>15211</v>
      </c>
      <c r="R1423" t="s">
        <v>15211</v>
      </c>
      <c r="S1423" t="s">
        <v>15211</v>
      </c>
      <c r="T1423" t="s">
        <v>3365</v>
      </c>
      <c r="U1423" t="s">
        <v>13314</v>
      </c>
      <c r="V1423" t="s">
        <v>15235</v>
      </c>
    </row>
    <row r="1424" spans="1:22" hidden="1">
      <c r="A1424" t="s">
        <v>15327</v>
      </c>
      <c r="B1424" t="s">
        <v>15441</v>
      </c>
      <c r="C1424" t="s">
        <v>15447</v>
      </c>
      <c r="D1424" t="s">
        <v>1423</v>
      </c>
      <c r="E1424" t="s">
        <v>3427</v>
      </c>
      <c r="F1424" t="s">
        <v>3431</v>
      </c>
      <c r="G1424" s="3">
        <v>36.253594968571598</v>
      </c>
      <c r="H1424" s="3">
        <v>126.81402043912099</v>
      </c>
      <c r="I1424" t="s">
        <v>5189</v>
      </c>
      <c r="J1424" t="s">
        <v>8548</v>
      </c>
      <c r="K1424" t="s">
        <v>11270</v>
      </c>
      <c r="L1424" t="s">
        <v>3366</v>
      </c>
      <c r="M1424" t="s">
        <v>11900</v>
      </c>
      <c r="N1424" t="s">
        <v>3365</v>
      </c>
      <c r="O1424" t="s">
        <v>15211</v>
      </c>
      <c r="P1424" t="s">
        <v>15211</v>
      </c>
      <c r="Q1424" t="s">
        <v>15211</v>
      </c>
      <c r="R1424" t="s">
        <v>15211</v>
      </c>
      <c r="S1424" t="s">
        <v>15211</v>
      </c>
      <c r="T1424" t="s">
        <v>3365</v>
      </c>
      <c r="U1424" t="s">
        <v>13315</v>
      </c>
      <c r="V1424" t="s">
        <v>15235</v>
      </c>
    </row>
    <row r="1425" spans="1:22" hidden="1">
      <c r="A1425" t="s">
        <v>15327</v>
      </c>
      <c r="B1425" t="s">
        <v>15441</v>
      </c>
      <c r="C1425" t="s">
        <v>15448</v>
      </c>
      <c r="D1425" t="s">
        <v>1424</v>
      </c>
      <c r="E1425" t="s">
        <v>3434</v>
      </c>
      <c r="F1425" t="s">
        <v>3461</v>
      </c>
      <c r="G1425" s="3">
        <v>36.2535949990218</v>
      </c>
      <c r="H1425" s="3">
        <v>126.81402047621501</v>
      </c>
      <c r="I1425" t="s">
        <v>5190</v>
      </c>
      <c r="J1425" t="s">
        <v>8549</v>
      </c>
      <c r="K1425" t="s">
        <v>10806</v>
      </c>
      <c r="L1425" t="s">
        <v>3366</v>
      </c>
      <c r="M1425" t="s">
        <v>11910</v>
      </c>
      <c r="N1425" t="s">
        <v>3365</v>
      </c>
      <c r="O1425" t="s">
        <v>3361</v>
      </c>
      <c r="P1425" t="s">
        <v>3363</v>
      </c>
      <c r="Q1425" t="s">
        <v>3361</v>
      </c>
      <c r="R1425" t="s">
        <v>3358</v>
      </c>
      <c r="S1425" t="s">
        <v>15211</v>
      </c>
      <c r="T1425" t="s">
        <v>3384</v>
      </c>
      <c r="U1425" t="s">
        <v>13316</v>
      </c>
      <c r="V1425" t="s">
        <v>15230</v>
      </c>
    </row>
    <row r="1426" spans="1:22" hidden="1">
      <c r="A1426" t="s">
        <v>15327</v>
      </c>
      <c r="B1426" t="s">
        <v>15441</v>
      </c>
      <c r="C1426" t="s">
        <v>15448</v>
      </c>
      <c r="D1426" t="s">
        <v>1425</v>
      </c>
      <c r="E1426" t="s">
        <v>3429</v>
      </c>
      <c r="F1426" t="s">
        <v>3460</v>
      </c>
      <c r="G1426" s="3">
        <v>36.253595026761303</v>
      </c>
      <c r="H1426" s="3">
        <v>126.814020441808</v>
      </c>
      <c r="I1426" t="s">
        <v>5191</v>
      </c>
      <c r="J1426" t="s">
        <v>8550</v>
      </c>
      <c r="K1426" t="s">
        <v>11350</v>
      </c>
      <c r="L1426" t="s">
        <v>3366</v>
      </c>
      <c r="M1426" t="s">
        <v>11914</v>
      </c>
      <c r="N1426" t="s">
        <v>3365</v>
      </c>
      <c r="O1426" t="s">
        <v>3361</v>
      </c>
      <c r="P1426" t="s">
        <v>3363</v>
      </c>
      <c r="Q1426" t="s">
        <v>3360</v>
      </c>
      <c r="R1426" t="s">
        <v>3358</v>
      </c>
      <c r="S1426" t="s">
        <v>15211</v>
      </c>
      <c r="T1426" t="s">
        <v>3383</v>
      </c>
      <c r="U1426" t="s">
        <v>13317</v>
      </c>
      <c r="V1426" t="s">
        <v>15230</v>
      </c>
    </row>
    <row r="1427" spans="1:22" hidden="1">
      <c r="A1427" t="s">
        <v>15327</v>
      </c>
      <c r="B1427" t="s">
        <v>15441</v>
      </c>
      <c r="C1427" t="s">
        <v>15448</v>
      </c>
      <c r="D1427" t="s">
        <v>1426</v>
      </c>
      <c r="E1427" t="s">
        <v>3442</v>
      </c>
      <c r="F1427" t="s">
        <v>3484</v>
      </c>
      <c r="G1427" s="3">
        <v>36.253595019198698</v>
      </c>
      <c r="H1427" s="3">
        <v>126.81402038732</v>
      </c>
      <c r="I1427" t="s">
        <v>5192</v>
      </c>
      <c r="J1427" t="s">
        <v>8551</v>
      </c>
      <c r="K1427" t="s">
        <v>10806</v>
      </c>
      <c r="L1427" t="s">
        <v>3366</v>
      </c>
      <c r="M1427" t="s">
        <v>11910</v>
      </c>
      <c r="N1427" t="s">
        <v>3365</v>
      </c>
      <c r="O1427" t="s">
        <v>3361</v>
      </c>
      <c r="P1427" t="s">
        <v>3363</v>
      </c>
      <c r="Q1427" t="s">
        <v>3360</v>
      </c>
      <c r="R1427" t="s">
        <v>3358</v>
      </c>
      <c r="S1427" t="s">
        <v>15211</v>
      </c>
      <c r="T1427" t="s">
        <v>3383</v>
      </c>
      <c r="U1427" t="s">
        <v>13318</v>
      </c>
      <c r="V1427" t="s">
        <v>15230</v>
      </c>
    </row>
    <row r="1428" spans="1:22" hidden="1">
      <c r="A1428" t="s">
        <v>15327</v>
      </c>
      <c r="B1428" t="s">
        <v>15441</v>
      </c>
      <c r="C1428" t="s">
        <v>15449</v>
      </c>
      <c r="D1428" t="s">
        <v>1427</v>
      </c>
      <c r="E1428" t="s">
        <v>3425</v>
      </c>
      <c r="F1428" t="s">
        <v>3432</v>
      </c>
      <c r="G1428" s="3">
        <v>36.253594999020599</v>
      </c>
      <c r="H1428" s="3">
        <v>126.81402047655</v>
      </c>
      <c r="I1428" t="s">
        <v>5193</v>
      </c>
      <c r="J1428" t="s">
        <v>8552</v>
      </c>
      <c r="K1428" t="s">
        <v>10758</v>
      </c>
      <c r="L1428" t="s">
        <v>3366</v>
      </c>
      <c r="M1428" t="s">
        <v>11910</v>
      </c>
      <c r="N1428" t="s">
        <v>3365</v>
      </c>
      <c r="O1428" t="s">
        <v>3361</v>
      </c>
      <c r="P1428" t="s">
        <v>3363</v>
      </c>
      <c r="Q1428" t="s">
        <v>3361</v>
      </c>
      <c r="R1428" t="s">
        <v>3358</v>
      </c>
      <c r="S1428" t="s">
        <v>15211</v>
      </c>
      <c r="T1428" t="s">
        <v>3384</v>
      </c>
      <c r="U1428" t="s">
        <v>13319</v>
      </c>
      <c r="V1428" t="s">
        <v>15231</v>
      </c>
    </row>
    <row r="1429" spans="1:22" hidden="1">
      <c r="A1429" t="s">
        <v>15327</v>
      </c>
      <c r="B1429" t="s">
        <v>15441</v>
      </c>
      <c r="C1429" t="s">
        <v>15449</v>
      </c>
      <c r="D1429" t="s">
        <v>1428</v>
      </c>
      <c r="E1429" t="s">
        <v>3431</v>
      </c>
      <c r="F1429" t="s">
        <v>3432</v>
      </c>
      <c r="G1429" s="3">
        <v>36.253594968691402</v>
      </c>
      <c r="H1429" s="3">
        <v>126.814020474611</v>
      </c>
      <c r="I1429" t="s">
        <v>5194</v>
      </c>
      <c r="J1429" t="s">
        <v>8553</v>
      </c>
      <c r="K1429" t="s">
        <v>11351</v>
      </c>
      <c r="L1429" t="s">
        <v>3366</v>
      </c>
      <c r="M1429" t="s">
        <v>11914</v>
      </c>
      <c r="N1429" t="s">
        <v>3365</v>
      </c>
      <c r="O1429" t="s">
        <v>3361</v>
      </c>
      <c r="P1429" t="s">
        <v>3363</v>
      </c>
      <c r="Q1429" t="s">
        <v>3360</v>
      </c>
      <c r="R1429" t="s">
        <v>3358</v>
      </c>
      <c r="S1429" t="s">
        <v>15211</v>
      </c>
      <c r="T1429" t="s">
        <v>3383</v>
      </c>
      <c r="U1429" t="s">
        <v>13320</v>
      </c>
      <c r="V1429" t="s">
        <v>15231</v>
      </c>
    </row>
    <row r="1430" spans="1:22" hidden="1">
      <c r="A1430" t="s">
        <v>15327</v>
      </c>
      <c r="B1430" t="s">
        <v>15441</v>
      </c>
      <c r="C1430" t="s">
        <v>15449</v>
      </c>
      <c r="D1430" t="s">
        <v>1429</v>
      </c>
      <c r="E1430" t="s">
        <v>3434</v>
      </c>
      <c r="F1430" t="s">
        <v>3452</v>
      </c>
      <c r="G1430" s="3">
        <v>36.253594962826703</v>
      </c>
      <c r="H1430" s="3">
        <v>126.814020461328</v>
      </c>
      <c r="I1430" t="s">
        <v>5195</v>
      </c>
      <c r="J1430" t="s">
        <v>8554</v>
      </c>
      <c r="K1430" t="s">
        <v>10758</v>
      </c>
      <c r="L1430" t="s">
        <v>3366</v>
      </c>
      <c r="M1430" t="s">
        <v>11910</v>
      </c>
      <c r="N1430" t="s">
        <v>3365</v>
      </c>
      <c r="O1430" t="s">
        <v>3361</v>
      </c>
      <c r="P1430" t="s">
        <v>3363</v>
      </c>
      <c r="Q1430" t="s">
        <v>3360</v>
      </c>
      <c r="R1430" t="s">
        <v>3358</v>
      </c>
      <c r="S1430" t="s">
        <v>15211</v>
      </c>
      <c r="T1430" t="s">
        <v>3383</v>
      </c>
      <c r="U1430" t="s">
        <v>13321</v>
      </c>
      <c r="V1430" t="s">
        <v>15231</v>
      </c>
    </row>
    <row r="1431" spans="1:22" hidden="1">
      <c r="A1431" t="s">
        <v>15327</v>
      </c>
      <c r="B1431" t="s">
        <v>15442</v>
      </c>
      <c r="C1431" t="s">
        <v>15450</v>
      </c>
      <c r="D1431" t="s">
        <v>1430</v>
      </c>
      <c r="E1431" t="s">
        <v>3461</v>
      </c>
      <c r="F1431" t="s">
        <v>3613</v>
      </c>
      <c r="G1431" s="3">
        <v>36.2535937396108</v>
      </c>
      <c r="H1431" s="3">
        <v>126.81402002509201</v>
      </c>
      <c r="I1431" t="s">
        <v>5196</v>
      </c>
      <c r="J1431" t="s">
        <v>8555</v>
      </c>
      <c r="K1431" t="s">
        <v>11352</v>
      </c>
      <c r="L1431" t="s">
        <v>3370</v>
      </c>
      <c r="M1431" t="s">
        <v>11890</v>
      </c>
      <c r="N1431" t="s">
        <v>3365</v>
      </c>
      <c r="O1431" t="s">
        <v>3360</v>
      </c>
      <c r="P1431" t="s">
        <v>15211</v>
      </c>
      <c r="Q1431" t="s">
        <v>15211</v>
      </c>
      <c r="R1431" t="s">
        <v>15211</v>
      </c>
      <c r="S1431" t="s">
        <v>15211</v>
      </c>
      <c r="T1431" t="s">
        <v>3369</v>
      </c>
      <c r="U1431" t="s">
        <v>13322</v>
      </c>
      <c r="V1431" t="s">
        <v>15232</v>
      </c>
    </row>
    <row r="1432" spans="1:22" hidden="1">
      <c r="A1432" t="s">
        <v>15327</v>
      </c>
      <c r="B1432" t="s">
        <v>15442</v>
      </c>
      <c r="C1432" t="s">
        <v>15450</v>
      </c>
      <c r="D1432" t="s">
        <v>1431</v>
      </c>
      <c r="E1432" t="s">
        <v>3461</v>
      </c>
      <c r="F1432" t="s">
        <v>3564</v>
      </c>
      <c r="G1432" s="3">
        <v>36.253593794449998</v>
      </c>
      <c r="H1432" s="3">
        <v>126.81402004151499</v>
      </c>
      <c r="I1432" t="s">
        <v>5197</v>
      </c>
      <c r="J1432" t="s">
        <v>8556</v>
      </c>
      <c r="K1432" t="s">
        <v>11353</v>
      </c>
      <c r="L1432" t="s">
        <v>3366</v>
      </c>
      <c r="M1432" t="s">
        <v>11894</v>
      </c>
      <c r="N1432" t="s">
        <v>3365</v>
      </c>
      <c r="O1432" t="s">
        <v>3361</v>
      </c>
      <c r="P1432" t="s">
        <v>15211</v>
      </c>
      <c r="Q1432" t="s">
        <v>15211</v>
      </c>
      <c r="R1432" t="s">
        <v>15211</v>
      </c>
      <c r="S1432" t="s">
        <v>15211</v>
      </c>
      <c r="T1432" t="s">
        <v>3370</v>
      </c>
      <c r="U1432" t="s">
        <v>13323</v>
      </c>
      <c r="V1432" t="s">
        <v>15232</v>
      </c>
    </row>
    <row r="1433" spans="1:22" hidden="1">
      <c r="A1433" t="s">
        <v>15327</v>
      </c>
      <c r="B1433" t="s">
        <v>15442</v>
      </c>
      <c r="C1433" t="s">
        <v>15450</v>
      </c>
      <c r="D1433" t="s">
        <v>1432</v>
      </c>
      <c r="E1433" t="s">
        <v>3452</v>
      </c>
      <c r="F1433" t="s">
        <v>3611</v>
      </c>
      <c r="G1433" s="3">
        <v>36.253593863455301</v>
      </c>
      <c r="H1433" s="3">
        <v>126.81402008142101</v>
      </c>
      <c r="I1433" t="s">
        <v>5198</v>
      </c>
      <c r="J1433" t="s">
        <v>8557</v>
      </c>
      <c r="K1433" t="s">
        <v>10552</v>
      </c>
      <c r="L1433" t="s">
        <v>3366</v>
      </c>
      <c r="M1433" t="s">
        <v>11894</v>
      </c>
      <c r="N1433" t="s">
        <v>3365</v>
      </c>
      <c r="O1433" t="s">
        <v>3361</v>
      </c>
      <c r="P1433" t="s">
        <v>15211</v>
      </c>
      <c r="Q1433" t="s">
        <v>15211</v>
      </c>
      <c r="R1433" t="s">
        <v>15211</v>
      </c>
      <c r="S1433" t="s">
        <v>15211</v>
      </c>
      <c r="T1433" t="s">
        <v>3370</v>
      </c>
      <c r="U1433" t="s">
        <v>13324</v>
      </c>
      <c r="V1433" t="s">
        <v>15232</v>
      </c>
    </row>
    <row r="1434" spans="1:22" hidden="1">
      <c r="A1434" t="s">
        <v>15327</v>
      </c>
      <c r="B1434" t="s">
        <v>15442</v>
      </c>
      <c r="C1434" t="s">
        <v>15445</v>
      </c>
      <c r="D1434" t="s">
        <v>1433</v>
      </c>
      <c r="E1434" t="s">
        <v>3438</v>
      </c>
      <c r="F1434" t="s">
        <v>3425</v>
      </c>
      <c r="G1434" s="3">
        <v>36.253594807664498</v>
      </c>
      <c r="H1434" s="3">
        <v>126.814020379437</v>
      </c>
      <c r="I1434" t="s">
        <v>5199</v>
      </c>
      <c r="J1434" t="s">
        <v>8558</v>
      </c>
      <c r="K1434" t="s">
        <v>3759</v>
      </c>
      <c r="L1434" t="s">
        <v>3366</v>
      </c>
      <c r="M1434" t="s">
        <v>11894</v>
      </c>
      <c r="N1434" t="s">
        <v>3365</v>
      </c>
      <c r="O1434" t="s">
        <v>3361</v>
      </c>
      <c r="P1434" t="s">
        <v>15211</v>
      </c>
      <c r="Q1434" t="s">
        <v>15211</v>
      </c>
      <c r="R1434" t="s">
        <v>15211</v>
      </c>
      <c r="S1434" t="s">
        <v>15211</v>
      </c>
      <c r="T1434" t="s">
        <v>3370</v>
      </c>
      <c r="U1434" t="s">
        <v>13325</v>
      </c>
      <c r="V1434" t="s">
        <v>15233</v>
      </c>
    </row>
    <row r="1435" spans="1:22" hidden="1">
      <c r="A1435" t="s">
        <v>15327</v>
      </c>
      <c r="B1435" t="s">
        <v>15442</v>
      </c>
      <c r="C1435" t="s">
        <v>15445</v>
      </c>
      <c r="D1435" t="s">
        <v>1434</v>
      </c>
      <c r="E1435" t="s">
        <v>3438</v>
      </c>
      <c r="F1435" t="s">
        <v>3425</v>
      </c>
      <c r="G1435" s="3">
        <v>36.253594830833897</v>
      </c>
      <c r="H1435" s="3">
        <v>126.814020411865</v>
      </c>
      <c r="I1435" t="s">
        <v>5200</v>
      </c>
      <c r="J1435" t="s">
        <v>8559</v>
      </c>
      <c r="K1435" t="s">
        <v>10632</v>
      </c>
      <c r="L1435" t="s">
        <v>3366</v>
      </c>
      <c r="M1435" t="s">
        <v>11895</v>
      </c>
      <c r="N1435" t="s">
        <v>3366</v>
      </c>
      <c r="O1435" t="s">
        <v>3361</v>
      </c>
      <c r="P1435" t="s">
        <v>15211</v>
      </c>
      <c r="Q1435" t="s">
        <v>15211</v>
      </c>
      <c r="R1435" t="s">
        <v>15211</v>
      </c>
      <c r="S1435" t="s">
        <v>15211</v>
      </c>
      <c r="T1435" t="s">
        <v>3371</v>
      </c>
      <c r="U1435" t="s">
        <v>13326</v>
      </c>
      <c r="V1435" t="s">
        <v>15233</v>
      </c>
    </row>
    <row r="1436" spans="1:22" hidden="1">
      <c r="A1436" t="s">
        <v>15327</v>
      </c>
      <c r="B1436" t="s">
        <v>15442</v>
      </c>
      <c r="C1436" t="s">
        <v>15445</v>
      </c>
      <c r="D1436" t="s">
        <v>1435</v>
      </c>
      <c r="E1436" t="s">
        <v>3438</v>
      </c>
      <c r="F1436" t="s">
        <v>3425</v>
      </c>
      <c r="G1436" s="3">
        <v>36.2535948159898</v>
      </c>
      <c r="H1436" s="3">
        <v>126.814020405129</v>
      </c>
      <c r="I1436" t="s">
        <v>5201</v>
      </c>
      <c r="J1436" t="s">
        <v>8560</v>
      </c>
      <c r="K1436" t="s">
        <v>11248</v>
      </c>
      <c r="L1436" t="s">
        <v>3366</v>
      </c>
      <c r="M1436" t="s">
        <v>11895</v>
      </c>
      <c r="N1436" t="s">
        <v>3366</v>
      </c>
      <c r="O1436" t="s">
        <v>3361</v>
      </c>
      <c r="P1436" t="s">
        <v>15211</v>
      </c>
      <c r="Q1436" t="s">
        <v>15211</v>
      </c>
      <c r="R1436" t="s">
        <v>15211</v>
      </c>
      <c r="S1436" t="s">
        <v>15211</v>
      </c>
      <c r="T1436" t="s">
        <v>3371</v>
      </c>
      <c r="U1436" t="s">
        <v>13327</v>
      </c>
      <c r="V1436" t="s">
        <v>15233</v>
      </c>
    </row>
    <row r="1437" spans="1:22" hidden="1">
      <c r="A1437" t="s">
        <v>15327</v>
      </c>
      <c r="B1437" t="s">
        <v>15442</v>
      </c>
      <c r="C1437" t="s">
        <v>15451</v>
      </c>
      <c r="D1437" t="s">
        <v>1436</v>
      </c>
      <c r="E1437" t="s">
        <v>3427</v>
      </c>
      <c r="F1437" t="s">
        <v>3435</v>
      </c>
      <c r="G1437" s="3">
        <v>36.2535948983436</v>
      </c>
      <c r="H1437" s="3">
        <v>126.81402038270799</v>
      </c>
      <c r="I1437" t="s">
        <v>5202</v>
      </c>
      <c r="J1437" t="s">
        <v>8561</v>
      </c>
      <c r="K1437" t="s">
        <v>11320</v>
      </c>
      <c r="L1437" t="s">
        <v>3366</v>
      </c>
      <c r="M1437" t="s">
        <v>11914</v>
      </c>
      <c r="N1437" t="s">
        <v>3366</v>
      </c>
      <c r="O1437" t="s">
        <v>3361</v>
      </c>
      <c r="P1437" t="s">
        <v>3363</v>
      </c>
      <c r="Q1437" t="s">
        <v>3361</v>
      </c>
      <c r="R1437" t="s">
        <v>15211</v>
      </c>
      <c r="S1437" t="s">
        <v>15211</v>
      </c>
      <c r="T1437" t="s">
        <v>3383</v>
      </c>
      <c r="U1437" t="s">
        <v>13328</v>
      </c>
      <c r="V1437" t="s">
        <v>15234</v>
      </c>
    </row>
    <row r="1438" spans="1:22" hidden="1">
      <c r="A1438" t="s">
        <v>15327</v>
      </c>
      <c r="B1438" t="s">
        <v>15442</v>
      </c>
      <c r="C1438" t="s">
        <v>15451</v>
      </c>
      <c r="D1438" t="s">
        <v>1437</v>
      </c>
      <c r="E1438" t="s">
        <v>3427</v>
      </c>
      <c r="F1438" t="s">
        <v>3435</v>
      </c>
      <c r="G1438" s="3">
        <v>36.2535949151087</v>
      </c>
      <c r="H1438" s="3">
        <v>126.81402038458501</v>
      </c>
      <c r="I1438" t="s">
        <v>5203</v>
      </c>
      <c r="J1438" t="s">
        <v>8562</v>
      </c>
      <c r="K1438" t="s">
        <v>11320</v>
      </c>
      <c r="L1438" t="s">
        <v>3366</v>
      </c>
      <c r="M1438" t="s">
        <v>11914</v>
      </c>
      <c r="N1438" t="s">
        <v>3366</v>
      </c>
      <c r="O1438" t="s">
        <v>3361</v>
      </c>
      <c r="P1438" t="s">
        <v>3363</v>
      </c>
      <c r="Q1438" t="s">
        <v>3361</v>
      </c>
      <c r="R1438" t="s">
        <v>15211</v>
      </c>
      <c r="S1438" t="s">
        <v>15211</v>
      </c>
      <c r="T1438" t="s">
        <v>3383</v>
      </c>
      <c r="U1438" t="s">
        <v>13329</v>
      </c>
      <c r="V1438" t="s">
        <v>15234</v>
      </c>
    </row>
    <row r="1439" spans="1:22" hidden="1">
      <c r="A1439" t="s">
        <v>15327</v>
      </c>
      <c r="B1439" t="s">
        <v>15442</v>
      </c>
      <c r="C1439" t="s">
        <v>15451</v>
      </c>
      <c r="D1439" t="s">
        <v>1438</v>
      </c>
      <c r="E1439" t="s">
        <v>3428</v>
      </c>
      <c r="F1439" t="s">
        <v>3429</v>
      </c>
      <c r="G1439" s="3">
        <v>36.253594931608298</v>
      </c>
      <c r="H1439" s="3">
        <v>126.814020403369</v>
      </c>
      <c r="I1439" t="s">
        <v>5204</v>
      </c>
      <c r="J1439" t="s">
        <v>8563</v>
      </c>
      <c r="K1439" t="s">
        <v>11320</v>
      </c>
      <c r="L1439" t="s">
        <v>3366</v>
      </c>
      <c r="M1439" t="s">
        <v>11914</v>
      </c>
      <c r="N1439" t="s">
        <v>3366</v>
      </c>
      <c r="O1439" t="s">
        <v>3361</v>
      </c>
      <c r="P1439" t="s">
        <v>3363</v>
      </c>
      <c r="Q1439" t="s">
        <v>3361</v>
      </c>
      <c r="R1439" t="s">
        <v>15211</v>
      </c>
      <c r="S1439" t="s">
        <v>15211</v>
      </c>
      <c r="T1439" t="s">
        <v>3383</v>
      </c>
      <c r="U1439" t="s">
        <v>13330</v>
      </c>
      <c r="V1439" t="s">
        <v>15234</v>
      </c>
    </row>
    <row r="1440" spans="1:22" hidden="1">
      <c r="A1440" t="s">
        <v>15328</v>
      </c>
      <c r="B1440" t="s">
        <v>15441</v>
      </c>
      <c r="C1440" t="s">
        <v>15445</v>
      </c>
      <c r="D1440" t="s">
        <v>1439</v>
      </c>
      <c r="E1440" t="s">
        <v>3431</v>
      </c>
      <c r="F1440" t="s">
        <v>3434</v>
      </c>
      <c r="G1440" s="3">
        <v>36.275526488870497</v>
      </c>
      <c r="H1440" s="3">
        <v>126.91739673537801</v>
      </c>
      <c r="I1440" t="s">
        <v>5205</v>
      </c>
      <c r="J1440" t="s">
        <v>8564</v>
      </c>
      <c r="K1440" t="s">
        <v>11174</v>
      </c>
      <c r="L1440" t="s">
        <v>3366</v>
      </c>
      <c r="M1440" t="s">
        <v>11886</v>
      </c>
      <c r="N1440" t="s">
        <v>3363</v>
      </c>
      <c r="O1440" t="s">
        <v>3360</v>
      </c>
      <c r="P1440" t="s">
        <v>15211</v>
      </c>
      <c r="Q1440" t="s">
        <v>15211</v>
      </c>
      <c r="R1440" t="s">
        <v>15211</v>
      </c>
      <c r="S1440" t="s">
        <v>15211</v>
      </c>
      <c r="T1440" t="s">
        <v>3367</v>
      </c>
      <c r="U1440" t="s">
        <v>13331</v>
      </c>
      <c r="V1440" t="s">
        <v>15228</v>
      </c>
    </row>
    <row r="1441" spans="1:22" hidden="1">
      <c r="A1441" t="s">
        <v>15328</v>
      </c>
      <c r="B1441" t="s">
        <v>15441</v>
      </c>
      <c r="C1441" t="s">
        <v>15445</v>
      </c>
      <c r="D1441" t="s">
        <v>1440</v>
      </c>
      <c r="E1441" t="s">
        <v>3431</v>
      </c>
      <c r="F1441" t="s">
        <v>3434</v>
      </c>
      <c r="G1441" s="3">
        <v>36.275526459359902</v>
      </c>
      <c r="H1441" s="3">
        <v>126.91739671597</v>
      </c>
      <c r="I1441" t="s">
        <v>5206</v>
      </c>
      <c r="J1441" t="s">
        <v>8565</v>
      </c>
      <c r="K1441" t="s">
        <v>11354</v>
      </c>
      <c r="L1441" t="s">
        <v>3366</v>
      </c>
      <c r="M1441" t="s">
        <v>11886</v>
      </c>
      <c r="N1441" t="s">
        <v>3363</v>
      </c>
      <c r="O1441" t="s">
        <v>3360</v>
      </c>
      <c r="P1441" t="s">
        <v>15211</v>
      </c>
      <c r="Q1441" t="s">
        <v>15211</v>
      </c>
      <c r="R1441" t="s">
        <v>15211</v>
      </c>
      <c r="S1441" t="s">
        <v>15211</v>
      </c>
      <c r="T1441" t="s">
        <v>3367</v>
      </c>
      <c r="U1441" t="s">
        <v>13332</v>
      </c>
      <c r="V1441" t="s">
        <v>15228</v>
      </c>
    </row>
    <row r="1442" spans="1:22" hidden="1">
      <c r="A1442" t="s">
        <v>15328</v>
      </c>
      <c r="B1442" t="s">
        <v>15441</v>
      </c>
      <c r="C1442" t="s">
        <v>15445</v>
      </c>
      <c r="D1442" t="s">
        <v>1441</v>
      </c>
      <c r="E1442" t="s">
        <v>3431</v>
      </c>
      <c r="F1442" t="s">
        <v>3435</v>
      </c>
      <c r="G1442" s="3">
        <v>36.2755264960592</v>
      </c>
      <c r="H1442" s="3">
        <v>126.91739675925299</v>
      </c>
      <c r="I1442" t="s">
        <v>5207</v>
      </c>
      <c r="J1442" t="s">
        <v>8566</v>
      </c>
      <c r="K1442" t="s">
        <v>11120</v>
      </c>
      <c r="L1442" t="s">
        <v>3366</v>
      </c>
      <c r="M1442" t="s">
        <v>11885</v>
      </c>
      <c r="N1442" t="s">
        <v>3364</v>
      </c>
      <c r="O1442" t="s">
        <v>3360</v>
      </c>
      <c r="P1442" t="s">
        <v>15211</v>
      </c>
      <c r="Q1442" t="s">
        <v>15211</v>
      </c>
      <c r="R1442" t="s">
        <v>15211</v>
      </c>
      <c r="S1442" t="s">
        <v>15211</v>
      </c>
      <c r="T1442" t="s">
        <v>3368</v>
      </c>
      <c r="U1442" t="s">
        <v>13333</v>
      </c>
      <c r="V1442" t="s">
        <v>15228</v>
      </c>
    </row>
    <row r="1443" spans="1:22" hidden="1">
      <c r="A1443" t="s">
        <v>15328</v>
      </c>
      <c r="B1443" t="s">
        <v>15441</v>
      </c>
      <c r="C1443" t="s">
        <v>15446</v>
      </c>
      <c r="D1443" t="s">
        <v>1442</v>
      </c>
      <c r="E1443" t="s">
        <v>3435</v>
      </c>
      <c r="F1443" t="s">
        <v>3429</v>
      </c>
      <c r="G1443" s="3">
        <v>36.275526485816002</v>
      </c>
      <c r="H1443" s="3">
        <v>126.91739672557399</v>
      </c>
      <c r="I1443" t="s">
        <v>5208</v>
      </c>
      <c r="J1443" t="s">
        <v>8567</v>
      </c>
      <c r="K1443" t="s">
        <v>10747</v>
      </c>
      <c r="L1443" t="s">
        <v>3366</v>
      </c>
      <c r="M1443" t="s">
        <v>11886</v>
      </c>
      <c r="N1443" t="s">
        <v>3366</v>
      </c>
      <c r="O1443" t="s">
        <v>3360</v>
      </c>
      <c r="P1443" t="s">
        <v>15211</v>
      </c>
      <c r="Q1443" t="s">
        <v>15211</v>
      </c>
      <c r="R1443" t="s">
        <v>15211</v>
      </c>
      <c r="S1443" t="s">
        <v>15211</v>
      </c>
      <c r="T1443" t="s">
        <v>3370</v>
      </c>
      <c r="U1443" t="s">
        <v>13334</v>
      </c>
      <c r="V1443" t="s">
        <v>15229</v>
      </c>
    </row>
    <row r="1444" spans="1:22" hidden="1">
      <c r="A1444" t="s">
        <v>15328</v>
      </c>
      <c r="B1444" t="s">
        <v>15441</v>
      </c>
      <c r="C1444" t="s">
        <v>15446</v>
      </c>
      <c r="D1444" t="s">
        <v>1443</v>
      </c>
      <c r="E1444" t="s">
        <v>3431</v>
      </c>
      <c r="F1444" t="s">
        <v>3434</v>
      </c>
      <c r="G1444" s="3">
        <v>36.275526456239099</v>
      </c>
      <c r="H1444" s="3">
        <v>126.91739671456899</v>
      </c>
      <c r="I1444" t="s">
        <v>5209</v>
      </c>
      <c r="J1444" t="s">
        <v>8568</v>
      </c>
      <c r="K1444" t="s">
        <v>11119</v>
      </c>
      <c r="L1444" t="s">
        <v>3366</v>
      </c>
      <c r="M1444" t="s">
        <v>11886</v>
      </c>
      <c r="N1444" t="s">
        <v>3366</v>
      </c>
      <c r="O1444" t="s">
        <v>3360</v>
      </c>
      <c r="P1444" t="s">
        <v>15211</v>
      </c>
      <c r="Q1444" t="s">
        <v>15211</v>
      </c>
      <c r="R1444" t="s">
        <v>15211</v>
      </c>
      <c r="S1444" t="s">
        <v>15211</v>
      </c>
      <c r="T1444" t="s">
        <v>3370</v>
      </c>
      <c r="U1444" t="s">
        <v>13335</v>
      </c>
      <c r="V1444" t="s">
        <v>15229</v>
      </c>
    </row>
    <row r="1445" spans="1:22" hidden="1">
      <c r="A1445" t="s">
        <v>15328</v>
      </c>
      <c r="B1445" t="s">
        <v>15441</v>
      </c>
      <c r="C1445" t="s">
        <v>15446</v>
      </c>
      <c r="D1445" t="s">
        <v>1444</v>
      </c>
      <c r="E1445" t="s">
        <v>3434</v>
      </c>
      <c r="F1445" t="s">
        <v>3435</v>
      </c>
      <c r="G1445" s="3">
        <v>36.2755264136131</v>
      </c>
      <c r="H1445" s="3">
        <v>126.917396716515</v>
      </c>
      <c r="I1445" t="s">
        <v>5210</v>
      </c>
      <c r="J1445" t="s">
        <v>8569</v>
      </c>
      <c r="K1445" t="s">
        <v>10988</v>
      </c>
      <c r="L1445" t="s">
        <v>3366</v>
      </c>
      <c r="M1445" t="s">
        <v>11886</v>
      </c>
      <c r="N1445" t="s">
        <v>3366</v>
      </c>
      <c r="O1445" t="s">
        <v>3360</v>
      </c>
      <c r="P1445" t="s">
        <v>15211</v>
      </c>
      <c r="Q1445" t="s">
        <v>15211</v>
      </c>
      <c r="R1445" t="s">
        <v>15211</v>
      </c>
      <c r="S1445" t="s">
        <v>15211</v>
      </c>
      <c r="T1445" t="s">
        <v>3370</v>
      </c>
      <c r="U1445" t="s">
        <v>13336</v>
      </c>
      <c r="V1445" t="s">
        <v>15229</v>
      </c>
    </row>
    <row r="1446" spans="1:22" hidden="1">
      <c r="A1446" t="s">
        <v>15328</v>
      </c>
      <c r="B1446" t="s">
        <v>15441</v>
      </c>
      <c r="C1446" t="s">
        <v>15447</v>
      </c>
      <c r="D1446" t="s">
        <v>1445</v>
      </c>
      <c r="E1446" t="s">
        <v>3431</v>
      </c>
      <c r="F1446" t="s">
        <v>3434</v>
      </c>
      <c r="G1446" s="3">
        <v>36.275526669019598</v>
      </c>
      <c r="H1446" s="3">
        <v>126.91739695580399</v>
      </c>
      <c r="I1446" t="s">
        <v>5211</v>
      </c>
      <c r="J1446" t="s">
        <v>8570</v>
      </c>
      <c r="K1446" t="s">
        <v>10511</v>
      </c>
      <c r="L1446" t="s">
        <v>3366</v>
      </c>
      <c r="M1446" t="s">
        <v>11887</v>
      </c>
      <c r="N1446" t="s">
        <v>3366</v>
      </c>
      <c r="O1446" t="s">
        <v>3360</v>
      </c>
      <c r="P1446" t="s">
        <v>15211</v>
      </c>
      <c r="Q1446" t="s">
        <v>15211</v>
      </c>
      <c r="R1446" t="s">
        <v>15211</v>
      </c>
      <c r="S1446" t="s">
        <v>15211</v>
      </c>
      <c r="T1446" t="s">
        <v>3370</v>
      </c>
      <c r="U1446" t="s">
        <v>13337</v>
      </c>
      <c r="V1446" t="s">
        <v>15235</v>
      </c>
    </row>
    <row r="1447" spans="1:22" hidden="1">
      <c r="A1447" t="s">
        <v>15328</v>
      </c>
      <c r="B1447" t="s">
        <v>15441</v>
      </c>
      <c r="C1447" t="s">
        <v>15447</v>
      </c>
      <c r="D1447" t="s">
        <v>1446</v>
      </c>
      <c r="E1447" t="s">
        <v>3434</v>
      </c>
      <c r="F1447" t="s">
        <v>3435</v>
      </c>
      <c r="G1447" s="3">
        <v>36.275526626177403</v>
      </c>
      <c r="H1447" s="3">
        <v>126.91739693133999</v>
      </c>
      <c r="I1447" t="s">
        <v>5212</v>
      </c>
      <c r="J1447" t="s">
        <v>8571</v>
      </c>
      <c r="K1447" t="s">
        <v>10713</v>
      </c>
      <c r="L1447" t="s">
        <v>3366</v>
      </c>
      <c r="M1447" t="s">
        <v>11887</v>
      </c>
      <c r="N1447" t="s">
        <v>3366</v>
      </c>
      <c r="O1447" t="s">
        <v>3360</v>
      </c>
      <c r="P1447" t="s">
        <v>15211</v>
      </c>
      <c r="Q1447" t="s">
        <v>15211</v>
      </c>
      <c r="R1447" t="s">
        <v>15211</v>
      </c>
      <c r="S1447" t="s">
        <v>15211</v>
      </c>
      <c r="T1447" t="s">
        <v>3370</v>
      </c>
      <c r="U1447" t="s">
        <v>13338</v>
      </c>
      <c r="V1447" t="s">
        <v>15235</v>
      </c>
    </row>
    <row r="1448" spans="1:22" hidden="1">
      <c r="A1448" t="s">
        <v>15328</v>
      </c>
      <c r="B1448" t="s">
        <v>15441</v>
      </c>
      <c r="C1448" t="s">
        <v>15447</v>
      </c>
      <c r="D1448" t="s">
        <v>1447</v>
      </c>
      <c r="E1448" t="s">
        <v>3434</v>
      </c>
      <c r="F1448" t="s">
        <v>3434</v>
      </c>
      <c r="G1448" s="3">
        <v>36.275526506846298</v>
      </c>
      <c r="H1448" s="3">
        <v>126.917396843101</v>
      </c>
      <c r="I1448" t="s">
        <v>5213</v>
      </c>
      <c r="J1448" t="s">
        <v>8572</v>
      </c>
      <c r="K1448" t="s">
        <v>11355</v>
      </c>
      <c r="L1448" t="s">
        <v>3366</v>
      </c>
      <c r="M1448" t="s">
        <v>11887</v>
      </c>
      <c r="N1448" t="s">
        <v>3363</v>
      </c>
      <c r="O1448" t="s">
        <v>15211</v>
      </c>
      <c r="P1448" t="s">
        <v>15211</v>
      </c>
      <c r="Q1448" t="s">
        <v>15211</v>
      </c>
      <c r="R1448" t="s">
        <v>15211</v>
      </c>
      <c r="S1448" t="s">
        <v>15211</v>
      </c>
      <c r="T1448" t="s">
        <v>3363</v>
      </c>
      <c r="U1448" t="s">
        <v>13339</v>
      </c>
      <c r="V1448" t="s">
        <v>15235</v>
      </c>
    </row>
    <row r="1449" spans="1:22" hidden="1">
      <c r="A1449" t="s">
        <v>15328</v>
      </c>
      <c r="B1449" t="s">
        <v>15441</v>
      </c>
      <c r="C1449" t="s">
        <v>15448</v>
      </c>
      <c r="D1449" t="s">
        <v>1448</v>
      </c>
      <c r="E1449" t="s">
        <v>3441</v>
      </c>
      <c r="F1449" t="s">
        <v>3579</v>
      </c>
      <c r="G1449" s="3">
        <v>36.275526425562099</v>
      </c>
      <c r="H1449" s="3">
        <v>126.917396731187</v>
      </c>
      <c r="I1449" t="s">
        <v>5214</v>
      </c>
      <c r="J1449" t="s">
        <v>8573</v>
      </c>
      <c r="K1449" t="s">
        <v>11106</v>
      </c>
      <c r="L1449" t="s">
        <v>3366</v>
      </c>
      <c r="M1449" t="s">
        <v>11912</v>
      </c>
      <c r="N1449" t="s">
        <v>3363</v>
      </c>
      <c r="O1449" t="s">
        <v>3359</v>
      </c>
      <c r="P1449" t="s">
        <v>3366</v>
      </c>
      <c r="Q1449" t="s">
        <v>3360</v>
      </c>
      <c r="R1449" t="s">
        <v>3358</v>
      </c>
      <c r="S1449" t="s">
        <v>15211</v>
      </c>
      <c r="T1449" t="s">
        <v>3382</v>
      </c>
      <c r="U1449" t="s">
        <v>13340</v>
      </c>
      <c r="V1449" t="s">
        <v>15230</v>
      </c>
    </row>
    <row r="1450" spans="1:22" hidden="1">
      <c r="A1450" t="s">
        <v>15328</v>
      </c>
      <c r="B1450" t="s">
        <v>15441</v>
      </c>
      <c r="C1450" t="s">
        <v>15448</v>
      </c>
      <c r="D1450" t="s">
        <v>1449</v>
      </c>
      <c r="E1450" t="s">
        <v>3441</v>
      </c>
      <c r="F1450" t="s">
        <v>3579</v>
      </c>
      <c r="G1450" s="3">
        <v>36.275526409685099</v>
      </c>
      <c r="H1450" s="3">
        <v>126.917396720658</v>
      </c>
      <c r="I1450" t="s">
        <v>5215</v>
      </c>
      <c r="J1450" t="s">
        <v>8574</v>
      </c>
      <c r="K1450" t="s">
        <v>11106</v>
      </c>
      <c r="L1450" t="s">
        <v>3366</v>
      </c>
      <c r="M1450" t="s">
        <v>11912</v>
      </c>
      <c r="N1450" t="s">
        <v>3363</v>
      </c>
      <c r="O1450" t="s">
        <v>3359</v>
      </c>
      <c r="P1450" t="s">
        <v>3366</v>
      </c>
      <c r="Q1450" t="s">
        <v>3360</v>
      </c>
      <c r="R1450" t="s">
        <v>3358</v>
      </c>
      <c r="S1450" t="s">
        <v>15211</v>
      </c>
      <c r="T1450" t="s">
        <v>3382</v>
      </c>
      <c r="U1450" t="s">
        <v>13341</v>
      </c>
      <c r="V1450" t="s">
        <v>15230</v>
      </c>
    </row>
    <row r="1451" spans="1:22" hidden="1">
      <c r="A1451" t="s">
        <v>15328</v>
      </c>
      <c r="B1451" t="s">
        <v>15441</v>
      </c>
      <c r="C1451" t="s">
        <v>15448</v>
      </c>
      <c r="D1451" t="s">
        <v>1450</v>
      </c>
      <c r="E1451" t="s">
        <v>3453</v>
      </c>
      <c r="F1451" t="s">
        <v>3464</v>
      </c>
      <c r="G1451" s="3">
        <v>36.275526375523803</v>
      </c>
      <c r="H1451" s="3">
        <v>126.917396736924</v>
      </c>
      <c r="I1451" t="s">
        <v>5216</v>
      </c>
      <c r="J1451" t="s">
        <v>8575</v>
      </c>
      <c r="K1451" t="s">
        <v>11356</v>
      </c>
      <c r="L1451" t="s">
        <v>3366</v>
      </c>
      <c r="M1451" t="s">
        <v>11912</v>
      </c>
      <c r="N1451" t="s">
        <v>3363</v>
      </c>
      <c r="O1451" t="s">
        <v>3359</v>
      </c>
      <c r="P1451" t="s">
        <v>3366</v>
      </c>
      <c r="Q1451" t="s">
        <v>3360</v>
      </c>
      <c r="R1451" t="s">
        <v>3358</v>
      </c>
      <c r="S1451" t="s">
        <v>15211</v>
      </c>
      <c r="T1451" t="s">
        <v>3382</v>
      </c>
      <c r="U1451" t="s">
        <v>13342</v>
      </c>
      <c r="V1451" t="s">
        <v>15230</v>
      </c>
    </row>
    <row r="1452" spans="1:22" hidden="1">
      <c r="A1452" t="s">
        <v>15328</v>
      </c>
      <c r="B1452" t="s">
        <v>15441</v>
      </c>
      <c r="C1452" t="s">
        <v>15449</v>
      </c>
      <c r="D1452" t="s">
        <v>1451</v>
      </c>
      <c r="E1452" t="s">
        <v>3425</v>
      </c>
      <c r="F1452" t="s">
        <v>3453</v>
      </c>
      <c r="G1452" s="3">
        <v>36.275526402213202</v>
      </c>
      <c r="H1452" s="3">
        <v>126.917396662267</v>
      </c>
      <c r="I1452" t="s">
        <v>5217</v>
      </c>
      <c r="J1452" t="s">
        <v>8576</v>
      </c>
      <c r="K1452" t="s">
        <v>11357</v>
      </c>
      <c r="L1452" t="s">
        <v>3366</v>
      </c>
      <c r="M1452" t="s">
        <v>11914</v>
      </c>
      <c r="N1452" t="s">
        <v>3363</v>
      </c>
      <c r="O1452" t="s">
        <v>3360</v>
      </c>
      <c r="P1452" t="s">
        <v>3366</v>
      </c>
      <c r="Q1452" t="s">
        <v>3360</v>
      </c>
      <c r="R1452" t="s">
        <v>3358</v>
      </c>
      <c r="S1452" t="s">
        <v>15211</v>
      </c>
      <c r="T1452" t="s">
        <v>3383</v>
      </c>
      <c r="U1452" t="s">
        <v>13343</v>
      </c>
      <c r="V1452" t="s">
        <v>15231</v>
      </c>
    </row>
    <row r="1453" spans="1:22" hidden="1">
      <c r="A1453" t="s">
        <v>15328</v>
      </c>
      <c r="B1453" t="s">
        <v>15441</v>
      </c>
      <c r="C1453" t="s">
        <v>15449</v>
      </c>
      <c r="D1453" t="s">
        <v>1452</v>
      </c>
      <c r="E1453" t="s">
        <v>3434</v>
      </c>
      <c r="F1453" t="s">
        <v>3452</v>
      </c>
      <c r="G1453" s="3">
        <v>36.275526407180202</v>
      </c>
      <c r="H1453" s="3">
        <v>126.917396690744</v>
      </c>
      <c r="I1453" t="s">
        <v>5218</v>
      </c>
      <c r="J1453" t="s">
        <v>8577</v>
      </c>
      <c r="K1453" t="s">
        <v>10751</v>
      </c>
      <c r="L1453" t="s">
        <v>3366</v>
      </c>
      <c r="M1453" t="s">
        <v>11914</v>
      </c>
      <c r="N1453" t="s">
        <v>3363</v>
      </c>
      <c r="O1453" t="s">
        <v>3360</v>
      </c>
      <c r="P1453" t="s">
        <v>3366</v>
      </c>
      <c r="Q1453" t="s">
        <v>3360</v>
      </c>
      <c r="R1453" t="s">
        <v>3358</v>
      </c>
      <c r="S1453" t="s">
        <v>15211</v>
      </c>
      <c r="T1453" t="s">
        <v>3383</v>
      </c>
      <c r="U1453" t="s">
        <v>13344</v>
      </c>
      <c r="V1453" t="s">
        <v>15231</v>
      </c>
    </row>
    <row r="1454" spans="1:22" hidden="1">
      <c r="A1454" t="s">
        <v>15328</v>
      </c>
      <c r="B1454" t="s">
        <v>15441</v>
      </c>
      <c r="C1454" t="s">
        <v>15449</v>
      </c>
      <c r="D1454" t="s">
        <v>1453</v>
      </c>
      <c r="E1454" t="s">
        <v>3431</v>
      </c>
      <c r="F1454" t="s">
        <v>3433</v>
      </c>
      <c r="G1454" s="3">
        <v>36.275526400493803</v>
      </c>
      <c r="H1454" s="3">
        <v>126.917396686419</v>
      </c>
      <c r="I1454" t="s">
        <v>5219</v>
      </c>
      <c r="J1454" t="s">
        <v>8578</v>
      </c>
      <c r="K1454" t="s">
        <v>11358</v>
      </c>
      <c r="L1454" t="s">
        <v>3367</v>
      </c>
      <c r="M1454" t="s">
        <v>11914</v>
      </c>
      <c r="N1454" t="s">
        <v>3363</v>
      </c>
      <c r="O1454" t="s">
        <v>3360</v>
      </c>
      <c r="P1454" t="s">
        <v>3366</v>
      </c>
      <c r="Q1454" t="s">
        <v>3360</v>
      </c>
      <c r="R1454" t="s">
        <v>3358</v>
      </c>
      <c r="S1454" t="s">
        <v>15211</v>
      </c>
      <c r="T1454" t="s">
        <v>3383</v>
      </c>
      <c r="U1454" t="s">
        <v>13345</v>
      </c>
      <c r="V1454" t="s">
        <v>15231</v>
      </c>
    </row>
    <row r="1455" spans="1:22" hidden="1">
      <c r="A1455" t="s">
        <v>15328</v>
      </c>
      <c r="B1455" t="s">
        <v>15442</v>
      </c>
      <c r="C1455" t="s">
        <v>15445</v>
      </c>
      <c r="D1455" t="s">
        <v>1454</v>
      </c>
      <c r="E1455" t="s">
        <v>3427</v>
      </c>
      <c r="F1455" t="s">
        <v>3425</v>
      </c>
      <c r="G1455" s="3">
        <v>36.275526114531203</v>
      </c>
      <c r="H1455" s="3">
        <v>126.91739658659699</v>
      </c>
      <c r="I1455" t="s">
        <v>5220</v>
      </c>
      <c r="J1455" t="s">
        <v>8579</v>
      </c>
      <c r="K1455" t="s">
        <v>11281</v>
      </c>
      <c r="L1455" t="s">
        <v>3366</v>
      </c>
      <c r="M1455" t="s">
        <v>11885</v>
      </c>
      <c r="N1455" t="s">
        <v>3364</v>
      </c>
      <c r="O1455" t="s">
        <v>3360</v>
      </c>
      <c r="P1455" t="s">
        <v>15211</v>
      </c>
      <c r="Q1455" t="s">
        <v>15211</v>
      </c>
      <c r="R1455" t="s">
        <v>15211</v>
      </c>
      <c r="S1455" t="s">
        <v>15211</v>
      </c>
      <c r="T1455" t="s">
        <v>3368</v>
      </c>
      <c r="U1455" t="s">
        <v>13346</v>
      </c>
      <c r="V1455" t="s">
        <v>15233</v>
      </c>
    </row>
    <row r="1456" spans="1:22" hidden="1">
      <c r="A1456" t="s">
        <v>15328</v>
      </c>
      <c r="B1456" t="s">
        <v>15442</v>
      </c>
      <c r="C1456" t="s">
        <v>15445</v>
      </c>
      <c r="D1456" t="s">
        <v>1455</v>
      </c>
      <c r="E1456" t="s">
        <v>3428</v>
      </c>
      <c r="F1456" t="s">
        <v>3431</v>
      </c>
      <c r="G1456" s="3">
        <v>36.275526127523698</v>
      </c>
      <c r="H1456" s="3">
        <v>126.91739661470299</v>
      </c>
      <c r="I1456" t="s">
        <v>5221</v>
      </c>
      <c r="J1456" t="s">
        <v>8580</v>
      </c>
      <c r="K1456" t="s">
        <v>10953</v>
      </c>
      <c r="L1456" t="s">
        <v>3366</v>
      </c>
      <c r="M1456" t="s">
        <v>11885</v>
      </c>
      <c r="N1456" t="s">
        <v>3364</v>
      </c>
      <c r="O1456" t="s">
        <v>3360</v>
      </c>
      <c r="P1456" t="s">
        <v>15211</v>
      </c>
      <c r="Q1456" t="s">
        <v>15211</v>
      </c>
      <c r="R1456" t="s">
        <v>15211</v>
      </c>
      <c r="S1456" t="s">
        <v>15211</v>
      </c>
      <c r="T1456" t="s">
        <v>3368</v>
      </c>
      <c r="U1456" t="s">
        <v>13347</v>
      </c>
      <c r="V1456" t="s">
        <v>15233</v>
      </c>
    </row>
    <row r="1457" spans="1:22" hidden="1">
      <c r="A1457" t="s">
        <v>15328</v>
      </c>
      <c r="B1457" t="s">
        <v>15442</v>
      </c>
      <c r="C1457" t="s">
        <v>15445</v>
      </c>
      <c r="D1457" t="s">
        <v>1456</v>
      </c>
      <c r="E1457" t="s">
        <v>3428</v>
      </c>
      <c r="F1457" t="s">
        <v>3431</v>
      </c>
      <c r="G1457" s="3">
        <v>36.275526111853601</v>
      </c>
      <c r="H1457" s="3">
        <v>126.917396623302</v>
      </c>
      <c r="I1457" t="s">
        <v>5222</v>
      </c>
      <c r="J1457" t="s">
        <v>8581</v>
      </c>
      <c r="K1457" t="s">
        <v>11200</v>
      </c>
      <c r="L1457" t="s">
        <v>3366</v>
      </c>
      <c r="M1457" t="s">
        <v>11885</v>
      </c>
      <c r="N1457" t="s">
        <v>3364</v>
      </c>
      <c r="O1457" t="s">
        <v>3360</v>
      </c>
      <c r="P1457" t="s">
        <v>15211</v>
      </c>
      <c r="Q1457" t="s">
        <v>15211</v>
      </c>
      <c r="R1457" t="s">
        <v>15211</v>
      </c>
      <c r="S1457" t="s">
        <v>15211</v>
      </c>
      <c r="T1457" t="s">
        <v>3368</v>
      </c>
      <c r="U1457" t="s">
        <v>13348</v>
      </c>
      <c r="V1457" t="s">
        <v>15233</v>
      </c>
    </row>
    <row r="1458" spans="1:22" hidden="1">
      <c r="A1458" t="s">
        <v>15328</v>
      </c>
      <c r="B1458" t="s">
        <v>15442</v>
      </c>
      <c r="C1458" t="s">
        <v>15451</v>
      </c>
      <c r="D1458" t="s">
        <v>1457</v>
      </c>
      <c r="E1458" t="s">
        <v>3440</v>
      </c>
      <c r="F1458" t="s">
        <v>3425</v>
      </c>
      <c r="G1458" s="3">
        <v>36.275526268259803</v>
      </c>
      <c r="H1458" s="3">
        <v>126.917396655555</v>
      </c>
      <c r="I1458" t="s">
        <v>5223</v>
      </c>
      <c r="J1458" t="s">
        <v>8582</v>
      </c>
      <c r="K1458" t="s">
        <v>11359</v>
      </c>
      <c r="L1458" t="s">
        <v>3366</v>
      </c>
      <c r="M1458" t="s">
        <v>11893</v>
      </c>
      <c r="N1458" t="s">
        <v>3364</v>
      </c>
      <c r="O1458" t="s">
        <v>3360</v>
      </c>
      <c r="P1458" t="s">
        <v>3365</v>
      </c>
      <c r="Q1458" t="s">
        <v>3360</v>
      </c>
      <c r="R1458" t="s">
        <v>15211</v>
      </c>
      <c r="S1458" t="s">
        <v>15211</v>
      </c>
      <c r="T1458" t="s">
        <v>3381</v>
      </c>
      <c r="U1458" t="s">
        <v>13349</v>
      </c>
      <c r="V1458" t="s">
        <v>15234</v>
      </c>
    </row>
    <row r="1459" spans="1:22" hidden="1">
      <c r="A1459" t="s">
        <v>15328</v>
      </c>
      <c r="B1459" t="s">
        <v>15442</v>
      </c>
      <c r="C1459" t="s">
        <v>15451</v>
      </c>
      <c r="D1459" t="s">
        <v>1458</v>
      </c>
      <c r="E1459" t="s">
        <v>3438</v>
      </c>
      <c r="F1459" t="s">
        <v>3434</v>
      </c>
      <c r="G1459" s="3">
        <v>36.275526275417498</v>
      </c>
      <c r="H1459" s="3">
        <v>126.917396610569</v>
      </c>
      <c r="I1459" t="s">
        <v>5224</v>
      </c>
      <c r="J1459" t="s">
        <v>8583</v>
      </c>
      <c r="K1459" t="s">
        <v>11359</v>
      </c>
      <c r="L1459" t="s">
        <v>3366</v>
      </c>
      <c r="M1459" t="s">
        <v>11891</v>
      </c>
      <c r="N1459" t="s">
        <v>3364</v>
      </c>
      <c r="O1459" t="s">
        <v>3360</v>
      </c>
      <c r="P1459" t="s">
        <v>3365</v>
      </c>
      <c r="Q1459" t="s">
        <v>3360</v>
      </c>
      <c r="R1459" t="s">
        <v>15211</v>
      </c>
      <c r="S1459" t="s">
        <v>15211</v>
      </c>
      <c r="T1459" t="s">
        <v>3381</v>
      </c>
      <c r="U1459" t="s">
        <v>13350</v>
      </c>
      <c r="V1459" t="s">
        <v>15234</v>
      </c>
    </row>
    <row r="1460" spans="1:22" hidden="1">
      <c r="A1460" t="s">
        <v>15328</v>
      </c>
      <c r="B1460" t="s">
        <v>15442</v>
      </c>
      <c r="C1460" t="s">
        <v>15451</v>
      </c>
      <c r="D1460" t="s">
        <v>1459</v>
      </c>
      <c r="E1460" t="s">
        <v>3427</v>
      </c>
      <c r="F1460" t="s">
        <v>3429</v>
      </c>
      <c r="G1460" s="3">
        <v>36.275526249098498</v>
      </c>
      <c r="H1460" s="3">
        <v>126.917396607545</v>
      </c>
      <c r="I1460" t="s">
        <v>5225</v>
      </c>
      <c r="J1460" t="s">
        <v>8584</v>
      </c>
      <c r="K1460" t="s">
        <v>11360</v>
      </c>
      <c r="L1460" t="s">
        <v>3366</v>
      </c>
      <c r="M1460" t="s">
        <v>11893</v>
      </c>
      <c r="N1460" t="s">
        <v>3364</v>
      </c>
      <c r="O1460" t="s">
        <v>3360</v>
      </c>
      <c r="P1460" t="s">
        <v>3365</v>
      </c>
      <c r="Q1460" t="s">
        <v>3360</v>
      </c>
      <c r="R1460" t="s">
        <v>15211</v>
      </c>
      <c r="S1460" t="s">
        <v>15211</v>
      </c>
      <c r="T1460" t="s">
        <v>3381</v>
      </c>
      <c r="U1460" t="s">
        <v>13351</v>
      </c>
      <c r="V1460" t="s">
        <v>15234</v>
      </c>
    </row>
    <row r="1461" spans="1:22">
      <c r="A1461" t="s">
        <v>15328</v>
      </c>
      <c r="B1461" t="s">
        <v>15443</v>
      </c>
      <c r="C1461" t="s">
        <v>15452</v>
      </c>
      <c r="D1461" t="s">
        <v>1460</v>
      </c>
      <c r="E1461" t="s">
        <v>3435</v>
      </c>
      <c r="F1461" t="s">
        <v>3462</v>
      </c>
      <c r="G1461" s="3">
        <v>36.275526336601303</v>
      </c>
      <c r="H1461" s="3">
        <v>126.917396822916</v>
      </c>
      <c r="I1461" t="s">
        <v>5226</v>
      </c>
      <c r="J1461" t="s">
        <v>8585</v>
      </c>
      <c r="K1461" t="s">
        <v>10771</v>
      </c>
      <c r="L1461" t="s">
        <v>3366</v>
      </c>
      <c r="M1461" t="s">
        <v>11901</v>
      </c>
      <c r="N1461" t="s">
        <v>3362</v>
      </c>
      <c r="O1461" t="s">
        <v>15211</v>
      </c>
      <c r="P1461" t="s">
        <v>3363</v>
      </c>
      <c r="Q1461" t="s">
        <v>3360</v>
      </c>
      <c r="R1461" t="s">
        <v>15211</v>
      </c>
      <c r="S1461" t="s">
        <v>15211</v>
      </c>
      <c r="T1461" t="s">
        <v>3373</v>
      </c>
      <c r="U1461" t="s">
        <v>13352</v>
      </c>
      <c r="V1461" t="s">
        <v>15220</v>
      </c>
    </row>
    <row r="1462" spans="1:22">
      <c r="A1462" t="s">
        <v>15328</v>
      </c>
      <c r="B1462" t="s">
        <v>15443</v>
      </c>
      <c r="C1462" t="s">
        <v>15452</v>
      </c>
      <c r="D1462" t="s">
        <v>1461</v>
      </c>
      <c r="E1462" t="s">
        <v>3429</v>
      </c>
      <c r="F1462" t="s">
        <v>3465</v>
      </c>
      <c r="G1462" s="3">
        <v>36.275526323919998</v>
      </c>
      <c r="H1462" s="3">
        <v>126.91739681221</v>
      </c>
      <c r="I1462" t="s">
        <v>5227</v>
      </c>
      <c r="J1462" t="s">
        <v>8586</v>
      </c>
      <c r="K1462" t="s">
        <v>11127</v>
      </c>
      <c r="L1462" t="s">
        <v>3366</v>
      </c>
      <c r="M1462" t="s">
        <v>11898</v>
      </c>
      <c r="N1462" t="s">
        <v>3362</v>
      </c>
      <c r="O1462" t="s">
        <v>15211</v>
      </c>
      <c r="P1462" t="s">
        <v>3363</v>
      </c>
      <c r="Q1462" t="s">
        <v>3360</v>
      </c>
      <c r="R1462" t="s">
        <v>15211</v>
      </c>
      <c r="S1462" t="s">
        <v>15211</v>
      </c>
      <c r="T1462" t="s">
        <v>3373</v>
      </c>
      <c r="U1462" t="s">
        <v>13353</v>
      </c>
      <c r="V1462" t="s">
        <v>15220</v>
      </c>
    </row>
    <row r="1463" spans="1:22">
      <c r="A1463" t="s">
        <v>15328</v>
      </c>
      <c r="B1463" t="s">
        <v>15443</v>
      </c>
      <c r="C1463" t="s">
        <v>15452</v>
      </c>
      <c r="D1463" t="s">
        <v>1462</v>
      </c>
      <c r="E1463" t="s">
        <v>3442</v>
      </c>
      <c r="F1463" t="s">
        <v>3460</v>
      </c>
      <c r="G1463" s="3">
        <v>36.275526396005503</v>
      </c>
      <c r="H1463" s="3">
        <v>126.91739682691301</v>
      </c>
      <c r="I1463" t="s">
        <v>5228</v>
      </c>
      <c r="J1463" t="s">
        <v>8587</v>
      </c>
      <c r="K1463" t="s">
        <v>11128</v>
      </c>
      <c r="L1463" t="s">
        <v>3366</v>
      </c>
      <c r="M1463" t="s">
        <v>11898</v>
      </c>
      <c r="N1463" t="s">
        <v>3362</v>
      </c>
      <c r="O1463" t="s">
        <v>15211</v>
      </c>
      <c r="P1463" t="s">
        <v>3364</v>
      </c>
      <c r="Q1463" t="s">
        <v>3360</v>
      </c>
      <c r="R1463" t="s">
        <v>15211</v>
      </c>
      <c r="S1463" t="s">
        <v>15211</v>
      </c>
      <c r="T1463" t="s">
        <v>3374</v>
      </c>
      <c r="U1463" t="s">
        <v>13354</v>
      </c>
      <c r="V1463" t="s">
        <v>15220</v>
      </c>
    </row>
    <row r="1464" spans="1:22" hidden="1">
      <c r="A1464" t="s">
        <v>15328</v>
      </c>
      <c r="B1464" t="s">
        <v>15442</v>
      </c>
      <c r="C1464" t="s">
        <v>15450</v>
      </c>
      <c r="D1464" t="s">
        <v>1463</v>
      </c>
      <c r="E1464" t="s">
        <v>3452</v>
      </c>
      <c r="F1464" t="s">
        <v>3463</v>
      </c>
      <c r="G1464" s="3">
        <v>36.275525896216003</v>
      </c>
      <c r="H1464" s="3">
        <v>126.917395176055</v>
      </c>
      <c r="I1464" t="s">
        <v>5229</v>
      </c>
      <c r="J1464" t="s">
        <v>8588</v>
      </c>
      <c r="K1464" t="s">
        <v>11361</v>
      </c>
      <c r="L1464" t="s">
        <v>3370</v>
      </c>
      <c r="M1464" t="s">
        <v>11885</v>
      </c>
      <c r="N1464" t="s">
        <v>3364</v>
      </c>
      <c r="O1464" t="s">
        <v>3360</v>
      </c>
      <c r="P1464" t="s">
        <v>15211</v>
      </c>
      <c r="Q1464" t="s">
        <v>15211</v>
      </c>
      <c r="R1464" t="s">
        <v>15211</v>
      </c>
      <c r="S1464" t="s">
        <v>15211</v>
      </c>
      <c r="T1464" t="s">
        <v>3368</v>
      </c>
      <c r="U1464" t="s">
        <v>13355</v>
      </c>
      <c r="V1464" t="s">
        <v>15232</v>
      </c>
    </row>
    <row r="1465" spans="1:22" hidden="1">
      <c r="A1465" t="s">
        <v>15328</v>
      </c>
      <c r="B1465" t="s">
        <v>15442</v>
      </c>
      <c r="C1465" t="s">
        <v>15450</v>
      </c>
      <c r="D1465" t="s">
        <v>1464</v>
      </c>
      <c r="E1465" t="s">
        <v>3452</v>
      </c>
      <c r="F1465" t="s">
        <v>3463</v>
      </c>
      <c r="G1465" s="3">
        <v>36.2755260162862</v>
      </c>
      <c r="H1465" s="3">
        <v>126.917395229775</v>
      </c>
      <c r="I1465" t="s">
        <v>5230</v>
      </c>
      <c r="J1465" t="s">
        <v>8589</v>
      </c>
      <c r="K1465" t="s">
        <v>11005</v>
      </c>
      <c r="L1465" t="s">
        <v>3366</v>
      </c>
      <c r="M1465" t="s">
        <v>11885</v>
      </c>
      <c r="N1465" t="s">
        <v>3364</v>
      </c>
      <c r="O1465" t="s">
        <v>3360</v>
      </c>
      <c r="P1465" t="s">
        <v>15211</v>
      </c>
      <c r="Q1465" t="s">
        <v>15211</v>
      </c>
      <c r="R1465" t="s">
        <v>15211</v>
      </c>
      <c r="S1465" t="s">
        <v>15211</v>
      </c>
      <c r="T1465" t="s">
        <v>3368</v>
      </c>
      <c r="U1465" t="s">
        <v>13356</v>
      </c>
      <c r="V1465" t="s">
        <v>15232</v>
      </c>
    </row>
    <row r="1466" spans="1:22" hidden="1">
      <c r="A1466" t="s">
        <v>15328</v>
      </c>
      <c r="B1466" t="s">
        <v>15442</v>
      </c>
      <c r="C1466" t="s">
        <v>15450</v>
      </c>
      <c r="D1466" t="s">
        <v>1465</v>
      </c>
      <c r="E1466" t="s">
        <v>3442</v>
      </c>
      <c r="F1466" t="s">
        <v>3462</v>
      </c>
      <c r="G1466" s="3">
        <v>36.2755259924377</v>
      </c>
      <c r="H1466" s="3">
        <v>126.917395281951</v>
      </c>
      <c r="I1466" t="s">
        <v>5231</v>
      </c>
      <c r="J1466" t="s">
        <v>8590</v>
      </c>
      <c r="K1466" t="s">
        <v>10661</v>
      </c>
      <c r="L1466" t="s">
        <v>3366</v>
      </c>
      <c r="M1466" t="s">
        <v>11885</v>
      </c>
      <c r="N1466" t="s">
        <v>3364</v>
      </c>
      <c r="O1466" t="s">
        <v>3360</v>
      </c>
      <c r="P1466" t="s">
        <v>15211</v>
      </c>
      <c r="Q1466" t="s">
        <v>15211</v>
      </c>
      <c r="R1466" t="s">
        <v>15211</v>
      </c>
      <c r="S1466" t="s">
        <v>15211</v>
      </c>
      <c r="T1466" t="s">
        <v>3368</v>
      </c>
      <c r="U1466" t="s">
        <v>13357</v>
      </c>
      <c r="V1466" t="s">
        <v>15232</v>
      </c>
    </row>
    <row r="1467" spans="1:22" hidden="1">
      <c r="A1467" t="s">
        <v>15329</v>
      </c>
      <c r="B1467" t="s">
        <v>15441</v>
      </c>
      <c r="C1467" t="s">
        <v>15445</v>
      </c>
      <c r="D1467" t="s">
        <v>1466</v>
      </c>
      <c r="E1467" t="s">
        <v>3440</v>
      </c>
      <c r="F1467" t="s">
        <v>3434</v>
      </c>
      <c r="G1467" s="3">
        <v>36.492465532651899</v>
      </c>
      <c r="H1467" s="3">
        <v>126.939830123535</v>
      </c>
      <c r="I1467" t="s">
        <v>5232</v>
      </c>
      <c r="J1467" t="s">
        <v>8591</v>
      </c>
      <c r="K1467" t="s">
        <v>11362</v>
      </c>
      <c r="L1467" t="s">
        <v>3366</v>
      </c>
      <c r="M1467" t="s">
        <v>11886</v>
      </c>
      <c r="N1467" t="s">
        <v>3364</v>
      </c>
      <c r="O1467" t="s">
        <v>3359</v>
      </c>
      <c r="P1467" t="s">
        <v>15211</v>
      </c>
      <c r="Q1467" t="s">
        <v>15211</v>
      </c>
      <c r="R1467" t="s">
        <v>15211</v>
      </c>
      <c r="S1467" t="s">
        <v>15211</v>
      </c>
      <c r="T1467" t="s">
        <v>3367</v>
      </c>
      <c r="U1467" t="s">
        <v>13358</v>
      </c>
      <c r="V1467" t="s">
        <v>15228</v>
      </c>
    </row>
    <row r="1468" spans="1:22" hidden="1">
      <c r="A1468" t="s">
        <v>15329</v>
      </c>
      <c r="B1468" t="s">
        <v>15441</v>
      </c>
      <c r="C1468" t="s">
        <v>15445</v>
      </c>
      <c r="D1468" t="s">
        <v>1467</v>
      </c>
      <c r="E1468" t="s">
        <v>3440</v>
      </c>
      <c r="F1468" t="s">
        <v>3435</v>
      </c>
      <c r="G1468" s="3">
        <v>36.492465565391697</v>
      </c>
      <c r="H1468" s="3">
        <v>126.939830145711</v>
      </c>
      <c r="I1468" t="s">
        <v>5233</v>
      </c>
      <c r="J1468" t="s">
        <v>8592</v>
      </c>
      <c r="K1468" t="s">
        <v>11362</v>
      </c>
      <c r="L1468" t="s">
        <v>3366</v>
      </c>
      <c r="M1468" t="s">
        <v>11886</v>
      </c>
      <c r="N1468" t="s">
        <v>3364</v>
      </c>
      <c r="O1468" t="s">
        <v>3359</v>
      </c>
      <c r="P1468" t="s">
        <v>15211</v>
      </c>
      <c r="Q1468" t="s">
        <v>15211</v>
      </c>
      <c r="R1468" t="s">
        <v>15211</v>
      </c>
      <c r="S1468" t="s">
        <v>15211</v>
      </c>
      <c r="T1468" t="s">
        <v>3367</v>
      </c>
      <c r="U1468" t="s">
        <v>13359</v>
      </c>
      <c r="V1468" t="s">
        <v>15228</v>
      </c>
    </row>
    <row r="1469" spans="1:22" hidden="1">
      <c r="A1469" t="s">
        <v>15329</v>
      </c>
      <c r="B1469" t="s">
        <v>15441</v>
      </c>
      <c r="C1469" t="s">
        <v>15445</v>
      </c>
      <c r="D1469" t="s">
        <v>1468</v>
      </c>
      <c r="E1469" t="s">
        <v>3440</v>
      </c>
      <c r="F1469" t="s">
        <v>3435</v>
      </c>
      <c r="G1469" s="3">
        <v>36.492465604579998</v>
      </c>
      <c r="H1469" s="3">
        <v>126.939830113632</v>
      </c>
      <c r="I1469" t="s">
        <v>5234</v>
      </c>
      <c r="J1469" t="s">
        <v>8593</v>
      </c>
      <c r="K1469" t="s">
        <v>11363</v>
      </c>
      <c r="L1469" t="s">
        <v>3366</v>
      </c>
      <c r="M1469" t="s">
        <v>11886</v>
      </c>
      <c r="N1469" t="s">
        <v>3364</v>
      </c>
      <c r="O1469" t="s">
        <v>3359</v>
      </c>
      <c r="P1469" t="s">
        <v>15211</v>
      </c>
      <c r="Q1469" t="s">
        <v>15211</v>
      </c>
      <c r="R1469" t="s">
        <v>15211</v>
      </c>
      <c r="S1469" t="s">
        <v>15211</v>
      </c>
      <c r="T1469" t="s">
        <v>3367</v>
      </c>
      <c r="U1469" t="s">
        <v>13360</v>
      </c>
      <c r="V1469" t="s">
        <v>15228</v>
      </c>
    </row>
    <row r="1470" spans="1:22" hidden="1">
      <c r="A1470" t="s">
        <v>15329</v>
      </c>
      <c r="B1470" t="s">
        <v>15441</v>
      </c>
      <c r="C1470" t="s">
        <v>15446</v>
      </c>
      <c r="D1470" t="s">
        <v>1469</v>
      </c>
      <c r="E1470" t="s">
        <v>3437</v>
      </c>
      <c r="F1470" t="s">
        <v>3431</v>
      </c>
      <c r="G1470" s="3">
        <v>36.492465640171098</v>
      </c>
      <c r="H1470" s="3">
        <v>126.93983005124301</v>
      </c>
      <c r="I1470" t="s">
        <v>5235</v>
      </c>
      <c r="J1470" t="s">
        <v>8594</v>
      </c>
      <c r="K1470" t="s">
        <v>3681</v>
      </c>
      <c r="L1470" t="s">
        <v>3366</v>
      </c>
      <c r="M1470" t="s">
        <v>11886</v>
      </c>
      <c r="N1470" t="s">
        <v>3364</v>
      </c>
      <c r="O1470" t="s">
        <v>3359</v>
      </c>
      <c r="P1470" t="s">
        <v>15211</v>
      </c>
      <c r="Q1470" t="s">
        <v>15211</v>
      </c>
      <c r="R1470" t="s">
        <v>15211</v>
      </c>
      <c r="S1470" t="s">
        <v>15211</v>
      </c>
      <c r="T1470" t="s">
        <v>3367</v>
      </c>
      <c r="U1470" t="s">
        <v>13361</v>
      </c>
      <c r="V1470" t="s">
        <v>15229</v>
      </c>
    </row>
    <row r="1471" spans="1:22" hidden="1">
      <c r="A1471" t="s">
        <v>15329</v>
      </c>
      <c r="B1471" t="s">
        <v>15441</v>
      </c>
      <c r="C1471" t="s">
        <v>15446</v>
      </c>
      <c r="D1471" t="s">
        <v>1470</v>
      </c>
      <c r="E1471" t="s">
        <v>3437</v>
      </c>
      <c r="F1471" t="s">
        <v>3431</v>
      </c>
      <c r="G1471" s="3">
        <v>36.492465620575601</v>
      </c>
      <c r="H1471" s="3">
        <v>126.939830059206</v>
      </c>
      <c r="I1471" t="s">
        <v>5236</v>
      </c>
      <c r="J1471" t="s">
        <v>8595</v>
      </c>
      <c r="K1471" t="s">
        <v>3681</v>
      </c>
      <c r="L1471" t="s">
        <v>3366</v>
      </c>
      <c r="M1471" t="s">
        <v>11886</v>
      </c>
      <c r="N1471" t="s">
        <v>3364</v>
      </c>
      <c r="O1471" t="s">
        <v>3359</v>
      </c>
      <c r="P1471" t="s">
        <v>15211</v>
      </c>
      <c r="Q1471" t="s">
        <v>15211</v>
      </c>
      <c r="R1471" t="s">
        <v>15211</v>
      </c>
      <c r="S1471" t="s">
        <v>15211</v>
      </c>
      <c r="T1471" t="s">
        <v>3367</v>
      </c>
      <c r="U1471" t="s">
        <v>13362</v>
      </c>
      <c r="V1471" t="s">
        <v>15229</v>
      </c>
    </row>
    <row r="1472" spans="1:22" hidden="1">
      <c r="A1472" t="s">
        <v>15329</v>
      </c>
      <c r="B1472" t="s">
        <v>15441</v>
      </c>
      <c r="C1472" t="s">
        <v>15446</v>
      </c>
      <c r="D1472" t="s">
        <v>1471</v>
      </c>
      <c r="E1472" t="s">
        <v>3437</v>
      </c>
      <c r="F1472" t="s">
        <v>3431</v>
      </c>
      <c r="G1472" s="3">
        <v>36.492465611451102</v>
      </c>
      <c r="H1472" s="3">
        <v>126.939830028939</v>
      </c>
      <c r="I1472" t="s">
        <v>5237</v>
      </c>
      <c r="J1472" t="s">
        <v>8596</v>
      </c>
      <c r="K1472" t="s">
        <v>10579</v>
      </c>
      <c r="L1472" t="s">
        <v>3366</v>
      </c>
      <c r="M1472" t="s">
        <v>11886</v>
      </c>
      <c r="N1472" t="s">
        <v>3364</v>
      </c>
      <c r="O1472" t="s">
        <v>3359</v>
      </c>
      <c r="P1472" t="s">
        <v>15211</v>
      </c>
      <c r="Q1472" t="s">
        <v>15211</v>
      </c>
      <c r="R1472" t="s">
        <v>15211</v>
      </c>
      <c r="S1472" t="s">
        <v>15211</v>
      </c>
      <c r="T1472" t="s">
        <v>3367</v>
      </c>
      <c r="U1472" t="s">
        <v>13363</v>
      </c>
      <c r="V1472" t="s">
        <v>15229</v>
      </c>
    </row>
    <row r="1473" spans="1:22" hidden="1">
      <c r="A1473" t="s">
        <v>15329</v>
      </c>
      <c r="B1473" t="s">
        <v>15441</v>
      </c>
      <c r="C1473" t="s">
        <v>15447</v>
      </c>
      <c r="D1473" t="s">
        <v>1472</v>
      </c>
      <c r="E1473" t="s">
        <v>3440</v>
      </c>
      <c r="F1473" t="s">
        <v>3435</v>
      </c>
      <c r="G1473" s="3">
        <v>36.4924655123299</v>
      </c>
      <c r="H1473" s="3">
        <v>126.939830003051</v>
      </c>
      <c r="I1473" t="s">
        <v>5238</v>
      </c>
      <c r="J1473" t="s">
        <v>8597</v>
      </c>
      <c r="K1473" t="s">
        <v>11364</v>
      </c>
      <c r="L1473" t="s">
        <v>3366</v>
      </c>
      <c r="M1473" t="s">
        <v>11892</v>
      </c>
      <c r="N1473" t="s">
        <v>3364</v>
      </c>
      <c r="O1473" t="s">
        <v>15211</v>
      </c>
      <c r="P1473" t="s">
        <v>15211</v>
      </c>
      <c r="Q1473" t="s">
        <v>15211</v>
      </c>
      <c r="R1473" t="s">
        <v>15211</v>
      </c>
      <c r="S1473" t="s">
        <v>15211</v>
      </c>
      <c r="T1473" t="s">
        <v>3364</v>
      </c>
      <c r="U1473" t="s">
        <v>13364</v>
      </c>
      <c r="V1473" t="s">
        <v>15235</v>
      </c>
    </row>
    <row r="1474" spans="1:22" hidden="1">
      <c r="A1474" t="s">
        <v>15329</v>
      </c>
      <c r="B1474" t="s">
        <v>15441</v>
      </c>
      <c r="C1474" t="s">
        <v>15447</v>
      </c>
      <c r="D1474" t="s">
        <v>1473</v>
      </c>
      <c r="E1474" t="s">
        <v>3438</v>
      </c>
      <c r="F1474" t="s">
        <v>3429</v>
      </c>
      <c r="G1474" s="3">
        <v>36.492465499987397</v>
      </c>
      <c r="H1474" s="3">
        <v>126.93982996926999</v>
      </c>
      <c r="I1474" t="s">
        <v>5239</v>
      </c>
      <c r="J1474" t="s">
        <v>8598</v>
      </c>
      <c r="K1474" t="s">
        <v>11365</v>
      </c>
      <c r="L1474" t="s">
        <v>3366</v>
      </c>
      <c r="M1474" t="s">
        <v>11892</v>
      </c>
      <c r="N1474" t="s">
        <v>3364</v>
      </c>
      <c r="O1474" t="s">
        <v>15211</v>
      </c>
      <c r="P1474" t="s">
        <v>15211</v>
      </c>
      <c r="Q1474" t="s">
        <v>15211</v>
      </c>
      <c r="R1474" t="s">
        <v>15211</v>
      </c>
      <c r="S1474" t="s">
        <v>15211</v>
      </c>
      <c r="T1474" t="s">
        <v>3364</v>
      </c>
      <c r="U1474" t="s">
        <v>13365</v>
      </c>
      <c r="V1474" t="s">
        <v>15235</v>
      </c>
    </row>
    <row r="1475" spans="1:22" hidden="1">
      <c r="A1475" t="s">
        <v>15329</v>
      </c>
      <c r="B1475" t="s">
        <v>15441</v>
      </c>
      <c r="C1475" t="s">
        <v>15447</v>
      </c>
      <c r="D1475" t="s">
        <v>1474</v>
      </c>
      <c r="E1475" t="s">
        <v>3440</v>
      </c>
      <c r="F1475" t="s">
        <v>3429</v>
      </c>
      <c r="G1475" s="3">
        <v>36.492465498890603</v>
      </c>
      <c r="H1475" s="3">
        <v>126.939829954286</v>
      </c>
      <c r="I1475" t="s">
        <v>5240</v>
      </c>
      <c r="J1475" t="s">
        <v>8599</v>
      </c>
      <c r="K1475" t="s">
        <v>10623</v>
      </c>
      <c r="L1475" t="s">
        <v>3366</v>
      </c>
      <c r="M1475" t="s">
        <v>11892</v>
      </c>
      <c r="N1475" t="s">
        <v>3364</v>
      </c>
      <c r="O1475" t="s">
        <v>15211</v>
      </c>
      <c r="P1475" t="s">
        <v>15211</v>
      </c>
      <c r="Q1475" t="s">
        <v>15211</v>
      </c>
      <c r="R1475" t="s">
        <v>15211</v>
      </c>
      <c r="S1475" t="s">
        <v>15211</v>
      </c>
      <c r="T1475" t="s">
        <v>3364</v>
      </c>
      <c r="U1475" t="s">
        <v>13366</v>
      </c>
      <c r="V1475" t="s">
        <v>15235</v>
      </c>
    </row>
    <row r="1476" spans="1:22" hidden="1">
      <c r="A1476" t="s">
        <v>15329</v>
      </c>
      <c r="B1476" t="s">
        <v>15441</v>
      </c>
      <c r="C1476" t="s">
        <v>15448</v>
      </c>
      <c r="D1476" t="s">
        <v>1475</v>
      </c>
      <c r="E1476" t="s">
        <v>3431</v>
      </c>
      <c r="F1476" t="s">
        <v>3450</v>
      </c>
      <c r="G1476" s="3">
        <v>36.492465590974803</v>
      </c>
      <c r="H1476" s="3">
        <v>126.93982987538401</v>
      </c>
      <c r="I1476" t="s">
        <v>5241</v>
      </c>
      <c r="J1476" t="s">
        <v>8600</v>
      </c>
      <c r="K1476" t="s">
        <v>3638</v>
      </c>
      <c r="L1476" t="s">
        <v>3366</v>
      </c>
      <c r="M1476" t="s">
        <v>11893</v>
      </c>
      <c r="N1476" t="s">
        <v>3364</v>
      </c>
      <c r="O1476" t="s">
        <v>3359</v>
      </c>
      <c r="P1476" t="s">
        <v>3364</v>
      </c>
      <c r="Q1476" t="s">
        <v>3360</v>
      </c>
      <c r="R1476" t="s">
        <v>3358</v>
      </c>
      <c r="S1476" t="s">
        <v>15211</v>
      </c>
      <c r="T1476" t="s">
        <v>3381</v>
      </c>
      <c r="U1476" t="s">
        <v>13367</v>
      </c>
      <c r="V1476" t="s">
        <v>15230</v>
      </c>
    </row>
    <row r="1477" spans="1:22" hidden="1">
      <c r="A1477" t="s">
        <v>15329</v>
      </c>
      <c r="B1477" t="s">
        <v>15441</v>
      </c>
      <c r="C1477" t="s">
        <v>15448</v>
      </c>
      <c r="D1477" t="s">
        <v>1476</v>
      </c>
      <c r="E1477" t="s">
        <v>3435</v>
      </c>
      <c r="F1477" t="s">
        <v>3511</v>
      </c>
      <c r="G1477" s="3">
        <v>36.492465595017499</v>
      </c>
      <c r="H1477" s="3">
        <v>126.93982986596799</v>
      </c>
      <c r="I1477" t="s">
        <v>5242</v>
      </c>
      <c r="J1477" t="s">
        <v>8601</v>
      </c>
      <c r="K1477" t="s">
        <v>10867</v>
      </c>
      <c r="L1477" t="s">
        <v>3366</v>
      </c>
      <c r="M1477" t="s">
        <v>11893</v>
      </c>
      <c r="N1477" t="s">
        <v>3364</v>
      </c>
      <c r="O1477" t="s">
        <v>3359</v>
      </c>
      <c r="P1477" t="s">
        <v>3364</v>
      </c>
      <c r="Q1477" t="s">
        <v>3360</v>
      </c>
      <c r="R1477" t="s">
        <v>3358</v>
      </c>
      <c r="S1477" t="s">
        <v>15211</v>
      </c>
      <c r="T1477" t="s">
        <v>3381</v>
      </c>
      <c r="U1477" t="s">
        <v>13368</v>
      </c>
      <c r="V1477" t="s">
        <v>15230</v>
      </c>
    </row>
    <row r="1478" spans="1:22" hidden="1">
      <c r="A1478" t="s">
        <v>15329</v>
      </c>
      <c r="B1478" t="s">
        <v>15441</v>
      </c>
      <c r="C1478" t="s">
        <v>15448</v>
      </c>
      <c r="D1478" t="s">
        <v>1477</v>
      </c>
      <c r="E1478" t="s">
        <v>3429</v>
      </c>
      <c r="F1478" t="s">
        <v>3515</v>
      </c>
      <c r="G1478" s="3">
        <v>36.492465614916597</v>
      </c>
      <c r="H1478" s="3">
        <v>126.939829841327</v>
      </c>
      <c r="I1478" t="s">
        <v>5243</v>
      </c>
      <c r="J1478" t="s">
        <v>8602</v>
      </c>
      <c r="K1478" t="s">
        <v>11366</v>
      </c>
      <c r="L1478" t="s">
        <v>3366</v>
      </c>
      <c r="M1478" t="s">
        <v>11893</v>
      </c>
      <c r="N1478" t="s">
        <v>3364</v>
      </c>
      <c r="O1478" t="s">
        <v>3359</v>
      </c>
      <c r="P1478" t="s">
        <v>3364</v>
      </c>
      <c r="Q1478" t="s">
        <v>3360</v>
      </c>
      <c r="R1478" t="s">
        <v>3358</v>
      </c>
      <c r="S1478" t="s">
        <v>15211</v>
      </c>
      <c r="T1478" t="s">
        <v>3381</v>
      </c>
      <c r="U1478" t="s">
        <v>13369</v>
      </c>
      <c r="V1478" t="s">
        <v>15230</v>
      </c>
    </row>
    <row r="1479" spans="1:22" hidden="1">
      <c r="A1479" t="s">
        <v>15329</v>
      </c>
      <c r="B1479" t="s">
        <v>15441</v>
      </c>
      <c r="C1479" t="s">
        <v>15449</v>
      </c>
      <c r="D1479" t="s">
        <v>1478</v>
      </c>
      <c r="E1479" t="s">
        <v>3427</v>
      </c>
      <c r="F1479" t="s">
        <v>3453</v>
      </c>
      <c r="G1479" s="3">
        <v>36.492465676574703</v>
      </c>
      <c r="H1479" s="3">
        <v>126.939829874136</v>
      </c>
      <c r="I1479" t="s">
        <v>5244</v>
      </c>
      <c r="J1479" t="s">
        <v>8603</v>
      </c>
      <c r="K1479" t="s">
        <v>10759</v>
      </c>
      <c r="L1479" t="s">
        <v>3366</v>
      </c>
      <c r="M1479" t="s">
        <v>11893</v>
      </c>
      <c r="N1479" t="s">
        <v>3364</v>
      </c>
      <c r="O1479" t="s">
        <v>3359</v>
      </c>
      <c r="P1479" t="s">
        <v>3364</v>
      </c>
      <c r="Q1479" t="s">
        <v>3360</v>
      </c>
      <c r="R1479" t="s">
        <v>3357</v>
      </c>
      <c r="S1479" t="s">
        <v>15211</v>
      </c>
      <c r="T1479" t="s">
        <v>3380</v>
      </c>
      <c r="U1479" t="s">
        <v>13370</v>
      </c>
      <c r="V1479" t="s">
        <v>15231</v>
      </c>
    </row>
    <row r="1480" spans="1:22" hidden="1">
      <c r="A1480" t="s">
        <v>15329</v>
      </c>
      <c r="B1480" t="s">
        <v>15441</v>
      </c>
      <c r="C1480" t="s">
        <v>15449</v>
      </c>
      <c r="D1480" t="s">
        <v>1479</v>
      </c>
      <c r="E1480" t="s">
        <v>3428</v>
      </c>
      <c r="F1480" t="s">
        <v>3432</v>
      </c>
      <c r="G1480" s="3">
        <v>36.492465687668101</v>
      </c>
      <c r="H1480" s="3">
        <v>126.939829884556</v>
      </c>
      <c r="I1480" t="s">
        <v>5245</v>
      </c>
      <c r="J1480" t="s">
        <v>8604</v>
      </c>
      <c r="K1480" t="s">
        <v>11367</v>
      </c>
      <c r="L1480" t="s">
        <v>3366</v>
      </c>
      <c r="M1480" t="s">
        <v>11891</v>
      </c>
      <c r="N1480" t="s">
        <v>3364</v>
      </c>
      <c r="O1480" t="s">
        <v>3358</v>
      </c>
      <c r="P1480" t="s">
        <v>3364</v>
      </c>
      <c r="Q1480" t="s">
        <v>3360</v>
      </c>
      <c r="R1480" t="s">
        <v>3358</v>
      </c>
      <c r="S1480" t="s">
        <v>15211</v>
      </c>
      <c r="T1480" t="s">
        <v>3380</v>
      </c>
      <c r="U1480" t="s">
        <v>13371</v>
      </c>
      <c r="V1480" t="s">
        <v>15231</v>
      </c>
    </row>
    <row r="1481" spans="1:22" hidden="1">
      <c r="A1481" t="s">
        <v>15329</v>
      </c>
      <c r="B1481" t="s">
        <v>15441</v>
      </c>
      <c r="C1481" t="s">
        <v>15449</v>
      </c>
      <c r="D1481" t="s">
        <v>1480</v>
      </c>
      <c r="E1481" t="s">
        <v>3436</v>
      </c>
      <c r="F1481" t="s">
        <v>3461</v>
      </c>
      <c r="G1481" s="3">
        <v>36.4924657028116</v>
      </c>
      <c r="H1481" s="3">
        <v>126.939829885554</v>
      </c>
      <c r="I1481" t="s">
        <v>5246</v>
      </c>
      <c r="J1481" t="s">
        <v>8605</v>
      </c>
      <c r="K1481" t="s">
        <v>11280</v>
      </c>
      <c r="L1481" t="s">
        <v>3366</v>
      </c>
      <c r="M1481" t="s">
        <v>11888</v>
      </c>
      <c r="N1481" t="s">
        <v>3364</v>
      </c>
      <c r="O1481" t="s">
        <v>15211</v>
      </c>
      <c r="P1481" t="s">
        <v>3364</v>
      </c>
      <c r="Q1481" t="s">
        <v>3360</v>
      </c>
      <c r="R1481" t="s">
        <v>3358</v>
      </c>
      <c r="S1481" t="s">
        <v>15211</v>
      </c>
      <c r="T1481" t="s">
        <v>3378</v>
      </c>
      <c r="U1481" t="s">
        <v>13372</v>
      </c>
      <c r="V1481" t="s">
        <v>15231</v>
      </c>
    </row>
    <row r="1482" spans="1:22" hidden="1">
      <c r="A1482" t="s">
        <v>15329</v>
      </c>
      <c r="B1482" t="s">
        <v>15442</v>
      </c>
      <c r="C1482" t="s">
        <v>15450</v>
      </c>
      <c r="D1482" t="s">
        <v>1481</v>
      </c>
      <c r="E1482" t="s">
        <v>3452</v>
      </c>
      <c r="F1482" t="s">
        <v>3511</v>
      </c>
      <c r="G1482" s="3">
        <v>36.492465720313703</v>
      </c>
      <c r="H1482" s="3">
        <v>126.939829972786</v>
      </c>
      <c r="I1482" t="s">
        <v>5247</v>
      </c>
      <c r="J1482" t="s">
        <v>8606</v>
      </c>
      <c r="K1482" t="s">
        <v>3681</v>
      </c>
      <c r="L1482" t="s">
        <v>3375</v>
      </c>
      <c r="M1482" t="s">
        <v>11886</v>
      </c>
      <c r="N1482" t="s">
        <v>3364</v>
      </c>
      <c r="O1482" t="s">
        <v>3359</v>
      </c>
      <c r="P1482" t="s">
        <v>15211</v>
      </c>
      <c r="Q1482" t="s">
        <v>15211</v>
      </c>
      <c r="R1482" t="s">
        <v>15211</v>
      </c>
      <c r="S1482" t="s">
        <v>15211</v>
      </c>
      <c r="T1482" t="s">
        <v>3367</v>
      </c>
      <c r="U1482" t="s">
        <v>13373</v>
      </c>
      <c r="V1482" t="s">
        <v>15232</v>
      </c>
    </row>
    <row r="1483" spans="1:22" hidden="1">
      <c r="A1483" t="s">
        <v>15329</v>
      </c>
      <c r="B1483" t="s">
        <v>15442</v>
      </c>
      <c r="C1483" t="s">
        <v>15450</v>
      </c>
      <c r="D1483" t="s">
        <v>1482</v>
      </c>
      <c r="E1483" t="s">
        <v>3431</v>
      </c>
      <c r="F1483" t="s">
        <v>3461</v>
      </c>
      <c r="G1483" s="3">
        <v>36.492465691429302</v>
      </c>
      <c r="H1483" s="3">
        <v>126.93982990860199</v>
      </c>
      <c r="I1483" t="s">
        <v>5248</v>
      </c>
      <c r="J1483" t="s">
        <v>8607</v>
      </c>
      <c r="K1483" t="s">
        <v>11034</v>
      </c>
      <c r="L1483" t="s">
        <v>3366</v>
      </c>
      <c r="M1483" t="s">
        <v>11886</v>
      </c>
      <c r="N1483" t="s">
        <v>3364</v>
      </c>
      <c r="O1483" t="s">
        <v>3359</v>
      </c>
      <c r="P1483" t="s">
        <v>15211</v>
      </c>
      <c r="Q1483" t="s">
        <v>15211</v>
      </c>
      <c r="R1483" t="s">
        <v>15211</v>
      </c>
      <c r="S1483" t="s">
        <v>15211</v>
      </c>
      <c r="T1483" t="s">
        <v>3367</v>
      </c>
      <c r="U1483" t="s">
        <v>13374</v>
      </c>
      <c r="V1483" t="s">
        <v>15232</v>
      </c>
    </row>
    <row r="1484" spans="1:22" hidden="1">
      <c r="A1484" t="s">
        <v>15329</v>
      </c>
      <c r="B1484" t="s">
        <v>15442</v>
      </c>
      <c r="C1484" t="s">
        <v>15450</v>
      </c>
      <c r="D1484" t="s">
        <v>1483</v>
      </c>
      <c r="E1484" t="s">
        <v>3425</v>
      </c>
      <c r="F1484" t="s">
        <v>3452</v>
      </c>
      <c r="G1484" s="3">
        <v>36.4924656840344</v>
      </c>
      <c r="H1484" s="3">
        <v>126.93982993114901</v>
      </c>
      <c r="I1484" t="s">
        <v>5249</v>
      </c>
      <c r="J1484" t="s">
        <v>8608</v>
      </c>
      <c r="K1484" t="s">
        <v>11363</v>
      </c>
      <c r="L1484" t="s">
        <v>3366</v>
      </c>
      <c r="M1484" t="s">
        <v>11886</v>
      </c>
      <c r="N1484" t="s">
        <v>3364</v>
      </c>
      <c r="O1484" t="s">
        <v>3359</v>
      </c>
      <c r="P1484" t="s">
        <v>15211</v>
      </c>
      <c r="Q1484" t="s">
        <v>15211</v>
      </c>
      <c r="R1484" t="s">
        <v>15211</v>
      </c>
      <c r="S1484" t="s">
        <v>15211</v>
      </c>
      <c r="T1484" t="s">
        <v>3367</v>
      </c>
      <c r="U1484" t="s">
        <v>13375</v>
      </c>
      <c r="V1484" t="s">
        <v>15232</v>
      </c>
    </row>
    <row r="1485" spans="1:22" hidden="1">
      <c r="A1485" t="s">
        <v>15329</v>
      </c>
      <c r="B1485" t="s">
        <v>15442</v>
      </c>
      <c r="C1485" t="s">
        <v>15445</v>
      </c>
      <c r="D1485" t="s">
        <v>1484</v>
      </c>
      <c r="E1485" t="s">
        <v>3437</v>
      </c>
      <c r="F1485" t="s">
        <v>3431</v>
      </c>
      <c r="G1485" s="3">
        <v>36.492465660026298</v>
      </c>
      <c r="H1485" s="3">
        <v>126.93982997171599</v>
      </c>
      <c r="I1485" t="s">
        <v>5250</v>
      </c>
      <c r="J1485" t="s">
        <v>8609</v>
      </c>
      <c r="K1485" t="s">
        <v>11362</v>
      </c>
      <c r="L1485" t="s">
        <v>3366</v>
      </c>
      <c r="M1485" t="s">
        <v>11886</v>
      </c>
      <c r="N1485" t="s">
        <v>3364</v>
      </c>
      <c r="O1485" t="s">
        <v>3359</v>
      </c>
      <c r="P1485" t="s">
        <v>15211</v>
      </c>
      <c r="Q1485" t="s">
        <v>15211</v>
      </c>
      <c r="R1485" t="s">
        <v>15211</v>
      </c>
      <c r="S1485" t="s">
        <v>15211</v>
      </c>
      <c r="T1485" t="s">
        <v>3367</v>
      </c>
      <c r="U1485" t="s">
        <v>13376</v>
      </c>
      <c r="V1485" t="s">
        <v>15233</v>
      </c>
    </row>
    <row r="1486" spans="1:22" hidden="1">
      <c r="A1486" t="s">
        <v>15329</v>
      </c>
      <c r="B1486" t="s">
        <v>15442</v>
      </c>
      <c r="C1486" t="s">
        <v>15445</v>
      </c>
      <c r="D1486" t="s">
        <v>1485</v>
      </c>
      <c r="E1486" t="s">
        <v>3437</v>
      </c>
      <c r="F1486" t="s">
        <v>3431</v>
      </c>
      <c r="G1486" s="3">
        <v>36.4924656909931</v>
      </c>
      <c r="H1486" s="3">
        <v>126.939829963425</v>
      </c>
      <c r="I1486" t="s">
        <v>5251</v>
      </c>
      <c r="J1486" t="s">
        <v>8610</v>
      </c>
      <c r="K1486" t="s">
        <v>11368</v>
      </c>
      <c r="L1486" t="s">
        <v>3366</v>
      </c>
      <c r="M1486" t="s">
        <v>11902</v>
      </c>
      <c r="N1486" t="s">
        <v>3364</v>
      </c>
      <c r="O1486" t="s">
        <v>3359</v>
      </c>
      <c r="P1486" t="s">
        <v>15211</v>
      </c>
      <c r="Q1486" t="s">
        <v>15211</v>
      </c>
      <c r="R1486" t="s">
        <v>15211</v>
      </c>
      <c r="S1486" t="s">
        <v>15211</v>
      </c>
      <c r="T1486" t="s">
        <v>3367</v>
      </c>
      <c r="U1486" t="s">
        <v>13377</v>
      </c>
      <c r="V1486" t="s">
        <v>15233</v>
      </c>
    </row>
    <row r="1487" spans="1:22" hidden="1">
      <c r="A1487" t="s">
        <v>15329</v>
      </c>
      <c r="B1487" t="s">
        <v>15442</v>
      </c>
      <c r="C1487" t="s">
        <v>15445</v>
      </c>
      <c r="D1487" t="s">
        <v>1486</v>
      </c>
      <c r="E1487" t="s">
        <v>3437</v>
      </c>
      <c r="F1487" t="s">
        <v>3431</v>
      </c>
      <c r="G1487" s="3">
        <v>36.492465683073597</v>
      </c>
      <c r="H1487" s="3">
        <v>126.93982992458599</v>
      </c>
      <c r="I1487" t="s">
        <v>5252</v>
      </c>
      <c r="J1487" t="s">
        <v>8611</v>
      </c>
      <c r="K1487" t="s">
        <v>10861</v>
      </c>
      <c r="L1487" t="s">
        <v>3366</v>
      </c>
      <c r="M1487" t="s">
        <v>11886</v>
      </c>
      <c r="N1487" t="s">
        <v>3364</v>
      </c>
      <c r="O1487" t="s">
        <v>3359</v>
      </c>
      <c r="P1487" t="s">
        <v>15211</v>
      </c>
      <c r="Q1487" t="s">
        <v>15211</v>
      </c>
      <c r="R1487" t="s">
        <v>15211</v>
      </c>
      <c r="S1487" t="s">
        <v>15211</v>
      </c>
      <c r="T1487" t="s">
        <v>3367</v>
      </c>
      <c r="U1487" t="s">
        <v>13378</v>
      </c>
      <c r="V1487" t="s">
        <v>15233</v>
      </c>
    </row>
    <row r="1488" spans="1:22" hidden="1">
      <c r="A1488" t="s">
        <v>15329</v>
      </c>
      <c r="B1488" t="s">
        <v>15442</v>
      </c>
      <c r="C1488" t="s">
        <v>15451</v>
      </c>
      <c r="D1488" t="s">
        <v>1487</v>
      </c>
      <c r="E1488" t="s">
        <v>3439</v>
      </c>
      <c r="F1488" t="s">
        <v>3436</v>
      </c>
      <c r="G1488" s="3">
        <v>36.492465673344</v>
      </c>
      <c r="H1488" s="3">
        <v>126.93982976295599</v>
      </c>
      <c r="I1488" t="s">
        <v>5253</v>
      </c>
      <c r="J1488" t="s">
        <v>8612</v>
      </c>
      <c r="K1488" t="s">
        <v>11347</v>
      </c>
      <c r="L1488" t="s">
        <v>3366</v>
      </c>
      <c r="M1488" t="s">
        <v>11896</v>
      </c>
      <c r="N1488" t="s">
        <v>3364</v>
      </c>
      <c r="O1488" t="s">
        <v>3359</v>
      </c>
      <c r="P1488" t="s">
        <v>3364</v>
      </c>
      <c r="Q1488" t="s">
        <v>3360</v>
      </c>
      <c r="R1488" t="s">
        <v>15211</v>
      </c>
      <c r="S1488" t="s">
        <v>15211</v>
      </c>
      <c r="T1488" t="s">
        <v>3379</v>
      </c>
      <c r="U1488" t="s">
        <v>13379</v>
      </c>
      <c r="V1488" t="s">
        <v>15234</v>
      </c>
    </row>
    <row r="1489" spans="1:22" hidden="1">
      <c r="A1489" t="s">
        <v>15329</v>
      </c>
      <c r="B1489" t="s">
        <v>15442</v>
      </c>
      <c r="C1489" t="s">
        <v>15451</v>
      </c>
      <c r="D1489" t="s">
        <v>1488</v>
      </c>
      <c r="E1489" t="s">
        <v>3443</v>
      </c>
      <c r="F1489" t="s">
        <v>3436</v>
      </c>
      <c r="G1489" s="3">
        <v>36.492465691406899</v>
      </c>
      <c r="H1489" s="3">
        <v>126.939829765192</v>
      </c>
      <c r="I1489" t="s">
        <v>5254</v>
      </c>
      <c r="J1489" t="s">
        <v>8613</v>
      </c>
      <c r="K1489" t="s">
        <v>11369</v>
      </c>
      <c r="L1489" t="s">
        <v>3366</v>
      </c>
      <c r="M1489" t="s">
        <v>11896</v>
      </c>
      <c r="N1489" t="s">
        <v>3364</v>
      </c>
      <c r="O1489" t="s">
        <v>3359</v>
      </c>
      <c r="P1489" t="s">
        <v>3364</v>
      </c>
      <c r="Q1489" t="s">
        <v>3361</v>
      </c>
      <c r="R1489" t="s">
        <v>15211</v>
      </c>
      <c r="S1489" t="s">
        <v>15211</v>
      </c>
      <c r="T1489" t="s">
        <v>3380</v>
      </c>
      <c r="U1489" t="s">
        <v>13380</v>
      </c>
      <c r="V1489" t="s">
        <v>15234</v>
      </c>
    </row>
    <row r="1490" spans="1:22" hidden="1">
      <c r="A1490" t="s">
        <v>15329</v>
      </c>
      <c r="B1490" t="s">
        <v>15442</v>
      </c>
      <c r="C1490" t="s">
        <v>15451</v>
      </c>
      <c r="D1490" t="s">
        <v>1489</v>
      </c>
      <c r="E1490" t="s">
        <v>3439</v>
      </c>
      <c r="F1490" t="s">
        <v>3436</v>
      </c>
      <c r="G1490" s="3">
        <v>36.492465665212798</v>
      </c>
      <c r="H1490" s="3">
        <v>126.939829763617</v>
      </c>
      <c r="I1490" t="s">
        <v>5255</v>
      </c>
      <c r="J1490" t="s">
        <v>8614</v>
      </c>
      <c r="K1490" t="s">
        <v>11370</v>
      </c>
      <c r="L1490" t="s">
        <v>3366</v>
      </c>
      <c r="M1490" t="s">
        <v>11896</v>
      </c>
      <c r="N1490" t="s">
        <v>3364</v>
      </c>
      <c r="O1490" t="s">
        <v>3359</v>
      </c>
      <c r="P1490" t="s">
        <v>3364</v>
      </c>
      <c r="Q1490" t="s">
        <v>3360</v>
      </c>
      <c r="R1490" t="s">
        <v>15211</v>
      </c>
      <c r="S1490" t="s">
        <v>15211</v>
      </c>
      <c r="T1490" t="s">
        <v>3379</v>
      </c>
      <c r="U1490" t="s">
        <v>13381</v>
      </c>
      <c r="V1490" t="s">
        <v>15234</v>
      </c>
    </row>
    <row r="1491" spans="1:22">
      <c r="A1491" t="s">
        <v>15329</v>
      </c>
      <c r="B1491" t="s">
        <v>15443</v>
      </c>
      <c r="C1491" t="s">
        <v>15452</v>
      </c>
      <c r="D1491" t="s">
        <v>1490</v>
      </c>
      <c r="E1491" t="s">
        <v>3428</v>
      </c>
      <c r="F1491" t="s">
        <v>3452</v>
      </c>
      <c r="G1491" s="3">
        <v>36.492465562241499</v>
      </c>
      <c r="H1491" s="3">
        <v>126.939829627564</v>
      </c>
      <c r="I1491" t="s">
        <v>5256</v>
      </c>
      <c r="J1491" t="s">
        <v>8615</v>
      </c>
      <c r="K1491" t="s">
        <v>10561</v>
      </c>
      <c r="L1491" t="s">
        <v>3366</v>
      </c>
      <c r="M1491" t="s">
        <v>11894</v>
      </c>
      <c r="N1491" t="s">
        <v>3358</v>
      </c>
      <c r="O1491" t="s">
        <v>15211</v>
      </c>
      <c r="P1491" t="s">
        <v>3364</v>
      </c>
      <c r="Q1491" t="s">
        <v>3360</v>
      </c>
      <c r="R1491" t="s">
        <v>15211</v>
      </c>
      <c r="S1491" t="s">
        <v>15211</v>
      </c>
      <c r="T1491" t="s">
        <v>3370</v>
      </c>
      <c r="U1491" t="s">
        <v>13382</v>
      </c>
      <c r="V1491" t="s">
        <v>15220</v>
      </c>
    </row>
    <row r="1492" spans="1:22">
      <c r="A1492" t="s">
        <v>15329</v>
      </c>
      <c r="B1492" t="s">
        <v>15443</v>
      </c>
      <c r="C1492" t="s">
        <v>15452</v>
      </c>
      <c r="D1492" t="s">
        <v>1491</v>
      </c>
      <c r="E1492" t="s">
        <v>3428</v>
      </c>
      <c r="F1492" t="s">
        <v>3462</v>
      </c>
      <c r="G1492" s="3">
        <v>36.492465547343102</v>
      </c>
      <c r="H1492" s="3">
        <v>126.93982964117301</v>
      </c>
      <c r="I1492" t="s">
        <v>5257</v>
      </c>
      <c r="J1492" t="s">
        <v>8616</v>
      </c>
      <c r="K1492" t="s">
        <v>11371</v>
      </c>
      <c r="L1492" t="s">
        <v>3366</v>
      </c>
      <c r="M1492" t="s">
        <v>11894</v>
      </c>
      <c r="N1492" t="s">
        <v>3358</v>
      </c>
      <c r="O1492" t="s">
        <v>15211</v>
      </c>
      <c r="P1492" t="s">
        <v>3364</v>
      </c>
      <c r="Q1492" t="s">
        <v>3360</v>
      </c>
      <c r="R1492" t="s">
        <v>15211</v>
      </c>
      <c r="S1492" t="s">
        <v>15211</v>
      </c>
      <c r="T1492" t="s">
        <v>3370</v>
      </c>
      <c r="U1492" t="s">
        <v>13383</v>
      </c>
      <c r="V1492" t="s">
        <v>15220</v>
      </c>
    </row>
    <row r="1493" spans="1:22">
      <c r="A1493" t="s">
        <v>15329</v>
      </c>
      <c r="B1493" t="s">
        <v>15443</v>
      </c>
      <c r="C1493" t="s">
        <v>15452</v>
      </c>
      <c r="D1493" t="s">
        <v>1492</v>
      </c>
      <c r="E1493" t="s">
        <v>3428</v>
      </c>
      <c r="F1493" t="s">
        <v>3461</v>
      </c>
      <c r="G1493" s="3">
        <v>36.492465573835503</v>
      </c>
      <c r="H1493" s="3">
        <v>126.939829618212</v>
      </c>
      <c r="I1493" t="s">
        <v>5258</v>
      </c>
      <c r="J1493" t="s">
        <v>8617</v>
      </c>
      <c r="K1493" t="s">
        <v>10640</v>
      </c>
      <c r="L1493" t="s">
        <v>3366</v>
      </c>
      <c r="M1493" t="s">
        <v>11894</v>
      </c>
      <c r="N1493" t="s">
        <v>3358</v>
      </c>
      <c r="O1493" t="s">
        <v>15211</v>
      </c>
      <c r="P1493" t="s">
        <v>3364</v>
      </c>
      <c r="Q1493" t="s">
        <v>3360</v>
      </c>
      <c r="R1493" t="s">
        <v>15211</v>
      </c>
      <c r="S1493" t="s">
        <v>15211</v>
      </c>
      <c r="T1493" t="s">
        <v>3370</v>
      </c>
      <c r="U1493" t="s">
        <v>13384</v>
      </c>
      <c r="V1493" t="s">
        <v>15220</v>
      </c>
    </row>
    <row r="1494" spans="1:22" ht="17.399999999999999" hidden="1">
      <c r="A1494" t="s">
        <v>15330</v>
      </c>
      <c r="B1494" t="s">
        <v>15441</v>
      </c>
      <c r="C1494" t="s">
        <v>15449</v>
      </c>
      <c r="D1494" t="s">
        <v>1493</v>
      </c>
      <c r="E1494" t="s">
        <v>3461</v>
      </c>
      <c r="F1494" t="s">
        <v>3543</v>
      </c>
      <c r="G1494" s="3">
        <v>36.572559125242698</v>
      </c>
      <c r="H1494" s="3">
        <v>127.040125063838</v>
      </c>
      <c r="I1494" t="s">
        <v>5259</v>
      </c>
      <c r="J1494" t="s">
        <v>8618</v>
      </c>
      <c r="K1494" t="s">
        <v>10661</v>
      </c>
      <c r="L1494" t="s">
        <v>3373</v>
      </c>
      <c r="M1494" t="s">
        <v>11889</v>
      </c>
      <c r="N1494" t="s">
        <v>3363</v>
      </c>
      <c r="O1494" t="s">
        <v>15211</v>
      </c>
      <c r="P1494" t="s">
        <v>3366</v>
      </c>
      <c r="Q1494" t="s">
        <v>3358</v>
      </c>
      <c r="R1494" t="s">
        <v>3358</v>
      </c>
      <c r="S1494" t="s">
        <v>15211</v>
      </c>
      <c r="T1494" t="s">
        <v>3377</v>
      </c>
      <c r="U1494" t="s">
        <v>13385</v>
      </c>
      <c r="V1494" t="s">
        <v>15231</v>
      </c>
    </row>
    <row r="1495" spans="1:22" hidden="1">
      <c r="A1495" t="s">
        <v>15331</v>
      </c>
      <c r="B1495" t="s">
        <v>15441</v>
      </c>
      <c r="C1495" t="s">
        <v>15445</v>
      </c>
      <c r="D1495" t="s">
        <v>1494</v>
      </c>
      <c r="E1495" t="s">
        <v>3433</v>
      </c>
      <c r="F1495" t="s">
        <v>3465</v>
      </c>
      <c r="G1495" s="3">
        <v>36.680131601184897</v>
      </c>
      <c r="H1495" s="3">
        <v>126.990867843839</v>
      </c>
      <c r="I1495" t="s">
        <v>5260</v>
      </c>
      <c r="J1495" t="s">
        <v>8619</v>
      </c>
      <c r="K1495" t="s">
        <v>11372</v>
      </c>
      <c r="L1495" t="s">
        <v>3366</v>
      </c>
      <c r="M1495" t="s">
        <v>11902</v>
      </c>
      <c r="N1495" t="s">
        <v>3362</v>
      </c>
      <c r="O1495" t="s">
        <v>3360</v>
      </c>
      <c r="P1495" t="s">
        <v>15211</v>
      </c>
      <c r="Q1495" t="s">
        <v>15211</v>
      </c>
      <c r="R1495" t="s">
        <v>15211</v>
      </c>
      <c r="S1495" t="s">
        <v>15211</v>
      </c>
      <c r="T1495" t="s">
        <v>3366</v>
      </c>
      <c r="U1495" t="s">
        <v>13386</v>
      </c>
      <c r="V1495" t="s">
        <v>15228</v>
      </c>
    </row>
    <row r="1496" spans="1:22" hidden="1">
      <c r="A1496" t="s">
        <v>15331</v>
      </c>
      <c r="B1496" t="s">
        <v>15441</v>
      </c>
      <c r="C1496" t="s">
        <v>15445</v>
      </c>
      <c r="D1496" t="s">
        <v>1495</v>
      </c>
      <c r="E1496" t="s">
        <v>3452</v>
      </c>
      <c r="F1496" t="s">
        <v>3465</v>
      </c>
      <c r="G1496" s="3">
        <v>36.680131579210702</v>
      </c>
      <c r="H1496" s="3">
        <v>126.990867823752</v>
      </c>
      <c r="I1496" t="s">
        <v>5261</v>
      </c>
      <c r="J1496" t="s">
        <v>8620</v>
      </c>
      <c r="K1496" t="s">
        <v>11373</v>
      </c>
      <c r="L1496" t="s">
        <v>3366</v>
      </c>
      <c r="M1496" t="s">
        <v>11902</v>
      </c>
      <c r="N1496" t="s">
        <v>3362</v>
      </c>
      <c r="O1496" t="s">
        <v>3360</v>
      </c>
      <c r="P1496" t="s">
        <v>15211</v>
      </c>
      <c r="Q1496" t="s">
        <v>15211</v>
      </c>
      <c r="R1496" t="s">
        <v>15211</v>
      </c>
      <c r="S1496" t="s">
        <v>15211</v>
      </c>
      <c r="T1496" t="s">
        <v>3366</v>
      </c>
      <c r="U1496" t="s">
        <v>13387</v>
      </c>
      <c r="V1496" t="s">
        <v>15228</v>
      </c>
    </row>
    <row r="1497" spans="1:22" hidden="1">
      <c r="A1497" t="s">
        <v>15331</v>
      </c>
      <c r="B1497" t="s">
        <v>15441</v>
      </c>
      <c r="C1497" t="s">
        <v>15445</v>
      </c>
      <c r="D1497" t="s">
        <v>1496</v>
      </c>
      <c r="E1497" t="s">
        <v>3452</v>
      </c>
      <c r="F1497" t="s">
        <v>3465</v>
      </c>
      <c r="G1497" s="3">
        <v>36.680131608647898</v>
      </c>
      <c r="H1497" s="3">
        <v>126.990867807886</v>
      </c>
      <c r="I1497" t="s">
        <v>5262</v>
      </c>
      <c r="J1497" t="s">
        <v>8621</v>
      </c>
      <c r="K1497" t="s">
        <v>11373</v>
      </c>
      <c r="L1497" t="s">
        <v>3366</v>
      </c>
      <c r="M1497" t="s">
        <v>11902</v>
      </c>
      <c r="N1497" t="s">
        <v>3362</v>
      </c>
      <c r="O1497" t="s">
        <v>3360</v>
      </c>
      <c r="P1497" t="s">
        <v>15211</v>
      </c>
      <c r="Q1497" t="s">
        <v>15211</v>
      </c>
      <c r="R1497" t="s">
        <v>15211</v>
      </c>
      <c r="S1497" t="s">
        <v>15211</v>
      </c>
      <c r="T1497" t="s">
        <v>3366</v>
      </c>
      <c r="U1497" t="s">
        <v>13388</v>
      </c>
      <c r="V1497" t="s">
        <v>15228</v>
      </c>
    </row>
    <row r="1498" spans="1:22" hidden="1">
      <c r="A1498" t="s">
        <v>15331</v>
      </c>
      <c r="B1498" t="s">
        <v>15441</v>
      </c>
      <c r="C1498" t="s">
        <v>15446</v>
      </c>
      <c r="D1498" t="s">
        <v>1497</v>
      </c>
      <c r="E1498" t="s">
        <v>3450</v>
      </c>
      <c r="F1498" t="s">
        <v>3466</v>
      </c>
      <c r="G1498" s="3">
        <v>36.680131745392003</v>
      </c>
      <c r="H1498" s="3">
        <v>126.990867887904</v>
      </c>
      <c r="I1498" t="s">
        <v>5263</v>
      </c>
      <c r="J1498" t="s">
        <v>8622</v>
      </c>
      <c r="K1498" t="s">
        <v>11374</v>
      </c>
      <c r="L1498" t="s">
        <v>3397</v>
      </c>
      <c r="M1498" t="s">
        <v>11902</v>
      </c>
      <c r="N1498" t="s">
        <v>3362</v>
      </c>
      <c r="O1498" t="s">
        <v>3360</v>
      </c>
      <c r="P1498" t="s">
        <v>15211</v>
      </c>
      <c r="Q1498" t="s">
        <v>15211</v>
      </c>
      <c r="R1498" t="s">
        <v>15211</v>
      </c>
      <c r="S1498" t="s">
        <v>15211</v>
      </c>
      <c r="T1498" t="s">
        <v>3366</v>
      </c>
      <c r="U1498" t="s">
        <v>13389</v>
      </c>
      <c r="V1498" t="s">
        <v>15229</v>
      </c>
    </row>
    <row r="1499" spans="1:22" hidden="1">
      <c r="A1499" t="s">
        <v>15331</v>
      </c>
      <c r="B1499" t="s">
        <v>15441</v>
      </c>
      <c r="C1499" t="s">
        <v>15446</v>
      </c>
      <c r="D1499" t="s">
        <v>1498</v>
      </c>
      <c r="E1499" t="s">
        <v>3435</v>
      </c>
      <c r="F1499" t="s">
        <v>3441</v>
      </c>
      <c r="G1499" s="3">
        <v>36.680131630629901</v>
      </c>
      <c r="H1499" s="3">
        <v>126.990867775974</v>
      </c>
      <c r="I1499" t="s">
        <v>5264</v>
      </c>
      <c r="J1499" t="s">
        <v>8623</v>
      </c>
      <c r="K1499" t="s">
        <v>11375</v>
      </c>
      <c r="L1499" t="s">
        <v>3366</v>
      </c>
      <c r="M1499" t="s">
        <v>11902</v>
      </c>
      <c r="N1499" t="s">
        <v>3362</v>
      </c>
      <c r="O1499" t="s">
        <v>3360</v>
      </c>
      <c r="P1499" t="s">
        <v>15211</v>
      </c>
      <c r="Q1499" t="s">
        <v>15211</v>
      </c>
      <c r="R1499" t="s">
        <v>15211</v>
      </c>
      <c r="S1499" t="s">
        <v>15211</v>
      </c>
      <c r="T1499" t="s">
        <v>3366</v>
      </c>
      <c r="U1499" t="s">
        <v>13390</v>
      </c>
      <c r="V1499" t="s">
        <v>15229</v>
      </c>
    </row>
    <row r="1500" spans="1:22" hidden="1">
      <c r="A1500" t="s">
        <v>15331</v>
      </c>
      <c r="B1500" t="s">
        <v>15441</v>
      </c>
      <c r="C1500" t="s">
        <v>15446</v>
      </c>
      <c r="D1500" t="s">
        <v>1499</v>
      </c>
      <c r="E1500" t="s">
        <v>3430</v>
      </c>
      <c r="F1500" t="s">
        <v>3461</v>
      </c>
      <c r="G1500" s="3">
        <v>36.680131678303802</v>
      </c>
      <c r="H1500" s="3">
        <v>126.990867770425</v>
      </c>
      <c r="I1500" t="s">
        <v>5265</v>
      </c>
      <c r="J1500" t="s">
        <v>8624</v>
      </c>
      <c r="K1500" t="s">
        <v>10924</v>
      </c>
      <c r="L1500" t="s">
        <v>3366</v>
      </c>
      <c r="M1500" t="s">
        <v>11902</v>
      </c>
      <c r="N1500" t="s">
        <v>3362</v>
      </c>
      <c r="O1500" t="s">
        <v>3360</v>
      </c>
      <c r="P1500" t="s">
        <v>15211</v>
      </c>
      <c r="Q1500" t="s">
        <v>15211</v>
      </c>
      <c r="R1500" t="s">
        <v>15211</v>
      </c>
      <c r="S1500" t="s">
        <v>15211</v>
      </c>
      <c r="T1500" t="s">
        <v>3366</v>
      </c>
      <c r="U1500" t="s">
        <v>13391</v>
      </c>
      <c r="V1500" t="s">
        <v>15229</v>
      </c>
    </row>
    <row r="1501" spans="1:22" hidden="1">
      <c r="A1501" t="s">
        <v>15331</v>
      </c>
      <c r="B1501" t="s">
        <v>15441</v>
      </c>
      <c r="C1501" t="s">
        <v>15448</v>
      </c>
      <c r="D1501" t="s">
        <v>1500</v>
      </c>
      <c r="E1501" t="s">
        <v>3452</v>
      </c>
      <c r="F1501" t="s">
        <v>3563</v>
      </c>
      <c r="G1501" s="3">
        <v>36.680131499702298</v>
      </c>
      <c r="H1501" s="3">
        <v>126.990867713719</v>
      </c>
      <c r="I1501" t="s">
        <v>5266</v>
      </c>
      <c r="J1501" t="s">
        <v>8625</v>
      </c>
      <c r="K1501" t="s">
        <v>10802</v>
      </c>
      <c r="L1501" t="s">
        <v>3366</v>
      </c>
      <c r="M1501" t="s">
        <v>11891</v>
      </c>
      <c r="N1501" t="s">
        <v>3362</v>
      </c>
      <c r="O1501" t="s">
        <v>3360</v>
      </c>
      <c r="P1501" t="s">
        <v>3364</v>
      </c>
      <c r="Q1501" t="s">
        <v>3361</v>
      </c>
      <c r="R1501" t="s">
        <v>3357</v>
      </c>
      <c r="S1501" t="s">
        <v>15211</v>
      </c>
      <c r="T1501" t="s">
        <v>3380</v>
      </c>
      <c r="U1501" t="s">
        <v>13392</v>
      </c>
      <c r="V1501" t="s">
        <v>15230</v>
      </c>
    </row>
    <row r="1502" spans="1:22" hidden="1">
      <c r="A1502" t="s">
        <v>15331</v>
      </c>
      <c r="B1502" t="s">
        <v>15441</v>
      </c>
      <c r="C1502" t="s">
        <v>15448</v>
      </c>
      <c r="D1502" t="s">
        <v>1501</v>
      </c>
      <c r="E1502" t="s">
        <v>3433</v>
      </c>
      <c r="F1502" t="s">
        <v>3611</v>
      </c>
      <c r="G1502" s="3">
        <v>36.680131503037103</v>
      </c>
      <c r="H1502" s="3">
        <v>126.990867769952</v>
      </c>
      <c r="I1502" t="s">
        <v>5267</v>
      </c>
      <c r="J1502" t="s">
        <v>8626</v>
      </c>
      <c r="K1502" t="s">
        <v>3742</v>
      </c>
      <c r="L1502" t="s">
        <v>3366</v>
      </c>
      <c r="M1502" t="s">
        <v>11893</v>
      </c>
      <c r="N1502" t="s">
        <v>3363</v>
      </c>
      <c r="O1502" t="s">
        <v>3360</v>
      </c>
      <c r="P1502" t="s">
        <v>3364</v>
      </c>
      <c r="Q1502" t="s">
        <v>3361</v>
      </c>
      <c r="R1502" t="s">
        <v>3357</v>
      </c>
      <c r="S1502" t="s">
        <v>15211</v>
      </c>
      <c r="T1502" t="s">
        <v>3381</v>
      </c>
      <c r="U1502" t="s">
        <v>13393</v>
      </c>
      <c r="V1502" t="s">
        <v>15230</v>
      </c>
    </row>
    <row r="1503" spans="1:22" hidden="1">
      <c r="A1503" t="s">
        <v>15331</v>
      </c>
      <c r="B1503" t="s">
        <v>15441</v>
      </c>
      <c r="C1503" t="s">
        <v>15448</v>
      </c>
      <c r="D1503" t="s">
        <v>1502</v>
      </c>
      <c r="E1503" t="s">
        <v>3432</v>
      </c>
      <c r="F1503" t="s">
        <v>3467</v>
      </c>
      <c r="G1503" s="3">
        <v>36.680131511099802</v>
      </c>
      <c r="H1503" s="3">
        <v>126.99086779276099</v>
      </c>
      <c r="I1503" t="s">
        <v>5268</v>
      </c>
      <c r="J1503" t="s">
        <v>8627</v>
      </c>
      <c r="K1503" t="s">
        <v>10698</v>
      </c>
      <c r="L1503" t="s">
        <v>3366</v>
      </c>
      <c r="M1503" t="s">
        <v>11912</v>
      </c>
      <c r="N1503" t="s">
        <v>3363</v>
      </c>
      <c r="O1503" t="s">
        <v>3360</v>
      </c>
      <c r="P1503" t="s">
        <v>3364</v>
      </c>
      <c r="Q1503" t="s">
        <v>3361</v>
      </c>
      <c r="R1503" t="s">
        <v>3358</v>
      </c>
      <c r="S1503" t="s">
        <v>15211</v>
      </c>
      <c r="T1503" t="s">
        <v>3382</v>
      </c>
      <c r="U1503" t="s">
        <v>13394</v>
      </c>
      <c r="V1503" t="s">
        <v>15230</v>
      </c>
    </row>
    <row r="1504" spans="1:22" hidden="1">
      <c r="A1504" t="s">
        <v>15331</v>
      </c>
      <c r="B1504" t="s">
        <v>15441</v>
      </c>
      <c r="C1504" t="s">
        <v>15449</v>
      </c>
      <c r="D1504" t="s">
        <v>1503</v>
      </c>
      <c r="E1504" t="s">
        <v>3453</v>
      </c>
      <c r="F1504" t="s">
        <v>3464</v>
      </c>
      <c r="G1504" s="3">
        <v>36.680131442803898</v>
      </c>
      <c r="H1504" s="3">
        <v>126.990867719956</v>
      </c>
      <c r="I1504" t="s">
        <v>5269</v>
      </c>
      <c r="J1504" t="s">
        <v>8628</v>
      </c>
      <c r="K1504" t="s">
        <v>11376</v>
      </c>
      <c r="L1504" t="s">
        <v>3366</v>
      </c>
      <c r="M1504" t="s">
        <v>11888</v>
      </c>
      <c r="N1504" t="s">
        <v>3361</v>
      </c>
      <c r="O1504" t="s">
        <v>3359</v>
      </c>
      <c r="P1504" t="s">
        <v>3364</v>
      </c>
      <c r="Q1504" t="s">
        <v>3361</v>
      </c>
      <c r="R1504" t="s">
        <v>3357</v>
      </c>
      <c r="S1504" t="s">
        <v>15211</v>
      </c>
      <c r="T1504" t="s">
        <v>3378</v>
      </c>
      <c r="U1504" t="s">
        <v>13395</v>
      </c>
      <c r="V1504" t="s">
        <v>15231</v>
      </c>
    </row>
    <row r="1505" spans="1:22" hidden="1">
      <c r="A1505" t="s">
        <v>15331</v>
      </c>
      <c r="B1505" t="s">
        <v>15441</v>
      </c>
      <c r="C1505" t="s">
        <v>15449</v>
      </c>
      <c r="D1505" t="s">
        <v>1504</v>
      </c>
      <c r="E1505" t="s">
        <v>3442</v>
      </c>
      <c r="F1505" t="s">
        <v>3579</v>
      </c>
      <c r="G1505" s="3">
        <v>36.680131427095297</v>
      </c>
      <c r="H1505" s="3">
        <v>126.99086773803</v>
      </c>
      <c r="I1505" t="s">
        <v>5270</v>
      </c>
      <c r="J1505" t="s">
        <v>8629</v>
      </c>
      <c r="K1505" t="s">
        <v>10696</v>
      </c>
      <c r="L1505" t="s">
        <v>3366</v>
      </c>
      <c r="M1505" t="s">
        <v>11889</v>
      </c>
      <c r="N1505" t="s">
        <v>3361</v>
      </c>
      <c r="O1505" t="s">
        <v>3359</v>
      </c>
      <c r="P1505" t="s">
        <v>3365</v>
      </c>
      <c r="Q1505" t="s">
        <v>3359</v>
      </c>
      <c r="R1505" t="s">
        <v>3357</v>
      </c>
      <c r="S1505" t="s">
        <v>15211</v>
      </c>
      <c r="T1505" t="s">
        <v>3377</v>
      </c>
      <c r="U1505" t="s">
        <v>13396</v>
      </c>
      <c r="V1505" t="s">
        <v>15231</v>
      </c>
    </row>
    <row r="1506" spans="1:22" hidden="1">
      <c r="A1506" t="s">
        <v>15331</v>
      </c>
      <c r="B1506" t="s">
        <v>15441</v>
      </c>
      <c r="C1506" t="s">
        <v>15449</v>
      </c>
      <c r="D1506" t="s">
        <v>1505</v>
      </c>
      <c r="E1506" t="s">
        <v>3442</v>
      </c>
      <c r="F1506" t="s">
        <v>3511</v>
      </c>
      <c r="G1506" s="3">
        <v>36.680131384163197</v>
      </c>
      <c r="H1506" s="3">
        <v>126.99086767429399</v>
      </c>
      <c r="I1506" t="s">
        <v>5271</v>
      </c>
      <c r="J1506" t="s">
        <v>8630</v>
      </c>
      <c r="K1506" t="s">
        <v>10665</v>
      </c>
      <c r="L1506" t="s">
        <v>3366</v>
      </c>
      <c r="M1506" t="s">
        <v>11896</v>
      </c>
      <c r="N1506" t="s">
        <v>3361</v>
      </c>
      <c r="O1506" t="s">
        <v>3359</v>
      </c>
      <c r="P1506" t="s">
        <v>3365</v>
      </c>
      <c r="Q1506" t="s">
        <v>3360</v>
      </c>
      <c r="R1506" t="s">
        <v>3357</v>
      </c>
      <c r="S1506" t="s">
        <v>15211</v>
      </c>
      <c r="T1506" t="s">
        <v>3378</v>
      </c>
      <c r="U1506" t="s">
        <v>13397</v>
      </c>
      <c r="V1506" t="s">
        <v>15231</v>
      </c>
    </row>
    <row r="1507" spans="1:22" hidden="1">
      <c r="A1507" t="s">
        <v>15331</v>
      </c>
      <c r="B1507" t="s">
        <v>15442</v>
      </c>
      <c r="C1507" t="s">
        <v>15445</v>
      </c>
      <c r="D1507" t="s">
        <v>1506</v>
      </c>
      <c r="E1507" t="s">
        <v>3442</v>
      </c>
      <c r="F1507" t="s">
        <v>3511</v>
      </c>
      <c r="G1507" s="3">
        <v>36.680131591893002</v>
      </c>
      <c r="H1507" s="3">
        <v>126.990867887549</v>
      </c>
      <c r="I1507" t="s">
        <v>5272</v>
      </c>
      <c r="J1507" t="s">
        <v>8631</v>
      </c>
      <c r="K1507" t="s">
        <v>11100</v>
      </c>
      <c r="L1507" t="s">
        <v>3366</v>
      </c>
      <c r="M1507" t="s">
        <v>11902</v>
      </c>
      <c r="N1507" t="s">
        <v>3362</v>
      </c>
      <c r="O1507" t="s">
        <v>3360</v>
      </c>
      <c r="P1507" t="s">
        <v>15211</v>
      </c>
      <c r="Q1507" t="s">
        <v>15211</v>
      </c>
      <c r="R1507" t="s">
        <v>15211</v>
      </c>
      <c r="S1507" t="s">
        <v>15211</v>
      </c>
      <c r="T1507" t="s">
        <v>3366</v>
      </c>
      <c r="U1507" t="s">
        <v>13398</v>
      </c>
      <c r="V1507" t="s">
        <v>15233</v>
      </c>
    </row>
    <row r="1508" spans="1:22" hidden="1">
      <c r="A1508" t="s">
        <v>15331</v>
      </c>
      <c r="B1508" t="s">
        <v>15442</v>
      </c>
      <c r="C1508" t="s">
        <v>15445</v>
      </c>
      <c r="D1508" t="s">
        <v>1507</v>
      </c>
      <c r="E1508" t="s">
        <v>3430</v>
      </c>
      <c r="F1508" t="s">
        <v>3449</v>
      </c>
      <c r="G1508" s="3">
        <v>36.680131454799998</v>
      </c>
      <c r="H1508" s="3">
        <v>126.990867734237</v>
      </c>
      <c r="I1508" t="s">
        <v>5273</v>
      </c>
      <c r="J1508" t="s">
        <v>8632</v>
      </c>
      <c r="K1508" t="s">
        <v>10642</v>
      </c>
      <c r="L1508" t="s">
        <v>3366</v>
      </c>
      <c r="M1508" t="s">
        <v>11902</v>
      </c>
      <c r="N1508" t="s">
        <v>3362</v>
      </c>
      <c r="O1508" t="s">
        <v>3360</v>
      </c>
      <c r="P1508" t="s">
        <v>15211</v>
      </c>
      <c r="Q1508" t="s">
        <v>15211</v>
      </c>
      <c r="R1508" t="s">
        <v>15211</v>
      </c>
      <c r="S1508" t="s">
        <v>15211</v>
      </c>
      <c r="T1508" t="s">
        <v>3366</v>
      </c>
      <c r="U1508" t="s">
        <v>13399</v>
      </c>
      <c r="V1508" t="s">
        <v>15233</v>
      </c>
    </row>
    <row r="1509" spans="1:22" hidden="1">
      <c r="A1509" t="s">
        <v>15331</v>
      </c>
      <c r="B1509" t="s">
        <v>15442</v>
      </c>
      <c r="C1509" t="s">
        <v>15445</v>
      </c>
      <c r="D1509" t="s">
        <v>1508</v>
      </c>
      <c r="E1509" t="s">
        <v>3430</v>
      </c>
      <c r="F1509" t="s">
        <v>3511</v>
      </c>
      <c r="G1509" s="3">
        <v>36.6801314657272</v>
      </c>
      <c r="H1509" s="3">
        <v>126.99086772035</v>
      </c>
      <c r="I1509" t="s">
        <v>5274</v>
      </c>
      <c r="J1509" t="s">
        <v>8633</v>
      </c>
      <c r="K1509" t="s">
        <v>10641</v>
      </c>
      <c r="L1509" t="s">
        <v>3366</v>
      </c>
      <c r="M1509" t="s">
        <v>11902</v>
      </c>
      <c r="N1509" t="s">
        <v>3362</v>
      </c>
      <c r="O1509" t="s">
        <v>3360</v>
      </c>
      <c r="P1509" t="s">
        <v>15211</v>
      </c>
      <c r="Q1509" t="s">
        <v>15211</v>
      </c>
      <c r="R1509" t="s">
        <v>15211</v>
      </c>
      <c r="S1509" t="s">
        <v>15211</v>
      </c>
      <c r="T1509" t="s">
        <v>3366</v>
      </c>
      <c r="U1509" t="s">
        <v>13400</v>
      </c>
      <c r="V1509" t="s">
        <v>15233</v>
      </c>
    </row>
    <row r="1510" spans="1:22" hidden="1">
      <c r="A1510" t="s">
        <v>15331</v>
      </c>
      <c r="B1510" t="s">
        <v>15442</v>
      </c>
      <c r="C1510" t="s">
        <v>15451</v>
      </c>
      <c r="D1510" t="s">
        <v>1509</v>
      </c>
      <c r="E1510" t="s">
        <v>3427</v>
      </c>
      <c r="F1510" t="s">
        <v>3430</v>
      </c>
      <c r="G1510" s="3">
        <v>36.680131388656498</v>
      </c>
      <c r="H1510" s="3">
        <v>126.99086775523899</v>
      </c>
      <c r="I1510" t="s">
        <v>5275</v>
      </c>
      <c r="J1510" t="s">
        <v>8634</v>
      </c>
      <c r="K1510" t="s">
        <v>11377</v>
      </c>
      <c r="L1510" t="s">
        <v>3366</v>
      </c>
      <c r="M1510" t="s">
        <v>11899</v>
      </c>
      <c r="N1510" t="s">
        <v>3362</v>
      </c>
      <c r="O1510" t="s">
        <v>3360</v>
      </c>
      <c r="P1510" t="s">
        <v>15211</v>
      </c>
      <c r="Q1510" t="s">
        <v>15211</v>
      </c>
      <c r="R1510" t="s">
        <v>15211</v>
      </c>
      <c r="S1510" t="s">
        <v>15211</v>
      </c>
      <c r="T1510" t="s">
        <v>3366</v>
      </c>
      <c r="U1510" t="s">
        <v>13401</v>
      </c>
      <c r="V1510" t="s">
        <v>15234</v>
      </c>
    </row>
    <row r="1511" spans="1:22" hidden="1">
      <c r="A1511" t="s">
        <v>15331</v>
      </c>
      <c r="B1511" t="s">
        <v>15442</v>
      </c>
      <c r="C1511" t="s">
        <v>15451</v>
      </c>
      <c r="D1511" t="s">
        <v>1510</v>
      </c>
      <c r="E1511" t="s">
        <v>3436</v>
      </c>
      <c r="F1511" t="s">
        <v>3453</v>
      </c>
      <c r="G1511" s="3">
        <v>36.680131434996603</v>
      </c>
      <c r="H1511" s="3">
        <v>126.990867734904</v>
      </c>
      <c r="I1511" t="s">
        <v>5276</v>
      </c>
      <c r="J1511" t="s">
        <v>8635</v>
      </c>
      <c r="K1511" t="s">
        <v>10925</v>
      </c>
      <c r="L1511" t="s">
        <v>3366</v>
      </c>
      <c r="M1511" t="s">
        <v>11899</v>
      </c>
      <c r="N1511" t="s">
        <v>3362</v>
      </c>
      <c r="O1511" t="s">
        <v>3360</v>
      </c>
      <c r="P1511" t="s">
        <v>15211</v>
      </c>
      <c r="Q1511" t="s">
        <v>15211</v>
      </c>
      <c r="R1511" t="s">
        <v>15211</v>
      </c>
      <c r="S1511" t="s">
        <v>15211</v>
      </c>
      <c r="T1511" t="s">
        <v>3366</v>
      </c>
      <c r="U1511" t="s">
        <v>13402</v>
      </c>
      <c r="V1511" t="s">
        <v>15234</v>
      </c>
    </row>
    <row r="1512" spans="1:22" hidden="1">
      <c r="A1512" t="s">
        <v>15331</v>
      </c>
      <c r="B1512" t="s">
        <v>15442</v>
      </c>
      <c r="C1512" t="s">
        <v>15451</v>
      </c>
      <c r="D1512" t="s">
        <v>1511</v>
      </c>
      <c r="E1512" t="s">
        <v>3425</v>
      </c>
      <c r="F1512" t="s">
        <v>3432</v>
      </c>
      <c r="G1512" s="3">
        <v>36.680131430929599</v>
      </c>
      <c r="H1512" s="3">
        <v>126.990867771757</v>
      </c>
      <c r="I1512" t="s">
        <v>5277</v>
      </c>
      <c r="J1512" t="s">
        <v>8636</v>
      </c>
      <c r="K1512" t="s">
        <v>3506</v>
      </c>
      <c r="L1512" t="s">
        <v>3366</v>
      </c>
      <c r="M1512" t="s">
        <v>11908</v>
      </c>
      <c r="N1512" t="s">
        <v>3362</v>
      </c>
      <c r="O1512" t="s">
        <v>3360</v>
      </c>
      <c r="P1512" t="s">
        <v>15211</v>
      </c>
      <c r="Q1512" t="s">
        <v>15211</v>
      </c>
      <c r="R1512" t="s">
        <v>15211</v>
      </c>
      <c r="S1512" t="s">
        <v>15211</v>
      </c>
      <c r="T1512" t="s">
        <v>3366</v>
      </c>
      <c r="U1512" t="s">
        <v>13403</v>
      </c>
      <c r="V1512" t="s">
        <v>15234</v>
      </c>
    </row>
    <row r="1513" spans="1:22" ht="17.399999999999999" hidden="1">
      <c r="A1513" t="s">
        <v>15332</v>
      </c>
      <c r="B1513" t="s">
        <v>15441</v>
      </c>
      <c r="C1513" t="s">
        <v>15445</v>
      </c>
      <c r="D1513" t="s">
        <v>1512</v>
      </c>
      <c r="E1513" t="s">
        <v>3443</v>
      </c>
      <c r="F1513" t="s">
        <v>3440</v>
      </c>
      <c r="G1513" s="3">
        <v>36.448964271022497</v>
      </c>
      <c r="H1513" s="3">
        <v>126.78757951390099</v>
      </c>
      <c r="I1513" t="s">
        <v>5278</v>
      </c>
      <c r="J1513" t="s">
        <v>8637</v>
      </c>
      <c r="K1513" t="s">
        <v>11378</v>
      </c>
      <c r="L1513" t="s">
        <v>3366</v>
      </c>
      <c r="M1513" t="s">
        <v>11890</v>
      </c>
      <c r="N1513" t="s">
        <v>3364</v>
      </c>
      <c r="O1513" t="s">
        <v>3361</v>
      </c>
      <c r="P1513" t="s">
        <v>15211</v>
      </c>
      <c r="Q1513" t="s">
        <v>15211</v>
      </c>
      <c r="R1513" t="s">
        <v>15211</v>
      </c>
      <c r="S1513" t="s">
        <v>15211</v>
      </c>
      <c r="T1513" t="s">
        <v>3369</v>
      </c>
      <c r="U1513" t="s">
        <v>13404</v>
      </c>
      <c r="V1513" t="s">
        <v>15228</v>
      </c>
    </row>
    <row r="1514" spans="1:22" ht="17.399999999999999" hidden="1">
      <c r="A1514" t="s">
        <v>15332</v>
      </c>
      <c r="B1514" t="s">
        <v>15441</v>
      </c>
      <c r="C1514" t="s">
        <v>15445</v>
      </c>
      <c r="D1514" t="s">
        <v>1513</v>
      </c>
      <c r="E1514" t="s">
        <v>3457</v>
      </c>
      <c r="F1514" t="s">
        <v>3437</v>
      </c>
      <c r="G1514" s="3">
        <v>36.448964275744103</v>
      </c>
      <c r="H1514" s="3">
        <v>126.787579488308</v>
      </c>
      <c r="I1514" t="s">
        <v>5279</v>
      </c>
      <c r="J1514" t="s">
        <v>8638</v>
      </c>
      <c r="K1514" t="s">
        <v>11250</v>
      </c>
      <c r="L1514" t="s">
        <v>3366</v>
      </c>
      <c r="M1514" t="s">
        <v>11890</v>
      </c>
      <c r="N1514" t="s">
        <v>3364</v>
      </c>
      <c r="O1514" t="s">
        <v>3361</v>
      </c>
      <c r="P1514" t="s">
        <v>15211</v>
      </c>
      <c r="Q1514" t="s">
        <v>15211</v>
      </c>
      <c r="R1514" t="s">
        <v>15211</v>
      </c>
      <c r="S1514" t="s">
        <v>15211</v>
      </c>
      <c r="T1514" t="s">
        <v>3369</v>
      </c>
      <c r="U1514" t="s">
        <v>13405</v>
      </c>
      <c r="V1514" t="s">
        <v>15228</v>
      </c>
    </row>
    <row r="1515" spans="1:22" ht="17.399999999999999" hidden="1">
      <c r="A1515" t="s">
        <v>15332</v>
      </c>
      <c r="B1515" t="s">
        <v>15441</v>
      </c>
      <c r="C1515" t="s">
        <v>15445</v>
      </c>
      <c r="D1515" t="s">
        <v>1514</v>
      </c>
      <c r="E1515" t="s">
        <v>3457</v>
      </c>
      <c r="F1515" t="s">
        <v>3437</v>
      </c>
      <c r="G1515" s="3">
        <v>36.448964271746902</v>
      </c>
      <c r="H1515" s="3">
        <v>126.787579468838</v>
      </c>
      <c r="I1515" t="s">
        <v>5280</v>
      </c>
      <c r="J1515" t="s">
        <v>8639</v>
      </c>
      <c r="K1515" t="s">
        <v>11379</v>
      </c>
      <c r="L1515" t="s">
        <v>3366</v>
      </c>
      <c r="M1515" t="s">
        <v>11890</v>
      </c>
      <c r="N1515" t="s">
        <v>3364</v>
      </c>
      <c r="O1515" t="s">
        <v>3361</v>
      </c>
      <c r="P1515" t="s">
        <v>15211</v>
      </c>
      <c r="Q1515" t="s">
        <v>15211</v>
      </c>
      <c r="R1515" t="s">
        <v>15211</v>
      </c>
      <c r="S1515" t="s">
        <v>15211</v>
      </c>
      <c r="T1515" t="s">
        <v>3369</v>
      </c>
      <c r="U1515" t="s">
        <v>13406</v>
      </c>
      <c r="V1515" t="s">
        <v>15228</v>
      </c>
    </row>
    <row r="1516" spans="1:22" ht="17.399999999999999" hidden="1">
      <c r="A1516" t="s">
        <v>15332</v>
      </c>
      <c r="B1516" t="s">
        <v>15441</v>
      </c>
      <c r="C1516" t="s">
        <v>15446</v>
      </c>
      <c r="D1516" t="s">
        <v>1515</v>
      </c>
      <c r="E1516" t="s">
        <v>3457</v>
      </c>
      <c r="F1516" t="s">
        <v>3437</v>
      </c>
      <c r="G1516" s="3">
        <v>36.448964274953902</v>
      </c>
      <c r="H1516" s="3">
        <v>126.78757951046801</v>
      </c>
      <c r="I1516" t="s">
        <v>5281</v>
      </c>
      <c r="J1516" t="s">
        <v>8640</v>
      </c>
      <c r="K1516" t="s">
        <v>10538</v>
      </c>
      <c r="L1516" t="s">
        <v>3366</v>
      </c>
      <c r="M1516" t="s">
        <v>11890</v>
      </c>
      <c r="N1516" t="s">
        <v>3364</v>
      </c>
      <c r="O1516" t="s">
        <v>3361</v>
      </c>
      <c r="P1516" t="s">
        <v>15211</v>
      </c>
      <c r="Q1516" t="s">
        <v>15211</v>
      </c>
      <c r="R1516" t="s">
        <v>15211</v>
      </c>
      <c r="S1516" t="s">
        <v>15211</v>
      </c>
      <c r="T1516" t="s">
        <v>3369</v>
      </c>
      <c r="U1516" t="s">
        <v>13407</v>
      </c>
      <c r="V1516" t="s">
        <v>15229</v>
      </c>
    </row>
    <row r="1517" spans="1:22" ht="17.399999999999999" hidden="1">
      <c r="A1517" t="s">
        <v>15332</v>
      </c>
      <c r="B1517" t="s">
        <v>15441</v>
      </c>
      <c r="C1517" t="s">
        <v>15446</v>
      </c>
      <c r="D1517" t="s">
        <v>1516</v>
      </c>
      <c r="E1517" t="s">
        <v>3457</v>
      </c>
      <c r="F1517" t="s">
        <v>3437</v>
      </c>
      <c r="G1517" s="3">
        <v>36.448964257787203</v>
      </c>
      <c r="H1517" s="3">
        <v>126.78757950632099</v>
      </c>
      <c r="I1517" t="s">
        <v>5282</v>
      </c>
      <c r="J1517" t="s">
        <v>8641</v>
      </c>
      <c r="K1517" t="s">
        <v>10539</v>
      </c>
      <c r="L1517" t="s">
        <v>3366</v>
      </c>
      <c r="M1517" t="s">
        <v>11890</v>
      </c>
      <c r="N1517" t="s">
        <v>3364</v>
      </c>
      <c r="O1517" t="s">
        <v>3361</v>
      </c>
      <c r="P1517" t="s">
        <v>15211</v>
      </c>
      <c r="Q1517" t="s">
        <v>15211</v>
      </c>
      <c r="R1517" t="s">
        <v>15211</v>
      </c>
      <c r="S1517" t="s">
        <v>15211</v>
      </c>
      <c r="T1517" t="s">
        <v>3369</v>
      </c>
      <c r="U1517" t="s">
        <v>13408</v>
      </c>
      <c r="V1517" t="s">
        <v>15229</v>
      </c>
    </row>
    <row r="1518" spans="1:22" ht="17.399999999999999" hidden="1">
      <c r="A1518" t="s">
        <v>15332</v>
      </c>
      <c r="B1518" t="s">
        <v>15441</v>
      </c>
      <c r="C1518" t="s">
        <v>15446</v>
      </c>
      <c r="D1518" t="s">
        <v>1517</v>
      </c>
      <c r="E1518" t="s">
        <v>3457</v>
      </c>
      <c r="F1518" t="s">
        <v>3437</v>
      </c>
      <c r="G1518" s="3">
        <v>36.448964266590103</v>
      </c>
      <c r="H1518" s="3">
        <v>126.787579511505</v>
      </c>
      <c r="I1518" t="s">
        <v>5283</v>
      </c>
      <c r="J1518" t="s">
        <v>8642</v>
      </c>
      <c r="K1518" t="s">
        <v>10728</v>
      </c>
      <c r="L1518" t="s">
        <v>3366</v>
      </c>
      <c r="M1518" t="s">
        <v>11890</v>
      </c>
      <c r="N1518" t="s">
        <v>3364</v>
      </c>
      <c r="O1518" t="s">
        <v>3361</v>
      </c>
      <c r="P1518" t="s">
        <v>15211</v>
      </c>
      <c r="Q1518" t="s">
        <v>15211</v>
      </c>
      <c r="R1518" t="s">
        <v>15211</v>
      </c>
      <c r="S1518" t="s">
        <v>15211</v>
      </c>
      <c r="T1518" t="s">
        <v>3369</v>
      </c>
      <c r="U1518" t="s">
        <v>13409</v>
      </c>
      <c r="V1518" t="s">
        <v>15229</v>
      </c>
    </row>
    <row r="1519" spans="1:22" ht="17.399999999999999" hidden="1">
      <c r="A1519" t="s">
        <v>15332</v>
      </c>
      <c r="B1519" t="s">
        <v>15441</v>
      </c>
      <c r="C1519" t="s">
        <v>15447</v>
      </c>
      <c r="D1519" t="s">
        <v>1518</v>
      </c>
      <c r="E1519" t="s">
        <v>3439</v>
      </c>
      <c r="F1519" t="s">
        <v>3427</v>
      </c>
      <c r="G1519" s="3">
        <v>36.448964259975803</v>
      </c>
      <c r="H1519" s="3">
        <v>126.78757953029</v>
      </c>
      <c r="I1519" t="s">
        <v>5284</v>
      </c>
      <c r="J1519" t="s">
        <v>8643</v>
      </c>
      <c r="K1519" t="s">
        <v>11380</v>
      </c>
      <c r="L1519" t="s">
        <v>3366</v>
      </c>
      <c r="M1519" t="s">
        <v>11892</v>
      </c>
      <c r="N1519" t="s">
        <v>3364</v>
      </c>
      <c r="O1519" t="s">
        <v>15211</v>
      </c>
      <c r="P1519" t="s">
        <v>15211</v>
      </c>
      <c r="Q1519" t="s">
        <v>15211</v>
      </c>
      <c r="R1519" t="s">
        <v>15211</v>
      </c>
      <c r="S1519" t="s">
        <v>15211</v>
      </c>
      <c r="T1519" t="s">
        <v>3364</v>
      </c>
      <c r="U1519" t="s">
        <v>13410</v>
      </c>
      <c r="V1519" t="s">
        <v>15235</v>
      </c>
    </row>
    <row r="1520" spans="1:22" ht="17.399999999999999" hidden="1">
      <c r="A1520" t="s">
        <v>15332</v>
      </c>
      <c r="B1520" t="s">
        <v>15441</v>
      </c>
      <c r="C1520" t="s">
        <v>15447</v>
      </c>
      <c r="D1520" t="s">
        <v>1519</v>
      </c>
      <c r="E1520" t="s">
        <v>3443</v>
      </c>
      <c r="F1520" t="s">
        <v>3427</v>
      </c>
      <c r="G1520" s="3">
        <v>36.448964244720301</v>
      </c>
      <c r="H1520" s="3">
        <v>126.787579536542</v>
      </c>
      <c r="I1520" t="s">
        <v>5285</v>
      </c>
      <c r="J1520" t="s">
        <v>8644</v>
      </c>
      <c r="K1520" t="s">
        <v>11380</v>
      </c>
      <c r="L1520" t="s">
        <v>3366</v>
      </c>
      <c r="M1520" t="s">
        <v>11892</v>
      </c>
      <c r="N1520" t="s">
        <v>3364</v>
      </c>
      <c r="O1520" t="s">
        <v>15211</v>
      </c>
      <c r="P1520" t="s">
        <v>15211</v>
      </c>
      <c r="Q1520" t="s">
        <v>15211</v>
      </c>
      <c r="R1520" t="s">
        <v>15211</v>
      </c>
      <c r="S1520" t="s">
        <v>15211</v>
      </c>
      <c r="T1520" t="s">
        <v>3364</v>
      </c>
      <c r="U1520" t="s">
        <v>13411</v>
      </c>
      <c r="V1520" t="s">
        <v>15235</v>
      </c>
    </row>
    <row r="1521" spans="1:22" ht="17.399999999999999" hidden="1">
      <c r="A1521" t="s">
        <v>15332</v>
      </c>
      <c r="B1521" t="s">
        <v>15441</v>
      </c>
      <c r="C1521" t="s">
        <v>15447</v>
      </c>
      <c r="D1521" t="s">
        <v>1520</v>
      </c>
      <c r="E1521" t="s">
        <v>3443</v>
      </c>
      <c r="F1521" t="s">
        <v>3438</v>
      </c>
      <c r="G1521" s="3">
        <v>36.448964250621103</v>
      </c>
      <c r="H1521" s="3">
        <v>126.787579542226</v>
      </c>
      <c r="I1521" t="s">
        <v>5286</v>
      </c>
      <c r="J1521" t="s">
        <v>8645</v>
      </c>
      <c r="K1521" t="s">
        <v>11380</v>
      </c>
      <c r="L1521" t="s">
        <v>3366</v>
      </c>
      <c r="M1521" t="s">
        <v>11892</v>
      </c>
      <c r="N1521" t="s">
        <v>3364</v>
      </c>
      <c r="O1521" t="s">
        <v>15211</v>
      </c>
      <c r="P1521" t="s">
        <v>15211</v>
      </c>
      <c r="Q1521" t="s">
        <v>15211</v>
      </c>
      <c r="R1521" t="s">
        <v>15211</v>
      </c>
      <c r="S1521" t="s">
        <v>15211</v>
      </c>
      <c r="T1521" t="s">
        <v>3364</v>
      </c>
      <c r="U1521" t="s">
        <v>13412</v>
      </c>
      <c r="V1521" t="s">
        <v>15235</v>
      </c>
    </row>
    <row r="1522" spans="1:22" ht="17.399999999999999" hidden="1">
      <c r="A1522" t="s">
        <v>15332</v>
      </c>
      <c r="B1522" t="s">
        <v>15441</v>
      </c>
      <c r="C1522" t="s">
        <v>15448</v>
      </c>
      <c r="D1522" t="s">
        <v>1521</v>
      </c>
      <c r="E1522" t="s">
        <v>3439</v>
      </c>
      <c r="F1522" t="s">
        <v>3427</v>
      </c>
      <c r="G1522" s="3">
        <v>36.448964265829702</v>
      </c>
      <c r="H1522" s="3">
        <v>126.787579540751</v>
      </c>
      <c r="I1522" t="s">
        <v>5287</v>
      </c>
      <c r="J1522" t="s">
        <v>8646</v>
      </c>
      <c r="K1522" t="s">
        <v>3735</v>
      </c>
      <c r="L1522" t="s">
        <v>3366</v>
      </c>
      <c r="M1522" t="s">
        <v>11911</v>
      </c>
      <c r="N1522" t="s">
        <v>3365</v>
      </c>
      <c r="O1522" t="s">
        <v>3361</v>
      </c>
      <c r="P1522" t="s">
        <v>3364</v>
      </c>
      <c r="Q1522" t="s">
        <v>3362</v>
      </c>
      <c r="R1522" t="s">
        <v>3357</v>
      </c>
      <c r="S1522" t="s">
        <v>15211</v>
      </c>
      <c r="T1522" t="s">
        <v>3385</v>
      </c>
      <c r="U1522" t="s">
        <v>13413</v>
      </c>
      <c r="V1522" t="s">
        <v>15230</v>
      </c>
    </row>
    <row r="1523" spans="1:22" ht="17.399999999999999" hidden="1">
      <c r="A1523" t="s">
        <v>15332</v>
      </c>
      <c r="B1523" t="s">
        <v>15441</v>
      </c>
      <c r="C1523" t="s">
        <v>15448</v>
      </c>
      <c r="D1523" t="s">
        <v>1522</v>
      </c>
      <c r="E1523" t="s">
        <v>3439</v>
      </c>
      <c r="F1523" t="s">
        <v>3427</v>
      </c>
      <c r="G1523" s="3">
        <v>36.448964276020497</v>
      </c>
      <c r="H1523" s="3">
        <v>126.78757954168699</v>
      </c>
      <c r="I1523" t="s">
        <v>5288</v>
      </c>
      <c r="J1523" t="s">
        <v>8647</v>
      </c>
      <c r="K1523" t="s">
        <v>3735</v>
      </c>
      <c r="L1523" t="s">
        <v>3366</v>
      </c>
      <c r="M1523" t="s">
        <v>11911</v>
      </c>
      <c r="N1523" t="s">
        <v>3365</v>
      </c>
      <c r="O1523" t="s">
        <v>3361</v>
      </c>
      <c r="P1523" t="s">
        <v>3364</v>
      </c>
      <c r="Q1523" t="s">
        <v>3362</v>
      </c>
      <c r="R1523" t="s">
        <v>3357</v>
      </c>
      <c r="S1523" t="s">
        <v>15211</v>
      </c>
      <c r="T1523" t="s">
        <v>3385</v>
      </c>
      <c r="U1523" t="s">
        <v>13414</v>
      </c>
      <c r="V1523" t="s">
        <v>15230</v>
      </c>
    </row>
    <row r="1524" spans="1:22" ht="17.399999999999999" hidden="1">
      <c r="A1524" t="s">
        <v>15332</v>
      </c>
      <c r="B1524" t="s">
        <v>15441</v>
      </c>
      <c r="C1524" t="s">
        <v>15448</v>
      </c>
      <c r="D1524" t="s">
        <v>1523</v>
      </c>
      <c r="E1524" t="s">
        <v>3437</v>
      </c>
      <c r="F1524" t="s">
        <v>3436</v>
      </c>
      <c r="G1524" s="3">
        <v>36.448964284952602</v>
      </c>
      <c r="H1524" s="3">
        <v>126.78757954856</v>
      </c>
      <c r="I1524" t="s">
        <v>5289</v>
      </c>
      <c r="J1524" t="s">
        <v>8648</v>
      </c>
      <c r="K1524" t="s">
        <v>11072</v>
      </c>
      <c r="L1524" t="s">
        <v>3366</v>
      </c>
      <c r="M1524" t="s">
        <v>11910</v>
      </c>
      <c r="N1524" t="s">
        <v>3365</v>
      </c>
      <c r="O1524" t="s">
        <v>3361</v>
      </c>
      <c r="P1524" t="s">
        <v>3364</v>
      </c>
      <c r="Q1524" t="s">
        <v>3362</v>
      </c>
      <c r="R1524" t="s">
        <v>3357</v>
      </c>
      <c r="S1524" t="s">
        <v>15211</v>
      </c>
      <c r="T1524" t="s">
        <v>3385</v>
      </c>
      <c r="U1524" t="s">
        <v>13415</v>
      </c>
      <c r="V1524" t="s">
        <v>15230</v>
      </c>
    </row>
    <row r="1525" spans="1:22" ht="17.399999999999999" hidden="1">
      <c r="A1525" t="s">
        <v>15332</v>
      </c>
      <c r="B1525" t="s">
        <v>15441</v>
      </c>
      <c r="C1525" t="s">
        <v>15449</v>
      </c>
      <c r="D1525" t="s">
        <v>1524</v>
      </c>
      <c r="E1525" t="s">
        <v>3457</v>
      </c>
      <c r="F1525" t="s">
        <v>3437</v>
      </c>
      <c r="G1525" s="3">
        <v>36.448964292605901</v>
      </c>
      <c r="H1525" s="3">
        <v>126.78757954030399</v>
      </c>
      <c r="I1525" t="s">
        <v>5290</v>
      </c>
      <c r="J1525" t="s">
        <v>8649</v>
      </c>
      <c r="K1525" t="s">
        <v>11381</v>
      </c>
      <c r="L1525" t="s">
        <v>3366</v>
      </c>
      <c r="M1525" t="s">
        <v>11912</v>
      </c>
      <c r="N1525" t="s">
        <v>3364</v>
      </c>
      <c r="O1525" t="s">
        <v>3361</v>
      </c>
      <c r="P1525" t="s">
        <v>3363</v>
      </c>
      <c r="Q1525" t="s">
        <v>3361</v>
      </c>
      <c r="R1525" t="s">
        <v>15211</v>
      </c>
      <c r="S1525" t="s">
        <v>15211</v>
      </c>
      <c r="T1525" t="s">
        <v>3381</v>
      </c>
      <c r="U1525" t="s">
        <v>13416</v>
      </c>
      <c r="V1525" t="s">
        <v>15231</v>
      </c>
    </row>
    <row r="1526" spans="1:22" ht="17.399999999999999" hidden="1">
      <c r="A1526" t="s">
        <v>15332</v>
      </c>
      <c r="B1526" t="s">
        <v>15441</v>
      </c>
      <c r="C1526" t="s">
        <v>15449</v>
      </c>
      <c r="D1526" t="s">
        <v>1525</v>
      </c>
      <c r="E1526" t="s">
        <v>3457</v>
      </c>
      <c r="F1526" t="s">
        <v>3439</v>
      </c>
      <c r="G1526" s="3">
        <v>36.448964301653596</v>
      </c>
      <c r="H1526" s="3">
        <v>126.787579552846</v>
      </c>
      <c r="I1526" t="s">
        <v>5291</v>
      </c>
      <c r="J1526" t="s">
        <v>8650</v>
      </c>
      <c r="K1526" t="s">
        <v>10706</v>
      </c>
      <c r="L1526" t="s">
        <v>3366</v>
      </c>
      <c r="M1526" t="s">
        <v>11912</v>
      </c>
      <c r="N1526" t="s">
        <v>3364</v>
      </c>
      <c r="O1526" t="s">
        <v>3361</v>
      </c>
      <c r="P1526" t="s">
        <v>3363</v>
      </c>
      <c r="Q1526" t="s">
        <v>3361</v>
      </c>
      <c r="R1526" t="s">
        <v>15211</v>
      </c>
      <c r="S1526" t="s">
        <v>15211</v>
      </c>
      <c r="T1526" t="s">
        <v>3381</v>
      </c>
      <c r="U1526" t="s">
        <v>13417</v>
      </c>
      <c r="V1526" t="s">
        <v>15231</v>
      </c>
    </row>
    <row r="1527" spans="1:22" ht="17.399999999999999" hidden="1">
      <c r="A1527" t="s">
        <v>15332</v>
      </c>
      <c r="B1527" t="s">
        <v>15441</v>
      </c>
      <c r="C1527" t="s">
        <v>15449</v>
      </c>
      <c r="D1527" t="s">
        <v>1526</v>
      </c>
      <c r="E1527" t="s">
        <v>3457</v>
      </c>
      <c r="F1527" t="s">
        <v>3439</v>
      </c>
      <c r="G1527" s="3">
        <v>36.448964300698698</v>
      </c>
      <c r="H1527" s="3">
        <v>126.787579541372</v>
      </c>
      <c r="I1527" t="s">
        <v>5292</v>
      </c>
      <c r="J1527" t="s">
        <v>8651</v>
      </c>
      <c r="K1527" t="s">
        <v>11103</v>
      </c>
      <c r="L1527" t="s">
        <v>3366</v>
      </c>
      <c r="M1527" t="s">
        <v>11912</v>
      </c>
      <c r="N1527" t="s">
        <v>3365</v>
      </c>
      <c r="O1527" t="s">
        <v>3361</v>
      </c>
      <c r="P1527" t="s">
        <v>3363</v>
      </c>
      <c r="Q1527" t="s">
        <v>3362</v>
      </c>
      <c r="R1527" t="s">
        <v>15211</v>
      </c>
      <c r="S1527" t="s">
        <v>15211</v>
      </c>
      <c r="T1527" t="s">
        <v>3383</v>
      </c>
      <c r="U1527" t="s">
        <v>13418</v>
      </c>
      <c r="V1527" t="s">
        <v>15231</v>
      </c>
    </row>
    <row r="1528" spans="1:22" ht="17.399999999999999" hidden="1">
      <c r="A1528" t="s">
        <v>15332</v>
      </c>
      <c r="B1528" t="s">
        <v>15442</v>
      </c>
      <c r="C1528" t="s">
        <v>15450</v>
      </c>
      <c r="D1528" t="s">
        <v>1527</v>
      </c>
      <c r="E1528" t="s">
        <v>3443</v>
      </c>
      <c r="F1528" t="s">
        <v>3440</v>
      </c>
      <c r="G1528" s="3">
        <v>36.448964309589797</v>
      </c>
      <c r="H1528" s="3">
        <v>126.78757954656</v>
      </c>
      <c r="I1528" t="s">
        <v>5293</v>
      </c>
      <c r="J1528" t="s">
        <v>8652</v>
      </c>
      <c r="K1528" t="s">
        <v>11327</v>
      </c>
      <c r="L1528" t="s">
        <v>3366</v>
      </c>
      <c r="M1528" t="s">
        <v>11885</v>
      </c>
      <c r="N1528" t="s">
        <v>3364</v>
      </c>
      <c r="O1528" t="s">
        <v>3361</v>
      </c>
      <c r="P1528" t="s">
        <v>15211</v>
      </c>
      <c r="Q1528" t="s">
        <v>15211</v>
      </c>
      <c r="R1528" t="s">
        <v>15211</v>
      </c>
      <c r="S1528" t="s">
        <v>15211</v>
      </c>
      <c r="T1528" t="s">
        <v>3369</v>
      </c>
      <c r="U1528" t="s">
        <v>13419</v>
      </c>
      <c r="V1528" t="s">
        <v>15232</v>
      </c>
    </row>
    <row r="1529" spans="1:22" ht="17.399999999999999" hidden="1">
      <c r="A1529" t="s">
        <v>15332</v>
      </c>
      <c r="B1529" t="s">
        <v>15442</v>
      </c>
      <c r="C1529" t="s">
        <v>15450</v>
      </c>
      <c r="D1529" t="s">
        <v>1528</v>
      </c>
      <c r="E1529" t="s">
        <v>3439</v>
      </c>
      <c r="F1529" t="s">
        <v>3438</v>
      </c>
      <c r="G1529" s="3">
        <v>36.4489642828757</v>
      </c>
      <c r="H1529" s="3">
        <v>126.787579533532</v>
      </c>
      <c r="I1529" t="s">
        <v>5294</v>
      </c>
      <c r="J1529" t="s">
        <v>8653</v>
      </c>
      <c r="K1529" t="s">
        <v>11382</v>
      </c>
      <c r="L1529" t="s">
        <v>3366</v>
      </c>
      <c r="M1529" t="s">
        <v>11890</v>
      </c>
      <c r="N1529" t="s">
        <v>3364</v>
      </c>
      <c r="O1529" t="s">
        <v>3361</v>
      </c>
      <c r="P1529" t="s">
        <v>15211</v>
      </c>
      <c r="Q1529" t="s">
        <v>15211</v>
      </c>
      <c r="R1529" t="s">
        <v>15211</v>
      </c>
      <c r="S1529" t="s">
        <v>15211</v>
      </c>
      <c r="T1529" t="s">
        <v>3369</v>
      </c>
      <c r="U1529" t="s">
        <v>13420</v>
      </c>
      <c r="V1529" t="s">
        <v>15232</v>
      </c>
    </row>
    <row r="1530" spans="1:22" ht="17.399999999999999" hidden="1">
      <c r="A1530" t="s">
        <v>15332</v>
      </c>
      <c r="B1530" t="s">
        <v>15442</v>
      </c>
      <c r="C1530" t="s">
        <v>15450</v>
      </c>
      <c r="D1530" t="s">
        <v>1529</v>
      </c>
      <c r="E1530" t="s">
        <v>3439</v>
      </c>
      <c r="F1530" t="s">
        <v>3428</v>
      </c>
      <c r="G1530" s="3">
        <v>36.448964278694703</v>
      </c>
      <c r="H1530" s="3">
        <v>126.787579519261</v>
      </c>
      <c r="I1530" t="s">
        <v>5295</v>
      </c>
      <c r="J1530" t="s">
        <v>8654</v>
      </c>
      <c r="K1530" t="s">
        <v>11383</v>
      </c>
      <c r="L1530" t="s">
        <v>3366</v>
      </c>
      <c r="M1530" t="s">
        <v>11885</v>
      </c>
      <c r="N1530" t="s">
        <v>3363</v>
      </c>
      <c r="O1530" t="s">
        <v>3361</v>
      </c>
      <c r="P1530" t="s">
        <v>15211</v>
      </c>
      <c r="Q1530" t="s">
        <v>15211</v>
      </c>
      <c r="R1530" t="s">
        <v>15211</v>
      </c>
      <c r="S1530" t="s">
        <v>15211</v>
      </c>
      <c r="T1530" t="s">
        <v>3368</v>
      </c>
      <c r="U1530" t="s">
        <v>13421</v>
      </c>
      <c r="V1530" t="s">
        <v>15232</v>
      </c>
    </row>
    <row r="1531" spans="1:22" ht="17.399999999999999" hidden="1">
      <c r="A1531" t="s">
        <v>15332</v>
      </c>
      <c r="B1531" t="s">
        <v>15442</v>
      </c>
      <c r="C1531" t="s">
        <v>15445</v>
      </c>
      <c r="D1531" t="s">
        <v>1530</v>
      </c>
      <c r="E1531" t="s">
        <v>3443</v>
      </c>
      <c r="F1531" t="s">
        <v>3440</v>
      </c>
      <c r="G1531" s="3">
        <v>36.448964309336603</v>
      </c>
      <c r="H1531" s="3">
        <v>126.787579543937</v>
      </c>
      <c r="I1531" t="s">
        <v>5296</v>
      </c>
      <c r="J1531" t="s">
        <v>8655</v>
      </c>
      <c r="K1531" t="s">
        <v>11384</v>
      </c>
      <c r="L1531" t="s">
        <v>3366</v>
      </c>
      <c r="M1531" t="s">
        <v>11890</v>
      </c>
      <c r="N1531" t="s">
        <v>3364</v>
      </c>
      <c r="O1531" t="s">
        <v>3361</v>
      </c>
      <c r="P1531" t="s">
        <v>15211</v>
      </c>
      <c r="Q1531" t="s">
        <v>15211</v>
      </c>
      <c r="R1531" t="s">
        <v>15211</v>
      </c>
      <c r="S1531" t="s">
        <v>15211</v>
      </c>
      <c r="T1531" t="s">
        <v>3369</v>
      </c>
      <c r="U1531" t="s">
        <v>13422</v>
      </c>
      <c r="V1531" t="s">
        <v>15233</v>
      </c>
    </row>
    <row r="1532" spans="1:22" ht="17.399999999999999" hidden="1">
      <c r="A1532" t="s">
        <v>15332</v>
      </c>
      <c r="B1532" t="s">
        <v>15442</v>
      </c>
      <c r="C1532" t="s">
        <v>15445</v>
      </c>
      <c r="D1532" t="s">
        <v>1531</v>
      </c>
      <c r="E1532" t="s">
        <v>3457</v>
      </c>
      <c r="F1532" t="s">
        <v>3440</v>
      </c>
      <c r="G1532" s="3">
        <v>36.448964308969501</v>
      </c>
      <c r="H1532" s="3">
        <v>126.787579535323</v>
      </c>
      <c r="I1532" t="s">
        <v>5297</v>
      </c>
      <c r="J1532" t="s">
        <v>8656</v>
      </c>
      <c r="K1532" t="s">
        <v>11385</v>
      </c>
      <c r="L1532" t="s">
        <v>3366</v>
      </c>
      <c r="M1532" t="s">
        <v>11885</v>
      </c>
      <c r="N1532" t="s">
        <v>3364</v>
      </c>
      <c r="O1532" t="s">
        <v>3361</v>
      </c>
      <c r="P1532" t="s">
        <v>15211</v>
      </c>
      <c r="Q1532" t="s">
        <v>15211</v>
      </c>
      <c r="R1532" t="s">
        <v>15211</v>
      </c>
      <c r="S1532" t="s">
        <v>15211</v>
      </c>
      <c r="T1532" t="s">
        <v>3369</v>
      </c>
      <c r="U1532" t="s">
        <v>13423</v>
      </c>
      <c r="V1532" t="s">
        <v>15233</v>
      </c>
    </row>
    <row r="1533" spans="1:22" ht="17.399999999999999" hidden="1">
      <c r="A1533" t="s">
        <v>15332</v>
      </c>
      <c r="B1533" t="s">
        <v>15442</v>
      </c>
      <c r="C1533" t="s">
        <v>15445</v>
      </c>
      <c r="D1533" t="s">
        <v>1532</v>
      </c>
      <c r="E1533" t="s">
        <v>3443</v>
      </c>
      <c r="F1533" t="s">
        <v>3440</v>
      </c>
      <c r="G1533" s="3">
        <v>36.4489643203936</v>
      </c>
      <c r="H1533" s="3">
        <v>126.78757956402001</v>
      </c>
      <c r="I1533" t="s">
        <v>5298</v>
      </c>
      <c r="J1533" t="s">
        <v>8657</v>
      </c>
      <c r="K1533" t="s">
        <v>11386</v>
      </c>
      <c r="L1533" t="s">
        <v>3366</v>
      </c>
      <c r="M1533" t="s">
        <v>11885</v>
      </c>
      <c r="N1533" t="s">
        <v>3363</v>
      </c>
      <c r="O1533" t="s">
        <v>3361</v>
      </c>
      <c r="P1533" t="s">
        <v>15211</v>
      </c>
      <c r="Q1533" t="s">
        <v>15211</v>
      </c>
      <c r="R1533" t="s">
        <v>15211</v>
      </c>
      <c r="S1533" t="s">
        <v>15211</v>
      </c>
      <c r="T1533" t="s">
        <v>3368</v>
      </c>
      <c r="U1533" t="s">
        <v>13423</v>
      </c>
      <c r="V1533" t="s">
        <v>15233</v>
      </c>
    </row>
    <row r="1534" spans="1:22" ht="17.399999999999999" hidden="1">
      <c r="A1534" t="s">
        <v>15332</v>
      </c>
      <c r="B1534" t="s">
        <v>15442</v>
      </c>
      <c r="C1534" t="s">
        <v>15451</v>
      </c>
      <c r="D1534" t="s">
        <v>1533</v>
      </c>
      <c r="E1534" t="s">
        <v>3457</v>
      </c>
      <c r="F1534" t="s">
        <v>3439</v>
      </c>
      <c r="G1534" s="3">
        <v>36.448964314789301</v>
      </c>
      <c r="H1534" s="3">
        <v>126.787579521689</v>
      </c>
      <c r="I1534" t="s">
        <v>5299</v>
      </c>
      <c r="J1534" t="s">
        <v>8658</v>
      </c>
      <c r="K1534" t="s">
        <v>11084</v>
      </c>
      <c r="L1534" t="s">
        <v>3366</v>
      </c>
      <c r="M1534" t="s">
        <v>11912</v>
      </c>
      <c r="N1534" t="s">
        <v>3363</v>
      </c>
      <c r="O1534" t="s">
        <v>3361</v>
      </c>
      <c r="P1534" t="s">
        <v>3364</v>
      </c>
      <c r="Q1534" t="s">
        <v>3362</v>
      </c>
      <c r="R1534" t="s">
        <v>15211</v>
      </c>
      <c r="S1534" t="s">
        <v>15211</v>
      </c>
      <c r="T1534" t="s">
        <v>3382</v>
      </c>
      <c r="U1534" t="s">
        <v>13424</v>
      </c>
      <c r="V1534" t="s">
        <v>15234</v>
      </c>
    </row>
    <row r="1535" spans="1:22" ht="17.399999999999999" hidden="1">
      <c r="A1535" t="s">
        <v>15332</v>
      </c>
      <c r="B1535" t="s">
        <v>15442</v>
      </c>
      <c r="C1535" t="s">
        <v>15451</v>
      </c>
      <c r="D1535" t="s">
        <v>1534</v>
      </c>
      <c r="E1535" t="s">
        <v>3457</v>
      </c>
      <c r="F1535" t="s">
        <v>3437</v>
      </c>
      <c r="G1535" s="3">
        <v>36.448964312708597</v>
      </c>
      <c r="H1535" s="3">
        <v>126.787579516712</v>
      </c>
      <c r="I1535" t="s">
        <v>5300</v>
      </c>
      <c r="J1535" t="s">
        <v>8659</v>
      </c>
      <c r="K1535" t="s">
        <v>10809</v>
      </c>
      <c r="L1535" t="s">
        <v>3366</v>
      </c>
      <c r="M1535" t="s">
        <v>11914</v>
      </c>
      <c r="N1535" t="s">
        <v>3364</v>
      </c>
      <c r="O1535" t="s">
        <v>3361</v>
      </c>
      <c r="P1535" t="s">
        <v>3364</v>
      </c>
      <c r="Q1535" t="s">
        <v>3362</v>
      </c>
      <c r="R1535" t="s">
        <v>15211</v>
      </c>
      <c r="S1535" t="s">
        <v>15211</v>
      </c>
      <c r="T1535" t="s">
        <v>3383</v>
      </c>
      <c r="U1535" t="s">
        <v>13425</v>
      </c>
      <c r="V1535" t="s">
        <v>15234</v>
      </c>
    </row>
    <row r="1536" spans="1:22" ht="17.399999999999999" hidden="1">
      <c r="A1536" t="s">
        <v>15332</v>
      </c>
      <c r="B1536" t="s">
        <v>15442</v>
      </c>
      <c r="C1536" t="s">
        <v>15451</v>
      </c>
      <c r="D1536" t="s">
        <v>1535</v>
      </c>
      <c r="E1536" t="s">
        <v>3457</v>
      </c>
      <c r="F1536" t="s">
        <v>3437</v>
      </c>
      <c r="G1536" s="3">
        <v>36.448964298358703</v>
      </c>
      <c r="H1536" s="3">
        <v>126.78757951582099</v>
      </c>
      <c r="I1536" t="s">
        <v>5301</v>
      </c>
      <c r="J1536" t="s">
        <v>8660</v>
      </c>
      <c r="K1536" t="s">
        <v>11376</v>
      </c>
      <c r="L1536" t="s">
        <v>3366</v>
      </c>
      <c r="M1536" t="s">
        <v>11912</v>
      </c>
      <c r="N1536" t="s">
        <v>3363</v>
      </c>
      <c r="O1536" t="s">
        <v>3361</v>
      </c>
      <c r="P1536" t="s">
        <v>3364</v>
      </c>
      <c r="Q1536" t="s">
        <v>3362</v>
      </c>
      <c r="R1536" t="s">
        <v>15211</v>
      </c>
      <c r="S1536" t="s">
        <v>15211</v>
      </c>
      <c r="T1536" t="s">
        <v>3382</v>
      </c>
      <c r="U1536" t="s">
        <v>13426</v>
      </c>
      <c r="V1536" t="s">
        <v>15234</v>
      </c>
    </row>
    <row r="1537" spans="1:22" ht="17.399999999999999">
      <c r="A1537" t="s">
        <v>15332</v>
      </c>
      <c r="B1537" t="s">
        <v>15443</v>
      </c>
      <c r="C1537" t="s">
        <v>15452</v>
      </c>
      <c r="D1537" t="s">
        <v>1536</v>
      </c>
      <c r="E1537" t="s">
        <v>3427</v>
      </c>
      <c r="F1537" t="s">
        <v>3453</v>
      </c>
      <c r="G1537" s="3">
        <v>36.448964269918001</v>
      </c>
      <c r="H1537" s="3">
        <v>126.78757945556499</v>
      </c>
      <c r="I1537" t="s">
        <v>5302</v>
      </c>
      <c r="J1537" t="s">
        <v>8661</v>
      </c>
      <c r="K1537" t="s">
        <v>10857</v>
      </c>
      <c r="L1537" t="s">
        <v>3366</v>
      </c>
      <c r="M1537" t="s">
        <v>11903</v>
      </c>
      <c r="N1537" t="s">
        <v>3359</v>
      </c>
      <c r="O1537" t="s">
        <v>15211</v>
      </c>
      <c r="P1537" t="s">
        <v>3364</v>
      </c>
      <c r="Q1537" t="s">
        <v>3361</v>
      </c>
      <c r="R1537" t="s">
        <v>15211</v>
      </c>
      <c r="S1537" t="s">
        <v>15211</v>
      </c>
      <c r="T1537" t="s">
        <v>3372</v>
      </c>
      <c r="U1537" t="s">
        <v>13427</v>
      </c>
      <c r="V1537" t="s">
        <v>15220</v>
      </c>
    </row>
    <row r="1538" spans="1:22" ht="17.399999999999999">
      <c r="A1538" t="s">
        <v>15332</v>
      </c>
      <c r="B1538" t="s">
        <v>15443</v>
      </c>
      <c r="C1538" t="s">
        <v>15452</v>
      </c>
      <c r="D1538" t="s">
        <v>1537</v>
      </c>
      <c r="E1538" t="s">
        <v>3436</v>
      </c>
      <c r="F1538" t="s">
        <v>3433</v>
      </c>
      <c r="G1538" s="3">
        <v>36.448964262165603</v>
      </c>
      <c r="H1538" s="3">
        <v>126.787579455589</v>
      </c>
      <c r="I1538" t="s">
        <v>5303</v>
      </c>
      <c r="J1538" t="s">
        <v>8662</v>
      </c>
      <c r="K1538" t="s">
        <v>11387</v>
      </c>
      <c r="L1538" t="s">
        <v>3366</v>
      </c>
      <c r="M1538" t="s">
        <v>11903</v>
      </c>
      <c r="N1538" t="s">
        <v>3359</v>
      </c>
      <c r="O1538" t="s">
        <v>15211</v>
      </c>
      <c r="P1538" t="s">
        <v>3364</v>
      </c>
      <c r="Q1538" t="s">
        <v>3361</v>
      </c>
      <c r="R1538" t="s">
        <v>15211</v>
      </c>
      <c r="S1538" t="s">
        <v>15211</v>
      </c>
      <c r="T1538" t="s">
        <v>3372</v>
      </c>
      <c r="U1538" t="s">
        <v>13428</v>
      </c>
      <c r="V1538" t="s">
        <v>15220</v>
      </c>
    </row>
    <row r="1539" spans="1:22" ht="17.399999999999999">
      <c r="A1539" t="s">
        <v>15332</v>
      </c>
      <c r="B1539" t="s">
        <v>15443</v>
      </c>
      <c r="C1539" t="s">
        <v>15452</v>
      </c>
      <c r="D1539" t="s">
        <v>1538</v>
      </c>
      <c r="E1539" t="s">
        <v>3425</v>
      </c>
      <c r="F1539" t="s">
        <v>3462</v>
      </c>
      <c r="G1539" s="3">
        <v>36.448964294725698</v>
      </c>
      <c r="H1539" s="3">
        <v>126.787579505064</v>
      </c>
      <c r="I1539" t="s">
        <v>5304</v>
      </c>
      <c r="J1539" t="s">
        <v>8663</v>
      </c>
      <c r="K1539" t="s">
        <v>11388</v>
      </c>
      <c r="L1539" t="s">
        <v>3366</v>
      </c>
      <c r="M1539" t="s">
        <v>11903</v>
      </c>
      <c r="N1539" t="s">
        <v>3359</v>
      </c>
      <c r="O1539" t="s">
        <v>15211</v>
      </c>
      <c r="P1539" t="s">
        <v>3364</v>
      </c>
      <c r="Q1539" t="s">
        <v>3361</v>
      </c>
      <c r="R1539" t="s">
        <v>15211</v>
      </c>
      <c r="S1539" t="s">
        <v>15211</v>
      </c>
      <c r="T1539" t="s">
        <v>3372</v>
      </c>
      <c r="U1539" t="s">
        <v>13429</v>
      </c>
      <c r="V1539" t="s">
        <v>15220</v>
      </c>
    </row>
    <row r="1540" spans="1:22" hidden="1">
      <c r="A1540" t="s">
        <v>15333</v>
      </c>
      <c r="B1540" t="s">
        <v>15441</v>
      </c>
      <c r="C1540" t="s">
        <v>15445</v>
      </c>
      <c r="D1540" t="s">
        <v>1539</v>
      </c>
      <c r="E1540" t="s">
        <v>3436</v>
      </c>
      <c r="F1540" t="s">
        <v>3453</v>
      </c>
      <c r="G1540" s="3">
        <v>36.547715976444302</v>
      </c>
      <c r="H1540" s="3">
        <v>126.772574334944</v>
      </c>
      <c r="I1540" t="s">
        <v>5305</v>
      </c>
      <c r="J1540" t="s">
        <v>8664</v>
      </c>
      <c r="K1540" t="s">
        <v>10995</v>
      </c>
      <c r="L1540" t="s">
        <v>3368</v>
      </c>
      <c r="M1540" t="s">
        <v>11902</v>
      </c>
      <c r="N1540" t="s">
        <v>3362</v>
      </c>
      <c r="O1540" t="s">
        <v>3360</v>
      </c>
      <c r="P1540" t="s">
        <v>15211</v>
      </c>
      <c r="Q1540" t="s">
        <v>15211</v>
      </c>
      <c r="R1540" t="s">
        <v>15211</v>
      </c>
      <c r="S1540" t="s">
        <v>15211</v>
      </c>
      <c r="T1540" t="s">
        <v>3366</v>
      </c>
      <c r="U1540" t="s">
        <v>13430</v>
      </c>
      <c r="V1540" t="s">
        <v>15228</v>
      </c>
    </row>
    <row r="1541" spans="1:22" hidden="1">
      <c r="A1541" t="s">
        <v>15333</v>
      </c>
      <c r="B1541" t="s">
        <v>15441</v>
      </c>
      <c r="C1541" t="s">
        <v>15445</v>
      </c>
      <c r="D1541" t="s">
        <v>1540</v>
      </c>
      <c r="E1541" t="s">
        <v>3436</v>
      </c>
      <c r="F1541" t="s">
        <v>3453</v>
      </c>
      <c r="G1541" s="3">
        <v>36.547715946731103</v>
      </c>
      <c r="H1541" s="3">
        <v>126.77257433779999</v>
      </c>
      <c r="I1541" t="s">
        <v>5306</v>
      </c>
      <c r="J1541" t="s">
        <v>8665</v>
      </c>
      <c r="K1541" t="s">
        <v>11389</v>
      </c>
      <c r="L1541" t="s">
        <v>3366</v>
      </c>
      <c r="M1541" t="s">
        <v>11902</v>
      </c>
      <c r="N1541" t="s">
        <v>3361</v>
      </c>
      <c r="O1541" t="s">
        <v>3361</v>
      </c>
      <c r="P1541" t="s">
        <v>15211</v>
      </c>
      <c r="Q1541" t="s">
        <v>15211</v>
      </c>
      <c r="R1541" t="s">
        <v>15211</v>
      </c>
      <c r="S1541" t="s">
        <v>15211</v>
      </c>
      <c r="T1541" t="s">
        <v>3366</v>
      </c>
      <c r="U1541" t="s">
        <v>13431</v>
      </c>
      <c r="V1541" t="s">
        <v>15228</v>
      </c>
    </row>
    <row r="1542" spans="1:22" hidden="1">
      <c r="A1542" t="s">
        <v>15333</v>
      </c>
      <c r="B1542" t="s">
        <v>15441</v>
      </c>
      <c r="C1542" t="s">
        <v>15445</v>
      </c>
      <c r="D1542" t="s">
        <v>1541</v>
      </c>
      <c r="E1542" t="s">
        <v>3436</v>
      </c>
      <c r="F1542" t="s">
        <v>3453</v>
      </c>
      <c r="G1542" s="3">
        <v>36.547715898194198</v>
      </c>
      <c r="H1542" s="3">
        <v>126.772574346403</v>
      </c>
      <c r="I1542" t="s">
        <v>5307</v>
      </c>
      <c r="J1542" t="s">
        <v>8666</v>
      </c>
      <c r="K1542" t="s">
        <v>11326</v>
      </c>
      <c r="L1542" t="s">
        <v>3366</v>
      </c>
      <c r="M1542" t="s">
        <v>11902</v>
      </c>
      <c r="N1542" t="s">
        <v>3361</v>
      </c>
      <c r="O1542" t="s">
        <v>3361</v>
      </c>
      <c r="P1542" t="s">
        <v>15211</v>
      </c>
      <c r="Q1542" t="s">
        <v>15211</v>
      </c>
      <c r="R1542" t="s">
        <v>15211</v>
      </c>
      <c r="S1542" t="s">
        <v>15211</v>
      </c>
      <c r="T1542" t="s">
        <v>3366</v>
      </c>
      <c r="U1542" t="s">
        <v>13432</v>
      </c>
      <c r="V1542" t="s">
        <v>15228</v>
      </c>
    </row>
    <row r="1543" spans="1:22" hidden="1">
      <c r="A1543" t="s">
        <v>15333</v>
      </c>
      <c r="B1543" t="s">
        <v>15441</v>
      </c>
      <c r="C1543" t="s">
        <v>15446</v>
      </c>
      <c r="D1543" t="s">
        <v>1542</v>
      </c>
      <c r="E1543" t="s">
        <v>3440</v>
      </c>
      <c r="F1543" t="s">
        <v>3434</v>
      </c>
      <c r="G1543" s="3">
        <v>36.547715948350898</v>
      </c>
      <c r="H1543" s="3">
        <v>126.772574212371</v>
      </c>
      <c r="I1543" t="s">
        <v>5308</v>
      </c>
      <c r="J1543" t="s">
        <v>8667</v>
      </c>
      <c r="K1543" t="s">
        <v>10709</v>
      </c>
      <c r="L1543" t="s">
        <v>3366</v>
      </c>
      <c r="M1543" t="s">
        <v>11902</v>
      </c>
      <c r="N1543" t="s">
        <v>3361</v>
      </c>
      <c r="O1543" t="s">
        <v>3361</v>
      </c>
      <c r="P1543" t="s">
        <v>15211</v>
      </c>
      <c r="Q1543" t="s">
        <v>15211</v>
      </c>
      <c r="R1543" t="s">
        <v>15211</v>
      </c>
      <c r="S1543" t="s">
        <v>15211</v>
      </c>
      <c r="T1543" t="s">
        <v>3366</v>
      </c>
      <c r="U1543" t="s">
        <v>13433</v>
      </c>
      <c r="V1543" t="s">
        <v>15229</v>
      </c>
    </row>
    <row r="1544" spans="1:22" hidden="1">
      <c r="A1544" t="s">
        <v>15333</v>
      </c>
      <c r="B1544" t="s">
        <v>15441</v>
      </c>
      <c r="C1544" t="s">
        <v>15446</v>
      </c>
      <c r="D1544" t="s">
        <v>1543</v>
      </c>
      <c r="E1544" t="s">
        <v>3440</v>
      </c>
      <c r="F1544" t="s">
        <v>3431</v>
      </c>
      <c r="G1544" s="3">
        <v>36.547715967138998</v>
      </c>
      <c r="H1544" s="3">
        <v>126.77257423790201</v>
      </c>
      <c r="I1544" t="s">
        <v>5309</v>
      </c>
      <c r="J1544" t="s">
        <v>8668</v>
      </c>
      <c r="K1544" t="s">
        <v>11390</v>
      </c>
      <c r="L1544" t="s">
        <v>3366</v>
      </c>
      <c r="M1544" t="s">
        <v>11902</v>
      </c>
      <c r="N1544" t="s">
        <v>3361</v>
      </c>
      <c r="O1544" t="s">
        <v>3361</v>
      </c>
      <c r="P1544" t="s">
        <v>15211</v>
      </c>
      <c r="Q1544" t="s">
        <v>15211</v>
      </c>
      <c r="R1544" t="s">
        <v>15211</v>
      </c>
      <c r="S1544" t="s">
        <v>15211</v>
      </c>
      <c r="T1544" t="s">
        <v>3366</v>
      </c>
      <c r="U1544" t="s">
        <v>13434</v>
      </c>
      <c r="V1544" t="s">
        <v>15229</v>
      </c>
    </row>
    <row r="1545" spans="1:22" hidden="1">
      <c r="A1545" t="s">
        <v>15333</v>
      </c>
      <c r="B1545" t="s">
        <v>15441</v>
      </c>
      <c r="C1545" t="s">
        <v>15446</v>
      </c>
      <c r="D1545" t="s">
        <v>1544</v>
      </c>
      <c r="E1545" t="s">
        <v>3440</v>
      </c>
      <c r="F1545" t="s">
        <v>3431</v>
      </c>
      <c r="G1545" s="3">
        <v>36.547715947653103</v>
      </c>
      <c r="H1545" s="3">
        <v>126.772574273654</v>
      </c>
      <c r="I1545" t="s">
        <v>5310</v>
      </c>
      <c r="J1545" t="s">
        <v>8669</v>
      </c>
      <c r="K1545" t="s">
        <v>10628</v>
      </c>
      <c r="L1545" t="s">
        <v>3366</v>
      </c>
      <c r="M1545" t="s">
        <v>11902</v>
      </c>
      <c r="N1545" t="s">
        <v>3361</v>
      </c>
      <c r="O1545" t="s">
        <v>3361</v>
      </c>
      <c r="P1545" t="s">
        <v>15211</v>
      </c>
      <c r="Q1545" t="s">
        <v>15211</v>
      </c>
      <c r="R1545" t="s">
        <v>15211</v>
      </c>
      <c r="S1545" t="s">
        <v>15211</v>
      </c>
      <c r="T1545" t="s">
        <v>3366</v>
      </c>
      <c r="U1545" t="s">
        <v>13435</v>
      </c>
      <c r="V1545" t="s">
        <v>15229</v>
      </c>
    </row>
    <row r="1546" spans="1:22" hidden="1">
      <c r="A1546" t="s">
        <v>15333</v>
      </c>
      <c r="B1546" t="s">
        <v>15441</v>
      </c>
      <c r="C1546" t="s">
        <v>15448</v>
      </c>
      <c r="D1546" t="s">
        <v>1545</v>
      </c>
      <c r="E1546" t="s">
        <v>3441</v>
      </c>
      <c r="F1546" t="s">
        <v>3464</v>
      </c>
      <c r="G1546" s="3">
        <v>36.547715947026099</v>
      </c>
      <c r="H1546" s="3">
        <v>126.772574219878</v>
      </c>
      <c r="I1546" t="s">
        <v>5311</v>
      </c>
      <c r="J1546" t="s">
        <v>8670</v>
      </c>
      <c r="K1546" t="s">
        <v>10740</v>
      </c>
      <c r="L1546" t="s">
        <v>3366</v>
      </c>
      <c r="M1546" t="s">
        <v>11889</v>
      </c>
      <c r="N1546" t="s">
        <v>3362</v>
      </c>
      <c r="O1546" t="s">
        <v>3361</v>
      </c>
      <c r="P1546" t="s">
        <v>3363</v>
      </c>
      <c r="Q1546" t="s">
        <v>3358</v>
      </c>
      <c r="R1546" t="s">
        <v>3357</v>
      </c>
      <c r="S1546" t="s">
        <v>15211</v>
      </c>
      <c r="T1546" t="s">
        <v>3377</v>
      </c>
      <c r="U1546" t="s">
        <v>13436</v>
      </c>
      <c r="V1546" t="s">
        <v>15230</v>
      </c>
    </row>
    <row r="1547" spans="1:22" hidden="1">
      <c r="A1547" t="s">
        <v>15333</v>
      </c>
      <c r="B1547" t="s">
        <v>15441</v>
      </c>
      <c r="C1547" t="s">
        <v>15448</v>
      </c>
      <c r="D1547" t="s">
        <v>1546</v>
      </c>
      <c r="E1547" t="s">
        <v>3441</v>
      </c>
      <c r="F1547" t="s">
        <v>3579</v>
      </c>
      <c r="G1547" s="3">
        <v>36.547715930747799</v>
      </c>
      <c r="H1547" s="3">
        <v>126.77257422681799</v>
      </c>
      <c r="I1547" t="s">
        <v>5312</v>
      </c>
      <c r="J1547" t="s">
        <v>8671</v>
      </c>
      <c r="K1547" t="s">
        <v>11391</v>
      </c>
      <c r="L1547" t="s">
        <v>3366</v>
      </c>
      <c r="M1547" t="s">
        <v>11889</v>
      </c>
      <c r="N1547" t="s">
        <v>3362</v>
      </c>
      <c r="O1547" t="s">
        <v>3361</v>
      </c>
      <c r="P1547" t="s">
        <v>3363</v>
      </c>
      <c r="Q1547" t="s">
        <v>3358</v>
      </c>
      <c r="R1547" t="s">
        <v>3357</v>
      </c>
      <c r="S1547" t="s">
        <v>15211</v>
      </c>
      <c r="T1547" t="s">
        <v>3377</v>
      </c>
      <c r="U1547" t="s">
        <v>13437</v>
      </c>
      <c r="V1547" t="s">
        <v>15230</v>
      </c>
    </row>
    <row r="1548" spans="1:22" hidden="1">
      <c r="A1548" t="s">
        <v>15333</v>
      </c>
      <c r="B1548" t="s">
        <v>15441</v>
      </c>
      <c r="C1548" t="s">
        <v>15448</v>
      </c>
      <c r="D1548" t="s">
        <v>1547</v>
      </c>
      <c r="E1548" t="s">
        <v>3441</v>
      </c>
      <c r="F1548" t="s">
        <v>3515</v>
      </c>
      <c r="G1548" s="3">
        <v>36.5477159229156</v>
      </c>
      <c r="H1548" s="3">
        <v>126.772574248335</v>
      </c>
      <c r="I1548" t="s">
        <v>5313</v>
      </c>
      <c r="J1548" t="s">
        <v>8672</v>
      </c>
      <c r="K1548" t="s">
        <v>11392</v>
      </c>
      <c r="L1548" t="s">
        <v>3366</v>
      </c>
      <c r="M1548" t="s">
        <v>11889</v>
      </c>
      <c r="N1548" t="s">
        <v>3362</v>
      </c>
      <c r="O1548" t="s">
        <v>3361</v>
      </c>
      <c r="P1548" t="s">
        <v>3363</v>
      </c>
      <c r="Q1548" t="s">
        <v>3358</v>
      </c>
      <c r="R1548" t="s">
        <v>3357</v>
      </c>
      <c r="S1548" t="s">
        <v>15211</v>
      </c>
      <c r="T1548" t="s">
        <v>3377</v>
      </c>
      <c r="U1548" t="s">
        <v>13438</v>
      </c>
      <c r="V1548" t="s">
        <v>15230</v>
      </c>
    </row>
    <row r="1549" spans="1:22" hidden="1">
      <c r="A1549" t="s">
        <v>15333</v>
      </c>
      <c r="B1549" t="s">
        <v>15441</v>
      </c>
      <c r="C1549" t="s">
        <v>15449</v>
      </c>
      <c r="D1549" t="s">
        <v>1548</v>
      </c>
      <c r="E1549" t="s">
        <v>3437</v>
      </c>
      <c r="F1549" t="s">
        <v>3436</v>
      </c>
      <c r="G1549" s="3">
        <v>36.547716039035201</v>
      </c>
      <c r="H1549" s="3">
        <v>126.772574207792</v>
      </c>
      <c r="I1549" t="s">
        <v>5314</v>
      </c>
      <c r="J1549" t="s">
        <v>8673</v>
      </c>
      <c r="K1549" t="s">
        <v>11016</v>
      </c>
      <c r="L1549" t="s">
        <v>3366</v>
      </c>
      <c r="M1549" t="s">
        <v>11889</v>
      </c>
      <c r="N1549" t="s">
        <v>3362</v>
      </c>
      <c r="O1549" t="s">
        <v>3361</v>
      </c>
      <c r="P1549" t="s">
        <v>3363</v>
      </c>
      <c r="Q1549" t="s">
        <v>3358</v>
      </c>
      <c r="R1549" t="s">
        <v>15211</v>
      </c>
      <c r="S1549" t="s">
        <v>15211</v>
      </c>
      <c r="T1549" t="s">
        <v>3376</v>
      </c>
      <c r="U1549" t="s">
        <v>13439</v>
      </c>
      <c r="V1549" t="s">
        <v>15231</v>
      </c>
    </row>
    <row r="1550" spans="1:22" hidden="1">
      <c r="A1550" t="s">
        <v>15333</v>
      </c>
      <c r="B1550" t="s">
        <v>15441</v>
      </c>
      <c r="C1550" t="s">
        <v>15449</v>
      </c>
      <c r="D1550" t="s">
        <v>1549</v>
      </c>
      <c r="E1550" t="s">
        <v>3440</v>
      </c>
      <c r="F1550" t="s">
        <v>3431</v>
      </c>
      <c r="G1550" s="3">
        <v>36.547716025824997</v>
      </c>
      <c r="H1550" s="3">
        <v>126.772574192977</v>
      </c>
      <c r="I1550" t="s">
        <v>5315</v>
      </c>
      <c r="J1550" t="s">
        <v>8674</v>
      </c>
      <c r="K1550" t="s">
        <v>10544</v>
      </c>
      <c r="L1550" t="s">
        <v>3366</v>
      </c>
      <c r="M1550" t="s">
        <v>11889</v>
      </c>
      <c r="N1550" t="s">
        <v>3362</v>
      </c>
      <c r="O1550" t="s">
        <v>3361</v>
      </c>
      <c r="P1550" t="s">
        <v>3362</v>
      </c>
      <c r="Q1550" t="s">
        <v>3358</v>
      </c>
      <c r="R1550" t="s">
        <v>15211</v>
      </c>
      <c r="S1550" t="s">
        <v>15211</v>
      </c>
      <c r="T1550" t="s">
        <v>3375</v>
      </c>
      <c r="U1550" t="s">
        <v>13440</v>
      </c>
      <c r="V1550" t="s">
        <v>15231</v>
      </c>
    </row>
    <row r="1551" spans="1:22" hidden="1">
      <c r="A1551" t="s">
        <v>15333</v>
      </c>
      <c r="B1551" t="s">
        <v>15441</v>
      </c>
      <c r="C1551" t="s">
        <v>15449</v>
      </c>
      <c r="D1551" t="s">
        <v>1550</v>
      </c>
      <c r="E1551" t="s">
        <v>3440</v>
      </c>
      <c r="F1551" t="s">
        <v>3431</v>
      </c>
      <c r="G1551" s="3">
        <v>36.547716041903598</v>
      </c>
      <c r="H1551" s="3">
        <v>126.772574229315</v>
      </c>
      <c r="I1551" t="s">
        <v>5316</v>
      </c>
      <c r="J1551" t="s">
        <v>8675</v>
      </c>
      <c r="K1551" t="s">
        <v>3621</v>
      </c>
      <c r="L1551" t="s">
        <v>3366</v>
      </c>
      <c r="M1551" t="s">
        <v>11889</v>
      </c>
      <c r="N1551" t="s">
        <v>3363</v>
      </c>
      <c r="O1551" t="s">
        <v>3361</v>
      </c>
      <c r="P1551" t="s">
        <v>3363</v>
      </c>
      <c r="Q1551" t="s">
        <v>3358</v>
      </c>
      <c r="R1551" t="s">
        <v>15211</v>
      </c>
      <c r="S1551" t="s">
        <v>15211</v>
      </c>
      <c r="T1551" t="s">
        <v>3377</v>
      </c>
      <c r="U1551" t="s">
        <v>13441</v>
      </c>
      <c r="V1551" t="s">
        <v>15231</v>
      </c>
    </row>
    <row r="1552" spans="1:22" hidden="1">
      <c r="A1552" t="s">
        <v>15333</v>
      </c>
      <c r="B1552" t="s">
        <v>15442</v>
      </c>
      <c r="C1552" t="s">
        <v>15450</v>
      </c>
      <c r="D1552" t="s">
        <v>1551</v>
      </c>
      <c r="E1552" t="s">
        <v>3435</v>
      </c>
      <c r="F1552" t="s">
        <v>3465</v>
      </c>
      <c r="G1552" s="3">
        <v>36.54771596466</v>
      </c>
      <c r="H1552" s="3">
        <v>126.77257405306899</v>
      </c>
      <c r="I1552" t="s">
        <v>5317</v>
      </c>
      <c r="J1552" t="s">
        <v>8676</v>
      </c>
      <c r="K1552" t="s">
        <v>11393</v>
      </c>
      <c r="L1552" t="s">
        <v>3367</v>
      </c>
      <c r="M1552" t="s">
        <v>11886</v>
      </c>
      <c r="N1552" t="s">
        <v>3362</v>
      </c>
      <c r="O1552" t="s">
        <v>3361</v>
      </c>
      <c r="P1552" t="s">
        <v>15211</v>
      </c>
      <c r="Q1552" t="s">
        <v>15211</v>
      </c>
      <c r="R1552" t="s">
        <v>15211</v>
      </c>
      <c r="S1552" t="s">
        <v>15211</v>
      </c>
      <c r="T1552" t="s">
        <v>3367</v>
      </c>
      <c r="U1552" t="s">
        <v>13442</v>
      </c>
      <c r="V1552" t="s">
        <v>15232</v>
      </c>
    </row>
    <row r="1553" spans="1:22" hidden="1">
      <c r="A1553" t="s">
        <v>15333</v>
      </c>
      <c r="B1553" t="s">
        <v>15442</v>
      </c>
      <c r="C1553" t="s">
        <v>15450</v>
      </c>
      <c r="D1553" t="s">
        <v>1552</v>
      </c>
      <c r="E1553" t="s">
        <v>3431</v>
      </c>
      <c r="F1553" t="s">
        <v>3433</v>
      </c>
      <c r="G1553" s="3">
        <v>36.547716126112498</v>
      </c>
      <c r="H1553" s="3">
        <v>126.772574118797</v>
      </c>
      <c r="I1553" t="s">
        <v>5318</v>
      </c>
      <c r="J1553" t="s">
        <v>8677</v>
      </c>
      <c r="K1553" t="s">
        <v>10724</v>
      </c>
      <c r="L1553" t="s">
        <v>3366</v>
      </c>
      <c r="M1553" t="s">
        <v>11886</v>
      </c>
      <c r="N1553" t="s">
        <v>3362</v>
      </c>
      <c r="O1553" t="s">
        <v>3361</v>
      </c>
      <c r="P1553" t="s">
        <v>15211</v>
      </c>
      <c r="Q1553" t="s">
        <v>15211</v>
      </c>
      <c r="R1553" t="s">
        <v>15211</v>
      </c>
      <c r="S1553" t="s">
        <v>15211</v>
      </c>
      <c r="T1553" t="s">
        <v>3367</v>
      </c>
      <c r="U1553" t="s">
        <v>13443</v>
      </c>
      <c r="V1553" t="s">
        <v>15232</v>
      </c>
    </row>
    <row r="1554" spans="1:22" hidden="1">
      <c r="A1554" t="s">
        <v>15333</v>
      </c>
      <c r="B1554" t="s">
        <v>15442</v>
      </c>
      <c r="C1554" t="s">
        <v>15450</v>
      </c>
      <c r="D1554" t="s">
        <v>1553</v>
      </c>
      <c r="E1554" t="s">
        <v>3431</v>
      </c>
      <c r="F1554" t="s">
        <v>3452</v>
      </c>
      <c r="G1554" s="3">
        <v>36.547716017542001</v>
      </c>
      <c r="H1554" s="3">
        <v>126.772574046126</v>
      </c>
      <c r="I1554" t="s">
        <v>5319</v>
      </c>
      <c r="J1554" t="s">
        <v>8678</v>
      </c>
      <c r="K1554" t="s">
        <v>10565</v>
      </c>
      <c r="L1554" t="s">
        <v>3366</v>
      </c>
      <c r="M1554" t="s">
        <v>11885</v>
      </c>
      <c r="N1554" t="s">
        <v>3363</v>
      </c>
      <c r="O1554" t="s">
        <v>3361</v>
      </c>
      <c r="P1554" t="s">
        <v>15211</v>
      </c>
      <c r="Q1554" t="s">
        <v>15211</v>
      </c>
      <c r="R1554" t="s">
        <v>15211</v>
      </c>
      <c r="S1554" t="s">
        <v>15211</v>
      </c>
      <c r="T1554" t="s">
        <v>3368</v>
      </c>
      <c r="U1554" t="s">
        <v>13444</v>
      </c>
      <c r="V1554" t="s">
        <v>15232</v>
      </c>
    </row>
    <row r="1555" spans="1:22" hidden="1">
      <c r="A1555" t="s">
        <v>15333</v>
      </c>
      <c r="B1555" t="s">
        <v>15442</v>
      </c>
      <c r="C1555" t="s">
        <v>15445</v>
      </c>
      <c r="D1555" t="s">
        <v>1554</v>
      </c>
      <c r="E1555" t="s">
        <v>3440</v>
      </c>
      <c r="F1555" t="s">
        <v>3431</v>
      </c>
      <c r="G1555" s="3">
        <v>36.5477162289719</v>
      </c>
      <c r="H1555" s="3">
        <v>126.772574057396</v>
      </c>
      <c r="I1555" t="s">
        <v>5320</v>
      </c>
      <c r="J1555" t="s">
        <v>8679</v>
      </c>
      <c r="K1555" t="s">
        <v>10942</v>
      </c>
      <c r="L1555" t="s">
        <v>3366</v>
      </c>
      <c r="M1555" t="s">
        <v>11885</v>
      </c>
      <c r="N1555" t="s">
        <v>3363</v>
      </c>
      <c r="O1555" t="s">
        <v>3361</v>
      </c>
      <c r="P1555" t="s">
        <v>15211</v>
      </c>
      <c r="Q1555" t="s">
        <v>15211</v>
      </c>
      <c r="R1555" t="s">
        <v>15211</v>
      </c>
      <c r="S1555" t="s">
        <v>15211</v>
      </c>
      <c r="T1555" t="s">
        <v>3368</v>
      </c>
      <c r="U1555" t="s">
        <v>13445</v>
      </c>
      <c r="V1555" t="s">
        <v>15233</v>
      </c>
    </row>
    <row r="1556" spans="1:22" hidden="1">
      <c r="A1556" t="s">
        <v>15333</v>
      </c>
      <c r="B1556" t="s">
        <v>15442</v>
      </c>
      <c r="C1556" t="s">
        <v>15445</v>
      </c>
      <c r="D1556" t="s">
        <v>1555</v>
      </c>
      <c r="E1556" t="s">
        <v>3440</v>
      </c>
      <c r="F1556" t="s">
        <v>3431</v>
      </c>
      <c r="G1556" s="3">
        <v>36.5477162268892</v>
      </c>
      <c r="H1556" s="3">
        <v>126.772574017773</v>
      </c>
      <c r="I1556" t="s">
        <v>5321</v>
      </c>
      <c r="J1556" t="s">
        <v>8680</v>
      </c>
      <c r="K1556" t="s">
        <v>10942</v>
      </c>
      <c r="L1556" t="s">
        <v>3366</v>
      </c>
      <c r="M1556" t="s">
        <v>11885</v>
      </c>
      <c r="N1556" t="s">
        <v>3363</v>
      </c>
      <c r="O1556" t="s">
        <v>3361</v>
      </c>
      <c r="P1556" t="s">
        <v>15211</v>
      </c>
      <c r="Q1556" t="s">
        <v>15211</v>
      </c>
      <c r="R1556" t="s">
        <v>15211</v>
      </c>
      <c r="S1556" t="s">
        <v>15211</v>
      </c>
      <c r="T1556" t="s">
        <v>3368</v>
      </c>
      <c r="U1556" t="s">
        <v>13446</v>
      </c>
      <c r="V1556" t="s">
        <v>15233</v>
      </c>
    </row>
    <row r="1557" spans="1:22" hidden="1">
      <c r="A1557" t="s">
        <v>15333</v>
      </c>
      <c r="B1557" t="s">
        <v>15442</v>
      </c>
      <c r="C1557" t="s">
        <v>15445</v>
      </c>
      <c r="D1557" t="s">
        <v>1556</v>
      </c>
      <c r="E1557" t="s">
        <v>3440</v>
      </c>
      <c r="F1557" t="s">
        <v>3431</v>
      </c>
      <c r="G1557" s="3">
        <v>36.5477161870079</v>
      </c>
      <c r="H1557" s="3">
        <v>126.772574045195</v>
      </c>
      <c r="I1557" t="s">
        <v>5322</v>
      </c>
      <c r="J1557" t="s">
        <v>8681</v>
      </c>
      <c r="K1557" t="s">
        <v>11394</v>
      </c>
      <c r="L1557" t="s">
        <v>3366</v>
      </c>
      <c r="M1557" t="s">
        <v>11885</v>
      </c>
      <c r="N1557" t="s">
        <v>3363</v>
      </c>
      <c r="O1557" t="s">
        <v>3361</v>
      </c>
      <c r="P1557" t="s">
        <v>15211</v>
      </c>
      <c r="Q1557" t="s">
        <v>15211</v>
      </c>
      <c r="R1557" t="s">
        <v>15211</v>
      </c>
      <c r="S1557" t="s">
        <v>15211</v>
      </c>
      <c r="T1557" t="s">
        <v>3368</v>
      </c>
      <c r="U1557" t="s">
        <v>13447</v>
      </c>
      <c r="V1557" t="s">
        <v>15233</v>
      </c>
    </row>
    <row r="1558" spans="1:22" hidden="1">
      <c r="A1558" t="s">
        <v>15333</v>
      </c>
      <c r="B1558" t="s">
        <v>15442</v>
      </c>
      <c r="C1558" t="s">
        <v>15451</v>
      </c>
      <c r="D1558" t="s">
        <v>1557</v>
      </c>
      <c r="E1558" t="s">
        <v>3436</v>
      </c>
      <c r="F1558" t="s">
        <v>3453</v>
      </c>
      <c r="G1558" s="3">
        <v>36.547716068728697</v>
      </c>
      <c r="H1558" s="3">
        <v>126.772574147908</v>
      </c>
      <c r="I1558" t="s">
        <v>5323</v>
      </c>
      <c r="J1558" t="s">
        <v>8682</v>
      </c>
      <c r="K1558" t="s">
        <v>10544</v>
      </c>
      <c r="L1558" t="s">
        <v>3366</v>
      </c>
      <c r="M1558" t="s">
        <v>11888</v>
      </c>
      <c r="N1558" t="s">
        <v>3363</v>
      </c>
      <c r="O1558" t="s">
        <v>3361</v>
      </c>
      <c r="P1558" t="s">
        <v>3363</v>
      </c>
      <c r="Q1558" t="s">
        <v>3359</v>
      </c>
      <c r="R1558" t="s">
        <v>15211</v>
      </c>
      <c r="S1558" t="s">
        <v>15211</v>
      </c>
      <c r="T1558" t="s">
        <v>3378</v>
      </c>
      <c r="U1558" t="s">
        <v>13448</v>
      </c>
      <c r="V1558" t="s">
        <v>15234</v>
      </c>
    </row>
    <row r="1559" spans="1:22" hidden="1">
      <c r="A1559" t="s">
        <v>15333</v>
      </c>
      <c r="B1559" t="s">
        <v>15442</v>
      </c>
      <c r="C1559" t="s">
        <v>15451</v>
      </c>
      <c r="D1559" t="s">
        <v>1558</v>
      </c>
      <c r="E1559" t="s">
        <v>3436</v>
      </c>
      <c r="F1559" t="s">
        <v>3441</v>
      </c>
      <c r="G1559" s="3">
        <v>36.547716088169899</v>
      </c>
      <c r="H1559" s="3">
        <v>126.772574121419</v>
      </c>
      <c r="I1559" t="s">
        <v>5324</v>
      </c>
      <c r="J1559" t="s">
        <v>8683</v>
      </c>
      <c r="K1559" t="s">
        <v>11279</v>
      </c>
      <c r="L1559" t="s">
        <v>3366</v>
      </c>
      <c r="M1559" t="s">
        <v>11896</v>
      </c>
      <c r="N1559" t="s">
        <v>3363</v>
      </c>
      <c r="O1559" t="s">
        <v>3361</v>
      </c>
      <c r="P1559" t="s">
        <v>3363</v>
      </c>
      <c r="Q1559" t="s">
        <v>3359</v>
      </c>
      <c r="R1559" t="s">
        <v>15211</v>
      </c>
      <c r="S1559" t="s">
        <v>15211</v>
      </c>
      <c r="T1559" t="s">
        <v>3378</v>
      </c>
      <c r="U1559" t="s">
        <v>13449</v>
      </c>
      <c r="V1559" t="s">
        <v>15234</v>
      </c>
    </row>
    <row r="1560" spans="1:22" hidden="1">
      <c r="A1560" t="s">
        <v>15333</v>
      </c>
      <c r="B1560" t="s">
        <v>15442</v>
      </c>
      <c r="C1560" t="s">
        <v>15451</v>
      </c>
      <c r="D1560" t="s">
        <v>1559</v>
      </c>
      <c r="E1560" t="s">
        <v>3425</v>
      </c>
      <c r="F1560" t="s">
        <v>3432</v>
      </c>
      <c r="G1560" s="3">
        <v>36.547716084971498</v>
      </c>
      <c r="H1560" s="3">
        <v>126.772574127235</v>
      </c>
      <c r="I1560" t="s">
        <v>5325</v>
      </c>
      <c r="J1560" t="s">
        <v>8684</v>
      </c>
      <c r="K1560" t="s">
        <v>11395</v>
      </c>
      <c r="L1560" t="s">
        <v>3366</v>
      </c>
      <c r="M1560" t="s">
        <v>11888</v>
      </c>
      <c r="N1560" t="s">
        <v>3363</v>
      </c>
      <c r="O1560" t="s">
        <v>3361</v>
      </c>
      <c r="P1560" t="s">
        <v>3363</v>
      </c>
      <c r="Q1560" t="s">
        <v>3359</v>
      </c>
      <c r="R1560" t="s">
        <v>15211</v>
      </c>
      <c r="S1560" t="s">
        <v>15211</v>
      </c>
      <c r="T1560" t="s">
        <v>3378</v>
      </c>
      <c r="U1560" t="s">
        <v>13450</v>
      </c>
      <c r="V1560" t="s">
        <v>15234</v>
      </c>
    </row>
    <row r="1561" spans="1:22">
      <c r="A1561" t="s">
        <v>15333</v>
      </c>
      <c r="B1561" t="s">
        <v>15443</v>
      </c>
      <c r="C1561" t="s">
        <v>15452</v>
      </c>
      <c r="D1561" t="s">
        <v>1560</v>
      </c>
      <c r="E1561" t="s">
        <v>3433</v>
      </c>
      <c r="F1561" t="s">
        <v>3540</v>
      </c>
      <c r="G1561" s="3">
        <v>36.5477162939737</v>
      </c>
      <c r="H1561" s="3">
        <v>126.772573939404</v>
      </c>
      <c r="I1561" t="s">
        <v>5326</v>
      </c>
      <c r="J1561" t="s">
        <v>8685</v>
      </c>
      <c r="K1561" t="s">
        <v>10976</v>
      </c>
      <c r="L1561" t="s">
        <v>3366</v>
      </c>
      <c r="M1561" t="s">
        <v>11886</v>
      </c>
      <c r="N1561" t="s">
        <v>15211</v>
      </c>
      <c r="O1561" t="s">
        <v>15211</v>
      </c>
      <c r="P1561" t="s">
        <v>3363</v>
      </c>
      <c r="Q1561" t="s">
        <v>3360</v>
      </c>
      <c r="R1561" t="s">
        <v>15211</v>
      </c>
      <c r="S1561" t="s">
        <v>15211</v>
      </c>
      <c r="T1561" t="s">
        <v>3367</v>
      </c>
      <c r="U1561" t="s">
        <v>13451</v>
      </c>
      <c r="V1561" t="s">
        <v>15220</v>
      </c>
    </row>
    <row r="1562" spans="1:22" hidden="1">
      <c r="A1562" t="s">
        <v>15333</v>
      </c>
      <c r="B1562" t="s">
        <v>15441</v>
      </c>
      <c r="C1562" t="s">
        <v>15447</v>
      </c>
      <c r="D1562" t="s">
        <v>1561</v>
      </c>
      <c r="E1562" t="s">
        <v>3430</v>
      </c>
      <c r="F1562" t="s">
        <v>3426</v>
      </c>
      <c r="G1562" s="3">
        <v>36.547716241568203</v>
      </c>
      <c r="H1562" s="3">
        <v>126.77257449764301</v>
      </c>
      <c r="I1562" t="s">
        <v>5327</v>
      </c>
      <c r="J1562" t="s">
        <v>8686</v>
      </c>
      <c r="K1562" t="s">
        <v>11396</v>
      </c>
      <c r="L1562" t="s">
        <v>3366</v>
      </c>
      <c r="M1562" t="s">
        <v>11892</v>
      </c>
      <c r="N1562" t="s">
        <v>3358</v>
      </c>
      <c r="O1562" t="s">
        <v>15211</v>
      </c>
      <c r="P1562" t="s">
        <v>3363</v>
      </c>
      <c r="Q1562" t="s">
        <v>3359</v>
      </c>
      <c r="R1562" t="s">
        <v>15211</v>
      </c>
      <c r="S1562" t="s">
        <v>15211</v>
      </c>
      <c r="T1562" t="s">
        <v>3368</v>
      </c>
      <c r="U1562" t="s">
        <v>13452</v>
      </c>
      <c r="V1562" t="s">
        <v>15235</v>
      </c>
    </row>
    <row r="1563" spans="1:22" hidden="1">
      <c r="A1563" t="s">
        <v>15333</v>
      </c>
      <c r="B1563" t="s">
        <v>15441</v>
      </c>
      <c r="C1563" t="s">
        <v>15447</v>
      </c>
      <c r="D1563" t="s">
        <v>1562</v>
      </c>
      <c r="E1563" t="s">
        <v>3442</v>
      </c>
      <c r="F1563" t="s">
        <v>3465</v>
      </c>
      <c r="G1563" s="3">
        <v>36.5477162505181</v>
      </c>
      <c r="H1563" s="3">
        <v>126.772574499358</v>
      </c>
      <c r="I1563" t="s">
        <v>5328</v>
      </c>
      <c r="J1563" t="s">
        <v>8687</v>
      </c>
      <c r="K1563" t="s">
        <v>11397</v>
      </c>
      <c r="L1563" t="s">
        <v>3366</v>
      </c>
      <c r="M1563" t="s">
        <v>11892</v>
      </c>
      <c r="N1563" t="s">
        <v>3358</v>
      </c>
      <c r="O1563" t="s">
        <v>15211</v>
      </c>
      <c r="P1563" t="s">
        <v>3363</v>
      </c>
      <c r="Q1563" t="s">
        <v>3359</v>
      </c>
      <c r="R1563" t="s">
        <v>15211</v>
      </c>
      <c r="S1563" t="s">
        <v>15211</v>
      </c>
      <c r="T1563" t="s">
        <v>3368</v>
      </c>
      <c r="U1563" t="s">
        <v>13453</v>
      </c>
      <c r="V1563" t="s">
        <v>15235</v>
      </c>
    </row>
    <row r="1564" spans="1:22" hidden="1">
      <c r="A1564" t="s">
        <v>15333</v>
      </c>
      <c r="B1564" t="s">
        <v>15441</v>
      </c>
      <c r="C1564" t="s">
        <v>15447</v>
      </c>
      <c r="D1564" t="s">
        <v>1563</v>
      </c>
      <c r="E1564" t="s">
        <v>3429</v>
      </c>
      <c r="F1564" t="s">
        <v>3462</v>
      </c>
      <c r="G1564" s="3">
        <v>36.547716237153402</v>
      </c>
      <c r="H1564" s="3">
        <v>126.77257448653999</v>
      </c>
      <c r="I1564" t="s">
        <v>5329</v>
      </c>
      <c r="J1564" t="s">
        <v>8688</v>
      </c>
      <c r="K1564" t="s">
        <v>11397</v>
      </c>
      <c r="L1564" t="s">
        <v>3366</v>
      </c>
      <c r="M1564" t="s">
        <v>11892</v>
      </c>
      <c r="N1564" t="s">
        <v>3358</v>
      </c>
      <c r="O1564" t="s">
        <v>15211</v>
      </c>
      <c r="P1564" t="s">
        <v>3363</v>
      </c>
      <c r="Q1564" t="s">
        <v>3359</v>
      </c>
      <c r="R1564" t="s">
        <v>15211</v>
      </c>
      <c r="S1564" t="s">
        <v>15211</v>
      </c>
      <c r="T1564" t="s">
        <v>3368</v>
      </c>
      <c r="U1564" t="s">
        <v>13454</v>
      </c>
      <c r="V1564" t="s">
        <v>15235</v>
      </c>
    </row>
    <row r="1565" spans="1:22" hidden="1">
      <c r="A1565" t="s">
        <v>15334</v>
      </c>
      <c r="B1565" t="s">
        <v>15441</v>
      </c>
      <c r="C1565" t="s">
        <v>15445</v>
      </c>
      <c r="D1565" t="s">
        <v>1564</v>
      </c>
      <c r="E1565" t="s">
        <v>3442</v>
      </c>
      <c r="F1565" t="s">
        <v>3441</v>
      </c>
      <c r="G1565" s="3">
        <v>36.576382614450701</v>
      </c>
      <c r="H1565" s="3">
        <v>126.65471205831901</v>
      </c>
      <c r="I1565" t="s">
        <v>5330</v>
      </c>
      <c r="J1565" t="s">
        <v>8689</v>
      </c>
      <c r="K1565" t="s">
        <v>10924</v>
      </c>
      <c r="L1565" t="s">
        <v>3366</v>
      </c>
      <c r="M1565" t="s">
        <v>11885</v>
      </c>
      <c r="N1565" t="s">
        <v>3364</v>
      </c>
      <c r="O1565" t="s">
        <v>3360</v>
      </c>
      <c r="P1565" t="s">
        <v>15211</v>
      </c>
      <c r="Q1565" t="s">
        <v>15211</v>
      </c>
      <c r="R1565" t="s">
        <v>15211</v>
      </c>
      <c r="S1565" t="s">
        <v>15211</v>
      </c>
      <c r="T1565" t="s">
        <v>3368</v>
      </c>
      <c r="U1565" t="s">
        <v>13455</v>
      </c>
      <c r="V1565" t="s">
        <v>15228</v>
      </c>
    </row>
    <row r="1566" spans="1:22" hidden="1">
      <c r="A1566" t="s">
        <v>15334</v>
      </c>
      <c r="B1566" t="s">
        <v>15441</v>
      </c>
      <c r="C1566" t="s">
        <v>15445</v>
      </c>
      <c r="D1566" t="s">
        <v>1565</v>
      </c>
      <c r="E1566" t="s">
        <v>3442</v>
      </c>
      <c r="F1566" t="s">
        <v>3441</v>
      </c>
      <c r="G1566" s="3">
        <v>36.576382609287698</v>
      </c>
      <c r="H1566" s="3">
        <v>126.654712088159</v>
      </c>
      <c r="I1566" t="s">
        <v>5331</v>
      </c>
      <c r="J1566" t="s">
        <v>8690</v>
      </c>
      <c r="K1566" t="s">
        <v>10662</v>
      </c>
      <c r="L1566" t="s">
        <v>3366</v>
      </c>
      <c r="M1566" t="s">
        <v>11885</v>
      </c>
      <c r="N1566" t="s">
        <v>3364</v>
      </c>
      <c r="O1566" t="s">
        <v>3360</v>
      </c>
      <c r="P1566" t="s">
        <v>15211</v>
      </c>
      <c r="Q1566" t="s">
        <v>15211</v>
      </c>
      <c r="R1566" t="s">
        <v>15211</v>
      </c>
      <c r="S1566" t="s">
        <v>15211</v>
      </c>
      <c r="T1566" t="s">
        <v>3368</v>
      </c>
      <c r="U1566" t="s">
        <v>13456</v>
      </c>
      <c r="V1566" t="s">
        <v>15228</v>
      </c>
    </row>
    <row r="1567" spans="1:22" hidden="1">
      <c r="A1567" t="s">
        <v>15334</v>
      </c>
      <c r="B1567" t="s">
        <v>15441</v>
      </c>
      <c r="C1567" t="s">
        <v>15445</v>
      </c>
      <c r="D1567" t="s">
        <v>1566</v>
      </c>
      <c r="E1567" t="s">
        <v>3435</v>
      </c>
      <c r="F1567" t="s">
        <v>3442</v>
      </c>
      <c r="G1567" s="3">
        <v>36.576382605247296</v>
      </c>
      <c r="H1567" s="3">
        <v>126.65471213310499</v>
      </c>
      <c r="I1567" t="s">
        <v>5332</v>
      </c>
      <c r="J1567" t="s">
        <v>8691</v>
      </c>
      <c r="K1567" t="s">
        <v>11151</v>
      </c>
      <c r="L1567" t="s">
        <v>3366</v>
      </c>
      <c r="M1567" t="s">
        <v>11890</v>
      </c>
      <c r="N1567" t="s">
        <v>3364</v>
      </c>
      <c r="O1567" t="s">
        <v>3361</v>
      </c>
      <c r="P1567" t="s">
        <v>15211</v>
      </c>
      <c r="Q1567" t="s">
        <v>15211</v>
      </c>
      <c r="R1567" t="s">
        <v>15211</v>
      </c>
      <c r="S1567" t="s">
        <v>15211</v>
      </c>
      <c r="T1567" t="s">
        <v>3369</v>
      </c>
      <c r="U1567" t="s">
        <v>13457</v>
      </c>
      <c r="V1567" t="s">
        <v>15228</v>
      </c>
    </row>
    <row r="1568" spans="1:22" hidden="1">
      <c r="A1568" t="s">
        <v>15334</v>
      </c>
      <c r="B1568" t="s">
        <v>15441</v>
      </c>
      <c r="C1568" t="s">
        <v>15446</v>
      </c>
      <c r="D1568" t="s">
        <v>1567</v>
      </c>
      <c r="E1568" t="s">
        <v>3429</v>
      </c>
      <c r="F1568" t="s">
        <v>3453</v>
      </c>
      <c r="G1568" s="3">
        <v>36.576382660551602</v>
      </c>
      <c r="H1568" s="3">
        <v>126.654711985993</v>
      </c>
      <c r="I1568" t="s">
        <v>5333</v>
      </c>
      <c r="J1568" t="s">
        <v>8692</v>
      </c>
      <c r="K1568" t="s">
        <v>10998</v>
      </c>
      <c r="L1568" t="s">
        <v>3387</v>
      </c>
      <c r="M1568" t="s">
        <v>11885</v>
      </c>
      <c r="N1568" t="s">
        <v>3363</v>
      </c>
      <c r="O1568" t="s">
        <v>3360</v>
      </c>
      <c r="P1568" t="s">
        <v>15211</v>
      </c>
      <c r="Q1568" t="s">
        <v>15211</v>
      </c>
      <c r="R1568" t="s">
        <v>15211</v>
      </c>
      <c r="S1568" t="s">
        <v>15211</v>
      </c>
      <c r="T1568" t="s">
        <v>3367</v>
      </c>
      <c r="U1568" t="s">
        <v>13458</v>
      </c>
      <c r="V1568" t="s">
        <v>15229</v>
      </c>
    </row>
    <row r="1569" spans="1:22" hidden="1">
      <c r="A1569" t="s">
        <v>15334</v>
      </c>
      <c r="B1569" t="s">
        <v>15441</v>
      </c>
      <c r="C1569" t="s">
        <v>15446</v>
      </c>
      <c r="D1569" t="s">
        <v>1568</v>
      </c>
      <c r="E1569" t="s">
        <v>3434</v>
      </c>
      <c r="F1569" t="s">
        <v>3432</v>
      </c>
      <c r="G1569" s="3">
        <v>36.576382732552403</v>
      </c>
      <c r="H1569" s="3">
        <v>126.65471196904301</v>
      </c>
      <c r="I1569" t="s">
        <v>5334</v>
      </c>
      <c r="J1569" t="s">
        <v>8693</v>
      </c>
      <c r="K1569" t="s">
        <v>10551</v>
      </c>
      <c r="L1569" t="s">
        <v>3366</v>
      </c>
      <c r="M1569" t="s">
        <v>11885</v>
      </c>
      <c r="N1569" t="s">
        <v>3363</v>
      </c>
      <c r="O1569" t="s">
        <v>3361</v>
      </c>
      <c r="P1569" t="s">
        <v>15211</v>
      </c>
      <c r="Q1569" t="s">
        <v>15211</v>
      </c>
      <c r="R1569" t="s">
        <v>15211</v>
      </c>
      <c r="S1569" t="s">
        <v>15211</v>
      </c>
      <c r="T1569" t="s">
        <v>3368</v>
      </c>
      <c r="U1569" t="s">
        <v>13459</v>
      </c>
      <c r="V1569" t="s">
        <v>15229</v>
      </c>
    </row>
    <row r="1570" spans="1:22" hidden="1">
      <c r="A1570" t="s">
        <v>15334</v>
      </c>
      <c r="B1570" t="s">
        <v>15441</v>
      </c>
      <c r="C1570" t="s">
        <v>15446</v>
      </c>
      <c r="D1570" t="s">
        <v>1569</v>
      </c>
      <c r="E1570" t="s">
        <v>3442</v>
      </c>
      <c r="F1570" t="s">
        <v>3452</v>
      </c>
      <c r="G1570" s="3">
        <v>36.576382719931303</v>
      </c>
      <c r="H1570" s="3">
        <v>126.654711962531</v>
      </c>
      <c r="I1570" t="s">
        <v>5335</v>
      </c>
      <c r="J1570" t="s">
        <v>8694</v>
      </c>
      <c r="K1570" t="s">
        <v>10730</v>
      </c>
      <c r="L1570" t="s">
        <v>3366</v>
      </c>
      <c r="M1570" t="s">
        <v>11886</v>
      </c>
      <c r="N1570" t="s">
        <v>3362</v>
      </c>
      <c r="O1570" t="s">
        <v>3361</v>
      </c>
      <c r="P1570" t="s">
        <v>15211</v>
      </c>
      <c r="Q1570" t="s">
        <v>15211</v>
      </c>
      <c r="R1570" t="s">
        <v>15211</v>
      </c>
      <c r="S1570" t="s">
        <v>15211</v>
      </c>
      <c r="T1570" t="s">
        <v>3367</v>
      </c>
      <c r="U1570" t="s">
        <v>13460</v>
      </c>
      <c r="V1570" t="s">
        <v>15229</v>
      </c>
    </row>
    <row r="1571" spans="1:22" hidden="1">
      <c r="A1571" t="s">
        <v>15334</v>
      </c>
      <c r="B1571" t="s">
        <v>15441</v>
      </c>
      <c r="C1571" t="s">
        <v>15447</v>
      </c>
      <c r="D1571" t="s">
        <v>1570</v>
      </c>
      <c r="E1571" t="s">
        <v>3435</v>
      </c>
      <c r="F1571" t="s">
        <v>3429</v>
      </c>
      <c r="G1571" s="3">
        <v>36.576382370343197</v>
      </c>
      <c r="H1571" s="3">
        <v>126.654711965922</v>
      </c>
      <c r="I1571" t="s">
        <v>5336</v>
      </c>
      <c r="J1571" t="s">
        <v>8695</v>
      </c>
      <c r="K1571" t="s">
        <v>11398</v>
      </c>
      <c r="L1571" t="s">
        <v>3379</v>
      </c>
      <c r="M1571" t="s">
        <v>11887</v>
      </c>
      <c r="N1571" t="s">
        <v>3362</v>
      </c>
      <c r="O1571" t="s">
        <v>15211</v>
      </c>
      <c r="P1571" t="s">
        <v>15211</v>
      </c>
      <c r="Q1571" t="s">
        <v>15211</v>
      </c>
      <c r="R1571" t="s">
        <v>15211</v>
      </c>
      <c r="S1571" t="s">
        <v>15211</v>
      </c>
      <c r="T1571" t="s">
        <v>3362</v>
      </c>
      <c r="U1571" t="s">
        <v>13461</v>
      </c>
      <c r="V1571" t="s">
        <v>15235</v>
      </c>
    </row>
    <row r="1572" spans="1:22" hidden="1">
      <c r="A1572" t="s">
        <v>15334</v>
      </c>
      <c r="B1572" t="s">
        <v>15441</v>
      </c>
      <c r="C1572" t="s">
        <v>15447</v>
      </c>
      <c r="D1572" t="s">
        <v>1571</v>
      </c>
      <c r="E1572" t="s">
        <v>3441</v>
      </c>
      <c r="F1572" t="s">
        <v>3432</v>
      </c>
      <c r="G1572" s="3">
        <v>36.576382395395697</v>
      </c>
      <c r="H1572" s="3">
        <v>126.654711897933</v>
      </c>
      <c r="I1572" t="s">
        <v>5337</v>
      </c>
      <c r="J1572" t="s">
        <v>8696</v>
      </c>
      <c r="K1572" t="s">
        <v>10490</v>
      </c>
      <c r="L1572" t="s">
        <v>3366</v>
      </c>
      <c r="M1572" t="s">
        <v>11887</v>
      </c>
      <c r="N1572" t="s">
        <v>3363</v>
      </c>
      <c r="O1572" t="s">
        <v>15211</v>
      </c>
      <c r="P1572" t="s">
        <v>15211</v>
      </c>
      <c r="Q1572" t="s">
        <v>15211</v>
      </c>
      <c r="R1572" t="s">
        <v>15211</v>
      </c>
      <c r="S1572" t="s">
        <v>15211</v>
      </c>
      <c r="T1572" t="s">
        <v>3363</v>
      </c>
      <c r="U1572" t="s">
        <v>13462</v>
      </c>
      <c r="V1572" t="s">
        <v>15235</v>
      </c>
    </row>
    <row r="1573" spans="1:22" hidden="1">
      <c r="A1573" t="s">
        <v>15334</v>
      </c>
      <c r="B1573" t="s">
        <v>15441</v>
      </c>
      <c r="C1573" t="s">
        <v>15447</v>
      </c>
      <c r="D1573" t="s">
        <v>1572</v>
      </c>
      <c r="E1573" t="s">
        <v>3442</v>
      </c>
      <c r="F1573" t="s">
        <v>3441</v>
      </c>
      <c r="G1573" s="3">
        <v>36.576382355678298</v>
      </c>
      <c r="H1573" s="3">
        <v>126.65471196785499</v>
      </c>
      <c r="I1573" t="s">
        <v>5338</v>
      </c>
      <c r="J1573" t="s">
        <v>8697</v>
      </c>
      <c r="K1573" t="s">
        <v>11399</v>
      </c>
      <c r="L1573" t="s">
        <v>3366</v>
      </c>
      <c r="M1573" t="s">
        <v>11887</v>
      </c>
      <c r="N1573" t="s">
        <v>3363</v>
      </c>
      <c r="O1573" t="s">
        <v>15211</v>
      </c>
      <c r="P1573" t="s">
        <v>15211</v>
      </c>
      <c r="Q1573" t="s">
        <v>15211</v>
      </c>
      <c r="R1573" t="s">
        <v>15211</v>
      </c>
      <c r="S1573" t="s">
        <v>15211</v>
      </c>
      <c r="T1573" t="s">
        <v>3363</v>
      </c>
      <c r="U1573" t="s">
        <v>13463</v>
      </c>
      <c r="V1573" t="s">
        <v>15235</v>
      </c>
    </row>
    <row r="1574" spans="1:22" hidden="1">
      <c r="A1574" t="s">
        <v>15334</v>
      </c>
      <c r="B1574" t="s">
        <v>15441</v>
      </c>
      <c r="C1574" t="s">
        <v>15448</v>
      </c>
      <c r="D1574" t="s">
        <v>1573</v>
      </c>
      <c r="E1574" t="s">
        <v>3462</v>
      </c>
      <c r="F1574" t="s">
        <v>3476</v>
      </c>
      <c r="G1574" s="3">
        <v>36.5763828224758</v>
      </c>
      <c r="H1574" s="3">
        <v>126.654711107301</v>
      </c>
      <c r="I1574" t="s">
        <v>5339</v>
      </c>
      <c r="J1574" t="s">
        <v>8698</v>
      </c>
      <c r="K1574" t="s">
        <v>3680</v>
      </c>
      <c r="L1574" t="s">
        <v>3388</v>
      </c>
      <c r="M1574" t="s">
        <v>11914</v>
      </c>
      <c r="N1574" t="s">
        <v>3363</v>
      </c>
      <c r="O1574" t="s">
        <v>3361</v>
      </c>
      <c r="P1574" t="s">
        <v>3364</v>
      </c>
      <c r="Q1574" t="s">
        <v>3363</v>
      </c>
      <c r="R1574" t="s">
        <v>3357</v>
      </c>
      <c r="S1574" t="s">
        <v>15211</v>
      </c>
      <c r="T1574" t="s">
        <v>3384</v>
      </c>
      <c r="U1574" t="s">
        <v>13464</v>
      </c>
      <c r="V1574" t="s">
        <v>15230</v>
      </c>
    </row>
    <row r="1575" spans="1:22" hidden="1">
      <c r="A1575" t="s">
        <v>15334</v>
      </c>
      <c r="B1575" t="s">
        <v>15441</v>
      </c>
      <c r="C1575" t="s">
        <v>15448</v>
      </c>
      <c r="D1575" t="s">
        <v>1574</v>
      </c>
      <c r="E1575" t="s">
        <v>3426</v>
      </c>
      <c r="F1575" t="s">
        <v>3466</v>
      </c>
      <c r="G1575" s="3">
        <v>36.576382795732101</v>
      </c>
      <c r="H1575" s="3">
        <v>126.654711124662</v>
      </c>
      <c r="I1575" t="s">
        <v>5340</v>
      </c>
      <c r="J1575" t="s">
        <v>8699</v>
      </c>
      <c r="K1575" t="s">
        <v>11400</v>
      </c>
      <c r="L1575" t="s">
        <v>3388</v>
      </c>
      <c r="M1575" t="s">
        <v>11914</v>
      </c>
      <c r="N1575" t="s">
        <v>3363</v>
      </c>
      <c r="O1575" t="s">
        <v>3361</v>
      </c>
      <c r="P1575" t="s">
        <v>3364</v>
      </c>
      <c r="Q1575" t="s">
        <v>3363</v>
      </c>
      <c r="R1575" t="s">
        <v>3357</v>
      </c>
      <c r="S1575" t="s">
        <v>15211</v>
      </c>
      <c r="T1575" t="s">
        <v>3384</v>
      </c>
      <c r="U1575" t="s">
        <v>13465</v>
      </c>
      <c r="V1575" t="s">
        <v>15230</v>
      </c>
    </row>
    <row r="1576" spans="1:22" hidden="1">
      <c r="A1576" t="s">
        <v>15334</v>
      </c>
      <c r="B1576" t="s">
        <v>15441</v>
      </c>
      <c r="C1576" t="s">
        <v>15448</v>
      </c>
      <c r="D1576" t="s">
        <v>1575</v>
      </c>
      <c r="E1576" t="s">
        <v>3450</v>
      </c>
      <c r="F1576" t="s">
        <v>3466</v>
      </c>
      <c r="G1576" s="3">
        <v>36.576382731070602</v>
      </c>
      <c r="H1576" s="3">
        <v>126.654711256298</v>
      </c>
      <c r="I1576" t="s">
        <v>5341</v>
      </c>
      <c r="J1576" t="s">
        <v>8700</v>
      </c>
      <c r="K1576" t="s">
        <v>11346</v>
      </c>
      <c r="L1576" t="s">
        <v>3385</v>
      </c>
      <c r="M1576" t="s">
        <v>11911</v>
      </c>
      <c r="N1576" t="s">
        <v>3364</v>
      </c>
      <c r="O1576" t="s">
        <v>3361</v>
      </c>
      <c r="P1576" t="s">
        <v>3363</v>
      </c>
      <c r="Q1576" t="s">
        <v>3363</v>
      </c>
      <c r="R1576" t="s">
        <v>3357</v>
      </c>
      <c r="S1576" t="s">
        <v>15211</v>
      </c>
      <c r="T1576" t="s">
        <v>3384</v>
      </c>
      <c r="U1576" t="s">
        <v>13466</v>
      </c>
      <c r="V1576" t="s">
        <v>15230</v>
      </c>
    </row>
    <row r="1577" spans="1:22" hidden="1">
      <c r="A1577" t="s">
        <v>15334</v>
      </c>
      <c r="B1577" t="s">
        <v>15441</v>
      </c>
      <c r="C1577" t="s">
        <v>15449</v>
      </c>
      <c r="D1577" t="s">
        <v>1576</v>
      </c>
      <c r="E1577" t="s">
        <v>3429</v>
      </c>
      <c r="F1577" t="s">
        <v>3465</v>
      </c>
      <c r="G1577" s="3">
        <v>36.576382834397499</v>
      </c>
      <c r="H1577" s="3">
        <v>126.654710634144</v>
      </c>
      <c r="I1577" t="s">
        <v>5342</v>
      </c>
      <c r="J1577" t="s">
        <v>8701</v>
      </c>
      <c r="K1577" t="s">
        <v>10809</v>
      </c>
      <c r="L1577" t="s">
        <v>3366</v>
      </c>
      <c r="M1577" t="s">
        <v>11893</v>
      </c>
      <c r="N1577" t="s">
        <v>3362</v>
      </c>
      <c r="O1577" t="s">
        <v>3360</v>
      </c>
      <c r="P1577" t="s">
        <v>3363</v>
      </c>
      <c r="Q1577" t="s">
        <v>3364</v>
      </c>
      <c r="R1577" t="s">
        <v>15211</v>
      </c>
      <c r="S1577" t="s">
        <v>15211</v>
      </c>
      <c r="T1577" t="s">
        <v>3381</v>
      </c>
      <c r="U1577" t="s">
        <v>13467</v>
      </c>
      <c r="V1577" t="s">
        <v>15231</v>
      </c>
    </row>
    <row r="1578" spans="1:22" hidden="1">
      <c r="A1578" t="s">
        <v>15334</v>
      </c>
      <c r="B1578" t="s">
        <v>15441</v>
      </c>
      <c r="C1578" t="s">
        <v>15449</v>
      </c>
      <c r="D1578" t="s">
        <v>1577</v>
      </c>
      <c r="E1578" t="s">
        <v>3429</v>
      </c>
      <c r="F1578" t="s">
        <v>3426</v>
      </c>
      <c r="G1578" s="3">
        <v>36.576382858256302</v>
      </c>
      <c r="H1578" s="3">
        <v>126.654710672375</v>
      </c>
      <c r="I1578" t="s">
        <v>5343</v>
      </c>
      <c r="J1578" t="s">
        <v>8702</v>
      </c>
      <c r="K1578" t="s">
        <v>10636</v>
      </c>
      <c r="L1578" t="s">
        <v>3366</v>
      </c>
      <c r="M1578" t="s">
        <v>11893</v>
      </c>
      <c r="N1578" t="s">
        <v>3362</v>
      </c>
      <c r="O1578" t="s">
        <v>3360</v>
      </c>
      <c r="P1578" t="s">
        <v>3363</v>
      </c>
      <c r="Q1578" t="s">
        <v>3364</v>
      </c>
      <c r="R1578" t="s">
        <v>15211</v>
      </c>
      <c r="S1578" t="s">
        <v>15211</v>
      </c>
      <c r="T1578" t="s">
        <v>3381</v>
      </c>
      <c r="U1578" t="s">
        <v>13468</v>
      </c>
      <c r="V1578" t="s">
        <v>15231</v>
      </c>
    </row>
    <row r="1579" spans="1:22" hidden="1">
      <c r="A1579" t="s">
        <v>15334</v>
      </c>
      <c r="B1579" t="s">
        <v>15441</v>
      </c>
      <c r="C1579" t="s">
        <v>15449</v>
      </c>
      <c r="D1579" t="s">
        <v>1578</v>
      </c>
      <c r="E1579" t="s">
        <v>3436</v>
      </c>
      <c r="F1579" t="s">
        <v>3442</v>
      </c>
      <c r="G1579" s="3">
        <v>36.576382886012901</v>
      </c>
      <c r="H1579" s="3">
        <v>126.654710680574</v>
      </c>
      <c r="I1579" t="s">
        <v>5344</v>
      </c>
      <c r="J1579" t="s">
        <v>8703</v>
      </c>
      <c r="K1579" t="s">
        <v>3685</v>
      </c>
      <c r="L1579" t="s">
        <v>3366</v>
      </c>
      <c r="M1579" t="s">
        <v>11893</v>
      </c>
      <c r="N1579" t="s">
        <v>3362</v>
      </c>
      <c r="O1579" t="s">
        <v>3360</v>
      </c>
      <c r="P1579" t="s">
        <v>3363</v>
      </c>
      <c r="Q1579" t="s">
        <v>3364</v>
      </c>
      <c r="R1579" t="s">
        <v>15211</v>
      </c>
      <c r="S1579" t="s">
        <v>15211</v>
      </c>
      <c r="T1579" t="s">
        <v>3381</v>
      </c>
      <c r="U1579" t="s">
        <v>13469</v>
      </c>
      <c r="V1579" t="s">
        <v>15231</v>
      </c>
    </row>
    <row r="1580" spans="1:22" hidden="1">
      <c r="A1580" t="s">
        <v>15334</v>
      </c>
      <c r="B1580" t="s">
        <v>15442</v>
      </c>
      <c r="C1580" t="s">
        <v>15451</v>
      </c>
      <c r="D1580" t="s">
        <v>1579</v>
      </c>
      <c r="E1580" t="s">
        <v>3438</v>
      </c>
      <c r="F1580" t="s">
        <v>3435</v>
      </c>
      <c r="G1580" s="3">
        <v>36.576382695944098</v>
      </c>
      <c r="H1580" s="3">
        <v>126.654711827938</v>
      </c>
      <c r="I1580" t="s">
        <v>5345</v>
      </c>
      <c r="J1580" t="s">
        <v>8704</v>
      </c>
      <c r="K1580" t="s">
        <v>10824</v>
      </c>
      <c r="L1580" t="s">
        <v>3366</v>
      </c>
      <c r="M1580" t="s">
        <v>11910</v>
      </c>
      <c r="N1580" t="s">
        <v>3363</v>
      </c>
      <c r="O1580" t="s">
        <v>3362</v>
      </c>
      <c r="P1580" t="s">
        <v>15211</v>
      </c>
      <c r="Q1580" t="s">
        <v>15211</v>
      </c>
      <c r="R1580" t="s">
        <v>15211</v>
      </c>
      <c r="S1580" t="s">
        <v>15211</v>
      </c>
      <c r="T1580" t="s">
        <v>3369</v>
      </c>
      <c r="U1580" t="s">
        <v>13470</v>
      </c>
      <c r="V1580" t="s">
        <v>15234</v>
      </c>
    </row>
    <row r="1581" spans="1:22" hidden="1">
      <c r="A1581" t="s">
        <v>15334</v>
      </c>
      <c r="B1581" t="s">
        <v>15442</v>
      </c>
      <c r="C1581" t="s">
        <v>15451</v>
      </c>
      <c r="D1581" t="s">
        <v>1580</v>
      </c>
      <c r="E1581" t="s">
        <v>3438</v>
      </c>
      <c r="F1581" t="s">
        <v>3435</v>
      </c>
      <c r="G1581" s="3">
        <v>36.576382701894502</v>
      </c>
      <c r="H1581" s="3">
        <v>126.65471182859</v>
      </c>
      <c r="I1581" t="s">
        <v>5346</v>
      </c>
      <c r="J1581" t="s">
        <v>8705</v>
      </c>
      <c r="K1581" t="s">
        <v>11401</v>
      </c>
      <c r="L1581" t="s">
        <v>3366</v>
      </c>
      <c r="M1581" t="s">
        <v>11910</v>
      </c>
      <c r="N1581" t="s">
        <v>3363</v>
      </c>
      <c r="O1581" t="s">
        <v>3362</v>
      </c>
      <c r="P1581" t="s">
        <v>15211</v>
      </c>
      <c r="Q1581" t="s">
        <v>15211</v>
      </c>
      <c r="R1581" t="s">
        <v>15211</v>
      </c>
      <c r="S1581" t="s">
        <v>15211</v>
      </c>
      <c r="T1581" t="s">
        <v>3369</v>
      </c>
      <c r="U1581" t="s">
        <v>13471</v>
      </c>
      <c r="V1581" t="s">
        <v>15234</v>
      </c>
    </row>
    <row r="1582" spans="1:22" hidden="1">
      <c r="A1582" t="s">
        <v>15334</v>
      </c>
      <c r="B1582" t="s">
        <v>15442</v>
      </c>
      <c r="C1582" t="s">
        <v>15451</v>
      </c>
      <c r="D1582" t="s">
        <v>1581</v>
      </c>
      <c r="E1582" t="s">
        <v>3438</v>
      </c>
      <c r="F1582" t="s">
        <v>3435</v>
      </c>
      <c r="G1582" s="3">
        <v>36.576382693573201</v>
      </c>
      <c r="H1582" s="3">
        <v>126.65471182027299</v>
      </c>
      <c r="I1582" t="s">
        <v>5347</v>
      </c>
      <c r="J1582" t="s">
        <v>8706</v>
      </c>
      <c r="K1582" t="s">
        <v>11028</v>
      </c>
      <c r="L1582" t="s">
        <v>3366</v>
      </c>
      <c r="M1582" t="s">
        <v>11914</v>
      </c>
      <c r="N1582" t="s">
        <v>3363</v>
      </c>
      <c r="O1582" t="s">
        <v>3362</v>
      </c>
      <c r="P1582" t="s">
        <v>15211</v>
      </c>
      <c r="Q1582" t="s">
        <v>15211</v>
      </c>
      <c r="R1582" t="s">
        <v>15211</v>
      </c>
      <c r="S1582" t="s">
        <v>15211</v>
      </c>
      <c r="T1582" t="s">
        <v>3369</v>
      </c>
      <c r="U1582" t="s">
        <v>13472</v>
      </c>
      <c r="V1582" t="s">
        <v>15234</v>
      </c>
    </row>
    <row r="1583" spans="1:22">
      <c r="A1583" t="s">
        <v>15334</v>
      </c>
      <c r="B1583" t="s">
        <v>15443</v>
      </c>
      <c r="C1583" t="s">
        <v>15452</v>
      </c>
      <c r="D1583" t="s">
        <v>1582</v>
      </c>
      <c r="E1583" t="s">
        <v>3432</v>
      </c>
      <c r="F1583" t="s">
        <v>3476</v>
      </c>
      <c r="G1583" s="3">
        <v>36.576382624516597</v>
      </c>
      <c r="H1583" s="3">
        <v>126.65471108989</v>
      </c>
      <c r="I1583" t="s">
        <v>5348</v>
      </c>
      <c r="J1583" t="s">
        <v>8707</v>
      </c>
      <c r="K1583" t="s">
        <v>10895</v>
      </c>
      <c r="L1583" t="s">
        <v>3413</v>
      </c>
      <c r="M1583" t="s">
        <v>11890</v>
      </c>
      <c r="N1583" t="s">
        <v>3363</v>
      </c>
      <c r="O1583" t="s">
        <v>3362</v>
      </c>
      <c r="P1583" t="s">
        <v>15211</v>
      </c>
      <c r="Q1583" t="s">
        <v>15211</v>
      </c>
      <c r="R1583" t="s">
        <v>15211</v>
      </c>
      <c r="S1583" t="s">
        <v>15211</v>
      </c>
      <c r="T1583" t="s">
        <v>3369</v>
      </c>
      <c r="U1583" t="s">
        <v>13473</v>
      </c>
      <c r="V1583" t="s">
        <v>15220</v>
      </c>
    </row>
    <row r="1584" spans="1:22">
      <c r="A1584" t="s">
        <v>15334</v>
      </c>
      <c r="B1584" t="s">
        <v>15443</v>
      </c>
      <c r="C1584" t="s">
        <v>15452</v>
      </c>
      <c r="D1584" t="s">
        <v>1583</v>
      </c>
      <c r="E1584" t="s">
        <v>3431</v>
      </c>
      <c r="F1584" t="s">
        <v>3461</v>
      </c>
      <c r="G1584" s="3">
        <v>36.576382700008701</v>
      </c>
      <c r="H1584" s="3">
        <v>126.654711198266</v>
      </c>
      <c r="I1584" t="s">
        <v>5349</v>
      </c>
      <c r="J1584" t="s">
        <v>8708</v>
      </c>
      <c r="K1584" t="s">
        <v>10726</v>
      </c>
      <c r="L1584" t="s">
        <v>3368</v>
      </c>
      <c r="M1584" t="s">
        <v>11885</v>
      </c>
      <c r="N1584" t="s">
        <v>3363</v>
      </c>
      <c r="O1584" t="s">
        <v>3362</v>
      </c>
      <c r="P1584" t="s">
        <v>15211</v>
      </c>
      <c r="Q1584" t="s">
        <v>15211</v>
      </c>
      <c r="R1584" t="s">
        <v>15211</v>
      </c>
      <c r="S1584" t="s">
        <v>15211</v>
      </c>
      <c r="T1584" t="s">
        <v>3369</v>
      </c>
      <c r="U1584" t="s">
        <v>13474</v>
      </c>
      <c r="V1584" t="s">
        <v>15220</v>
      </c>
    </row>
    <row r="1585" spans="1:22">
      <c r="A1585" t="s">
        <v>15334</v>
      </c>
      <c r="B1585" t="s">
        <v>15443</v>
      </c>
      <c r="C1585" t="s">
        <v>15452</v>
      </c>
      <c r="D1585" t="s">
        <v>1584</v>
      </c>
      <c r="E1585" t="s">
        <v>3453</v>
      </c>
      <c r="F1585" t="s">
        <v>3467</v>
      </c>
      <c r="G1585" s="3">
        <v>36.576382683968603</v>
      </c>
      <c r="H1585" s="3">
        <v>126.654711121991</v>
      </c>
      <c r="I1585" t="s">
        <v>5350</v>
      </c>
      <c r="J1585" t="s">
        <v>8709</v>
      </c>
      <c r="K1585" t="s">
        <v>11126</v>
      </c>
      <c r="L1585" t="s">
        <v>3378</v>
      </c>
      <c r="M1585" t="s">
        <v>11894</v>
      </c>
      <c r="N1585" t="s">
        <v>3363</v>
      </c>
      <c r="O1585" t="s">
        <v>3362</v>
      </c>
      <c r="P1585" t="s">
        <v>15211</v>
      </c>
      <c r="Q1585" t="s">
        <v>15211</v>
      </c>
      <c r="R1585" t="s">
        <v>15211</v>
      </c>
      <c r="S1585" t="s">
        <v>15211</v>
      </c>
      <c r="T1585" t="s">
        <v>3369</v>
      </c>
      <c r="U1585" t="s">
        <v>13475</v>
      </c>
      <c r="V1585" t="s">
        <v>15220</v>
      </c>
    </row>
    <row r="1586" spans="1:22" hidden="1">
      <c r="A1586" t="s">
        <v>15372</v>
      </c>
      <c r="B1586" t="s">
        <v>15441</v>
      </c>
      <c r="C1586" t="s">
        <v>15449</v>
      </c>
      <c r="D1586" t="s">
        <v>453</v>
      </c>
      <c r="E1586" t="s">
        <v>3434</v>
      </c>
      <c r="F1586" t="s">
        <v>3450</v>
      </c>
      <c r="G1586" s="3">
        <v>35.345714204250697</v>
      </c>
      <c r="H1586" s="3">
        <v>127.228238039955</v>
      </c>
      <c r="I1586" t="s">
        <v>4220</v>
      </c>
      <c r="J1586" t="s">
        <v>7579</v>
      </c>
      <c r="K1586" t="s">
        <v>10819</v>
      </c>
      <c r="L1586" t="s">
        <v>3366</v>
      </c>
      <c r="M1586" t="s">
        <v>11896</v>
      </c>
      <c r="N1586" t="s">
        <v>3362</v>
      </c>
      <c r="O1586" t="s">
        <v>3361</v>
      </c>
      <c r="P1586" t="s">
        <v>3361</v>
      </c>
      <c r="Q1586" t="s">
        <v>3361</v>
      </c>
      <c r="R1586" t="s">
        <v>3358</v>
      </c>
      <c r="S1586" t="s">
        <v>15211</v>
      </c>
      <c r="T1586" t="s">
        <v>3379</v>
      </c>
      <c r="U1586" t="s">
        <v>12363</v>
      </c>
      <c r="V1586" t="s">
        <v>15231</v>
      </c>
    </row>
    <row r="1587" spans="1:22" hidden="1">
      <c r="A1587" t="s">
        <v>15372</v>
      </c>
      <c r="B1587" t="s">
        <v>15442</v>
      </c>
      <c r="C1587" t="s">
        <v>15450</v>
      </c>
      <c r="D1587" t="s">
        <v>454</v>
      </c>
      <c r="E1587" t="s">
        <v>3432</v>
      </c>
      <c r="F1587" t="s">
        <v>3590</v>
      </c>
      <c r="G1587" s="3">
        <v>35.345714613811502</v>
      </c>
      <c r="H1587" s="3">
        <v>127.228237238164</v>
      </c>
      <c r="I1587" t="s">
        <v>4221</v>
      </c>
      <c r="J1587" t="s">
        <v>7580</v>
      </c>
      <c r="K1587" t="s">
        <v>10820</v>
      </c>
      <c r="L1587" t="s">
        <v>3382</v>
      </c>
      <c r="M1587" t="s">
        <v>11890</v>
      </c>
      <c r="N1587" t="s">
        <v>3363</v>
      </c>
      <c r="O1587" t="s">
        <v>3361</v>
      </c>
      <c r="P1587" t="s">
        <v>15211</v>
      </c>
      <c r="Q1587" t="s">
        <v>15211</v>
      </c>
      <c r="R1587" t="s">
        <v>15211</v>
      </c>
      <c r="S1587" t="s">
        <v>15211</v>
      </c>
      <c r="T1587" t="s">
        <v>3368</v>
      </c>
      <c r="U1587" t="s">
        <v>12364</v>
      </c>
      <c r="V1587" t="s">
        <v>15232</v>
      </c>
    </row>
    <row r="1588" spans="1:22" hidden="1">
      <c r="A1588" t="s">
        <v>15372</v>
      </c>
      <c r="B1588" t="s">
        <v>15442</v>
      </c>
      <c r="C1588" t="s">
        <v>15445</v>
      </c>
      <c r="D1588" t="s">
        <v>455</v>
      </c>
      <c r="E1588" t="s">
        <v>3438</v>
      </c>
      <c r="F1588" t="s">
        <v>3431</v>
      </c>
      <c r="G1588" s="3">
        <v>35.345714289507903</v>
      </c>
      <c r="H1588" s="3">
        <v>127.228237949218</v>
      </c>
      <c r="I1588" t="s">
        <v>4222</v>
      </c>
      <c r="J1588" t="s">
        <v>7581</v>
      </c>
      <c r="K1588" t="s">
        <v>10762</v>
      </c>
      <c r="L1588" t="s">
        <v>3366</v>
      </c>
      <c r="M1588" t="s">
        <v>11890</v>
      </c>
      <c r="N1588" t="s">
        <v>3364</v>
      </c>
      <c r="O1588" t="s">
        <v>3361</v>
      </c>
      <c r="P1588" t="s">
        <v>15211</v>
      </c>
      <c r="Q1588" t="s">
        <v>15211</v>
      </c>
      <c r="R1588" t="s">
        <v>15211</v>
      </c>
      <c r="S1588" t="s">
        <v>15211</v>
      </c>
      <c r="T1588" t="s">
        <v>3369</v>
      </c>
      <c r="U1588" t="s">
        <v>12365</v>
      </c>
      <c r="V1588" t="s">
        <v>15233</v>
      </c>
    </row>
    <row r="1589" spans="1:22" hidden="1">
      <c r="A1589" t="s">
        <v>15372</v>
      </c>
      <c r="B1589" t="s">
        <v>15442</v>
      </c>
      <c r="C1589" t="s">
        <v>15451</v>
      </c>
      <c r="D1589" t="s">
        <v>456</v>
      </c>
      <c r="E1589" t="s">
        <v>3439</v>
      </c>
      <c r="F1589" t="s">
        <v>3428</v>
      </c>
      <c r="G1589" s="3">
        <v>35.345714334572698</v>
      </c>
      <c r="H1589" s="3">
        <v>127.22823808821001</v>
      </c>
      <c r="I1589" t="s">
        <v>4223</v>
      </c>
      <c r="J1589" t="s">
        <v>7582</v>
      </c>
      <c r="K1589" t="s">
        <v>10704</v>
      </c>
      <c r="L1589" t="s">
        <v>3366</v>
      </c>
      <c r="M1589" t="s">
        <v>11889</v>
      </c>
      <c r="N1589" t="s">
        <v>3365</v>
      </c>
      <c r="O1589" t="s">
        <v>3361</v>
      </c>
      <c r="P1589" t="s">
        <v>3361</v>
      </c>
      <c r="Q1589" t="s">
        <v>3359</v>
      </c>
      <c r="R1589" t="s">
        <v>15211</v>
      </c>
      <c r="S1589" t="s">
        <v>15211</v>
      </c>
      <c r="T1589" t="s">
        <v>3378</v>
      </c>
      <c r="U1589" t="s">
        <v>12366</v>
      </c>
      <c r="V1589" t="s">
        <v>15234</v>
      </c>
    </row>
    <row r="1590" spans="1:22">
      <c r="A1590" t="s">
        <v>15372</v>
      </c>
      <c r="B1590" t="s">
        <v>15443</v>
      </c>
      <c r="C1590" t="s">
        <v>15452</v>
      </c>
      <c r="D1590" t="s">
        <v>457</v>
      </c>
      <c r="E1590" t="s">
        <v>3440</v>
      </c>
      <c r="F1590" t="s">
        <v>3434</v>
      </c>
      <c r="G1590" s="3">
        <v>35.345714305673802</v>
      </c>
      <c r="H1590" s="3">
        <v>127.228238227505</v>
      </c>
      <c r="I1590" t="s">
        <v>4224</v>
      </c>
      <c r="J1590" t="s">
        <v>7583</v>
      </c>
      <c r="K1590" t="s">
        <v>10821</v>
      </c>
      <c r="L1590" t="s">
        <v>3366</v>
      </c>
      <c r="M1590" t="s">
        <v>11894</v>
      </c>
      <c r="N1590" t="s">
        <v>3362</v>
      </c>
      <c r="O1590" t="s">
        <v>15211</v>
      </c>
      <c r="P1590" t="s">
        <v>3361</v>
      </c>
      <c r="Q1590" t="s">
        <v>3359</v>
      </c>
      <c r="R1590" t="s">
        <v>15211</v>
      </c>
      <c r="S1590" t="s">
        <v>15211</v>
      </c>
      <c r="T1590" t="s">
        <v>3370</v>
      </c>
      <c r="U1590" t="s">
        <v>12367</v>
      </c>
      <c r="V1590" t="s">
        <v>15220</v>
      </c>
    </row>
    <row r="1591" spans="1:22" hidden="1">
      <c r="A1591" t="s">
        <v>15374</v>
      </c>
      <c r="B1591" t="s">
        <v>15441</v>
      </c>
      <c r="C1591" t="s">
        <v>15445</v>
      </c>
      <c r="D1591" t="s">
        <v>467</v>
      </c>
      <c r="E1591" t="s">
        <v>3452</v>
      </c>
      <c r="F1591" t="s">
        <v>3460</v>
      </c>
      <c r="G1591" s="3">
        <v>35.480946795967398</v>
      </c>
      <c r="H1591" s="3">
        <v>127.68900978780199</v>
      </c>
      <c r="I1591" t="s">
        <v>4234</v>
      </c>
      <c r="J1591" t="s">
        <v>7593</v>
      </c>
      <c r="K1591" t="s">
        <v>10828</v>
      </c>
      <c r="L1591" t="s">
        <v>3387</v>
      </c>
      <c r="M1591" t="s">
        <v>11902</v>
      </c>
      <c r="N1591" t="s">
        <v>3361</v>
      </c>
      <c r="O1591" t="s">
        <v>3361</v>
      </c>
      <c r="P1591" t="s">
        <v>15211</v>
      </c>
      <c r="Q1591" t="s">
        <v>15211</v>
      </c>
      <c r="R1591" t="s">
        <v>15211</v>
      </c>
      <c r="S1591" t="s">
        <v>15211</v>
      </c>
      <c r="T1591" t="s">
        <v>3366</v>
      </c>
      <c r="U1591" t="s">
        <v>12377</v>
      </c>
      <c r="V1591" t="s">
        <v>15228</v>
      </c>
    </row>
    <row r="1592" spans="1:22" hidden="1">
      <c r="A1592" t="s">
        <v>15374</v>
      </c>
      <c r="B1592" t="s">
        <v>15441</v>
      </c>
      <c r="C1592" t="s">
        <v>15446</v>
      </c>
      <c r="D1592" t="s">
        <v>468</v>
      </c>
      <c r="E1592" t="s">
        <v>3436</v>
      </c>
      <c r="F1592" t="s">
        <v>3426</v>
      </c>
      <c r="G1592" s="3">
        <v>35.480946794063698</v>
      </c>
      <c r="H1592" s="3">
        <v>127.689009780061</v>
      </c>
      <c r="I1592" t="s">
        <v>4235</v>
      </c>
      <c r="J1592" t="s">
        <v>7594</v>
      </c>
      <c r="K1592" t="s">
        <v>10829</v>
      </c>
      <c r="L1592" t="s">
        <v>3366</v>
      </c>
      <c r="M1592" t="s">
        <v>11902</v>
      </c>
      <c r="N1592" t="s">
        <v>3361</v>
      </c>
      <c r="O1592" t="s">
        <v>3361</v>
      </c>
      <c r="P1592" t="s">
        <v>15211</v>
      </c>
      <c r="Q1592" t="s">
        <v>15211</v>
      </c>
      <c r="R1592" t="s">
        <v>15211</v>
      </c>
      <c r="S1592" t="s">
        <v>15211</v>
      </c>
      <c r="T1592" t="s">
        <v>3366</v>
      </c>
      <c r="U1592" t="s">
        <v>12378</v>
      </c>
      <c r="V1592" t="s">
        <v>15229</v>
      </c>
    </row>
    <row r="1593" spans="1:22" hidden="1">
      <c r="A1593" t="s">
        <v>15374</v>
      </c>
      <c r="B1593" t="s">
        <v>15441</v>
      </c>
      <c r="C1593" t="s">
        <v>15448</v>
      </c>
      <c r="D1593" t="s">
        <v>469</v>
      </c>
      <c r="E1593" t="s">
        <v>3433</v>
      </c>
      <c r="F1593" t="s">
        <v>3458</v>
      </c>
      <c r="G1593" s="3">
        <v>35.480946854467497</v>
      </c>
      <c r="H1593" s="3">
        <v>127.689009748389</v>
      </c>
      <c r="I1593" t="s">
        <v>4236</v>
      </c>
      <c r="J1593" t="s">
        <v>7595</v>
      </c>
      <c r="K1593" t="s">
        <v>10830</v>
      </c>
      <c r="L1593" t="s">
        <v>3366</v>
      </c>
      <c r="M1593" t="s">
        <v>11910</v>
      </c>
      <c r="N1593" t="s">
        <v>3363</v>
      </c>
      <c r="O1593" t="s">
        <v>3361</v>
      </c>
      <c r="P1593" t="s">
        <v>3364</v>
      </c>
      <c r="Q1593" t="s">
        <v>3362</v>
      </c>
      <c r="R1593" t="s">
        <v>3358</v>
      </c>
      <c r="S1593" t="s">
        <v>15211</v>
      </c>
      <c r="T1593" t="s">
        <v>3384</v>
      </c>
      <c r="U1593" t="s">
        <v>12379</v>
      </c>
      <c r="V1593" t="s">
        <v>15230</v>
      </c>
    </row>
    <row r="1594" spans="1:22" hidden="1">
      <c r="A1594" t="s">
        <v>15374</v>
      </c>
      <c r="B1594" t="s">
        <v>15441</v>
      </c>
      <c r="C1594" t="s">
        <v>15449</v>
      </c>
      <c r="D1594" t="s">
        <v>470</v>
      </c>
      <c r="E1594" t="s">
        <v>3442</v>
      </c>
      <c r="F1594" t="s">
        <v>3466</v>
      </c>
      <c r="G1594" s="3">
        <v>35.480946852953402</v>
      </c>
      <c r="H1594" s="3">
        <v>127.689009789868</v>
      </c>
      <c r="I1594" t="s">
        <v>4237</v>
      </c>
      <c r="J1594" t="s">
        <v>7596</v>
      </c>
      <c r="K1594" t="s">
        <v>10831</v>
      </c>
      <c r="L1594" t="s">
        <v>3366</v>
      </c>
      <c r="M1594" t="s">
        <v>11896</v>
      </c>
      <c r="N1594" t="s">
        <v>3363</v>
      </c>
      <c r="O1594" t="s">
        <v>15211</v>
      </c>
      <c r="P1594" t="s">
        <v>3364</v>
      </c>
      <c r="Q1594" t="s">
        <v>3362</v>
      </c>
      <c r="R1594" t="s">
        <v>3358</v>
      </c>
      <c r="S1594" t="s">
        <v>15211</v>
      </c>
      <c r="T1594" t="s">
        <v>3379</v>
      </c>
      <c r="U1594" t="s">
        <v>12380</v>
      </c>
      <c r="V1594" t="s">
        <v>15231</v>
      </c>
    </row>
    <row r="1595" spans="1:22" hidden="1">
      <c r="A1595" t="s">
        <v>15374</v>
      </c>
      <c r="B1595" t="s">
        <v>15442</v>
      </c>
      <c r="C1595" t="s">
        <v>15450</v>
      </c>
      <c r="D1595" t="s">
        <v>471</v>
      </c>
      <c r="E1595" t="s">
        <v>3461</v>
      </c>
      <c r="F1595" t="s">
        <v>3458</v>
      </c>
      <c r="G1595" s="3">
        <v>35.480946743643699</v>
      </c>
      <c r="H1595" s="3">
        <v>127.689009705365</v>
      </c>
      <c r="I1595" t="s">
        <v>4238</v>
      </c>
      <c r="J1595" t="s">
        <v>7597</v>
      </c>
      <c r="K1595" t="s">
        <v>10651</v>
      </c>
      <c r="L1595" t="s">
        <v>3400</v>
      </c>
      <c r="M1595" t="s">
        <v>11885</v>
      </c>
      <c r="N1595" t="s">
        <v>3363</v>
      </c>
      <c r="O1595" t="s">
        <v>3361</v>
      </c>
      <c r="P1595" t="s">
        <v>15211</v>
      </c>
      <c r="Q1595" t="s">
        <v>15211</v>
      </c>
      <c r="R1595" t="s">
        <v>15211</v>
      </c>
      <c r="S1595" t="s">
        <v>15211</v>
      </c>
      <c r="T1595" t="s">
        <v>3368</v>
      </c>
      <c r="U1595" t="s">
        <v>12381</v>
      </c>
      <c r="V1595" t="s">
        <v>15232</v>
      </c>
    </row>
    <row r="1596" spans="1:22" hidden="1">
      <c r="A1596" t="s">
        <v>15374</v>
      </c>
      <c r="B1596" t="s">
        <v>15442</v>
      </c>
      <c r="C1596" t="s">
        <v>15445</v>
      </c>
      <c r="D1596" t="s">
        <v>472</v>
      </c>
      <c r="E1596" t="s">
        <v>3425</v>
      </c>
      <c r="F1596" t="s">
        <v>3433</v>
      </c>
      <c r="G1596" s="3">
        <v>35.480946704489497</v>
      </c>
      <c r="H1596" s="3">
        <v>127.689009862623</v>
      </c>
      <c r="I1596" t="s">
        <v>4239</v>
      </c>
      <c r="J1596" t="s">
        <v>7598</v>
      </c>
      <c r="K1596" t="s">
        <v>10832</v>
      </c>
      <c r="L1596" t="s">
        <v>3366</v>
      </c>
      <c r="M1596" t="s">
        <v>11885</v>
      </c>
      <c r="N1596" t="s">
        <v>3363</v>
      </c>
      <c r="O1596" t="s">
        <v>3361</v>
      </c>
      <c r="P1596" t="s">
        <v>15211</v>
      </c>
      <c r="Q1596" t="s">
        <v>15211</v>
      </c>
      <c r="R1596" t="s">
        <v>15211</v>
      </c>
      <c r="S1596" t="s">
        <v>15211</v>
      </c>
      <c r="T1596" t="s">
        <v>3368</v>
      </c>
      <c r="U1596" t="s">
        <v>12382</v>
      </c>
      <c r="V1596" t="s">
        <v>15233</v>
      </c>
    </row>
    <row r="1597" spans="1:22" hidden="1">
      <c r="A1597" t="s">
        <v>15374</v>
      </c>
      <c r="B1597" t="s">
        <v>15442</v>
      </c>
      <c r="C1597" t="s">
        <v>15451</v>
      </c>
      <c r="D1597" t="s">
        <v>473</v>
      </c>
      <c r="E1597" t="s">
        <v>3427</v>
      </c>
      <c r="F1597" t="s">
        <v>3435</v>
      </c>
      <c r="G1597" s="3">
        <v>35.480946818309299</v>
      </c>
      <c r="H1597" s="3">
        <v>127.689009860913</v>
      </c>
      <c r="I1597" t="s">
        <v>4240</v>
      </c>
      <c r="J1597" t="s">
        <v>7599</v>
      </c>
      <c r="K1597" t="s">
        <v>10833</v>
      </c>
      <c r="L1597" t="s">
        <v>3366</v>
      </c>
      <c r="M1597" t="s">
        <v>11896</v>
      </c>
      <c r="N1597" t="s">
        <v>3363</v>
      </c>
      <c r="O1597" t="s">
        <v>3361</v>
      </c>
      <c r="P1597" t="s">
        <v>3363</v>
      </c>
      <c r="Q1597" t="s">
        <v>3360</v>
      </c>
      <c r="R1597" t="s">
        <v>15211</v>
      </c>
      <c r="S1597" t="s">
        <v>15211</v>
      </c>
      <c r="T1597" t="s">
        <v>3379</v>
      </c>
      <c r="U1597" t="s">
        <v>12383</v>
      </c>
      <c r="V1597" t="s">
        <v>15234</v>
      </c>
    </row>
    <row r="1598" spans="1:22" hidden="1">
      <c r="A1598" t="s">
        <v>15374</v>
      </c>
      <c r="B1598" t="s">
        <v>15441</v>
      </c>
      <c r="C1598" t="s">
        <v>15447</v>
      </c>
      <c r="D1598" t="s">
        <v>474</v>
      </c>
      <c r="E1598" t="s">
        <v>3436</v>
      </c>
      <c r="F1598" t="s">
        <v>3441</v>
      </c>
      <c r="G1598" s="3">
        <v>35.480946922477301</v>
      </c>
      <c r="H1598" s="3">
        <v>127.689009741352</v>
      </c>
      <c r="I1598" t="s">
        <v>4241</v>
      </c>
      <c r="J1598" t="s">
        <v>7600</v>
      </c>
      <c r="K1598" t="s">
        <v>10834</v>
      </c>
      <c r="L1598" t="s">
        <v>3366</v>
      </c>
      <c r="M1598" t="s">
        <v>11892</v>
      </c>
      <c r="N1598" t="s">
        <v>3364</v>
      </c>
      <c r="O1598" t="s">
        <v>15211</v>
      </c>
      <c r="P1598" t="s">
        <v>15211</v>
      </c>
      <c r="Q1598" t="s">
        <v>15211</v>
      </c>
      <c r="R1598" t="s">
        <v>15211</v>
      </c>
      <c r="S1598" t="s">
        <v>15211</v>
      </c>
      <c r="T1598" t="s">
        <v>3364</v>
      </c>
      <c r="U1598" t="s">
        <v>12384</v>
      </c>
      <c r="V1598" t="s">
        <v>15235</v>
      </c>
    </row>
    <row r="1599" spans="1:22">
      <c r="A1599" t="s">
        <v>15374</v>
      </c>
      <c r="B1599" t="s">
        <v>15443</v>
      </c>
      <c r="C1599" t="s">
        <v>15452</v>
      </c>
      <c r="D1599" t="s">
        <v>475</v>
      </c>
      <c r="E1599" t="s">
        <v>3435</v>
      </c>
      <c r="F1599" t="s">
        <v>3465</v>
      </c>
      <c r="G1599" s="3">
        <v>35.480946924498099</v>
      </c>
      <c r="H1599" s="3">
        <v>127.689010053782</v>
      </c>
      <c r="I1599" t="s">
        <v>4242</v>
      </c>
      <c r="J1599" t="s">
        <v>7601</v>
      </c>
      <c r="K1599" t="s">
        <v>10654</v>
      </c>
      <c r="L1599" t="s">
        <v>3392</v>
      </c>
      <c r="M1599" t="s">
        <v>11903</v>
      </c>
      <c r="N1599" t="s">
        <v>3361</v>
      </c>
      <c r="O1599" t="s">
        <v>15211</v>
      </c>
      <c r="P1599" t="s">
        <v>3363</v>
      </c>
      <c r="Q1599" t="s">
        <v>3360</v>
      </c>
      <c r="R1599" t="s">
        <v>15211</v>
      </c>
      <c r="S1599" t="s">
        <v>15211</v>
      </c>
      <c r="T1599" t="s">
        <v>3372</v>
      </c>
      <c r="U1599" t="s">
        <v>12385</v>
      </c>
      <c r="V1599" t="s">
        <v>15220</v>
      </c>
    </row>
    <row r="1600" spans="1:22" hidden="1">
      <c r="A1600" t="s">
        <v>15301</v>
      </c>
      <c r="B1600" t="s">
        <v>15441</v>
      </c>
      <c r="C1600" t="s">
        <v>15445</v>
      </c>
      <c r="D1600" t="s">
        <v>363</v>
      </c>
      <c r="E1600" t="s">
        <v>3439</v>
      </c>
      <c r="F1600" t="s">
        <v>3438</v>
      </c>
      <c r="G1600" s="3">
        <v>35.312994488563</v>
      </c>
      <c r="H1600" s="3">
        <v>126.554699725463</v>
      </c>
      <c r="I1600" t="s">
        <v>4130</v>
      </c>
      <c r="J1600" t="s">
        <v>7489</v>
      </c>
      <c r="K1600" t="s">
        <v>10739</v>
      </c>
      <c r="L1600" t="s">
        <v>3366</v>
      </c>
      <c r="M1600" t="s">
        <v>11894</v>
      </c>
      <c r="N1600" t="s">
        <v>3364</v>
      </c>
      <c r="O1600" t="s">
        <v>3362</v>
      </c>
      <c r="P1600" t="s">
        <v>15211</v>
      </c>
      <c r="Q1600" t="s">
        <v>15211</v>
      </c>
      <c r="R1600" t="s">
        <v>15211</v>
      </c>
      <c r="S1600" t="s">
        <v>15211</v>
      </c>
      <c r="T1600" t="s">
        <v>3370</v>
      </c>
      <c r="U1600" t="s">
        <v>12273</v>
      </c>
      <c r="V1600" t="s">
        <v>15228</v>
      </c>
    </row>
    <row r="1601" spans="1:22" hidden="1">
      <c r="A1601" t="s">
        <v>15301</v>
      </c>
      <c r="B1601" t="s">
        <v>15441</v>
      </c>
      <c r="C1601" t="s">
        <v>15446</v>
      </c>
      <c r="D1601" t="s">
        <v>364</v>
      </c>
      <c r="E1601" t="s">
        <v>3437</v>
      </c>
      <c r="F1601" t="s">
        <v>3428</v>
      </c>
      <c r="G1601" s="3">
        <v>35.312994465413801</v>
      </c>
      <c r="H1601" s="3">
        <v>126.554699748959</v>
      </c>
      <c r="I1601" t="s">
        <v>4131</v>
      </c>
      <c r="J1601" t="s">
        <v>7490</v>
      </c>
      <c r="K1601" t="s">
        <v>10754</v>
      </c>
      <c r="L1601" t="s">
        <v>3366</v>
      </c>
      <c r="M1601" t="s">
        <v>11894</v>
      </c>
      <c r="N1601" t="s">
        <v>3364</v>
      </c>
      <c r="O1601" t="s">
        <v>3362</v>
      </c>
      <c r="P1601" t="s">
        <v>15211</v>
      </c>
      <c r="Q1601" t="s">
        <v>15211</v>
      </c>
      <c r="R1601" t="s">
        <v>15211</v>
      </c>
      <c r="S1601" t="s">
        <v>15211</v>
      </c>
      <c r="T1601" t="s">
        <v>3370</v>
      </c>
      <c r="U1601" t="s">
        <v>12274</v>
      </c>
      <c r="V1601" t="s">
        <v>15229</v>
      </c>
    </row>
    <row r="1602" spans="1:22" hidden="1">
      <c r="A1602" t="s">
        <v>15301</v>
      </c>
      <c r="B1602" t="s">
        <v>15441</v>
      </c>
      <c r="C1602" t="s">
        <v>15447</v>
      </c>
      <c r="D1602" t="s">
        <v>365</v>
      </c>
      <c r="E1602" t="s">
        <v>3438</v>
      </c>
      <c r="F1602" t="s">
        <v>3429</v>
      </c>
      <c r="G1602" s="3">
        <v>35.312994497284102</v>
      </c>
      <c r="H1602" s="3">
        <v>126.554699809909</v>
      </c>
      <c r="I1602" t="s">
        <v>4132</v>
      </c>
      <c r="J1602" t="s">
        <v>7491</v>
      </c>
      <c r="K1602" t="s">
        <v>10755</v>
      </c>
      <c r="L1602" t="s">
        <v>3366</v>
      </c>
      <c r="M1602" t="s">
        <v>11892</v>
      </c>
      <c r="N1602" t="s">
        <v>3364</v>
      </c>
      <c r="O1602" t="s">
        <v>15211</v>
      </c>
      <c r="P1602" t="s">
        <v>15211</v>
      </c>
      <c r="Q1602" t="s">
        <v>15211</v>
      </c>
      <c r="R1602" t="s">
        <v>15211</v>
      </c>
      <c r="S1602" t="s">
        <v>15211</v>
      </c>
      <c r="T1602" t="s">
        <v>3364</v>
      </c>
      <c r="U1602" t="s">
        <v>12275</v>
      </c>
      <c r="V1602" t="s">
        <v>15235</v>
      </c>
    </row>
    <row r="1603" spans="1:22" hidden="1">
      <c r="A1603" t="s">
        <v>15301</v>
      </c>
      <c r="B1603" t="s">
        <v>15441</v>
      </c>
      <c r="C1603" t="s">
        <v>15448</v>
      </c>
      <c r="D1603" t="s">
        <v>366</v>
      </c>
      <c r="E1603" t="s">
        <v>3436</v>
      </c>
      <c r="F1603" t="s">
        <v>3453</v>
      </c>
      <c r="G1603" s="3">
        <v>35.312994600665803</v>
      </c>
      <c r="H1603" s="3">
        <v>126.55469962075399</v>
      </c>
      <c r="I1603" t="s">
        <v>4133</v>
      </c>
      <c r="J1603" t="s">
        <v>7492</v>
      </c>
      <c r="K1603" t="s">
        <v>10756</v>
      </c>
      <c r="L1603" t="s">
        <v>3366</v>
      </c>
      <c r="M1603" t="s">
        <v>11911</v>
      </c>
      <c r="N1603" t="s">
        <v>3364</v>
      </c>
      <c r="O1603" t="s">
        <v>3362</v>
      </c>
      <c r="P1603" t="s">
        <v>3364</v>
      </c>
      <c r="Q1603" t="s">
        <v>3362</v>
      </c>
      <c r="R1603" t="s">
        <v>3357</v>
      </c>
      <c r="S1603" t="s">
        <v>15211</v>
      </c>
      <c r="T1603" t="s">
        <v>3385</v>
      </c>
      <c r="U1603" t="s">
        <v>12276</v>
      </c>
      <c r="V1603" t="s">
        <v>15230</v>
      </c>
    </row>
    <row r="1604" spans="1:22" hidden="1">
      <c r="A1604" t="s">
        <v>15301</v>
      </c>
      <c r="B1604" t="s">
        <v>15441</v>
      </c>
      <c r="C1604" t="s">
        <v>15449</v>
      </c>
      <c r="D1604" t="s">
        <v>367</v>
      </c>
      <c r="E1604" t="s">
        <v>3440</v>
      </c>
      <c r="F1604" t="s">
        <v>3431</v>
      </c>
      <c r="G1604" s="3">
        <v>35.312994571770503</v>
      </c>
      <c r="H1604" s="3">
        <v>126.55469971571</v>
      </c>
      <c r="I1604" t="s">
        <v>4134</v>
      </c>
      <c r="J1604" t="s">
        <v>7493</v>
      </c>
      <c r="K1604" t="s">
        <v>10741</v>
      </c>
      <c r="L1604" t="s">
        <v>3366</v>
      </c>
      <c r="M1604" t="s">
        <v>11910</v>
      </c>
      <c r="N1604" t="s">
        <v>3364</v>
      </c>
      <c r="O1604" t="s">
        <v>3361</v>
      </c>
      <c r="P1604" t="s">
        <v>3364</v>
      </c>
      <c r="Q1604" t="s">
        <v>3362</v>
      </c>
      <c r="R1604" t="s">
        <v>3357</v>
      </c>
      <c r="S1604" t="s">
        <v>15211</v>
      </c>
      <c r="T1604" t="s">
        <v>3384</v>
      </c>
      <c r="U1604" t="s">
        <v>12277</v>
      </c>
      <c r="V1604" t="s">
        <v>15231</v>
      </c>
    </row>
    <row r="1605" spans="1:22" hidden="1">
      <c r="A1605" t="s">
        <v>15301</v>
      </c>
      <c r="B1605" t="s">
        <v>15442</v>
      </c>
      <c r="C1605" t="s">
        <v>15450</v>
      </c>
      <c r="D1605" t="s">
        <v>368</v>
      </c>
      <c r="E1605" t="s">
        <v>3435</v>
      </c>
      <c r="F1605" t="s">
        <v>3462</v>
      </c>
      <c r="G1605" s="3">
        <v>35.312994491420497</v>
      </c>
      <c r="H1605" s="3">
        <v>126.554699753793</v>
      </c>
      <c r="I1605" t="s">
        <v>4135</v>
      </c>
      <c r="J1605" t="s">
        <v>7494</v>
      </c>
      <c r="K1605" t="s">
        <v>10757</v>
      </c>
      <c r="L1605" t="s">
        <v>3366</v>
      </c>
      <c r="M1605" t="s">
        <v>11894</v>
      </c>
      <c r="N1605" t="s">
        <v>3365</v>
      </c>
      <c r="O1605" t="s">
        <v>3362</v>
      </c>
      <c r="P1605" t="s">
        <v>15211</v>
      </c>
      <c r="Q1605" t="s">
        <v>15211</v>
      </c>
      <c r="R1605" t="s">
        <v>15211</v>
      </c>
      <c r="S1605" t="s">
        <v>15211</v>
      </c>
      <c r="T1605" t="s">
        <v>3371</v>
      </c>
      <c r="U1605" t="s">
        <v>12278</v>
      </c>
      <c r="V1605" t="s">
        <v>15232</v>
      </c>
    </row>
    <row r="1606" spans="1:22" hidden="1">
      <c r="A1606" t="s">
        <v>15301</v>
      </c>
      <c r="B1606" t="s">
        <v>15442</v>
      </c>
      <c r="C1606" t="s">
        <v>15445</v>
      </c>
      <c r="D1606" t="s">
        <v>369</v>
      </c>
      <c r="E1606" t="s">
        <v>3440</v>
      </c>
      <c r="F1606" t="s">
        <v>3425</v>
      </c>
      <c r="G1606" s="3">
        <v>35.312994472704503</v>
      </c>
      <c r="H1606" s="3">
        <v>126.554699811299</v>
      </c>
      <c r="I1606" t="s">
        <v>4136</v>
      </c>
      <c r="J1606" t="s">
        <v>7495</v>
      </c>
      <c r="K1606" t="s">
        <v>10669</v>
      </c>
      <c r="L1606" t="s">
        <v>3366</v>
      </c>
      <c r="M1606" t="s">
        <v>11894</v>
      </c>
      <c r="N1606" t="s">
        <v>3364</v>
      </c>
      <c r="O1606" t="s">
        <v>3362</v>
      </c>
      <c r="P1606" t="s">
        <v>15211</v>
      </c>
      <c r="Q1606" t="s">
        <v>15211</v>
      </c>
      <c r="R1606" t="s">
        <v>15211</v>
      </c>
      <c r="S1606" t="s">
        <v>15211</v>
      </c>
      <c r="T1606" t="s">
        <v>3370</v>
      </c>
      <c r="U1606" t="s">
        <v>12279</v>
      </c>
      <c r="V1606" t="s">
        <v>15233</v>
      </c>
    </row>
    <row r="1607" spans="1:22" hidden="1">
      <c r="A1607" t="s">
        <v>15301</v>
      </c>
      <c r="B1607" t="s">
        <v>15442</v>
      </c>
      <c r="C1607" t="s">
        <v>15451</v>
      </c>
      <c r="D1607" t="s">
        <v>370</v>
      </c>
      <c r="E1607" t="s">
        <v>3457</v>
      </c>
      <c r="F1607" t="s">
        <v>3440</v>
      </c>
      <c r="G1607" s="3">
        <v>35.312994525453803</v>
      </c>
      <c r="H1607" s="3">
        <v>126.55469983688199</v>
      </c>
      <c r="I1607" t="s">
        <v>4137</v>
      </c>
      <c r="J1607" t="s">
        <v>7496</v>
      </c>
      <c r="K1607" t="s">
        <v>10758</v>
      </c>
      <c r="L1607" t="s">
        <v>3366</v>
      </c>
      <c r="M1607" t="s">
        <v>11891</v>
      </c>
      <c r="N1607" t="s">
        <v>3364</v>
      </c>
      <c r="O1607" t="s">
        <v>3362</v>
      </c>
      <c r="P1607" t="s">
        <v>3363</v>
      </c>
      <c r="Q1607" t="s">
        <v>3359</v>
      </c>
      <c r="R1607" t="s">
        <v>15211</v>
      </c>
      <c r="S1607" t="s">
        <v>15211</v>
      </c>
      <c r="T1607" t="s">
        <v>3380</v>
      </c>
      <c r="U1607" t="s">
        <v>12280</v>
      </c>
      <c r="V1607" t="s">
        <v>15234</v>
      </c>
    </row>
    <row r="1608" spans="1:22">
      <c r="A1608" t="s">
        <v>15301</v>
      </c>
      <c r="B1608" t="s">
        <v>15443</v>
      </c>
      <c r="C1608" t="s">
        <v>15452</v>
      </c>
      <c r="D1608" t="s">
        <v>371</v>
      </c>
      <c r="E1608" t="s">
        <v>3430</v>
      </c>
      <c r="F1608" t="s">
        <v>3476</v>
      </c>
      <c r="G1608" s="3">
        <v>35.312994561502698</v>
      </c>
      <c r="H1608" s="3">
        <v>126.554699829547</v>
      </c>
      <c r="I1608" t="s">
        <v>4138</v>
      </c>
      <c r="J1608" t="s">
        <v>7497</v>
      </c>
      <c r="K1608" t="s">
        <v>10759</v>
      </c>
      <c r="L1608" t="s">
        <v>3366</v>
      </c>
      <c r="M1608" t="s">
        <v>11899</v>
      </c>
      <c r="N1608" t="s">
        <v>3363</v>
      </c>
      <c r="O1608" t="s">
        <v>15211</v>
      </c>
      <c r="P1608" t="s">
        <v>3363</v>
      </c>
      <c r="Q1608" t="s">
        <v>3361</v>
      </c>
      <c r="R1608" t="s">
        <v>15211</v>
      </c>
      <c r="S1608" t="s">
        <v>15211</v>
      </c>
      <c r="T1608" t="s">
        <v>3375</v>
      </c>
      <c r="U1608" t="s">
        <v>12281</v>
      </c>
      <c r="V1608" t="s">
        <v>15220</v>
      </c>
    </row>
    <row r="1609" spans="1:22" hidden="1">
      <c r="A1609" t="s">
        <v>15371</v>
      </c>
      <c r="B1609" t="s">
        <v>15441</v>
      </c>
      <c r="C1609" t="s">
        <v>15445</v>
      </c>
      <c r="D1609" t="s">
        <v>440</v>
      </c>
      <c r="E1609" t="s">
        <v>3437</v>
      </c>
      <c r="F1609" t="s">
        <v>3425</v>
      </c>
      <c r="G1609" s="3">
        <v>35.411230330296</v>
      </c>
      <c r="H1609" s="3">
        <v>127.31962972393001</v>
      </c>
      <c r="I1609" t="s">
        <v>4207</v>
      </c>
      <c r="J1609" t="s">
        <v>7566</v>
      </c>
      <c r="K1609" t="s">
        <v>10727</v>
      </c>
      <c r="L1609" t="s">
        <v>3366</v>
      </c>
      <c r="M1609" t="s">
        <v>11890</v>
      </c>
      <c r="N1609" t="s">
        <v>3364</v>
      </c>
      <c r="O1609" t="s">
        <v>3361</v>
      </c>
      <c r="P1609" t="s">
        <v>15211</v>
      </c>
      <c r="Q1609" t="s">
        <v>15211</v>
      </c>
      <c r="R1609" t="s">
        <v>15211</v>
      </c>
      <c r="S1609" t="s">
        <v>15211</v>
      </c>
      <c r="T1609" t="s">
        <v>3369</v>
      </c>
      <c r="U1609" t="s">
        <v>12350</v>
      </c>
      <c r="V1609" t="s">
        <v>15228</v>
      </c>
    </row>
    <row r="1610" spans="1:22" hidden="1">
      <c r="A1610" t="s">
        <v>15371</v>
      </c>
      <c r="B1610" t="s">
        <v>15441</v>
      </c>
      <c r="C1610" t="s">
        <v>15446</v>
      </c>
      <c r="D1610" t="s">
        <v>441</v>
      </c>
      <c r="E1610" t="s">
        <v>3437</v>
      </c>
      <c r="F1610" t="s">
        <v>3431</v>
      </c>
      <c r="G1610" s="3">
        <v>35.411230300671903</v>
      </c>
      <c r="H1610" s="3">
        <v>127.319629796124</v>
      </c>
      <c r="I1610" t="s">
        <v>4208</v>
      </c>
      <c r="J1610" t="s">
        <v>7567</v>
      </c>
      <c r="K1610" t="s">
        <v>10812</v>
      </c>
      <c r="L1610" t="s">
        <v>3366</v>
      </c>
      <c r="M1610" t="s">
        <v>11890</v>
      </c>
      <c r="N1610" t="s">
        <v>3364</v>
      </c>
      <c r="O1610" t="s">
        <v>3361</v>
      </c>
      <c r="P1610" t="s">
        <v>15211</v>
      </c>
      <c r="Q1610" t="s">
        <v>15211</v>
      </c>
      <c r="R1610" t="s">
        <v>15211</v>
      </c>
      <c r="S1610" t="s">
        <v>15211</v>
      </c>
      <c r="T1610" t="s">
        <v>3369</v>
      </c>
      <c r="U1610" t="s">
        <v>12351</v>
      </c>
      <c r="V1610" t="s">
        <v>15229</v>
      </c>
    </row>
    <row r="1611" spans="1:22" hidden="1">
      <c r="A1611" t="s">
        <v>15371</v>
      </c>
      <c r="B1611" t="s">
        <v>15441</v>
      </c>
      <c r="C1611" t="s">
        <v>15447</v>
      </c>
      <c r="D1611" t="s">
        <v>442</v>
      </c>
      <c r="E1611" t="s">
        <v>3427</v>
      </c>
      <c r="F1611" t="s">
        <v>3453</v>
      </c>
      <c r="G1611" s="3">
        <v>35.4112302784376</v>
      </c>
      <c r="H1611" s="3">
        <v>127.31962971735101</v>
      </c>
      <c r="I1611" t="s">
        <v>4209</v>
      </c>
      <c r="J1611" t="s">
        <v>7568</v>
      </c>
      <c r="K1611" t="s">
        <v>10813</v>
      </c>
      <c r="L1611" t="s">
        <v>3366</v>
      </c>
      <c r="M1611" t="s">
        <v>11892</v>
      </c>
      <c r="N1611" t="s">
        <v>3364</v>
      </c>
      <c r="O1611" t="s">
        <v>15211</v>
      </c>
      <c r="P1611" t="s">
        <v>15211</v>
      </c>
      <c r="Q1611" t="s">
        <v>15211</v>
      </c>
      <c r="R1611" t="s">
        <v>15211</v>
      </c>
      <c r="S1611" t="s">
        <v>15211</v>
      </c>
      <c r="T1611" t="s">
        <v>3364</v>
      </c>
      <c r="U1611" t="s">
        <v>12352</v>
      </c>
      <c r="V1611" t="s">
        <v>15235</v>
      </c>
    </row>
    <row r="1612" spans="1:22" hidden="1">
      <c r="A1612" t="s">
        <v>15371</v>
      </c>
      <c r="B1612" t="s">
        <v>15441</v>
      </c>
      <c r="C1612" t="s">
        <v>15448</v>
      </c>
      <c r="D1612" t="s">
        <v>443</v>
      </c>
      <c r="E1612" t="s">
        <v>3431</v>
      </c>
      <c r="F1612" t="s">
        <v>3426</v>
      </c>
      <c r="G1612" s="3">
        <v>35.411230259993999</v>
      </c>
      <c r="H1612" s="3">
        <v>127.31962987815101</v>
      </c>
      <c r="I1612" t="s">
        <v>4210</v>
      </c>
      <c r="J1612" t="s">
        <v>7569</v>
      </c>
      <c r="K1612" t="s">
        <v>10666</v>
      </c>
      <c r="L1612" t="s">
        <v>3366</v>
      </c>
      <c r="M1612" t="s">
        <v>11910</v>
      </c>
      <c r="N1612" t="s">
        <v>3364</v>
      </c>
      <c r="O1612" t="s">
        <v>3361</v>
      </c>
      <c r="P1612" t="s">
        <v>3363</v>
      </c>
      <c r="Q1612" t="s">
        <v>3362</v>
      </c>
      <c r="R1612" t="s">
        <v>3358</v>
      </c>
      <c r="S1612" t="s">
        <v>15211</v>
      </c>
      <c r="T1612" t="s">
        <v>3384</v>
      </c>
      <c r="U1612" t="s">
        <v>12353</v>
      </c>
      <c r="V1612" t="s">
        <v>15230</v>
      </c>
    </row>
    <row r="1613" spans="1:22" ht="17.399999999999999" hidden="1">
      <c r="A1613" t="s">
        <v>15336</v>
      </c>
      <c r="B1613" t="s">
        <v>15441</v>
      </c>
      <c r="C1613" t="s">
        <v>15445</v>
      </c>
      <c r="D1613" t="s">
        <v>1612</v>
      </c>
      <c r="E1613" t="s">
        <v>3438</v>
      </c>
      <c r="F1613" t="s">
        <v>3435</v>
      </c>
      <c r="G1613" s="3">
        <v>36.473090803642798</v>
      </c>
      <c r="H1613" s="3">
        <v>128.38564137363201</v>
      </c>
      <c r="I1613" t="s">
        <v>5378</v>
      </c>
      <c r="J1613" t="s">
        <v>8737</v>
      </c>
      <c r="K1613" t="s">
        <v>10832</v>
      </c>
      <c r="L1613" t="s">
        <v>3366</v>
      </c>
      <c r="M1613" t="s">
        <v>11890</v>
      </c>
      <c r="N1613" t="s">
        <v>3364</v>
      </c>
      <c r="O1613" t="s">
        <v>3361</v>
      </c>
      <c r="P1613" t="s">
        <v>15211</v>
      </c>
      <c r="Q1613" t="s">
        <v>15211</v>
      </c>
      <c r="R1613" t="s">
        <v>15211</v>
      </c>
      <c r="S1613" t="s">
        <v>15211</v>
      </c>
      <c r="T1613" t="s">
        <v>3369</v>
      </c>
      <c r="U1613" t="s">
        <v>13503</v>
      </c>
      <c r="V1613" t="s">
        <v>15212</v>
      </c>
    </row>
    <row r="1614" spans="1:22" ht="17.399999999999999" hidden="1">
      <c r="A1614" t="s">
        <v>15336</v>
      </c>
      <c r="B1614" t="s">
        <v>15441</v>
      </c>
      <c r="C1614" t="s">
        <v>15445</v>
      </c>
      <c r="D1614" t="s">
        <v>1613</v>
      </c>
      <c r="E1614" t="s">
        <v>3438</v>
      </c>
      <c r="F1614" t="s">
        <v>3431</v>
      </c>
      <c r="G1614" s="3">
        <v>36.473090774277402</v>
      </c>
      <c r="H1614" s="3">
        <v>128.385641417947</v>
      </c>
      <c r="I1614" t="s">
        <v>5379</v>
      </c>
      <c r="J1614" t="s">
        <v>8738</v>
      </c>
      <c r="K1614" t="s">
        <v>10924</v>
      </c>
      <c r="L1614" t="s">
        <v>3366</v>
      </c>
      <c r="M1614" t="s">
        <v>11894</v>
      </c>
      <c r="N1614" t="s">
        <v>3365</v>
      </c>
      <c r="O1614" t="s">
        <v>3361</v>
      </c>
      <c r="P1614" t="s">
        <v>15211</v>
      </c>
      <c r="Q1614" t="s">
        <v>15211</v>
      </c>
      <c r="R1614" t="s">
        <v>15211</v>
      </c>
      <c r="S1614" t="s">
        <v>15211</v>
      </c>
      <c r="T1614" t="s">
        <v>3370</v>
      </c>
      <c r="U1614" t="s">
        <v>13504</v>
      </c>
      <c r="V1614" t="s">
        <v>15212</v>
      </c>
    </row>
    <row r="1615" spans="1:22" ht="17.399999999999999" hidden="1">
      <c r="A1615" t="s">
        <v>15336</v>
      </c>
      <c r="B1615" t="s">
        <v>15441</v>
      </c>
      <c r="C1615" t="s">
        <v>15445</v>
      </c>
      <c r="D1615" t="s">
        <v>1614</v>
      </c>
      <c r="E1615" t="s">
        <v>3438</v>
      </c>
      <c r="F1615" t="s">
        <v>3431</v>
      </c>
      <c r="G1615" s="3">
        <v>36.473090793359901</v>
      </c>
      <c r="H1615" s="3">
        <v>128.38564141198901</v>
      </c>
      <c r="I1615" t="s">
        <v>5380</v>
      </c>
      <c r="J1615" t="s">
        <v>8739</v>
      </c>
      <c r="K1615" t="s">
        <v>10572</v>
      </c>
      <c r="L1615" t="s">
        <v>3366</v>
      </c>
      <c r="M1615" t="s">
        <v>11894</v>
      </c>
      <c r="N1615" t="s">
        <v>3365</v>
      </c>
      <c r="O1615" t="s">
        <v>3361</v>
      </c>
      <c r="P1615" t="s">
        <v>15211</v>
      </c>
      <c r="Q1615" t="s">
        <v>15211</v>
      </c>
      <c r="R1615" t="s">
        <v>15211</v>
      </c>
      <c r="S1615" t="s">
        <v>15211</v>
      </c>
      <c r="T1615" t="s">
        <v>3370</v>
      </c>
      <c r="U1615" t="s">
        <v>13505</v>
      </c>
      <c r="V1615" t="s">
        <v>15212</v>
      </c>
    </row>
    <row r="1616" spans="1:22" ht="17.399999999999999" hidden="1">
      <c r="A1616" t="s">
        <v>15336</v>
      </c>
      <c r="B1616" t="s">
        <v>15441</v>
      </c>
      <c r="C1616" t="s">
        <v>15446</v>
      </c>
      <c r="D1616" t="s">
        <v>1615</v>
      </c>
      <c r="E1616" t="s">
        <v>3438</v>
      </c>
      <c r="F1616" t="s">
        <v>3434</v>
      </c>
      <c r="G1616" s="3">
        <v>36.473090853870403</v>
      </c>
      <c r="H1616" s="3">
        <v>128.38564137777701</v>
      </c>
      <c r="I1616" t="s">
        <v>5381</v>
      </c>
      <c r="J1616" t="s">
        <v>8740</v>
      </c>
      <c r="K1616" t="s">
        <v>10646</v>
      </c>
      <c r="L1616" t="s">
        <v>3371</v>
      </c>
      <c r="M1616" t="s">
        <v>11894</v>
      </c>
      <c r="N1616" t="s">
        <v>3365</v>
      </c>
      <c r="O1616" t="s">
        <v>3360</v>
      </c>
      <c r="P1616" t="s">
        <v>15211</v>
      </c>
      <c r="Q1616" t="s">
        <v>15211</v>
      </c>
      <c r="R1616" t="s">
        <v>15211</v>
      </c>
      <c r="S1616" t="s">
        <v>15211</v>
      </c>
      <c r="T1616" t="s">
        <v>3369</v>
      </c>
      <c r="U1616" t="s">
        <v>13506</v>
      </c>
      <c r="V1616" t="s">
        <v>15213</v>
      </c>
    </row>
    <row r="1617" spans="1:22" ht="17.399999999999999" hidden="1">
      <c r="A1617" t="s">
        <v>15336</v>
      </c>
      <c r="B1617" t="s">
        <v>15441</v>
      </c>
      <c r="C1617" t="s">
        <v>15446</v>
      </c>
      <c r="D1617" t="s">
        <v>1616</v>
      </c>
      <c r="E1617" t="s">
        <v>3438</v>
      </c>
      <c r="F1617" t="s">
        <v>3431</v>
      </c>
      <c r="G1617" s="3">
        <v>36.473090874451103</v>
      </c>
      <c r="H1617" s="3">
        <v>128.385641356348</v>
      </c>
      <c r="I1617" t="s">
        <v>5382</v>
      </c>
      <c r="J1617" t="s">
        <v>8741</v>
      </c>
      <c r="K1617" t="s">
        <v>11340</v>
      </c>
      <c r="L1617" t="s">
        <v>3366</v>
      </c>
      <c r="M1617" t="s">
        <v>11894</v>
      </c>
      <c r="N1617" t="s">
        <v>3365</v>
      </c>
      <c r="O1617" t="s">
        <v>3361</v>
      </c>
      <c r="P1617" t="s">
        <v>15211</v>
      </c>
      <c r="Q1617" t="s">
        <v>15211</v>
      </c>
      <c r="R1617" t="s">
        <v>15211</v>
      </c>
      <c r="S1617" t="s">
        <v>15211</v>
      </c>
      <c r="T1617" t="s">
        <v>3370</v>
      </c>
      <c r="U1617" t="s">
        <v>13507</v>
      </c>
      <c r="V1617" t="s">
        <v>15213</v>
      </c>
    </row>
    <row r="1618" spans="1:22" ht="17.399999999999999" hidden="1">
      <c r="A1618" t="s">
        <v>15336</v>
      </c>
      <c r="B1618" t="s">
        <v>15441</v>
      </c>
      <c r="C1618" t="s">
        <v>15446</v>
      </c>
      <c r="D1618" t="s">
        <v>1617</v>
      </c>
      <c r="E1618" t="s">
        <v>3438</v>
      </c>
      <c r="F1618" t="s">
        <v>3431</v>
      </c>
      <c r="G1618" s="3">
        <v>36.473090881325099</v>
      </c>
      <c r="H1618" s="3">
        <v>128.38564137847499</v>
      </c>
      <c r="I1618" t="s">
        <v>5383</v>
      </c>
      <c r="J1618" t="s">
        <v>8742</v>
      </c>
      <c r="K1618" t="s">
        <v>11340</v>
      </c>
      <c r="L1618" t="s">
        <v>3366</v>
      </c>
      <c r="M1618" t="s">
        <v>11894</v>
      </c>
      <c r="N1618" t="s">
        <v>3365</v>
      </c>
      <c r="O1618" t="s">
        <v>3361</v>
      </c>
      <c r="P1618" t="s">
        <v>15211</v>
      </c>
      <c r="Q1618" t="s">
        <v>15211</v>
      </c>
      <c r="R1618" t="s">
        <v>15211</v>
      </c>
      <c r="S1618" t="s">
        <v>15211</v>
      </c>
      <c r="T1618" t="s">
        <v>3370</v>
      </c>
      <c r="U1618" t="s">
        <v>13508</v>
      </c>
      <c r="V1618" t="s">
        <v>15213</v>
      </c>
    </row>
    <row r="1619" spans="1:22" ht="17.399999999999999" hidden="1">
      <c r="A1619" t="s">
        <v>15336</v>
      </c>
      <c r="B1619" t="s">
        <v>15441</v>
      </c>
      <c r="C1619" t="s">
        <v>15447</v>
      </c>
      <c r="D1619" t="s">
        <v>1618</v>
      </c>
      <c r="E1619" t="s">
        <v>3442</v>
      </c>
      <c r="F1619" t="s">
        <v>3515</v>
      </c>
      <c r="G1619" s="3">
        <v>36.473090706068902</v>
      </c>
      <c r="H1619" s="3">
        <v>128.385641302523</v>
      </c>
      <c r="I1619" t="s">
        <v>5384</v>
      </c>
      <c r="J1619" t="s">
        <v>8743</v>
      </c>
      <c r="K1619" t="s">
        <v>10842</v>
      </c>
      <c r="L1619" t="s">
        <v>3376</v>
      </c>
      <c r="M1619" t="s">
        <v>11892</v>
      </c>
      <c r="N1619" t="s">
        <v>3365</v>
      </c>
      <c r="O1619" t="s">
        <v>15211</v>
      </c>
      <c r="P1619" t="s">
        <v>15211</v>
      </c>
      <c r="Q1619" t="s">
        <v>15211</v>
      </c>
      <c r="R1619" t="s">
        <v>15211</v>
      </c>
      <c r="S1619" t="s">
        <v>15211</v>
      </c>
      <c r="T1619" t="s">
        <v>3365</v>
      </c>
      <c r="U1619" t="s">
        <v>13509</v>
      </c>
      <c r="V1619" t="s">
        <v>15214</v>
      </c>
    </row>
    <row r="1620" spans="1:22" ht="17.399999999999999" hidden="1">
      <c r="A1620" t="s">
        <v>15336</v>
      </c>
      <c r="B1620" t="s">
        <v>15441</v>
      </c>
      <c r="C1620" t="s">
        <v>15447</v>
      </c>
      <c r="D1620" t="s">
        <v>1619</v>
      </c>
      <c r="E1620" t="s">
        <v>3449</v>
      </c>
      <c r="F1620" t="s">
        <v>3495</v>
      </c>
      <c r="G1620" s="3">
        <v>36.473090666393198</v>
      </c>
      <c r="H1620" s="3">
        <v>128.385641110552</v>
      </c>
      <c r="I1620" t="s">
        <v>5385</v>
      </c>
      <c r="J1620" t="s">
        <v>8744</v>
      </c>
      <c r="K1620" t="s">
        <v>11408</v>
      </c>
      <c r="L1620" t="s">
        <v>3366</v>
      </c>
      <c r="M1620" t="s">
        <v>11900</v>
      </c>
      <c r="N1620" t="s">
        <v>3365</v>
      </c>
      <c r="O1620" t="s">
        <v>15211</v>
      </c>
      <c r="P1620" t="s">
        <v>15211</v>
      </c>
      <c r="Q1620" t="s">
        <v>15211</v>
      </c>
      <c r="R1620" t="s">
        <v>15211</v>
      </c>
      <c r="S1620" t="s">
        <v>15211</v>
      </c>
      <c r="T1620" t="s">
        <v>3365</v>
      </c>
      <c r="U1620" t="s">
        <v>13510</v>
      </c>
      <c r="V1620" t="s">
        <v>15214</v>
      </c>
    </row>
    <row r="1621" spans="1:22" ht="17.399999999999999" hidden="1">
      <c r="A1621" t="s">
        <v>15336</v>
      </c>
      <c r="B1621" t="s">
        <v>15441</v>
      </c>
      <c r="C1621" t="s">
        <v>15447</v>
      </c>
      <c r="D1621" t="s">
        <v>1620</v>
      </c>
      <c r="E1621" t="s">
        <v>3484</v>
      </c>
      <c r="F1621" t="s">
        <v>3545</v>
      </c>
      <c r="G1621" s="3">
        <v>36.473090675675799</v>
      </c>
      <c r="H1621" s="3">
        <v>128.38564113231601</v>
      </c>
      <c r="I1621" t="s">
        <v>5386</v>
      </c>
      <c r="J1621" t="s">
        <v>8745</v>
      </c>
      <c r="K1621" t="s">
        <v>11408</v>
      </c>
      <c r="L1621" t="s">
        <v>3366</v>
      </c>
      <c r="M1621" t="s">
        <v>11900</v>
      </c>
      <c r="N1621" t="s">
        <v>3365</v>
      </c>
      <c r="O1621" t="s">
        <v>15211</v>
      </c>
      <c r="P1621" t="s">
        <v>15211</v>
      </c>
      <c r="Q1621" t="s">
        <v>15211</v>
      </c>
      <c r="R1621" t="s">
        <v>15211</v>
      </c>
      <c r="S1621" t="s">
        <v>15211</v>
      </c>
      <c r="T1621" t="s">
        <v>3365</v>
      </c>
      <c r="U1621" t="s">
        <v>13511</v>
      </c>
      <c r="V1621" t="s">
        <v>15214</v>
      </c>
    </row>
    <row r="1622" spans="1:22" ht="17.399999999999999" hidden="1">
      <c r="A1622" t="s">
        <v>15336</v>
      </c>
      <c r="B1622" t="s">
        <v>15441</v>
      </c>
      <c r="C1622" t="s">
        <v>15448</v>
      </c>
      <c r="D1622" t="s">
        <v>1621</v>
      </c>
      <c r="E1622" t="s">
        <v>3429</v>
      </c>
      <c r="F1622" t="s">
        <v>3478</v>
      </c>
      <c r="G1622" s="3">
        <v>36.473090887745201</v>
      </c>
      <c r="H1622" s="3">
        <v>128.38564130202599</v>
      </c>
      <c r="I1622" t="s">
        <v>5387</v>
      </c>
      <c r="J1622" t="s">
        <v>8746</v>
      </c>
      <c r="K1622" t="s">
        <v>11277</v>
      </c>
      <c r="L1622" t="s">
        <v>3383</v>
      </c>
      <c r="M1622" t="s">
        <v>11910</v>
      </c>
      <c r="N1622" t="s">
        <v>3365</v>
      </c>
      <c r="O1622" t="s">
        <v>3360</v>
      </c>
      <c r="P1622" t="s">
        <v>3362</v>
      </c>
      <c r="Q1622" t="s">
        <v>3360</v>
      </c>
      <c r="R1622" t="s">
        <v>3357</v>
      </c>
      <c r="S1622" t="s">
        <v>15211</v>
      </c>
      <c r="T1622" t="s">
        <v>3380</v>
      </c>
      <c r="U1622" t="s">
        <v>13512</v>
      </c>
      <c r="V1622" t="s">
        <v>15215</v>
      </c>
    </row>
    <row r="1623" spans="1:22" ht="17.399999999999999" hidden="1">
      <c r="A1623" t="s">
        <v>15336</v>
      </c>
      <c r="B1623" t="s">
        <v>15441</v>
      </c>
      <c r="C1623" t="s">
        <v>15448</v>
      </c>
      <c r="D1623" t="s">
        <v>1622</v>
      </c>
      <c r="E1623" t="s">
        <v>3430</v>
      </c>
      <c r="F1623" t="s">
        <v>3515</v>
      </c>
      <c r="G1623" s="3">
        <v>36.473090858315302</v>
      </c>
      <c r="H1623" s="3">
        <v>128.38564130929799</v>
      </c>
      <c r="I1623" t="s">
        <v>5388</v>
      </c>
      <c r="J1623" t="s">
        <v>8747</v>
      </c>
      <c r="K1623" t="s">
        <v>11277</v>
      </c>
      <c r="L1623" t="s">
        <v>3366</v>
      </c>
      <c r="M1623" t="s">
        <v>11911</v>
      </c>
      <c r="N1623" t="s">
        <v>3366</v>
      </c>
      <c r="O1623" t="s">
        <v>3362</v>
      </c>
      <c r="P1623" t="s">
        <v>3363</v>
      </c>
      <c r="Q1623" t="s">
        <v>3361</v>
      </c>
      <c r="R1623" t="s">
        <v>3358</v>
      </c>
      <c r="S1623" t="s">
        <v>15211</v>
      </c>
      <c r="T1623" t="s">
        <v>3386</v>
      </c>
      <c r="U1623" t="s">
        <v>13513</v>
      </c>
      <c r="V1623" t="s">
        <v>15215</v>
      </c>
    </row>
    <row r="1624" spans="1:22" ht="17.399999999999999" hidden="1">
      <c r="A1624" t="s">
        <v>15336</v>
      </c>
      <c r="B1624" t="s">
        <v>15441</v>
      </c>
      <c r="C1624" t="s">
        <v>15448</v>
      </c>
      <c r="D1624" t="s">
        <v>1623</v>
      </c>
      <c r="E1624" t="s">
        <v>3430</v>
      </c>
      <c r="F1624" t="s">
        <v>3464</v>
      </c>
      <c r="G1624" s="3">
        <v>36.473090845104103</v>
      </c>
      <c r="H1624" s="3">
        <v>128.385641301726</v>
      </c>
      <c r="I1624" t="s">
        <v>5389</v>
      </c>
      <c r="J1624" t="s">
        <v>8748</v>
      </c>
      <c r="K1624" t="s">
        <v>11409</v>
      </c>
      <c r="L1624" t="s">
        <v>3366</v>
      </c>
      <c r="M1624" t="s">
        <v>11910</v>
      </c>
      <c r="N1624" t="s">
        <v>3365</v>
      </c>
      <c r="O1624" t="s">
        <v>3362</v>
      </c>
      <c r="P1624" t="s">
        <v>3363</v>
      </c>
      <c r="Q1624" t="s">
        <v>3360</v>
      </c>
      <c r="R1624" t="s">
        <v>3358</v>
      </c>
      <c r="S1624" t="s">
        <v>15211</v>
      </c>
      <c r="T1624" t="s">
        <v>3384</v>
      </c>
      <c r="U1624" t="s">
        <v>13514</v>
      </c>
      <c r="V1624" t="s">
        <v>15215</v>
      </c>
    </row>
    <row r="1625" spans="1:22" ht="17.399999999999999" hidden="1">
      <c r="A1625" t="s">
        <v>15336</v>
      </c>
      <c r="B1625" t="s">
        <v>15441</v>
      </c>
      <c r="C1625" t="s">
        <v>15449</v>
      </c>
      <c r="D1625" t="s">
        <v>1624</v>
      </c>
      <c r="E1625" t="s">
        <v>3425</v>
      </c>
      <c r="F1625" t="s">
        <v>3463</v>
      </c>
      <c r="G1625" s="3">
        <v>36.473090897536899</v>
      </c>
      <c r="H1625" s="3">
        <v>128.385641366671</v>
      </c>
      <c r="I1625" t="s">
        <v>5390</v>
      </c>
      <c r="J1625" t="s">
        <v>8749</v>
      </c>
      <c r="K1625" t="s">
        <v>10950</v>
      </c>
      <c r="L1625" t="s">
        <v>3369</v>
      </c>
      <c r="M1625" t="s">
        <v>11911</v>
      </c>
      <c r="N1625" t="s">
        <v>3366</v>
      </c>
      <c r="O1625" t="s">
        <v>3362</v>
      </c>
      <c r="P1625" t="s">
        <v>3363</v>
      </c>
      <c r="Q1625" t="s">
        <v>3361</v>
      </c>
      <c r="R1625" t="s">
        <v>3358</v>
      </c>
      <c r="S1625" t="s">
        <v>15211</v>
      </c>
      <c r="T1625" t="s">
        <v>3386</v>
      </c>
      <c r="U1625" t="s">
        <v>13515</v>
      </c>
      <c r="V1625" t="s">
        <v>15216</v>
      </c>
    </row>
    <row r="1626" spans="1:22" ht="17.399999999999999" hidden="1">
      <c r="A1626" t="s">
        <v>15336</v>
      </c>
      <c r="B1626" t="s">
        <v>15441</v>
      </c>
      <c r="C1626" t="s">
        <v>15449</v>
      </c>
      <c r="D1626" t="s">
        <v>1625</v>
      </c>
      <c r="E1626" t="s">
        <v>3431</v>
      </c>
      <c r="F1626" t="s">
        <v>3463</v>
      </c>
      <c r="G1626" s="3">
        <v>36.473090902789799</v>
      </c>
      <c r="H1626" s="3">
        <v>128.38564132760101</v>
      </c>
      <c r="I1626" t="s">
        <v>5391</v>
      </c>
      <c r="J1626" t="s">
        <v>8750</v>
      </c>
      <c r="K1626" t="s">
        <v>11052</v>
      </c>
      <c r="L1626" t="s">
        <v>3366</v>
      </c>
      <c r="M1626" t="s">
        <v>11911</v>
      </c>
      <c r="N1626" t="s">
        <v>3365</v>
      </c>
      <c r="O1626" t="s">
        <v>3362</v>
      </c>
      <c r="P1626" t="s">
        <v>3363</v>
      </c>
      <c r="Q1626" t="s">
        <v>3361</v>
      </c>
      <c r="R1626" t="s">
        <v>3358</v>
      </c>
      <c r="S1626" t="s">
        <v>15211</v>
      </c>
      <c r="T1626" t="s">
        <v>3385</v>
      </c>
      <c r="U1626" t="s">
        <v>13516</v>
      </c>
      <c r="V1626" t="s">
        <v>15216</v>
      </c>
    </row>
    <row r="1627" spans="1:22" ht="17.399999999999999" hidden="1">
      <c r="A1627" t="s">
        <v>15336</v>
      </c>
      <c r="B1627" t="s">
        <v>15441</v>
      </c>
      <c r="C1627" t="s">
        <v>15449</v>
      </c>
      <c r="D1627" t="s">
        <v>1626</v>
      </c>
      <c r="E1627" t="s">
        <v>3434</v>
      </c>
      <c r="F1627" t="s">
        <v>3511</v>
      </c>
      <c r="G1627" s="3">
        <v>36.473090923755301</v>
      </c>
      <c r="H1627" s="3">
        <v>128.385641336291</v>
      </c>
      <c r="I1627" t="s">
        <v>5392</v>
      </c>
      <c r="J1627" t="s">
        <v>8751</v>
      </c>
      <c r="K1627" t="s">
        <v>11052</v>
      </c>
      <c r="L1627" t="s">
        <v>3366</v>
      </c>
      <c r="M1627" t="s">
        <v>11911</v>
      </c>
      <c r="N1627" t="s">
        <v>3365</v>
      </c>
      <c r="O1627" t="s">
        <v>3362</v>
      </c>
      <c r="P1627" t="s">
        <v>3363</v>
      </c>
      <c r="Q1627" t="s">
        <v>3361</v>
      </c>
      <c r="R1627" t="s">
        <v>3358</v>
      </c>
      <c r="S1627" t="s">
        <v>15211</v>
      </c>
      <c r="T1627" t="s">
        <v>3385</v>
      </c>
      <c r="U1627" t="s">
        <v>13517</v>
      </c>
      <c r="V1627" t="s">
        <v>15216</v>
      </c>
    </row>
    <row r="1628" spans="1:22" ht="17.399999999999999" hidden="1">
      <c r="A1628" t="s">
        <v>15336</v>
      </c>
      <c r="B1628" t="s">
        <v>15442</v>
      </c>
      <c r="C1628" t="s">
        <v>15450</v>
      </c>
      <c r="D1628" t="s">
        <v>1627</v>
      </c>
      <c r="E1628" t="s">
        <v>3436</v>
      </c>
      <c r="F1628" t="s">
        <v>3441</v>
      </c>
      <c r="G1628" s="3">
        <v>36.473090826833797</v>
      </c>
      <c r="H1628" s="3">
        <v>128.385641537986</v>
      </c>
      <c r="I1628" t="s">
        <v>5393</v>
      </c>
      <c r="J1628" t="s">
        <v>8752</v>
      </c>
      <c r="K1628" t="s">
        <v>10877</v>
      </c>
      <c r="L1628" t="s">
        <v>3373</v>
      </c>
      <c r="M1628" t="s">
        <v>11903</v>
      </c>
      <c r="N1628" t="s">
        <v>3365</v>
      </c>
      <c r="O1628" t="s">
        <v>3361</v>
      </c>
      <c r="P1628" t="s">
        <v>15211</v>
      </c>
      <c r="Q1628" t="s">
        <v>15211</v>
      </c>
      <c r="R1628" t="s">
        <v>15211</v>
      </c>
      <c r="S1628" t="s">
        <v>15211</v>
      </c>
      <c r="T1628" t="s">
        <v>3370</v>
      </c>
      <c r="U1628" t="s">
        <v>13518</v>
      </c>
      <c r="V1628" t="s">
        <v>15217</v>
      </c>
    </row>
    <row r="1629" spans="1:22" ht="17.399999999999999" hidden="1">
      <c r="A1629" t="s">
        <v>15336</v>
      </c>
      <c r="B1629" t="s">
        <v>15442</v>
      </c>
      <c r="C1629" t="s">
        <v>15450</v>
      </c>
      <c r="D1629" t="s">
        <v>1628</v>
      </c>
      <c r="E1629" t="s">
        <v>3428</v>
      </c>
      <c r="F1629" t="s">
        <v>3442</v>
      </c>
      <c r="G1629" s="3">
        <v>36.473090821507</v>
      </c>
      <c r="H1629" s="3">
        <v>128.38564155915199</v>
      </c>
      <c r="I1629" t="s">
        <v>5394</v>
      </c>
      <c r="J1629" t="s">
        <v>8753</v>
      </c>
      <c r="K1629" t="s">
        <v>10877</v>
      </c>
      <c r="L1629" t="s">
        <v>3366</v>
      </c>
      <c r="M1629" t="s">
        <v>11903</v>
      </c>
      <c r="N1629" t="s">
        <v>3366</v>
      </c>
      <c r="O1629" t="s">
        <v>3362</v>
      </c>
      <c r="P1629" t="s">
        <v>15211</v>
      </c>
      <c r="Q1629" t="s">
        <v>15211</v>
      </c>
      <c r="R1629" t="s">
        <v>15211</v>
      </c>
      <c r="S1629" t="s">
        <v>15211</v>
      </c>
      <c r="T1629" t="s">
        <v>3372</v>
      </c>
      <c r="U1629" t="s">
        <v>13519</v>
      </c>
      <c r="V1629" t="s">
        <v>15217</v>
      </c>
    </row>
    <row r="1630" spans="1:22" ht="17.399999999999999" hidden="1">
      <c r="A1630" t="s">
        <v>15336</v>
      </c>
      <c r="B1630" t="s">
        <v>15442</v>
      </c>
      <c r="C1630" t="s">
        <v>15450</v>
      </c>
      <c r="D1630" t="s">
        <v>1629</v>
      </c>
      <c r="E1630" t="s">
        <v>3428</v>
      </c>
      <c r="F1630" t="s">
        <v>3442</v>
      </c>
      <c r="G1630" s="3">
        <v>36.473090830683702</v>
      </c>
      <c r="H1630" s="3">
        <v>128.385641508996</v>
      </c>
      <c r="I1630" t="s">
        <v>5395</v>
      </c>
      <c r="J1630" t="s">
        <v>8754</v>
      </c>
      <c r="K1630" t="s">
        <v>11005</v>
      </c>
      <c r="L1630" t="s">
        <v>3366</v>
      </c>
      <c r="M1630" t="s">
        <v>11895</v>
      </c>
      <c r="N1630" t="s">
        <v>3365</v>
      </c>
      <c r="O1630" t="s">
        <v>3362</v>
      </c>
      <c r="P1630" t="s">
        <v>15211</v>
      </c>
      <c r="Q1630" t="s">
        <v>15211</v>
      </c>
      <c r="R1630" t="s">
        <v>15211</v>
      </c>
      <c r="S1630" t="s">
        <v>15211</v>
      </c>
      <c r="T1630" t="s">
        <v>3371</v>
      </c>
      <c r="U1630" t="s">
        <v>13520</v>
      </c>
      <c r="V1630" t="s">
        <v>15217</v>
      </c>
    </row>
    <row r="1631" spans="1:22" ht="17.399999999999999" hidden="1">
      <c r="A1631" t="s">
        <v>15336</v>
      </c>
      <c r="B1631" t="s">
        <v>15442</v>
      </c>
      <c r="C1631" t="s">
        <v>15445</v>
      </c>
      <c r="D1631" t="s">
        <v>1630</v>
      </c>
      <c r="E1631" t="s">
        <v>3438</v>
      </c>
      <c r="F1631" t="s">
        <v>3431</v>
      </c>
      <c r="G1631" s="3">
        <v>36.4730909124318</v>
      </c>
      <c r="H1631" s="3">
        <v>128.38564141616399</v>
      </c>
      <c r="I1631" t="s">
        <v>5396</v>
      </c>
      <c r="J1631" t="s">
        <v>8755</v>
      </c>
      <c r="K1631" t="s">
        <v>10660</v>
      </c>
      <c r="L1631" t="s">
        <v>3377</v>
      </c>
      <c r="M1631" t="s">
        <v>11895</v>
      </c>
      <c r="N1631" t="s">
        <v>3365</v>
      </c>
      <c r="O1631" t="s">
        <v>3362</v>
      </c>
      <c r="P1631" t="s">
        <v>15211</v>
      </c>
      <c r="Q1631" t="s">
        <v>15211</v>
      </c>
      <c r="R1631" t="s">
        <v>15211</v>
      </c>
      <c r="S1631" t="s">
        <v>15211</v>
      </c>
      <c r="T1631" t="s">
        <v>3371</v>
      </c>
      <c r="U1631" t="s">
        <v>13521</v>
      </c>
      <c r="V1631" t="s">
        <v>15218</v>
      </c>
    </row>
    <row r="1632" spans="1:22" ht="17.399999999999999" hidden="1">
      <c r="A1632" t="s">
        <v>15336</v>
      </c>
      <c r="B1632" t="s">
        <v>15442</v>
      </c>
      <c r="C1632" t="s">
        <v>15445</v>
      </c>
      <c r="D1632" t="s">
        <v>1631</v>
      </c>
      <c r="E1632" t="s">
        <v>3438</v>
      </c>
      <c r="F1632" t="s">
        <v>3431</v>
      </c>
      <c r="G1632" s="3">
        <v>36.473090894450998</v>
      </c>
      <c r="H1632" s="3">
        <v>128.38564140704099</v>
      </c>
      <c r="I1632" t="s">
        <v>5397</v>
      </c>
      <c r="J1632" t="s">
        <v>8756</v>
      </c>
      <c r="K1632" t="s">
        <v>11112</v>
      </c>
      <c r="L1632" t="s">
        <v>3366</v>
      </c>
      <c r="M1632" t="s">
        <v>11895</v>
      </c>
      <c r="N1632" t="s">
        <v>3365</v>
      </c>
      <c r="O1632" t="s">
        <v>3362</v>
      </c>
      <c r="P1632" t="s">
        <v>15211</v>
      </c>
      <c r="Q1632" t="s">
        <v>15211</v>
      </c>
      <c r="R1632" t="s">
        <v>15211</v>
      </c>
      <c r="S1632" t="s">
        <v>15211</v>
      </c>
      <c r="T1632" t="s">
        <v>3371</v>
      </c>
      <c r="U1632" t="s">
        <v>13521</v>
      </c>
      <c r="V1632" t="s">
        <v>15218</v>
      </c>
    </row>
    <row r="1633" spans="1:22" ht="17.399999999999999" hidden="1">
      <c r="A1633" t="s">
        <v>15336</v>
      </c>
      <c r="B1633" t="s">
        <v>15442</v>
      </c>
      <c r="C1633" t="s">
        <v>15445</v>
      </c>
      <c r="D1633" t="s">
        <v>1632</v>
      </c>
      <c r="E1633" t="s">
        <v>3438</v>
      </c>
      <c r="F1633" t="s">
        <v>3431</v>
      </c>
      <c r="G1633" s="3">
        <v>36.473090844255502</v>
      </c>
      <c r="H1633" s="3">
        <v>128.385641401756</v>
      </c>
      <c r="I1633" t="s">
        <v>5398</v>
      </c>
      <c r="J1633" t="s">
        <v>8757</v>
      </c>
      <c r="K1633" t="s">
        <v>11112</v>
      </c>
      <c r="L1633" t="s">
        <v>3366</v>
      </c>
      <c r="M1633" t="s">
        <v>11895</v>
      </c>
      <c r="N1633" t="s">
        <v>3365</v>
      </c>
      <c r="O1633" t="s">
        <v>3362</v>
      </c>
      <c r="P1633" t="s">
        <v>15211</v>
      </c>
      <c r="Q1633" t="s">
        <v>15211</v>
      </c>
      <c r="R1633" t="s">
        <v>15211</v>
      </c>
      <c r="S1633" t="s">
        <v>15211</v>
      </c>
      <c r="T1633" t="s">
        <v>3371</v>
      </c>
      <c r="U1633" t="s">
        <v>13522</v>
      </c>
      <c r="V1633" t="s">
        <v>15218</v>
      </c>
    </row>
    <row r="1634" spans="1:22" ht="17.399999999999999" hidden="1">
      <c r="A1634" t="s">
        <v>15336</v>
      </c>
      <c r="B1634" t="s">
        <v>15442</v>
      </c>
      <c r="C1634" t="s">
        <v>15451</v>
      </c>
      <c r="D1634" t="s">
        <v>1633</v>
      </c>
      <c r="E1634" t="s">
        <v>3437</v>
      </c>
      <c r="F1634" t="s">
        <v>3425</v>
      </c>
      <c r="G1634" s="3">
        <v>36.473090840692699</v>
      </c>
      <c r="H1634" s="3">
        <v>128.385641369578</v>
      </c>
      <c r="I1634" t="s">
        <v>5399</v>
      </c>
      <c r="J1634" t="s">
        <v>8758</v>
      </c>
      <c r="K1634" t="s">
        <v>10704</v>
      </c>
      <c r="L1634" t="s">
        <v>3380</v>
      </c>
      <c r="M1634" t="s">
        <v>11912</v>
      </c>
      <c r="N1634" t="s">
        <v>3365</v>
      </c>
      <c r="O1634" t="s">
        <v>3361</v>
      </c>
      <c r="P1634" t="s">
        <v>3363</v>
      </c>
      <c r="Q1634" t="s">
        <v>3357</v>
      </c>
      <c r="R1634" t="s">
        <v>15211</v>
      </c>
      <c r="S1634" t="s">
        <v>15211</v>
      </c>
      <c r="T1634" t="s">
        <v>3378</v>
      </c>
      <c r="U1634" t="s">
        <v>13523</v>
      </c>
      <c r="V1634" t="s">
        <v>15219</v>
      </c>
    </row>
    <row r="1635" spans="1:22" ht="17.399999999999999" hidden="1">
      <c r="A1635" t="s">
        <v>15336</v>
      </c>
      <c r="B1635" t="s">
        <v>15442</v>
      </c>
      <c r="C1635" t="s">
        <v>15451</v>
      </c>
      <c r="D1635" t="s">
        <v>1634</v>
      </c>
      <c r="E1635" t="s">
        <v>3440</v>
      </c>
      <c r="F1635" t="s">
        <v>3431</v>
      </c>
      <c r="G1635" s="3">
        <v>36.473090841676402</v>
      </c>
      <c r="H1635" s="3">
        <v>128.38564137793301</v>
      </c>
      <c r="I1635" t="s">
        <v>5400</v>
      </c>
      <c r="J1635" t="s">
        <v>8759</v>
      </c>
      <c r="K1635" t="s">
        <v>10704</v>
      </c>
      <c r="L1635" t="s">
        <v>3366</v>
      </c>
      <c r="M1635" t="s">
        <v>11912</v>
      </c>
      <c r="N1635" t="s">
        <v>3366</v>
      </c>
      <c r="O1635" t="s">
        <v>3362</v>
      </c>
      <c r="P1635" t="s">
        <v>3364</v>
      </c>
      <c r="Q1635" t="s">
        <v>3358</v>
      </c>
      <c r="R1635" t="s">
        <v>15211</v>
      </c>
      <c r="S1635" t="s">
        <v>15211</v>
      </c>
      <c r="T1635" t="s">
        <v>3382</v>
      </c>
      <c r="U1635" t="s">
        <v>13524</v>
      </c>
      <c r="V1635" t="s">
        <v>15219</v>
      </c>
    </row>
    <row r="1636" spans="1:22" ht="17.399999999999999" hidden="1">
      <c r="A1636" t="s">
        <v>15336</v>
      </c>
      <c r="B1636" t="s">
        <v>15442</v>
      </c>
      <c r="C1636" t="s">
        <v>15451</v>
      </c>
      <c r="D1636" t="s">
        <v>1635</v>
      </c>
      <c r="E1636" t="s">
        <v>3438</v>
      </c>
      <c r="F1636" t="s">
        <v>3435</v>
      </c>
      <c r="G1636" s="3">
        <v>36.473090835453398</v>
      </c>
      <c r="H1636" s="3">
        <v>128.385641354928</v>
      </c>
      <c r="I1636" t="s">
        <v>5401</v>
      </c>
      <c r="J1636" t="s">
        <v>8760</v>
      </c>
      <c r="K1636" t="s">
        <v>10837</v>
      </c>
      <c r="L1636" t="s">
        <v>3366</v>
      </c>
      <c r="M1636" t="s">
        <v>11912</v>
      </c>
      <c r="N1636" t="s">
        <v>3366</v>
      </c>
      <c r="O1636" t="s">
        <v>3362</v>
      </c>
      <c r="P1636" t="s">
        <v>3364</v>
      </c>
      <c r="Q1636" t="s">
        <v>3358</v>
      </c>
      <c r="R1636" t="s">
        <v>15211</v>
      </c>
      <c r="S1636" t="s">
        <v>15211</v>
      </c>
      <c r="T1636" t="s">
        <v>3382</v>
      </c>
      <c r="U1636" t="s">
        <v>13525</v>
      </c>
      <c r="V1636" t="s">
        <v>15219</v>
      </c>
    </row>
    <row r="1637" spans="1:22" ht="17.399999999999999">
      <c r="A1637" t="s">
        <v>15336</v>
      </c>
      <c r="B1637" t="s">
        <v>15443</v>
      </c>
      <c r="C1637" t="s">
        <v>15452</v>
      </c>
      <c r="D1637" t="s">
        <v>1636</v>
      </c>
      <c r="E1637" t="s">
        <v>3450</v>
      </c>
      <c r="F1637" t="s">
        <v>3553</v>
      </c>
      <c r="G1637" s="3">
        <v>36.473090615562697</v>
      </c>
      <c r="H1637" s="3">
        <v>128.38564144000199</v>
      </c>
      <c r="I1637" t="s">
        <v>5402</v>
      </c>
      <c r="J1637" t="s">
        <v>8761</v>
      </c>
      <c r="K1637" t="s">
        <v>11168</v>
      </c>
      <c r="L1637" t="s">
        <v>3374</v>
      </c>
      <c r="M1637" t="s">
        <v>11894</v>
      </c>
      <c r="N1637" t="s">
        <v>3364</v>
      </c>
      <c r="O1637" t="s">
        <v>15211</v>
      </c>
      <c r="P1637" t="s">
        <v>3362</v>
      </c>
      <c r="Q1637" t="s">
        <v>15211</v>
      </c>
      <c r="R1637" t="s">
        <v>15211</v>
      </c>
      <c r="S1637" t="s">
        <v>15211</v>
      </c>
      <c r="T1637" t="s">
        <v>3370</v>
      </c>
      <c r="U1637" t="s">
        <v>13526</v>
      </c>
      <c r="V1637" t="s">
        <v>15220</v>
      </c>
    </row>
    <row r="1638" spans="1:22" ht="17.399999999999999">
      <c r="A1638" t="s">
        <v>15336</v>
      </c>
      <c r="B1638" t="s">
        <v>15443</v>
      </c>
      <c r="C1638" t="s">
        <v>15452</v>
      </c>
      <c r="D1638" t="s">
        <v>1637</v>
      </c>
      <c r="E1638" t="s">
        <v>3450</v>
      </c>
      <c r="F1638" t="s">
        <v>3552</v>
      </c>
      <c r="G1638" s="3">
        <v>36.473090607485702</v>
      </c>
      <c r="H1638" s="3">
        <v>128.38564137723299</v>
      </c>
      <c r="I1638" t="s">
        <v>5403</v>
      </c>
      <c r="J1638" t="s">
        <v>8762</v>
      </c>
      <c r="K1638" t="s">
        <v>11378</v>
      </c>
      <c r="L1638" t="s">
        <v>3366</v>
      </c>
      <c r="M1638" t="s">
        <v>11890</v>
      </c>
      <c r="N1638" t="s">
        <v>3363</v>
      </c>
      <c r="O1638" t="s">
        <v>15211</v>
      </c>
      <c r="P1638" t="s">
        <v>3362</v>
      </c>
      <c r="Q1638" t="s">
        <v>15211</v>
      </c>
      <c r="R1638" t="s">
        <v>15211</v>
      </c>
      <c r="S1638" t="s">
        <v>15211</v>
      </c>
      <c r="T1638" t="s">
        <v>3369</v>
      </c>
      <c r="U1638" t="s">
        <v>13527</v>
      </c>
      <c r="V1638" t="s">
        <v>15220</v>
      </c>
    </row>
    <row r="1639" spans="1:22" ht="17.399999999999999">
      <c r="A1639" t="s">
        <v>15336</v>
      </c>
      <c r="B1639" t="s">
        <v>15443</v>
      </c>
      <c r="C1639" t="s">
        <v>15452</v>
      </c>
      <c r="D1639" t="s">
        <v>1638</v>
      </c>
      <c r="E1639" t="s">
        <v>3462</v>
      </c>
      <c r="F1639" t="s">
        <v>3627</v>
      </c>
      <c r="G1639" s="3">
        <v>36.473090580054198</v>
      </c>
      <c r="H1639" s="3">
        <v>128.38564133360401</v>
      </c>
      <c r="I1639" t="s">
        <v>5404</v>
      </c>
      <c r="J1639" t="s">
        <v>8763</v>
      </c>
      <c r="K1639" t="s">
        <v>11410</v>
      </c>
      <c r="L1639" t="s">
        <v>3366</v>
      </c>
      <c r="M1639" t="s">
        <v>11890</v>
      </c>
      <c r="N1639" t="s">
        <v>3364</v>
      </c>
      <c r="O1639" t="s">
        <v>15211</v>
      </c>
      <c r="P1639" t="s">
        <v>3362</v>
      </c>
      <c r="Q1639" t="s">
        <v>15211</v>
      </c>
      <c r="R1639" t="s">
        <v>15211</v>
      </c>
      <c r="S1639" t="s">
        <v>15211</v>
      </c>
      <c r="T1639" t="s">
        <v>3370</v>
      </c>
      <c r="U1639" t="s">
        <v>13528</v>
      </c>
      <c r="V1639" t="s">
        <v>15220</v>
      </c>
    </row>
    <row r="1640" spans="1:22" ht="17.399999999999999" hidden="1">
      <c r="A1640" t="s">
        <v>15336</v>
      </c>
      <c r="B1640" t="s">
        <v>15443</v>
      </c>
      <c r="C1640" t="s">
        <v>15472</v>
      </c>
      <c r="D1640" t="s">
        <v>1639</v>
      </c>
      <c r="E1640" t="s">
        <v>3449</v>
      </c>
      <c r="F1640" t="s">
        <v>3445</v>
      </c>
      <c r="G1640" s="3">
        <v>36.473091018813101</v>
      </c>
      <c r="H1640" s="3">
        <v>128.38564207610699</v>
      </c>
      <c r="I1640" t="s">
        <v>5405</v>
      </c>
      <c r="J1640" t="s">
        <v>8764</v>
      </c>
      <c r="K1640" t="s">
        <v>11411</v>
      </c>
      <c r="L1640" t="s">
        <v>3375</v>
      </c>
      <c r="M1640" t="s">
        <v>11894</v>
      </c>
      <c r="N1640" t="s">
        <v>3364</v>
      </c>
      <c r="O1640" t="s">
        <v>15211</v>
      </c>
      <c r="P1640" t="s">
        <v>3362</v>
      </c>
      <c r="Q1640" t="s">
        <v>15211</v>
      </c>
      <c r="R1640" t="s">
        <v>15211</v>
      </c>
      <c r="S1640" t="s">
        <v>15211</v>
      </c>
      <c r="T1640" t="s">
        <v>3370</v>
      </c>
      <c r="U1640" t="s">
        <v>13529</v>
      </c>
      <c r="V1640" t="s">
        <v>15255</v>
      </c>
    </row>
    <row r="1641" spans="1:22" ht="17.399999999999999" hidden="1">
      <c r="A1641" t="s">
        <v>15336</v>
      </c>
      <c r="B1641" t="s">
        <v>15443</v>
      </c>
      <c r="C1641" t="s">
        <v>15472</v>
      </c>
      <c r="D1641" t="s">
        <v>1640</v>
      </c>
      <c r="E1641" t="s">
        <v>3450</v>
      </c>
      <c r="F1641" t="s">
        <v>3491</v>
      </c>
      <c r="G1641" s="3">
        <v>36.473091076476003</v>
      </c>
      <c r="H1641" s="3">
        <v>128.385642048242</v>
      </c>
      <c r="I1641" t="s">
        <v>5406</v>
      </c>
      <c r="J1641" t="s">
        <v>8765</v>
      </c>
      <c r="K1641" t="s">
        <v>11411</v>
      </c>
      <c r="L1641" t="s">
        <v>3366</v>
      </c>
      <c r="M1641" t="s">
        <v>11894</v>
      </c>
      <c r="N1641" t="s">
        <v>3364</v>
      </c>
      <c r="O1641" t="s">
        <v>15211</v>
      </c>
      <c r="P1641" t="s">
        <v>3362</v>
      </c>
      <c r="Q1641" t="s">
        <v>15211</v>
      </c>
      <c r="R1641" t="s">
        <v>15211</v>
      </c>
      <c r="S1641" t="s">
        <v>15211</v>
      </c>
      <c r="T1641" t="s">
        <v>3370</v>
      </c>
      <c r="U1641" t="s">
        <v>13530</v>
      </c>
      <c r="V1641" t="s">
        <v>15255</v>
      </c>
    </row>
    <row r="1642" spans="1:22" ht="17.399999999999999" hidden="1">
      <c r="A1642" t="s">
        <v>15336</v>
      </c>
      <c r="B1642" t="s">
        <v>15443</v>
      </c>
      <c r="C1642" t="s">
        <v>15472</v>
      </c>
      <c r="D1642" t="s">
        <v>1641</v>
      </c>
      <c r="E1642" t="s">
        <v>3450</v>
      </c>
      <c r="F1642" t="s">
        <v>3495</v>
      </c>
      <c r="G1642" s="3">
        <v>36.473091092743402</v>
      </c>
      <c r="H1642" s="3">
        <v>128.38564199913</v>
      </c>
      <c r="I1642" t="s">
        <v>5407</v>
      </c>
      <c r="J1642" t="s">
        <v>8766</v>
      </c>
      <c r="K1642" t="s">
        <v>11412</v>
      </c>
      <c r="L1642" t="s">
        <v>3366</v>
      </c>
      <c r="M1642" t="s">
        <v>11894</v>
      </c>
      <c r="N1642" t="s">
        <v>3364</v>
      </c>
      <c r="O1642" t="s">
        <v>15211</v>
      </c>
      <c r="P1642" t="s">
        <v>3362</v>
      </c>
      <c r="Q1642" t="s">
        <v>15211</v>
      </c>
      <c r="R1642" t="s">
        <v>15211</v>
      </c>
      <c r="S1642" t="s">
        <v>15211</v>
      </c>
      <c r="T1642" t="s">
        <v>3370</v>
      </c>
      <c r="U1642" t="s">
        <v>13531</v>
      </c>
      <c r="V1642" t="s">
        <v>15255</v>
      </c>
    </row>
    <row r="1643" spans="1:22" ht="17.399999999999999" hidden="1">
      <c r="A1643" t="s">
        <v>15337</v>
      </c>
      <c r="B1643" t="s">
        <v>15441</v>
      </c>
      <c r="C1643" t="s">
        <v>15445</v>
      </c>
      <c r="D1643" t="s">
        <v>1642</v>
      </c>
      <c r="E1643" t="s">
        <v>3438</v>
      </c>
      <c r="F1643" t="s">
        <v>3431</v>
      </c>
      <c r="G1643" s="3">
        <v>36.47366245621</v>
      </c>
      <c r="H1643" s="3">
        <v>128.50428799100899</v>
      </c>
      <c r="I1643" t="s">
        <v>5408</v>
      </c>
      <c r="J1643" t="s">
        <v>8767</v>
      </c>
      <c r="K1643" t="s">
        <v>10842</v>
      </c>
      <c r="L1643" t="s">
        <v>3366</v>
      </c>
      <c r="M1643" t="s">
        <v>11885</v>
      </c>
      <c r="N1643" t="s">
        <v>3364</v>
      </c>
      <c r="O1643" t="s">
        <v>3360</v>
      </c>
      <c r="P1643" t="s">
        <v>15211</v>
      </c>
      <c r="Q1643" t="s">
        <v>15211</v>
      </c>
      <c r="R1643" t="s">
        <v>15211</v>
      </c>
      <c r="S1643" t="s">
        <v>15211</v>
      </c>
      <c r="T1643" t="s">
        <v>3368</v>
      </c>
      <c r="U1643" t="s">
        <v>13532</v>
      </c>
      <c r="V1643" t="s">
        <v>15212</v>
      </c>
    </row>
    <row r="1644" spans="1:22" ht="17.399999999999999" hidden="1">
      <c r="A1644" t="s">
        <v>15337</v>
      </c>
      <c r="B1644" t="s">
        <v>15441</v>
      </c>
      <c r="C1644" t="s">
        <v>15445</v>
      </c>
      <c r="D1644" t="s">
        <v>1643</v>
      </c>
      <c r="E1644" t="s">
        <v>3438</v>
      </c>
      <c r="F1644" t="s">
        <v>3431</v>
      </c>
      <c r="G1644" s="3">
        <v>36.4736624855408</v>
      </c>
      <c r="H1644" s="3">
        <v>128.50428799191201</v>
      </c>
      <c r="I1644" t="s">
        <v>5409</v>
      </c>
      <c r="J1644" t="s">
        <v>8768</v>
      </c>
      <c r="K1644" t="s">
        <v>10842</v>
      </c>
      <c r="L1644" t="s">
        <v>3366</v>
      </c>
      <c r="M1644" t="s">
        <v>11885</v>
      </c>
      <c r="N1644" t="s">
        <v>3364</v>
      </c>
      <c r="O1644" t="s">
        <v>3360</v>
      </c>
      <c r="P1644" t="s">
        <v>15211</v>
      </c>
      <c r="Q1644" t="s">
        <v>15211</v>
      </c>
      <c r="R1644" t="s">
        <v>15211</v>
      </c>
      <c r="S1644" t="s">
        <v>15211</v>
      </c>
      <c r="T1644" t="s">
        <v>3368</v>
      </c>
      <c r="U1644" t="s">
        <v>13533</v>
      </c>
      <c r="V1644" t="s">
        <v>15212</v>
      </c>
    </row>
    <row r="1645" spans="1:22" ht="17.399999999999999" hidden="1">
      <c r="A1645" t="s">
        <v>15337</v>
      </c>
      <c r="B1645" t="s">
        <v>15441</v>
      </c>
      <c r="C1645" t="s">
        <v>15445</v>
      </c>
      <c r="D1645" t="s">
        <v>1644</v>
      </c>
      <c r="E1645" t="s">
        <v>3438</v>
      </c>
      <c r="F1645" t="s">
        <v>3431</v>
      </c>
      <c r="G1645" s="3">
        <v>36.473662500274102</v>
      </c>
      <c r="H1645" s="3">
        <v>128.50428795973099</v>
      </c>
      <c r="I1645" t="s">
        <v>5410</v>
      </c>
      <c r="J1645" t="s">
        <v>8769</v>
      </c>
      <c r="K1645" t="s">
        <v>11413</v>
      </c>
      <c r="L1645" t="s">
        <v>3366</v>
      </c>
      <c r="M1645" t="s">
        <v>11885</v>
      </c>
      <c r="N1645" t="s">
        <v>3364</v>
      </c>
      <c r="O1645" t="s">
        <v>3360</v>
      </c>
      <c r="P1645" t="s">
        <v>15211</v>
      </c>
      <c r="Q1645" t="s">
        <v>15211</v>
      </c>
      <c r="R1645" t="s">
        <v>15211</v>
      </c>
      <c r="S1645" t="s">
        <v>15211</v>
      </c>
      <c r="T1645" t="s">
        <v>3368</v>
      </c>
      <c r="U1645" t="s">
        <v>13534</v>
      </c>
      <c r="V1645" t="s">
        <v>15212</v>
      </c>
    </row>
    <row r="1646" spans="1:22" ht="17.399999999999999" hidden="1">
      <c r="A1646" t="s">
        <v>15337</v>
      </c>
      <c r="B1646" t="s">
        <v>15441</v>
      </c>
      <c r="C1646" t="s">
        <v>15446</v>
      </c>
      <c r="D1646" t="s">
        <v>1645</v>
      </c>
      <c r="E1646" t="s">
        <v>3427</v>
      </c>
      <c r="F1646" t="s">
        <v>3431</v>
      </c>
      <c r="G1646" s="3">
        <v>36.473662503864297</v>
      </c>
      <c r="H1646" s="3">
        <v>128.50428794639899</v>
      </c>
      <c r="I1646" t="s">
        <v>5411</v>
      </c>
      <c r="J1646" t="s">
        <v>8770</v>
      </c>
      <c r="K1646" t="s">
        <v>10965</v>
      </c>
      <c r="L1646" t="s">
        <v>3374</v>
      </c>
      <c r="M1646" t="s">
        <v>11890</v>
      </c>
      <c r="N1646" t="s">
        <v>3365</v>
      </c>
      <c r="O1646" t="s">
        <v>3360</v>
      </c>
      <c r="P1646" t="s">
        <v>15211</v>
      </c>
      <c r="Q1646" t="s">
        <v>15211</v>
      </c>
      <c r="R1646" t="s">
        <v>15211</v>
      </c>
      <c r="S1646" t="s">
        <v>15211</v>
      </c>
      <c r="T1646" t="s">
        <v>3369</v>
      </c>
      <c r="U1646" t="s">
        <v>13535</v>
      </c>
      <c r="V1646" t="s">
        <v>15213</v>
      </c>
    </row>
    <row r="1647" spans="1:22" ht="17.399999999999999" hidden="1">
      <c r="A1647" t="s">
        <v>15337</v>
      </c>
      <c r="B1647" t="s">
        <v>15441</v>
      </c>
      <c r="C1647" t="s">
        <v>15446</v>
      </c>
      <c r="D1647" t="s">
        <v>1646</v>
      </c>
      <c r="E1647" t="s">
        <v>3427</v>
      </c>
      <c r="F1647" t="s">
        <v>3434</v>
      </c>
      <c r="G1647" s="3">
        <v>36.473662510733298</v>
      </c>
      <c r="H1647" s="3">
        <v>128.50428795133999</v>
      </c>
      <c r="I1647" t="s">
        <v>5412</v>
      </c>
      <c r="J1647" t="s">
        <v>8771</v>
      </c>
      <c r="K1647" t="s">
        <v>11157</v>
      </c>
      <c r="L1647" t="s">
        <v>3366</v>
      </c>
      <c r="M1647" t="s">
        <v>11890</v>
      </c>
      <c r="N1647" t="s">
        <v>3365</v>
      </c>
      <c r="O1647" t="s">
        <v>3360</v>
      </c>
      <c r="P1647" t="s">
        <v>15211</v>
      </c>
      <c r="Q1647" t="s">
        <v>15211</v>
      </c>
      <c r="R1647" t="s">
        <v>15211</v>
      </c>
      <c r="S1647" t="s">
        <v>15211</v>
      </c>
      <c r="T1647" t="s">
        <v>3369</v>
      </c>
      <c r="U1647" t="s">
        <v>13536</v>
      </c>
      <c r="V1647" t="s">
        <v>15213</v>
      </c>
    </row>
    <row r="1648" spans="1:22" ht="17.399999999999999" hidden="1">
      <c r="A1648" t="s">
        <v>15337</v>
      </c>
      <c r="B1648" t="s">
        <v>15441</v>
      </c>
      <c r="C1648" t="s">
        <v>15446</v>
      </c>
      <c r="D1648" t="s">
        <v>1647</v>
      </c>
      <c r="E1648" t="s">
        <v>3428</v>
      </c>
      <c r="F1648" t="s">
        <v>3435</v>
      </c>
      <c r="G1648" s="3">
        <v>36.473662532519498</v>
      </c>
      <c r="H1648" s="3">
        <v>128.50428796671</v>
      </c>
      <c r="I1648" t="s">
        <v>5413</v>
      </c>
      <c r="J1648" t="s">
        <v>8772</v>
      </c>
      <c r="K1648" t="s">
        <v>11157</v>
      </c>
      <c r="L1648" t="s">
        <v>3366</v>
      </c>
      <c r="M1648" t="s">
        <v>11890</v>
      </c>
      <c r="N1648" t="s">
        <v>3365</v>
      </c>
      <c r="O1648" t="s">
        <v>3360</v>
      </c>
      <c r="P1648" t="s">
        <v>15211</v>
      </c>
      <c r="Q1648" t="s">
        <v>15211</v>
      </c>
      <c r="R1648" t="s">
        <v>15211</v>
      </c>
      <c r="S1648" t="s">
        <v>15211</v>
      </c>
      <c r="T1648" t="s">
        <v>3369</v>
      </c>
      <c r="U1648" t="s">
        <v>13537</v>
      </c>
      <c r="V1648" t="s">
        <v>15213</v>
      </c>
    </row>
    <row r="1649" spans="1:22" ht="17.399999999999999" hidden="1">
      <c r="A1649" t="s">
        <v>15337</v>
      </c>
      <c r="B1649" t="s">
        <v>15441</v>
      </c>
      <c r="C1649" t="s">
        <v>15447</v>
      </c>
      <c r="D1649" t="s">
        <v>1648</v>
      </c>
      <c r="E1649" t="s">
        <v>3427</v>
      </c>
      <c r="F1649" t="s">
        <v>3431</v>
      </c>
      <c r="G1649" s="3">
        <v>36.473662584918799</v>
      </c>
      <c r="H1649" s="3">
        <v>128.504288079833</v>
      </c>
      <c r="I1649" t="s">
        <v>5414</v>
      </c>
      <c r="J1649" t="s">
        <v>8773</v>
      </c>
      <c r="K1649" t="s">
        <v>11067</v>
      </c>
      <c r="L1649" t="s">
        <v>3378</v>
      </c>
      <c r="M1649" t="s">
        <v>11892</v>
      </c>
      <c r="N1649" t="s">
        <v>3364</v>
      </c>
      <c r="O1649" t="s">
        <v>15211</v>
      </c>
      <c r="P1649" t="s">
        <v>15211</v>
      </c>
      <c r="Q1649" t="s">
        <v>15211</v>
      </c>
      <c r="R1649" t="s">
        <v>15211</v>
      </c>
      <c r="S1649" t="s">
        <v>15211</v>
      </c>
      <c r="T1649" t="s">
        <v>3364</v>
      </c>
      <c r="U1649" t="s">
        <v>13538</v>
      </c>
      <c r="V1649" t="s">
        <v>15214</v>
      </c>
    </row>
    <row r="1650" spans="1:22" ht="17.399999999999999" hidden="1">
      <c r="A1650" t="s">
        <v>15337</v>
      </c>
      <c r="B1650" t="s">
        <v>15441</v>
      </c>
      <c r="C1650" t="s">
        <v>15447</v>
      </c>
      <c r="D1650" t="s">
        <v>1649</v>
      </c>
      <c r="E1650" t="s">
        <v>3428</v>
      </c>
      <c r="F1650" t="s">
        <v>3434</v>
      </c>
      <c r="G1650" s="3">
        <v>36.473662634087603</v>
      </c>
      <c r="H1650" s="3">
        <v>128.50428811259999</v>
      </c>
      <c r="I1650" t="s">
        <v>5415</v>
      </c>
      <c r="J1650" t="s">
        <v>8774</v>
      </c>
      <c r="K1650" t="s">
        <v>11067</v>
      </c>
      <c r="L1650" t="s">
        <v>3366</v>
      </c>
      <c r="M1650" t="s">
        <v>11892</v>
      </c>
      <c r="N1650" t="s">
        <v>3364</v>
      </c>
      <c r="O1650" t="s">
        <v>15211</v>
      </c>
      <c r="P1650" t="s">
        <v>15211</v>
      </c>
      <c r="Q1650" t="s">
        <v>15211</v>
      </c>
      <c r="R1650" t="s">
        <v>15211</v>
      </c>
      <c r="S1650" t="s">
        <v>15211</v>
      </c>
      <c r="T1650" t="s">
        <v>3364</v>
      </c>
      <c r="U1650" t="s">
        <v>13539</v>
      </c>
      <c r="V1650" t="s">
        <v>15214</v>
      </c>
    </row>
    <row r="1651" spans="1:22" ht="17.399999999999999" hidden="1">
      <c r="A1651" t="s">
        <v>15337</v>
      </c>
      <c r="B1651" t="s">
        <v>15441</v>
      </c>
      <c r="C1651" t="s">
        <v>15447</v>
      </c>
      <c r="D1651" t="s">
        <v>1650</v>
      </c>
      <c r="E1651" t="s">
        <v>3428</v>
      </c>
      <c r="F1651" t="s">
        <v>3435</v>
      </c>
      <c r="G1651" s="3">
        <v>36.473662633857302</v>
      </c>
      <c r="H1651" s="3">
        <v>128.504288131707</v>
      </c>
      <c r="I1651" t="s">
        <v>5416</v>
      </c>
      <c r="J1651" t="s">
        <v>8775</v>
      </c>
      <c r="K1651" t="s">
        <v>11067</v>
      </c>
      <c r="L1651" t="s">
        <v>3366</v>
      </c>
      <c r="M1651" t="s">
        <v>11892</v>
      </c>
      <c r="N1651" t="s">
        <v>3364</v>
      </c>
      <c r="O1651" t="s">
        <v>15211</v>
      </c>
      <c r="P1651" t="s">
        <v>15211</v>
      </c>
      <c r="Q1651" t="s">
        <v>15211</v>
      </c>
      <c r="R1651" t="s">
        <v>15211</v>
      </c>
      <c r="S1651" t="s">
        <v>15211</v>
      </c>
      <c r="T1651" t="s">
        <v>3364</v>
      </c>
      <c r="U1651" t="s">
        <v>13540</v>
      </c>
      <c r="V1651" t="s">
        <v>15214</v>
      </c>
    </row>
    <row r="1652" spans="1:22" ht="17.399999999999999" hidden="1">
      <c r="A1652" t="s">
        <v>15337</v>
      </c>
      <c r="B1652" t="s">
        <v>15441</v>
      </c>
      <c r="C1652" t="s">
        <v>15448</v>
      </c>
      <c r="D1652" t="s">
        <v>1651</v>
      </c>
      <c r="E1652" t="s">
        <v>3429</v>
      </c>
      <c r="F1652" t="s">
        <v>3484</v>
      </c>
      <c r="G1652" s="3">
        <v>36.473662646996601</v>
      </c>
      <c r="H1652" s="3">
        <v>128.50428813808199</v>
      </c>
      <c r="I1652" t="s">
        <v>5417</v>
      </c>
      <c r="J1652" t="s">
        <v>8776</v>
      </c>
      <c r="K1652" t="s">
        <v>3623</v>
      </c>
      <c r="L1652" t="s">
        <v>3375</v>
      </c>
      <c r="M1652" t="s">
        <v>11911</v>
      </c>
      <c r="N1652" t="s">
        <v>3364</v>
      </c>
      <c r="O1652" t="s">
        <v>3360</v>
      </c>
      <c r="P1652" t="s">
        <v>3366</v>
      </c>
      <c r="Q1652" t="s">
        <v>3361</v>
      </c>
      <c r="R1652" t="s">
        <v>3358</v>
      </c>
      <c r="S1652" t="s">
        <v>15211</v>
      </c>
      <c r="T1652" t="s">
        <v>3385</v>
      </c>
      <c r="U1652" t="s">
        <v>13541</v>
      </c>
      <c r="V1652" t="s">
        <v>15215</v>
      </c>
    </row>
    <row r="1653" spans="1:22" ht="17.399999999999999" hidden="1">
      <c r="A1653" t="s">
        <v>15337</v>
      </c>
      <c r="B1653" t="s">
        <v>15441</v>
      </c>
      <c r="C1653" t="s">
        <v>15448</v>
      </c>
      <c r="D1653" t="s">
        <v>1652</v>
      </c>
      <c r="E1653" t="s">
        <v>3430</v>
      </c>
      <c r="F1653" t="s">
        <v>3579</v>
      </c>
      <c r="G1653" s="3">
        <v>36.473662639878299</v>
      </c>
      <c r="H1653" s="3">
        <v>128.504288126576</v>
      </c>
      <c r="I1653" t="s">
        <v>5418</v>
      </c>
      <c r="J1653" t="s">
        <v>8777</v>
      </c>
      <c r="K1653" t="s">
        <v>10705</v>
      </c>
      <c r="L1653" t="s">
        <v>3366</v>
      </c>
      <c r="M1653" t="s">
        <v>11907</v>
      </c>
      <c r="N1653" t="s">
        <v>3365</v>
      </c>
      <c r="O1653" t="s">
        <v>3360</v>
      </c>
      <c r="P1653" t="s">
        <v>3366</v>
      </c>
      <c r="Q1653" t="s">
        <v>3361</v>
      </c>
      <c r="R1653" t="s">
        <v>3358</v>
      </c>
      <c r="S1653" t="s">
        <v>15211</v>
      </c>
      <c r="T1653" t="s">
        <v>3386</v>
      </c>
      <c r="U1653" t="s">
        <v>13542</v>
      </c>
      <c r="V1653" t="s">
        <v>15215</v>
      </c>
    </row>
    <row r="1654" spans="1:22" ht="17.399999999999999" hidden="1">
      <c r="A1654" t="s">
        <v>15337</v>
      </c>
      <c r="B1654" t="s">
        <v>15441</v>
      </c>
      <c r="C1654" t="s">
        <v>15448</v>
      </c>
      <c r="D1654" t="s">
        <v>1653</v>
      </c>
      <c r="E1654" t="s">
        <v>3430</v>
      </c>
      <c r="F1654" t="s">
        <v>3579</v>
      </c>
      <c r="G1654" s="3">
        <v>36.473662616796297</v>
      </c>
      <c r="H1654" s="3">
        <v>128.50428810412799</v>
      </c>
      <c r="I1654" t="s">
        <v>5419</v>
      </c>
      <c r="J1654" t="s">
        <v>8778</v>
      </c>
      <c r="K1654" t="s">
        <v>11414</v>
      </c>
      <c r="L1654" t="s">
        <v>3366</v>
      </c>
      <c r="M1654" t="s">
        <v>11910</v>
      </c>
      <c r="N1654" t="s">
        <v>3365</v>
      </c>
      <c r="O1654" t="s">
        <v>3360</v>
      </c>
      <c r="P1654" t="s">
        <v>3366</v>
      </c>
      <c r="Q1654" t="s">
        <v>3359</v>
      </c>
      <c r="R1654" t="s">
        <v>3358</v>
      </c>
      <c r="S1654" t="s">
        <v>15211</v>
      </c>
      <c r="T1654" t="s">
        <v>3384</v>
      </c>
      <c r="U1654" t="s">
        <v>13543</v>
      </c>
      <c r="V1654" t="s">
        <v>15215</v>
      </c>
    </row>
    <row r="1655" spans="1:22" ht="17.399999999999999" hidden="1">
      <c r="A1655" t="s">
        <v>15337</v>
      </c>
      <c r="B1655" t="s">
        <v>15441</v>
      </c>
      <c r="C1655" t="s">
        <v>15449</v>
      </c>
      <c r="D1655" t="s">
        <v>1654</v>
      </c>
      <c r="E1655" t="s">
        <v>3425</v>
      </c>
      <c r="F1655" t="s">
        <v>3452</v>
      </c>
      <c r="G1655" s="3">
        <v>36.473662598133402</v>
      </c>
      <c r="H1655" s="3">
        <v>128.50428810877801</v>
      </c>
      <c r="I1655" t="s">
        <v>5420</v>
      </c>
      <c r="J1655" t="s">
        <v>8779</v>
      </c>
      <c r="K1655" t="s">
        <v>3620</v>
      </c>
      <c r="L1655" t="s">
        <v>3374</v>
      </c>
      <c r="M1655" t="s">
        <v>11907</v>
      </c>
      <c r="N1655" t="s">
        <v>3365</v>
      </c>
      <c r="O1655" t="s">
        <v>3360</v>
      </c>
      <c r="P1655" t="s">
        <v>3366</v>
      </c>
      <c r="Q1655" t="s">
        <v>3361</v>
      </c>
      <c r="R1655" t="s">
        <v>3358</v>
      </c>
      <c r="S1655" t="s">
        <v>15211</v>
      </c>
      <c r="T1655" t="s">
        <v>3386</v>
      </c>
      <c r="U1655" t="s">
        <v>13544</v>
      </c>
      <c r="V1655" t="s">
        <v>15216</v>
      </c>
    </row>
    <row r="1656" spans="1:22" ht="17.399999999999999" hidden="1">
      <c r="A1656" t="s">
        <v>15337</v>
      </c>
      <c r="B1656" t="s">
        <v>15441</v>
      </c>
      <c r="C1656" t="s">
        <v>15449</v>
      </c>
      <c r="D1656" t="s">
        <v>1655</v>
      </c>
      <c r="E1656" t="s">
        <v>3425</v>
      </c>
      <c r="F1656" t="s">
        <v>3461</v>
      </c>
      <c r="G1656" s="3">
        <v>36.473662605831301</v>
      </c>
      <c r="H1656" s="3">
        <v>128.50428813143799</v>
      </c>
      <c r="I1656" t="s">
        <v>5421</v>
      </c>
      <c r="J1656" t="s">
        <v>8780</v>
      </c>
      <c r="K1656" t="s">
        <v>11395</v>
      </c>
      <c r="L1656" t="s">
        <v>3366</v>
      </c>
      <c r="M1656" t="s">
        <v>11907</v>
      </c>
      <c r="N1656" t="s">
        <v>3365</v>
      </c>
      <c r="O1656" t="s">
        <v>3360</v>
      </c>
      <c r="P1656" t="s">
        <v>3366</v>
      </c>
      <c r="Q1656" t="s">
        <v>3361</v>
      </c>
      <c r="R1656" t="s">
        <v>3358</v>
      </c>
      <c r="S1656" t="s">
        <v>15211</v>
      </c>
      <c r="T1656" t="s">
        <v>3386</v>
      </c>
      <c r="U1656" t="s">
        <v>13545</v>
      </c>
      <c r="V1656" t="s">
        <v>15216</v>
      </c>
    </row>
    <row r="1657" spans="1:22" ht="17.399999999999999" hidden="1">
      <c r="A1657" t="s">
        <v>15337</v>
      </c>
      <c r="B1657" t="s">
        <v>15441</v>
      </c>
      <c r="C1657" t="s">
        <v>15449</v>
      </c>
      <c r="D1657" t="s">
        <v>1656</v>
      </c>
      <c r="E1657" t="s">
        <v>3425</v>
      </c>
      <c r="F1657" t="s">
        <v>3461</v>
      </c>
      <c r="G1657" s="3">
        <v>36.473662616300103</v>
      </c>
      <c r="H1657" s="3">
        <v>128.50428814203499</v>
      </c>
      <c r="I1657" t="s">
        <v>5422</v>
      </c>
      <c r="J1657" t="s">
        <v>8781</v>
      </c>
      <c r="K1657" t="s">
        <v>10831</v>
      </c>
      <c r="L1657" t="s">
        <v>3366</v>
      </c>
      <c r="M1657" t="s">
        <v>11907</v>
      </c>
      <c r="N1657" t="s">
        <v>3365</v>
      </c>
      <c r="O1657" t="s">
        <v>3360</v>
      </c>
      <c r="P1657" t="s">
        <v>3366</v>
      </c>
      <c r="Q1657" t="s">
        <v>3361</v>
      </c>
      <c r="R1657" t="s">
        <v>3358</v>
      </c>
      <c r="S1657" t="s">
        <v>15211</v>
      </c>
      <c r="T1657" t="s">
        <v>3386</v>
      </c>
      <c r="U1657" t="s">
        <v>13546</v>
      </c>
      <c r="V1657" t="s">
        <v>15216</v>
      </c>
    </row>
    <row r="1658" spans="1:22" ht="17.399999999999999" hidden="1">
      <c r="A1658" t="s">
        <v>15337</v>
      </c>
      <c r="B1658" t="s">
        <v>15442</v>
      </c>
      <c r="C1658" t="s">
        <v>15450</v>
      </c>
      <c r="D1658" t="s">
        <v>1657</v>
      </c>
      <c r="E1658" t="s">
        <v>3436</v>
      </c>
      <c r="F1658" t="s">
        <v>3442</v>
      </c>
      <c r="G1658" s="3">
        <v>36.4736625811301</v>
      </c>
      <c r="H1658" s="3">
        <v>128.50428806493201</v>
      </c>
      <c r="I1658" t="s">
        <v>5423</v>
      </c>
      <c r="J1658" t="s">
        <v>8782</v>
      </c>
      <c r="K1658" t="s">
        <v>10771</v>
      </c>
      <c r="L1658" t="s">
        <v>3372</v>
      </c>
      <c r="M1658" t="s">
        <v>11890</v>
      </c>
      <c r="N1658" t="s">
        <v>3365</v>
      </c>
      <c r="O1658" t="s">
        <v>3360</v>
      </c>
      <c r="P1658" t="s">
        <v>15211</v>
      </c>
      <c r="Q1658" t="s">
        <v>15211</v>
      </c>
      <c r="R1658" t="s">
        <v>15211</v>
      </c>
      <c r="S1658" t="s">
        <v>15211</v>
      </c>
      <c r="T1658" t="s">
        <v>3369</v>
      </c>
      <c r="U1658" t="s">
        <v>13547</v>
      </c>
      <c r="V1658" t="s">
        <v>15217</v>
      </c>
    </row>
    <row r="1659" spans="1:22" ht="17.399999999999999" hidden="1">
      <c r="A1659" t="s">
        <v>15337</v>
      </c>
      <c r="B1659" t="s">
        <v>15442</v>
      </c>
      <c r="C1659" t="s">
        <v>15450</v>
      </c>
      <c r="D1659" t="s">
        <v>1658</v>
      </c>
      <c r="E1659" t="s">
        <v>3425</v>
      </c>
      <c r="F1659" t="s">
        <v>3442</v>
      </c>
      <c r="G1659" s="3">
        <v>36.473662522438403</v>
      </c>
      <c r="H1659" s="3">
        <v>128.50428808663</v>
      </c>
      <c r="I1659" t="s">
        <v>5424</v>
      </c>
      <c r="J1659" t="s">
        <v>8783</v>
      </c>
      <c r="K1659" t="s">
        <v>10771</v>
      </c>
      <c r="L1659" t="s">
        <v>3366</v>
      </c>
      <c r="M1659" t="s">
        <v>11890</v>
      </c>
      <c r="N1659" t="s">
        <v>3365</v>
      </c>
      <c r="O1659" t="s">
        <v>3360</v>
      </c>
      <c r="P1659" t="s">
        <v>15211</v>
      </c>
      <c r="Q1659" t="s">
        <v>15211</v>
      </c>
      <c r="R1659" t="s">
        <v>15211</v>
      </c>
      <c r="S1659" t="s">
        <v>15211</v>
      </c>
      <c r="T1659" t="s">
        <v>3369</v>
      </c>
      <c r="U1659" t="s">
        <v>13548</v>
      </c>
      <c r="V1659" t="s">
        <v>15217</v>
      </c>
    </row>
    <row r="1660" spans="1:22" ht="17.399999999999999" hidden="1">
      <c r="A1660" t="s">
        <v>15337</v>
      </c>
      <c r="B1660" t="s">
        <v>15442</v>
      </c>
      <c r="C1660" t="s">
        <v>15450</v>
      </c>
      <c r="D1660" t="s">
        <v>1659</v>
      </c>
      <c r="E1660" t="s">
        <v>3436</v>
      </c>
      <c r="F1660" t="s">
        <v>3442</v>
      </c>
      <c r="G1660" s="3">
        <v>36.473662590278799</v>
      </c>
      <c r="H1660" s="3">
        <v>128.50428818060499</v>
      </c>
      <c r="I1660" t="s">
        <v>5425</v>
      </c>
      <c r="J1660" t="s">
        <v>8784</v>
      </c>
      <c r="K1660" t="s">
        <v>10771</v>
      </c>
      <c r="L1660" t="s">
        <v>3366</v>
      </c>
      <c r="M1660" t="s">
        <v>11890</v>
      </c>
      <c r="N1660" t="s">
        <v>3365</v>
      </c>
      <c r="O1660" t="s">
        <v>3360</v>
      </c>
      <c r="P1660" t="s">
        <v>15211</v>
      </c>
      <c r="Q1660" t="s">
        <v>15211</v>
      </c>
      <c r="R1660" t="s">
        <v>15211</v>
      </c>
      <c r="S1660" t="s">
        <v>15211</v>
      </c>
      <c r="T1660" t="s">
        <v>3369</v>
      </c>
      <c r="U1660" t="s">
        <v>13549</v>
      </c>
      <c r="V1660" t="s">
        <v>15217</v>
      </c>
    </row>
    <row r="1661" spans="1:22" ht="17.399999999999999" hidden="1">
      <c r="A1661" t="s">
        <v>15337</v>
      </c>
      <c r="B1661" t="s">
        <v>15442</v>
      </c>
      <c r="C1661" t="s">
        <v>15445</v>
      </c>
      <c r="D1661" t="s">
        <v>1660</v>
      </c>
      <c r="E1661" t="s">
        <v>3438</v>
      </c>
      <c r="F1661" t="s">
        <v>3431</v>
      </c>
      <c r="G1661" s="3">
        <v>36.473662656187599</v>
      </c>
      <c r="H1661" s="3">
        <v>128.504288263593</v>
      </c>
      <c r="I1661" t="s">
        <v>5426</v>
      </c>
      <c r="J1661" t="s">
        <v>8785</v>
      </c>
      <c r="K1661" t="s">
        <v>10771</v>
      </c>
      <c r="L1661" t="s">
        <v>3377</v>
      </c>
      <c r="M1661" t="s">
        <v>11890</v>
      </c>
      <c r="N1661" t="s">
        <v>3365</v>
      </c>
      <c r="O1661" t="s">
        <v>3360</v>
      </c>
      <c r="P1661" t="s">
        <v>15211</v>
      </c>
      <c r="Q1661" t="s">
        <v>15211</v>
      </c>
      <c r="R1661" t="s">
        <v>15211</v>
      </c>
      <c r="S1661" t="s">
        <v>15211</v>
      </c>
      <c r="T1661" t="s">
        <v>3369</v>
      </c>
      <c r="U1661" t="s">
        <v>13550</v>
      </c>
      <c r="V1661" t="s">
        <v>15218</v>
      </c>
    </row>
    <row r="1662" spans="1:22" ht="17.399999999999999" hidden="1">
      <c r="A1662" t="s">
        <v>15337</v>
      </c>
      <c r="B1662" t="s">
        <v>15442</v>
      </c>
      <c r="C1662" t="s">
        <v>15445</v>
      </c>
      <c r="D1662" t="s">
        <v>1661</v>
      </c>
      <c r="E1662" t="s">
        <v>3427</v>
      </c>
      <c r="F1662" t="s">
        <v>3431</v>
      </c>
      <c r="G1662" s="3">
        <v>36.473662679634003</v>
      </c>
      <c r="H1662" s="3">
        <v>128.50428826743499</v>
      </c>
      <c r="I1662" t="s">
        <v>5427</v>
      </c>
      <c r="J1662" t="s">
        <v>8786</v>
      </c>
      <c r="K1662" t="s">
        <v>10771</v>
      </c>
      <c r="L1662" t="s">
        <v>3366</v>
      </c>
      <c r="M1662" t="s">
        <v>11890</v>
      </c>
      <c r="N1662" t="s">
        <v>3365</v>
      </c>
      <c r="O1662" t="s">
        <v>3360</v>
      </c>
      <c r="P1662" t="s">
        <v>15211</v>
      </c>
      <c r="Q1662" t="s">
        <v>15211</v>
      </c>
      <c r="R1662" t="s">
        <v>15211</v>
      </c>
      <c r="S1662" t="s">
        <v>15211</v>
      </c>
      <c r="T1662" t="s">
        <v>3369</v>
      </c>
      <c r="U1662" t="s">
        <v>13551</v>
      </c>
      <c r="V1662" t="s">
        <v>15218</v>
      </c>
    </row>
    <row r="1663" spans="1:22" ht="17.399999999999999" hidden="1">
      <c r="A1663" t="s">
        <v>15337</v>
      </c>
      <c r="B1663" t="s">
        <v>15442</v>
      </c>
      <c r="C1663" t="s">
        <v>15445</v>
      </c>
      <c r="D1663" t="s">
        <v>1662</v>
      </c>
      <c r="E1663" t="s">
        <v>3438</v>
      </c>
      <c r="F1663" t="s">
        <v>3431</v>
      </c>
      <c r="G1663" s="3">
        <v>36.4736626409629</v>
      </c>
      <c r="H1663" s="3">
        <v>128.50428829207399</v>
      </c>
      <c r="I1663" t="s">
        <v>5428</v>
      </c>
      <c r="J1663" t="s">
        <v>8787</v>
      </c>
      <c r="K1663" t="s">
        <v>10771</v>
      </c>
      <c r="L1663" t="s">
        <v>3366</v>
      </c>
      <c r="M1663" t="s">
        <v>11890</v>
      </c>
      <c r="N1663" t="s">
        <v>3365</v>
      </c>
      <c r="O1663" t="s">
        <v>3360</v>
      </c>
      <c r="P1663" t="s">
        <v>15211</v>
      </c>
      <c r="Q1663" t="s">
        <v>15211</v>
      </c>
      <c r="R1663" t="s">
        <v>15211</v>
      </c>
      <c r="S1663" t="s">
        <v>15211</v>
      </c>
      <c r="T1663" t="s">
        <v>3369</v>
      </c>
      <c r="U1663" t="s">
        <v>13552</v>
      </c>
      <c r="V1663" t="s">
        <v>15218</v>
      </c>
    </row>
    <row r="1664" spans="1:22" ht="17.399999999999999" hidden="1">
      <c r="A1664" t="s">
        <v>15337</v>
      </c>
      <c r="B1664" t="s">
        <v>15442</v>
      </c>
      <c r="C1664" t="s">
        <v>15451</v>
      </c>
      <c r="D1664" t="s">
        <v>1663</v>
      </c>
      <c r="E1664" t="s">
        <v>3437</v>
      </c>
      <c r="F1664" t="s">
        <v>3425</v>
      </c>
      <c r="G1664" s="3">
        <v>36.473662618833302</v>
      </c>
      <c r="H1664" s="3">
        <v>128.50428817372</v>
      </c>
      <c r="I1664" t="s">
        <v>5429</v>
      </c>
      <c r="J1664" t="s">
        <v>8788</v>
      </c>
      <c r="K1664" t="s">
        <v>10941</v>
      </c>
      <c r="L1664" t="s">
        <v>3378</v>
      </c>
      <c r="M1664" t="s">
        <v>11893</v>
      </c>
      <c r="N1664" t="s">
        <v>3365</v>
      </c>
      <c r="O1664" t="s">
        <v>3360</v>
      </c>
      <c r="P1664" t="s">
        <v>3364</v>
      </c>
      <c r="Q1664" t="s">
        <v>3357</v>
      </c>
      <c r="R1664" t="s">
        <v>15211</v>
      </c>
      <c r="S1664" t="s">
        <v>15211</v>
      </c>
      <c r="T1664" t="s">
        <v>3378</v>
      </c>
      <c r="U1664" t="s">
        <v>13553</v>
      </c>
      <c r="V1664" t="s">
        <v>15219</v>
      </c>
    </row>
    <row r="1665" spans="1:22" ht="17.399999999999999" hidden="1">
      <c r="A1665" t="s">
        <v>15337</v>
      </c>
      <c r="B1665" t="s">
        <v>15442</v>
      </c>
      <c r="C1665" t="s">
        <v>15451</v>
      </c>
      <c r="D1665" t="s">
        <v>1664</v>
      </c>
      <c r="E1665" t="s">
        <v>3437</v>
      </c>
      <c r="F1665" t="s">
        <v>3431</v>
      </c>
      <c r="G1665" s="3">
        <v>36.473662631251202</v>
      </c>
      <c r="H1665" s="3">
        <v>128.50428820568101</v>
      </c>
      <c r="I1665" t="s">
        <v>5430</v>
      </c>
      <c r="J1665" t="s">
        <v>8789</v>
      </c>
      <c r="K1665" t="s">
        <v>10811</v>
      </c>
      <c r="L1665" t="s">
        <v>3366</v>
      </c>
      <c r="M1665" t="s">
        <v>11893</v>
      </c>
      <c r="N1665" t="s">
        <v>3365</v>
      </c>
      <c r="O1665" t="s">
        <v>3360</v>
      </c>
      <c r="P1665" t="s">
        <v>3366</v>
      </c>
      <c r="Q1665" t="s">
        <v>3358</v>
      </c>
      <c r="R1665" t="s">
        <v>15211</v>
      </c>
      <c r="S1665" t="s">
        <v>15211</v>
      </c>
      <c r="T1665" t="s">
        <v>3381</v>
      </c>
      <c r="U1665" t="s">
        <v>13554</v>
      </c>
      <c r="V1665" t="s">
        <v>15219</v>
      </c>
    </row>
    <row r="1666" spans="1:22" ht="17.399999999999999" hidden="1">
      <c r="A1666" t="s">
        <v>15337</v>
      </c>
      <c r="B1666" t="s">
        <v>15442</v>
      </c>
      <c r="C1666" t="s">
        <v>15451</v>
      </c>
      <c r="D1666" t="s">
        <v>1665</v>
      </c>
      <c r="E1666" t="s">
        <v>3440</v>
      </c>
      <c r="F1666" t="s">
        <v>3434</v>
      </c>
      <c r="G1666" s="3">
        <v>36.473662640653203</v>
      </c>
      <c r="H1666" s="3">
        <v>128.504288210125</v>
      </c>
      <c r="I1666" t="s">
        <v>5431</v>
      </c>
      <c r="J1666" t="s">
        <v>8790</v>
      </c>
      <c r="K1666" t="s">
        <v>11405</v>
      </c>
      <c r="L1666" t="s">
        <v>3366</v>
      </c>
      <c r="M1666" t="s">
        <v>11893</v>
      </c>
      <c r="N1666" t="s">
        <v>3365</v>
      </c>
      <c r="O1666" t="s">
        <v>3360</v>
      </c>
      <c r="P1666" t="s">
        <v>3366</v>
      </c>
      <c r="Q1666" t="s">
        <v>3358</v>
      </c>
      <c r="R1666" t="s">
        <v>15211</v>
      </c>
      <c r="S1666" t="s">
        <v>15211</v>
      </c>
      <c r="T1666" t="s">
        <v>3381</v>
      </c>
      <c r="U1666" t="s">
        <v>13555</v>
      </c>
      <c r="V1666" t="s">
        <v>15219</v>
      </c>
    </row>
    <row r="1667" spans="1:22" ht="17.399999999999999">
      <c r="A1667" t="s">
        <v>15337</v>
      </c>
      <c r="B1667" t="s">
        <v>15443</v>
      </c>
      <c r="C1667" t="s">
        <v>15452</v>
      </c>
      <c r="D1667" t="s">
        <v>1666</v>
      </c>
      <c r="E1667" t="s">
        <v>3438</v>
      </c>
      <c r="F1667" t="s">
        <v>3430</v>
      </c>
      <c r="G1667" s="3">
        <v>36.473662442278297</v>
      </c>
      <c r="H1667" s="3">
        <v>128.50428824174</v>
      </c>
      <c r="I1667" t="s">
        <v>5432</v>
      </c>
      <c r="J1667" t="s">
        <v>8791</v>
      </c>
      <c r="K1667" t="s">
        <v>10532</v>
      </c>
      <c r="L1667" t="s">
        <v>3377</v>
      </c>
      <c r="M1667" t="s">
        <v>11898</v>
      </c>
      <c r="N1667" t="s">
        <v>3364</v>
      </c>
      <c r="O1667" t="s">
        <v>15211</v>
      </c>
      <c r="P1667" t="s">
        <v>3364</v>
      </c>
      <c r="Q1667" t="s">
        <v>3358</v>
      </c>
      <c r="R1667" t="s">
        <v>15211</v>
      </c>
      <c r="S1667" t="s">
        <v>15211</v>
      </c>
      <c r="T1667" t="s">
        <v>3374</v>
      </c>
      <c r="U1667" t="s">
        <v>13556</v>
      </c>
      <c r="V1667" t="s">
        <v>15220</v>
      </c>
    </row>
    <row r="1668" spans="1:22" ht="17.399999999999999">
      <c r="A1668" t="s">
        <v>15337</v>
      </c>
      <c r="B1668" t="s">
        <v>15443</v>
      </c>
      <c r="C1668" t="s">
        <v>15452</v>
      </c>
      <c r="D1668" t="s">
        <v>1667</v>
      </c>
      <c r="E1668" t="s">
        <v>3427</v>
      </c>
      <c r="F1668" t="s">
        <v>3441</v>
      </c>
      <c r="G1668" s="3">
        <v>36.473662414062503</v>
      </c>
      <c r="H1668" s="3">
        <v>128.504288201913</v>
      </c>
      <c r="I1668" t="s">
        <v>5433</v>
      </c>
      <c r="J1668" t="s">
        <v>8792</v>
      </c>
      <c r="K1668" t="s">
        <v>10531</v>
      </c>
      <c r="L1668" t="s">
        <v>3366</v>
      </c>
      <c r="M1668" t="s">
        <v>11898</v>
      </c>
      <c r="N1668" t="s">
        <v>3364</v>
      </c>
      <c r="O1668" t="s">
        <v>15211</v>
      </c>
      <c r="P1668" t="s">
        <v>3364</v>
      </c>
      <c r="Q1668" t="s">
        <v>3358</v>
      </c>
      <c r="R1668" t="s">
        <v>15211</v>
      </c>
      <c r="S1668" t="s">
        <v>15211</v>
      </c>
      <c r="T1668" t="s">
        <v>3374</v>
      </c>
      <c r="U1668" t="s">
        <v>13557</v>
      </c>
      <c r="V1668" t="s">
        <v>15220</v>
      </c>
    </row>
    <row r="1669" spans="1:22" ht="17.399999999999999">
      <c r="A1669" t="s">
        <v>15337</v>
      </c>
      <c r="B1669" t="s">
        <v>15443</v>
      </c>
      <c r="C1669" t="s">
        <v>15452</v>
      </c>
      <c r="D1669" t="s">
        <v>1668</v>
      </c>
      <c r="E1669" t="s">
        <v>3427</v>
      </c>
      <c r="F1669" t="s">
        <v>3441</v>
      </c>
      <c r="G1669" s="3">
        <v>36.473662436275397</v>
      </c>
      <c r="H1669" s="3">
        <v>128.50428821174501</v>
      </c>
      <c r="I1669" t="s">
        <v>5434</v>
      </c>
      <c r="J1669" t="s">
        <v>8793</v>
      </c>
      <c r="K1669" t="s">
        <v>10531</v>
      </c>
      <c r="L1669" t="s">
        <v>3366</v>
      </c>
      <c r="M1669" t="s">
        <v>11898</v>
      </c>
      <c r="N1669" t="s">
        <v>3364</v>
      </c>
      <c r="O1669" t="s">
        <v>15211</v>
      </c>
      <c r="P1669" t="s">
        <v>3364</v>
      </c>
      <c r="Q1669" t="s">
        <v>3358</v>
      </c>
      <c r="R1669" t="s">
        <v>15211</v>
      </c>
      <c r="S1669" t="s">
        <v>15211</v>
      </c>
      <c r="T1669" t="s">
        <v>3374</v>
      </c>
      <c r="U1669" t="s">
        <v>13558</v>
      </c>
      <c r="V1669" t="s">
        <v>15220</v>
      </c>
    </row>
    <row r="1670" spans="1:22" ht="17.399999999999999" hidden="1">
      <c r="A1670" t="s">
        <v>15337</v>
      </c>
      <c r="B1670" t="s">
        <v>15443</v>
      </c>
      <c r="C1670" t="s">
        <v>15473</v>
      </c>
      <c r="D1670" t="s">
        <v>1669</v>
      </c>
      <c r="E1670" t="s">
        <v>3428</v>
      </c>
      <c r="F1670" t="s">
        <v>3433</v>
      </c>
      <c r="G1670" s="3">
        <v>36.473662424516903</v>
      </c>
      <c r="H1670" s="3">
        <v>128.50428819724499</v>
      </c>
      <c r="I1670" t="s">
        <v>5435</v>
      </c>
      <c r="J1670" t="s">
        <v>8794</v>
      </c>
      <c r="K1670" t="s">
        <v>10531</v>
      </c>
      <c r="L1670" t="s">
        <v>3379</v>
      </c>
      <c r="M1670" t="s">
        <v>11898</v>
      </c>
      <c r="N1670" t="s">
        <v>3364</v>
      </c>
      <c r="O1670" t="s">
        <v>15211</v>
      </c>
      <c r="P1670" t="s">
        <v>3364</v>
      </c>
      <c r="Q1670" t="s">
        <v>3358</v>
      </c>
      <c r="R1670" t="s">
        <v>15211</v>
      </c>
      <c r="S1670" t="s">
        <v>15211</v>
      </c>
      <c r="T1670" t="s">
        <v>3374</v>
      </c>
      <c r="U1670" t="s">
        <v>13559</v>
      </c>
      <c r="V1670" t="s">
        <v>15256</v>
      </c>
    </row>
    <row r="1671" spans="1:22" ht="17.399999999999999" hidden="1">
      <c r="A1671" t="s">
        <v>15337</v>
      </c>
      <c r="B1671" t="s">
        <v>15443</v>
      </c>
      <c r="C1671" t="s">
        <v>15473</v>
      </c>
      <c r="D1671" t="s">
        <v>1670</v>
      </c>
      <c r="E1671" t="s">
        <v>3436</v>
      </c>
      <c r="F1671" t="s">
        <v>3452</v>
      </c>
      <c r="G1671" s="3">
        <v>36.473662441429802</v>
      </c>
      <c r="H1671" s="3">
        <v>128.50428815368599</v>
      </c>
      <c r="I1671" t="s">
        <v>5436</v>
      </c>
      <c r="J1671" t="s">
        <v>8795</v>
      </c>
      <c r="K1671" t="s">
        <v>10532</v>
      </c>
      <c r="L1671" t="s">
        <v>3366</v>
      </c>
      <c r="M1671" t="s">
        <v>11898</v>
      </c>
      <c r="N1671" t="s">
        <v>3364</v>
      </c>
      <c r="O1671" t="s">
        <v>15211</v>
      </c>
      <c r="P1671" t="s">
        <v>3364</v>
      </c>
      <c r="Q1671" t="s">
        <v>3358</v>
      </c>
      <c r="R1671" t="s">
        <v>15211</v>
      </c>
      <c r="S1671" t="s">
        <v>15211</v>
      </c>
      <c r="T1671" t="s">
        <v>3374</v>
      </c>
      <c r="U1671" t="s">
        <v>13560</v>
      </c>
      <c r="V1671" t="s">
        <v>15256</v>
      </c>
    </row>
    <row r="1672" spans="1:22" ht="17.399999999999999" hidden="1">
      <c r="A1672" t="s">
        <v>15337</v>
      </c>
      <c r="B1672" t="s">
        <v>15443</v>
      </c>
      <c r="C1672" t="s">
        <v>15473</v>
      </c>
      <c r="D1672" t="s">
        <v>1671</v>
      </c>
      <c r="E1672" t="s">
        <v>3436</v>
      </c>
      <c r="F1672" t="s">
        <v>3461</v>
      </c>
      <c r="G1672" s="3">
        <v>36.473662410596297</v>
      </c>
      <c r="H1672" s="3">
        <v>128.504288153251</v>
      </c>
      <c r="I1672" t="s">
        <v>5437</v>
      </c>
      <c r="J1672" t="s">
        <v>8796</v>
      </c>
      <c r="K1672" t="s">
        <v>11283</v>
      </c>
      <c r="L1672" t="s">
        <v>3366</v>
      </c>
      <c r="M1672" t="s">
        <v>11901</v>
      </c>
      <c r="N1672" t="s">
        <v>3363</v>
      </c>
      <c r="O1672" t="s">
        <v>15211</v>
      </c>
      <c r="P1672" t="s">
        <v>3364</v>
      </c>
      <c r="Q1672" t="s">
        <v>3358</v>
      </c>
      <c r="R1672" t="s">
        <v>15211</v>
      </c>
      <c r="S1672" t="s">
        <v>15211</v>
      </c>
      <c r="T1672" t="s">
        <v>3373</v>
      </c>
      <c r="U1672" t="s">
        <v>13561</v>
      </c>
      <c r="V1672" t="s">
        <v>15256</v>
      </c>
    </row>
    <row r="1673" spans="1:22" hidden="1">
      <c r="A1673" t="s">
        <v>15371</v>
      </c>
      <c r="B1673" t="s">
        <v>15441</v>
      </c>
      <c r="C1673" t="s">
        <v>15449</v>
      </c>
      <c r="D1673" t="s">
        <v>444</v>
      </c>
      <c r="E1673" t="s">
        <v>3438</v>
      </c>
      <c r="F1673" t="s">
        <v>3435</v>
      </c>
      <c r="G1673" s="3">
        <v>35.411230297005901</v>
      </c>
      <c r="H1673" s="3">
        <v>127.31962978352099</v>
      </c>
      <c r="I1673" t="s">
        <v>4211</v>
      </c>
      <c r="J1673" t="s">
        <v>7570</v>
      </c>
      <c r="K1673" t="s">
        <v>10517</v>
      </c>
      <c r="L1673" t="s">
        <v>3366</v>
      </c>
      <c r="M1673" t="s">
        <v>11889</v>
      </c>
      <c r="N1673" t="s">
        <v>3364</v>
      </c>
      <c r="O1673" t="s">
        <v>15211</v>
      </c>
      <c r="P1673" t="s">
        <v>3363</v>
      </c>
      <c r="Q1673" t="s">
        <v>3360</v>
      </c>
      <c r="R1673" t="s">
        <v>3358</v>
      </c>
      <c r="S1673" t="s">
        <v>15211</v>
      </c>
      <c r="T1673" t="s">
        <v>3377</v>
      </c>
      <c r="U1673" t="s">
        <v>12354</v>
      </c>
      <c r="V1673" t="s">
        <v>15231</v>
      </c>
    </row>
    <row r="1674" spans="1:22" hidden="1">
      <c r="A1674" t="s">
        <v>15371</v>
      </c>
      <c r="B1674" t="s">
        <v>15442</v>
      </c>
      <c r="C1674" t="s">
        <v>15450</v>
      </c>
      <c r="D1674" t="s">
        <v>445</v>
      </c>
      <c r="E1674" t="s">
        <v>3427</v>
      </c>
      <c r="F1674" t="s">
        <v>3442</v>
      </c>
      <c r="G1674" s="3">
        <v>35.411230296719701</v>
      </c>
      <c r="H1674" s="3">
        <v>127.319629791206</v>
      </c>
      <c r="I1674" t="s">
        <v>4212</v>
      </c>
      <c r="J1674" t="s">
        <v>7571</v>
      </c>
      <c r="K1674" t="s">
        <v>10814</v>
      </c>
      <c r="L1674" t="s">
        <v>3366</v>
      </c>
      <c r="M1674" t="s">
        <v>11890</v>
      </c>
      <c r="N1674" t="s">
        <v>3364</v>
      </c>
      <c r="O1674" t="s">
        <v>3361</v>
      </c>
      <c r="P1674" t="s">
        <v>15211</v>
      </c>
      <c r="Q1674" t="s">
        <v>15211</v>
      </c>
      <c r="R1674" t="s">
        <v>15211</v>
      </c>
      <c r="S1674" t="s">
        <v>15211</v>
      </c>
      <c r="T1674" t="s">
        <v>3369</v>
      </c>
      <c r="U1674" t="s">
        <v>12355</v>
      </c>
      <c r="V1674" t="s">
        <v>15232</v>
      </c>
    </row>
    <row r="1675" spans="1:22" hidden="1">
      <c r="A1675" t="s">
        <v>15371</v>
      </c>
      <c r="B1675" t="s">
        <v>15442</v>
      </c>
      <c r="C1675" t="s">
        <v>15445</v>
      </c>
      <c r="D1675" t="s">
        <v>446</v>
      </c>
      <c r="E1675" t="s">
        <v>3439</v>
      </c>
      <c r="F1675" t="s">
        <v>3436</v>
      </c>
      <c r="G1675" s="3">
        <v>35.411230413856799</v>
      </c>
      <c r="H1675" s="3">
        <v>127.31962968181401</v>
      </c>
      <c r="I1675" t="s">
        <v>4213</v>
      </c>
      <c r="J1675" t="s">
        <v>7572</v>
      </c>
      <c r="K1675" t="s">
        <v>10815</v>
      </c>
      <c r="L1675" t="s">
        <v>3366</v>
      </c>
      <c r="M1675" t="s">
        <v>11890</v>
      </c>
      <c r="N1675" t="s">
        <v>3364</v>
      </c>
      <c r="O1675" t="s">
        <v>3361</v>
      </c>
      <c r="P1675" t="s">
        <v>15211</v>
      </c>
      <c r="Q1675" t="s">
        <v>15211</v>
      </c>
      <c r="R1675" t="s">
        <v>15211</v>
      </c>
      <c r="S1675" t="s">
        <v>15211</v>
      </c>
      <c r="T1675" t="s">
        <v>3369</v>
      </c>
      <c r="U1675" t="s">
        <v>12356</v>
      </c>
      <c r="V1675" t="s">
        <v>15233</v>
      </c>
    </row>
    <row r="1676" spans="1:22" hidden="1">
      <c r="A1676" t="s">
        <v>15371</v>
      </c>
      <c r="B1676" t="s">
        <v>15442</v>
      </c>
      <c r="C1676" t="s">
        <v>15451</v>
      </c>
      <c r="D1676" t="s">
        <v>447</v>
      </c>
      <c r="E1676" t="s">
        <v>3443</v>
      </c>
      <c r="F1676" t="s">
        <v>3438</v>
      </c>
      <c r="G1676" s="3">
        <v>35.4112303334635</v>
      </c>
      <c r="H1676" s="3">
        <v>127.319629736748</v>
      </c>
      <c r="I1676" t="s">
        <v>4214</v>
      </c>
      <c r="J1676" t="s">
        <v>7573</v>
      </c>
      <c r="K1676" t="s">
        <v>10816</v>
      </c>
      <c r="L1676" t="s">
        <v>3366</v>
      </c>
      <c r="M1676" t="s">
        <v>11888</v>
      </c>
      <c r="N1676" t="s">
        <v>3364</v>
      </c>
      <c r="O1676" t="s">
        <v>3361</v>
      </c>
      <c r="P1676" t="s">
        <v>3363</v>
      </c>
      <c r="Q1676" t="s">
        <v>3358</v>
      </c>
      <c r="R1676" t="s">
        <v>15211</v>
      </c>
      <c r="S1676" t="s">
        <v>15211</v>
      </c>
      <c r="T1676" t="s">
        <v>3378</v>
      </c>
      <c r="U1676" t="s">
        <v>12357</v>
      </c>
      <c r="V1676" t="s">
        <v>15234</v>
      </c>
    </row>
    <row r="1677" spans="1:22">
      <c r="A1677" t="s">
        <v>15371</v>
      </c>
      <c r="B1677" t="s">
        <v>15443</v>
      </c>
      <c r="C1677" t="s">
        <v>15452</v>
      </c>
      <c r="D1677" t="s">
        <v>448</v>
      </c>
      <c r="E1677" t="s">
        <v>3427</v>
      </c>
      <c r="F1677" t="s">
        <v>3442</v>
      </c>
      <c r="G1677" s="3">
        <v>35.411230266581697</v>
      </c>
      <c r="H1677" s="3">
        <v>127.319629859321</v>
      </c>
      <c r="I1677" t="s">
        <v>4215</v>
      </c>
      <c r="J1677" t="s">
        <v>7574</v>
      </c>
      <c r="K1677" t="s">
        <v>3667</v>
      </c>
      <c r="L1677" t="s">
        <v>3366</v>
      </c>
      <c r="M1677" t="s">
        <v>11908</v>
      </c>
      <c r="N1677" t="s">
        <v>3363</v>
      </c>
      <c r="O1677" t="s">
        <v>15211</v>
      </c>
      <c r="P1677" t="s">
        <v>3363</v>
      </c>
      <c r="Q1677" t="s">
        <v>3362</v>
      </c>
      <c r="R1677" t="s">
        <v>15211</v>
      </c>
      <c r="S1677" t="s">
        <v>15211</v>
      </c>
      <c r="T1677" t="s">
        <v>3376</v>
      </c>
      <c r="U1677" t="s">
        <v>12358</v>
      </c>
      <c r="V1677" t="s">
        <v>15220</v>
      </c>
    </row>
    <row r="1678" spans="1:22" ht="17.399999999999999" hidden="1">
      <c r="A1678" t="s">
        <v>15427</v>
      </c>
      <c r="B1678" t="s">
        <v>15441</v>
      </c>
      <c r="C1678" t="s">
        <v>15445</v>
      </c>
      <c r="D1678" t="s">
        <v>3061</v>
      </c>
      <c r="E1678" t="s">
        <v>3428</v>
      </c>
      <c r="F1678" t="s">
        <v>3436</v>
      </c>
      <c r="G1678" s="3">
        <v>36.7535983104138</v>
      </c>
      <c r="H1678" s="3">
        <v>128.079911539107</v>
      </c>
      <c r="I1678" t="s">
        <v>6831</v>
      </c>
      <c r="J1678" t="s">
        <v>10186</v>
      </c>
      <c r="K1678" t="s">
        <v>11392</v>
      </c>
      <c r="L1678" t="s">
        <v>3366</v>
      </c>
      <c r="M1678" t="s">
        <v>11894</v>
      </c>
      <c r="N1678" t="s">
        <v>3365</v>
      </c>
      <c r="O1678" t="s">
        <v>3364</v>
      </c>
      <c r="P1678" t="s">
        <v>15211</v>
      </c>
      <c r="Q1678" t="s">
        <v>15211</v>
      </c>
      <c r="R1678" t="s">
        <v>15211</v>
      </c>
      <c r="S1678" t="s">
        <v>15211</v>
      </c>
      <c r="T1678" t="s">
        <v>3373</v>
      </c>
      <c r="U1678" t="s">
        <v>14925</v>
      </c>
      <c r="V1678" t="s">
        <v>15228</v>
      </c>
    </row>
    <row r="1679" spans="1:22" ht="17.399999999999999" hidden="1">
      <c r="A1679" t="s">
        <v>15427</v>
      </c>
      <c r="B1679" t="s">
        <v>15441</v>
      </c>
      <c r="C1679" t="s">
        <v>15445</v>
      </c>
      <c r="D1679" t="s">
        <v>3062</v>
      </c>
      <c r="E1679" t="s">
        <v>3427</v>
      </c>
      <c r="F1679" t="s">
        <v>3436</v>
      </c>
      <c r="G1679" s="3">
        <v>36.753598328891997</v>
      </c>
      <c r="H1679" s="3">
        <v>128.07991154298799</v>
      </c>
      <c r="I1679" t="s">
        <v>6832</v>
      </c>
      <c r="J1679" t="s">
        <v>10187</v>
      </c>
      <c r="K1679" t="s">
        <v>11658</v>
      </c>
      <c r="L1679" t="s">
        <v>3366</v>
      </c>
      <c r="M1679" t="s">
        <v>11894</v>
      </c>
      <c r="N1679" t="s">
        <v>3365</v>
      </c>
      <c r="O1679" t="s">
        <v>3364</v>
      </c>
      <c r="P1679" t="s">
        <v>15211</v>
      </c>
      <c r="Q1679" t="s">
        <v>15211</v>
      </c>
      <c r="R1679" t="s">
        <v>15211</v>
      </c>
      <c r="S1679" t="s">
        <v>15211</v>
      </c>
      <c r="T1679" t="s">
        <v>3373</v>
      </c>
      <c r="U1679" t="s">
        <v>14926</v>
      </c>
      <c r="V1679" t="s">
        <v>15228</v>
      </c>
    </row>
    <row r="1680" spans="1:22" ht="17.399999999999999" hidden="1">
      <c r="A1680" t="s">
        <v>15427</v>
      </c>
      <c r="B1680" t="s">
        <v>15441</v>
      </c>
      <c r="C1680" t="s">
        <v>15445</v>
      </c>
      <c r="D1680" t="s">
        <v>3063</v>
      </c>
      <c r="E1680" t="s">
        <v>3427</v>
      </c>
      <c r="F1680" t="s">
        <v>3436</v>
      </c>
      <c r="G1680" s="3">
        <v>36.7535982978197</v>
      </c>
      <c r="H1680" s="3">
        <v>128.07991152194199</v>
      </c>
      <c r="I1680" t="s">
        <v>6833</v>
      </c>
      <c r="J1680" t="s">
        <v>10188</v>
      </c>
      <c r="K1680" t="s">
        <v>11829</v>
      </c>
      <c r="L1680" t="s">
        <v>3366</v>
      </c>
      <c r="M1680" t="s">
        <v>11894</v>
      </c>
      <c r="N1680" t="s">
        <v>3365</v>
      </c>
      <c r="O1680" t="s">
        <v>3364</v>
      </c>
      <c r="P1680" t="s">
        <v>15211</v>
      </c>
      <c r="Q1680" t="s">
        <v>15211</v>
      </c>
      <c r="R1680" t="s">
        <v>15211</v>
      </c>
      <c r="S1680" t="s">
        <v>15211</v>
      </c>
      <c r="T1680" t="s">
        <v>3373</v>
      </c>
      <c r="U1680" t="s">
        <v>14927</v>
      </c>
      <c r="V1680" t="s">
        <v>15228</v>
      </c>
    </row>
    <row r="1681" spans="1:22" ht="17.399999999999999" hidden="1">
      <c r="A1681" t="s">
        <v>15427</v>
      </c>
      <c r="B1681" t="s">
        <v>15441</v>
      </c>
      <c r="C1681" t="s">
        <v>15446</v>
      </c>
      <c r="D1681" t="s">
        <v>3064</v>
      </c>
      <c r="E1681" t="s">
        <v>3425</v>
      </c>
      <c r="F1681" t="s">
        <v>3434</v>
      </c>
      <c r="G1681" s="3">
        <v>36.753598429215202</v>
      </c>
      <c r="H1681" s="3">
        <v>128.07991145146499</v>
      </c>
      <c r="I1681" t="s">
        <v>6834</v>
      </c>
      <c r="J1681" t="s">
        <v>10189</v>
      </c>
      <c r="K1681" t="s">
        <v>11777</v>
      </c>
      <c r="L1681" t="s">
        <v>3383</v>
      </c>
      <c r="M1681" t="s">
        <v>11895</v>
      </c>
      <c r="N1681" t="s">
        <v>3365</v>
      </c>
      <c r="O1681" t="s">
        <v>3364</v>
      </c>
      <c r="P1681" t="s">
        <v>15211</v>
      </c>
      <c r="Q1681" t="s">
        <v>15211</v>
      </c>
      <c r="R1681" t="s">
        <v>15211</v>
      </c>
      <c r="S1681" t="s">
        <v>15211</v>
      </c>
      <c r="T1681" t="s">
        <v>3373</v>
      </c>
      <c r="U1681" t="s">
        <v>14928</v>
      </c>
      <c r="V1681" t="s">
        <v>15229</v>
      </c>
    </row>
    <row r="1682" spans="1:22" ht="17.399999999999999" hidden="1">
      <c r="A1682" t="s">
        <v>15427</v>
      </c>
      <c r="B1682" t="s">
        <v>15441</v>
      </c>
      <c r="C1682" t="s">
        <v>15446</v>
      </c>
      <c r="D1682" t="s">
        <v>3065</v>
      </c>
      <c r="E1682" t="s">
        <v>3431</v>
      </c>
      <c r="F1682" t="s">
        <v>3435</v>
      </c>
      <c r="G1682" s="3">
        <v>36.753598450414799</v>
      </c>
      <c r="H1682" s="3">
        <v>128.07991145119601</v>
      </c>
      <c r="I1682" t="s">
        <v>6835</v>
      </c>
      <c r="J1682" t="s">
        <v>10190</v>
      </c>
      <c r="K1682" t="s">
        <v>10874</v>
      </c>
      <c r="L1682" t="s">
        <v>3366</v>
      </c>
      <c r="M1682" t="s">
        <v>11895</v>
      </c>
      <c r="N1682" t="s">
        <v>3365</v>
      </c>
      <c r="O1682" t="s">
        <v>3364</v>
      </c>
      <c r="P1682" t="s">
        <v>15211</v>
      </c>
      <c r="Q1682" t="s">
        <v>15211</v>
      </c>
      <c r="R1682" t="s">
        <v>15211</v>
      </c>
      <c r="S1682" t="s">
        <v>15211</v>
      </c>
      <c r="T1682" t="s">
        <v>3373</v>
      </c>
      <c r="U1682" t="s">
        <v>14929</v>
      </c>
      <c r="V1682" t="s">
        <v>15229</v>
      </c>
    </row>
    <row r="1683" spans="1:22" ht="17.399999999999999" hidden="1">
      <c r="A1683" t="s">
        <v>15427</v>
      </c>
      <c r="B1683" t="s">
        <v>15441</v>
      </c>
      <c r="C1683" t="s">
        <v>15446</v>
      </c>
      <c r="D1683" t="s">
        <v>3066</v>
      </c>
      <c r="E1683" t="s">
        <v>3431</v>
      </c>
      <c r="F1683" t="s">
        <v>3435</v>
      </c>
      <c r="G1683" s="3">
        <v>36.753598444786398</v>
      </c>
      <c r="H1683" s="3">
        <v>128.079911453303</v>
      </c>
      <c r="I1683" t="s">
        <v>6836</v>
      </c>
      <c r="J1683" t="s">
        <v>10191</v>
      </c>
      <c r="K1683" t="s">
        <v>10874</v>
      </c>
      <c r="L1683" t="s">
        <v>3366</v>
      </c>
      <c r="M1683" t="s">
        <v>11895</v>
      </c>
      <c r="N1683" t="s">
        <v>3365</v>
      </c>
      <c r="O1683" t="s">
        <v>3364</v>
      </c>
      <c r="P1683" t="s">
        <v>15211</v>
      </c>
      <c r="Q1683" t="s">
        <v>15211</v>
      </c>
      <c r="R1683" t="s">
        <v>15211</v>
      </c>
      <c r="S1683" t="s">
        <v>15211</v>
      </c>
      <c r="T1683" t="s">
        <v>3373</v>
      </c>
      <c r="U1683" t="s">
        <v>14930</v>
      </c>
      <c r="V1683" t="s">
        <v>15229</v>
      </c>
    </row>
    <row r="1684" spans="1:22" ht="17.399999999999999" hidden="1">
      <c r="A1684" t="s">
        <v>15427</v>
      </c>
      <c r="B1684" t="s">
        <v>15441</v>
      </c>
      <c r="C1684" t="s">
        <v>15448</v>
      </c>
      <c r="D1684" t="s">
        <v>3067</v>
      </c>
      <c r="E1684" t="s">
        <v>3431</v>
      </c>
      <c r="F1684" t="s">
        <v>3484</v>
      </c>
      <c r="G1684" s="3">
        <v>36.753598180708799</v>
      </c>
      <c r="H1684" s="3">
        <v>128.07991148505101</v>
      </c>
      <c r="I1684" t="s">
        <v>6837</v>
      </c>
      <c r="J1684" t="s">
        <v>10192</v>
      </c>
      <c r="K1684" t="s">
        <v>3654</v>
      </c>
      <c r="L1684" t="s">
        <v>3366</v>
      </c>
      <c r="M1684" t="s">
        <v>11907</v>
      </c>
      <c r="N1684" t="s">
        <v>3365</v>
      </c>
      <c r="O1684" t="s">
        <v>3364</v>
      </c>
      <c r="P1684" t="s">
        <v>15211</v>
      </c>
      <c r="Q1684" t="s">
        <v>15211</v>
      </c>
      <c r="R1684" t="s">
        <v>15211</v>
      </c>
      <c r="S1684" t="s">
        <v>15211</v>
      </c>
      <c r="T1684" t="s">
        <v>3373</v>
      </c>
      <c r="U1684" t="s">
        <v>14931</v>
      </c>
      <c r="V1684" t="s">
        <v>15230</v>
      </c>
    </row>
    <row r="1685" spans="1:22" ht="17.399999999999999" hidden="1">
      <c r="A1685" t="s">
        <v>15427</v>
      </c>
      <c r="B1685" t="s">
        <v>15441</v>
      </c>
      <c r="C1685" t="s">
        <v>15448</v>
      </c>
      <c r="D1685" t="s">
        <v>3068</v>
      </c>
      <c r="E1685" t="s">
        <v>3425</v>
      </c>
      <c r="F1685" t="s">
        <v>3511</v>
      </c>
      <c r="G1685" s="3">
        <v>36.753598186054603</v>
      </c>
      <c r="H1685" s="3">
        <v>128.07991149801401</v>
      </c>
      <c r="I1685" t="s">
        <v>6838</v>
      </c>
      <c r="J1685" t="s">
        <v>10193</v>
      </c>
      <c r="K1685" t="s">
        <v>3654</v>
      </c>
      <c r="L1685" t="s">
        <v>3366</v>
      </c>
      <c r="M1685" t="s">
        <v>11907</v>
      </c>
      <c r="N1685" t="s">
        <v>3365</v>
      </c>
      <c r="O1685" t="s">
        <v>3364</v>
      </c>
      <c r="P1685" t="s">
        <v>15211</v>
      </c>
      <c r="Q1685" t="s">
        <v>15211</v>
      </c>
      <c r="R1685" t="s">
        <v>15211</v>
      </c>
      <c r="S1685" t="s">
        <v>15211</v>
      </c>
      <c r="T1685" t="s">
        <v>3373</v>
      </c>
      <c r="U1685" t="s">
        <v>14932</v>
      </c>
      <c r="V1685" t="s">
        <v>15230</v>
      </c>
    </row>
    <row r="1686" spans="1:22" ht="17.399999999999999" hidden="1">
      <c r="A1686" t="s">
        <v>15427</v>
      </c>
      <c r="B1686" t="s">
        <v>15441</v>
      </c>
      <c r="C1686" t="s">
        <v>15448</v>
      </c>
      <c r="D1686" t="s">
        <v>3069</v>
      </c>
      <c r="E1686" t="s">
        <v>3431</v>
      </c>
      <c r="F1686" t="s">
        <v>3511</v>
      </c>
      <c r="G1686" s="3">
        <v>36.753598221388401</v>
      </c>
      <c r="H1686" s="3">
        <v>128.07991150401401</v>
      </c>
      <c r="I1686" t="s">
        <v>6839</v>
      </c>
      <c r="J1686" t="s">
        <v>10194</v>
      </c>
      <c r="K1686" t="s">
        <v>11695</v>
      </c>
      <c r="L1686" t="s">
        <v>3366</v>
      </c>
      <c r="M1686" t="s">
        <v>11907</v>
      </c>
      <c r="N1686" t="s">
        <v>3365</v>
      </c>
      <c r="O1686" t="s">
        <v>3364</v>
      </c>
      <c r="P1686" t="s">
        <v>15211</v>
      </c>
      <c r="Q1686" t="s">
        <v>15211</v>
      </c>
      <c r="R1686" t="s">
        <v>15211</v>
      </c>
      <c r="S1686" t="s">
        <v>15211</v>
      </c>
      <c r="T1686" t="s">
        <v>3373</v>
      </c>
      <c r="U1686" t="s">
        <v>14933</v>
      </c>
      <c r="V1686" t="s">
        <v>15230</v>
      </c>
    </row>
    <row r="1687" spans="1:22" ht="17.399999999999999" hidden="1">
      <c r="A1687" t="s">
        <v>15427</v>
      </c>
      <c r="B1687" t="s">
        <v>15441</v>
      </c>
      <c r="C1687" t="s">
        <v>15449</v>
      </c>
      <c r="D1687" t="s">
        <v>3070</v>
      </c>
      <c r="E1687" t="s">
        <v>3437</v>
      </c>
      <c r="F1687" t="s">
        <v>3436</v>
      </c>
      <c r="G1687" s="3">
        <v>36.7535983111487</v>
      </c>
      <c r="H1687" s="3">
        <v>128.07991153681701</v>
      </c>
      <c r="I1687" t="s">
        <v>6840</v>
      </c>
      <c r="J1687" t="s">
        <v>5712</v>
      </c>
      <c r="K1687" t="s">
        <v>11830</v>
      </c>
      <c r="L1687" t="s">
        <v>3372</v>
      </c>
      <c r="M1687" t="s">
        <v>11891</v>
      </c>
      <c r="N1687" t="s">
        <v>3365</v>
      </c>
      <c r="O1687" t="s">
        <v>3364</v>
      </c>
      <c r="P1687" t="s">
        <v>15211</v>
      </c>
      <c r="Q1687" t="s">
        <v>15211</v>
      </c>
      <c r="R1687" t="s">
        <v>15211</v>
      </c>
      <c r="S1687" t="s">
        <v>15211</v>
      </c>
      <c r="T1687" t="s">
        <v>3373</v>
      </c>
      <c r="U1687" t="s">
        <v>14934</v>
      </c>
      <c r="V1687" t="s">
        <v>15231</v>
      </c>
    </row>
    <row r="1688" spans="1:22" ht="17.399999999999999" hidden="1">
      <c r="A1688" t="s">
        <v>15427</v>
      </c>
      <c r="B1688" t="s">
        <v>15441</v>
      </c>
      <c r="C1688" t="s">
        <v>15449</v>
      </c>
      <c r="D1688" t="s">
        <v>3071</v>
      </c>
      <c r="E1688" t="s">
        <v>3437</v>
      </c>
      <c r="F1688" t="s">
        <v>3425</v>
      </c>
      <c r="G1688" s="3">
        <v>36.753598300750703</v>
      </c>
      <c r="H1688" s="3">
        <v>128.079911564235</v>
      </c>
      <c r="I1688" t="s">
        <v>6841</v>
      </c>
      <c r="J1688" t="s">
        <v>10195</v>
      </c>
      <c r="K1688" t="s">
        <v>10633</v>
      </c>
      <c r="L1688" t="s">
        <v>3366</v>
      </c>
      <c r="M1688" t="s">
        <v>11891</v>
      </c>
      <c r="N1688" t="s">
        <v>3365</v>
      </c>
      <c r="O1688" t="s">
        <v>3364</v>
      </c>
      <c r="P1688" t="s">
        <v>15211</v>
      </c>
      <c r="Q1688" t="s">
        <v>15211</v>
      </c>
      <c r="R1688" t="s">
        <v>15211</v>
      </c>
      <c r="S1688" t="s">
        <v>15211</v>
      </c>
      <c r="T1688" t="s">
        <v>3373</v>
      </c>
      <c r="U1688" t="s">
        <v>14935</v>
      </c>
      <c r="V1688" t="s">
        <v>15231</v>
      </c>
    </row>
    <row r="1689" spans="1:22" ht="17.399999999999999" hidden="1">
      <c r="A1689" t="s">
        <v>15427</v>
      </c>
      <c r="B1689" t="s">
        <v>15441</v>
      </c>
      <c r="C1689" t="s">
        <v>15449</v>
      </c>
      <c r="D1689" t="s">
        <v>3072</v>
      </c>
      <c r="E1689" t="s">
        <v>3437</v>
      </c>
      <c r="F1689" t="s">
        <v>3425</v>
      </c>
      <c r="G1689" s="3">
        <v>36.753598291849798</v>
      </c>
      <c r="H1689" s="3">
        <v>128.079911588046</v>
      </c>
      <c r="I1689" t="s">
        <v>6842</v>
      </c>
      <c r="J1689" t="s">
        <v>10196</v>
      </c>
      <c r="K1689" t="s">
        <v>11831</v>
      </c>
      <c r="L1689" t="s">
        <v>3366</v>
      </c>
      <c r="M1689" t="s">
        <v>11891</v>
      </c>
      <c r="N1689" t="s">
        <v>3365</v>
      </c>
      <c r="O1689" t="s">
        <v>3364</v>
      </c>
      <c r="P1689" t="s">
        <v>15211</v>
      </c>
      <c r="Q1689" t="s">
        <v>15211</v>
      </c>
      <c r="R1689" t="s">
        <v>15211</v>
      </c>
      <c r="S1689" t="s">
        <v>15211</v>
      </c>
      <c r="T1689" t="s">
        <v>3373</v>
      </c>
      <c r="U1689" t="s">
        <v>14936</v>
      </c>
      <c r="V1689" t="s">
        <v>15231</v>
      </c>
    </row>
    <row r="1690" spans="1:22" ht="17.399999999999999" hidden="1">
      <c r="A1690" t="s">
        <v>15427</v>
      </c>
      <c r="B1690" t="s">
        <v>15442</v>
      </c>
      <c r="C1690" t="s">
        <v>15450</v>
      </c>
      <c r="D1690" t="s">
        <v>3073</v>
      </c>
      <c r="E1690" t="s">
        <v>3427</v>
      </c>
      <c r="F1690" t="s">
        <v>3436</v>
      </c>
      <c r="G1690" s="3">
        <v>36.753598802421699</v>
      </c>
      <c r="H1690" s="3">
        <v>128.07991175780501</v>
      </c>
      <c r="I1690" t="s">
        <v>6843</v>
      </c>
      <c r="J1690" t="s">
        <v>10197</v>
      </c>
      <c r="K1690" t="s">
        <v>3761</v>
      </c>
      <c r="L1690" t="s">
        <v>3366</v>
      </c>
      <c r="M1690" t="s">
        <v>11903</v>
      </c>
      <c r="N1690" t="s">
        <v>3365</v>
      </c>
      <c r="O1690" t="s">
        <v>3364</v>
      </c>
      <c r="P1690" t="s">
        <v>15211</v>
      </c>
      <c r="Q1690" t="s">
        <v>15211</v>
      </c>
      <c r="R1690" t="s">
        <v>15211</v>
      </c>
      <c r="S1690" t="s">
        <v>15211</v>
      </c>
      <c r="T1690" t="s">
        <v>3373</v>
      </c>
      <c r="U1690" t="s">
        <v>14937</v>
      </c>
      <c r="V1690" t="s">
        <v>15232</v>
      </c>
    </row>
    <row r="1691" spans="1:22" ht="17.399999999999999" hidden="1">
      <c r="A1691" t="s">
        <v>15427</v>
      </c>
      <c r="B1691" t="s">
        <v>15442</v>
      </c>
      <c r="C1691" t="s">
        <v>15450</v>
      </c>
      <c r="D1691" t="s">
        <v>3074</v>
      </c>
      <c r="E1691" t="s">
        <v>3427</v>
      </c>
      <c r="F1691" t="s">
        <v>3425</v>
      </c>
      <c r="G1691" s="3">
        <v>36.753598759465703</v>
      </c>
      <c r="H1691" s="3">
        <v>128.07991173950001</v>
      </c>
      <c r="I1691" t="s">
        <v>6844</v>
      </c>
      <c r="J1691" t="s">
        <v>10198</v>
      </c>
      <c r="K1691" t="s">
        <v>10528</v>
      </c>
      <c r="L1691" t="s">
        <v>3366</v>
      </c>
      <c r="M1691" t="s">
        <v>11901</v>
      </c>
      <c r="N1691" t="s">
        <v>3365</v>
      </c>
      <c r="O1691" t="s">
        <v>3364</v>
      </c>
      <c r="P1691" t="s">
        <v>15211</v>
      </c>
      <c r="Q1691" t="s">
        <v>15211</v>
      </c>
      <c r="R1691" t="s">
        <v>15211</v>
      </c>
      <c r="S1691" t="s">
        <v>15211</v>
      </c>
      <c r="T1691" t="s">
        <v>3373</v>
      </c>
      <c r="U1691" t="s">
        <v>14938</v>
      </c>
      <c r="V1691" t="s">
        <v>15232</v>
      </c>
    </row>
    <row r="1692" spans="1:22" ht="17.399999999999999" hidden="1">
      <c r="A1692" t="s">
        <v>15427</v>
      </c>
      <c r="B1692" t="s">
        <v>15442</v>
      </c>
      <c r="C1692" t="s">
        <v>15450</v>
      </c>
      <c r="D1692" t="s">
        <v>3075</v>
      </c>
      <c r="E1692" t="s">
        <v>3428</v>
      </c>
      <c r="F1692" t="s">
        <v>3434</v>
      </c>
      <c r="G1692" s="3">
        <v>36.753598761043797</v>
      </c>
      <c r="H1692" s="3">
        <v>128.07991176784299</v>
      </c>
      <c r="I1692" t="s">
        <v>6845</v>
      </c>
      <c r="J1692" t="s">
        <v>10199</v>
      </c>
      <c r="K1692" t="s">
        <v>10528</v>
      </c>
      <c r="L1692" t="s">
        <v>3366</v>
      </c>
      <c r="M1692" t="s">
        <v>11901</v>
      </c>
      <c r="N1692" t="s">
        <v>3365</v>
      </c>
      <c r="O1692" t="s">
        <v>3364</v>
      </c>
      <c r="P1692" t="s">
        <v>15211</v>
      </c>
      <c r="Q1692" t="s">
        <v>15211</v>
      </c>
      <c r="R1692" t="s">
        <v>15211</v>
      </c>
      <c r="S1692" t="s">
        <v>15211</v>
      </c>
      <c r="T1692" t="s">
        <v>3373</v>
      </c>
      <c r="U1692" t="s">
        <v>14939</v>
      </c>
      <c r="V1692" t="s">
        <v>15232</v>
      </c>
    </row>
    <row r="1693" spans="1:22" ht="17.399999999999999" hidden="1">
      <c r="A1693" t="s">
        <v>15427</v>
      </c>
      <c r="B1693" t="s">
        <v>15442</v>
      </c>
      <c r="C1693" t="s">
        <v>15445</v>
      </c>
      <c r="D1693" t="s">
        <v>3076</v>
      </c>
      <c r="E1693" t="s">
        <v>3440</v>
      </c>
      <c r="F1693" t="s">
        <v>3436</v>
      </c>
      <c r="G1693" s="3">
        <v>36.753598236672197</v>
      </c>
      <c r="H1693" s="3">
        <v>128.07991151633999</v>
      </c>
      <c r="I1693" t="s">
        <v>6846</v>
      </c>
      <c r="J1693" t="s">
        <v>5718</v>
      </c>
      <c r="K1693" t="s">
        <v>11832</v>
      </c>
      <c r="L1693" t="s">
        <v>3372</v>
      </c>
      <c r="M1693" t="s">
        <v>11895</v>
      </c>
      <c r="N1693" t="s">
        <v>3365</v>
      </c>
      <c r="O1693" t="s">
        <v>3364</v>
      </c>
      <c r="P1693" t="s">
        <v>15211</v>
      </c>
      <c r="Q1693" t="s">
        <v>15211</v>
      </c>
      <c r="R1693" t="s">
        <v>15211</v>
      </c>
      <c r="S1693" t="s">
        <v>15211</v>
      </c>
      <c r="T1693" t="s">
        <v>3373</v>
      </c>
      <c r="U1693" t="s">
        <v>14940</v>
      </c>
      <c r="V1693" t="s">
        <v>15233</v>
      </c>
    </row>
    <row r="1694" spans="1:22" ht="17.399999999999999" hidden="1">
      <c r="A1694" t="s">
        <v>15427</v>
      </c>
      <c r="B1694" t="s">
        <v>15442</v>
      </c>
      <c r="C1694" t="s">
        <v>15445</v>
      </c>
      <c r="D1694" t="s">
        <v>3077</v>
      </c>
      <c r="E1694" t="s">
        <v>3438</v>
      </c>
      <c r="F1694" t="s">
        <v>3425</v>
      </c>
      <c r="G1694" s="3">
        <v>36.753598222214102</v>
      </c>
      <c r="H1694" s="3">
        <v>128.07991149900599</v>
      </c>
      <c r="I1694" t="s">
        <v>6847</v>
      </c>
      <c r="J1694" t="s">
        <v>10200</v>
      </c>
      <c r="K1694" t="s">
        <v>11433</v>
      </c>
      <c r="L1694" t="s">
        <v>3366</v>
      </c>
      <c r="M1694" t="s">
        <v>11895</v>
      </c>
      <c r="N1694" t="s">
        <v>3365</v>
      </c>
      <c r="O1694" t="s">
        <v>3364</v>
      </c>
      <c r="P1694" t="s">
        <v>15211</v>
      </c>
      <c r="Q1694" t="s">
        <v>15211</v>
      </c>
      <c r="R1694" t="s">
        <v>15211</v>
      </c>
      <c r="S1694" t="s">
        <v>15211</v>
      </c>
      <c r="T1694" t="s">
        <v>3373</v>
      </c>
      <c r="U1694" t="s">
        <v>14941</v>
      </c>
      <c r="V1694" t="s">
        <v>15233</v>
      </c>
    </row>
    <row r="1695" spans="1:22" ht="17.399999999999999" hidden="1">
      <c r="A1695" t="s">
        <v>15427</v>
      </c>
      <c r="B1695" t="s">
        <v>15442</v>
      </c>
      <c r="C1695" t="s">
        <v>15445</v>
      </c>
      <c r="D1695" t="s">
        <v>3078</v>
      </c>
      <c r="E1695" t="s">
        <v>3427</v>
      </c>
      <c r="F1695" t="s">
        <v>3434</v>
      </c>
      <c r="G1695" s="3">
        <v>36.753598182853203</v>
      </c>
      <c r="H1695" s="3">
        <v>128.079911477146</v>
      </c>
      <c r="I1695" t="s">
        <v>6848</v>
      </c>
      <c r="J1695" t="s">
        <v>10201</v>
      </c>
      <c r="K1695" t="s">
        <v>11433</v>
      </c>
      <c r="L1695" t="s">
        <v>3366</v>
      </c>
      <c r="M1695" t="s">
        <v>11895</v>
      </c>
      <c r="N1695" t="s">
        <v>3365</v>
      </c>
      <c r="O1695" t="s">
        <v>3364</v>
      </c>
      <c r="P1695" t="s">
        <v>15211</v>
      </c>
      <c r="Q1695" t="s">
        <v>15211</v>
      </c>
      <c r="R1695" t="s">
        <v>15211</v>
      </c>
      <c r="S1695" t="s">
        <v>15211</v>
      </c>
      <c r="T1695" t="s">
        <v>3373</v>
      </c>
      <c r="U1695" t="s">
        <v>14942</v>
      </c>
      <c r="V1695" t="s">
        <v>15233</v>
      </c>
    </row>
    <row r="1696" spans="1:22" ht="17.399999999999999" hidden="1">
      <c r="A1696" t="s">
        <v>15427</v>
      </c>
      <c r="B1696" t="s">
        <v>15442</v>
      </c>
      <c r="C1696" t="s">
        <v>15451</v>
      </c>
      <c r="D1696" t="s">
        <v>3079</v>
      </c>
      <c r="E1696" t="s">
        <v>3437</v>
      </c>
      <c r="F1696" t="s">
        <v>3425</v>
      </c>
      <c r="G1696" s="3">
        <v>36.7535982439218</v>
      </c>
      <c r="H1696" s="3">
        <v>128.079911554348</v>
      </c>
      <c r="I1696" t="s">
        <v>6849</v>
      </c>
      <c r="J1696" t="s">
        <v>10202</v>
      </c>
      <c r="K1696" t="s">
        <v>11833</v>
      </c>
      <c r="L1696" t="s">
        <v>3374</v>
      </c>
      <c r="M1696" t="s">
        <v>11910</v>
      </c>
      <c r="N1696" t="s">
        <v>3365</v>
      </c>
      <c r="O1696" t="s">
        <v>3364</v>
      </c>
      <c r="P1696" t="s">
        <v>15211</v>
      </c>
      <c r="Q1696" t="s">
        <v>15211</v>
      </c>
      <c r="R1696" t="s">
        <v>15211</v>
      </c>
      <c r="S1696" t="s">
        <v>15211</v>
      </c>
      <c r="T1696" t="s">
        <v>3373</v>
      </c>
      <c r="U1696" t="s">
        <v>14943</v>
      </c>
      <c r="V1696" t="s">
        <v>15234</v>
      </c>
    </row>
    <row r="1697" spans="1:22" ht="17.399999999999999" hidden="1">
      <c r="A1697" t="s">
        <v>15427</v>
      </c>
      <c r="B1697" t="s">
        <v>15442</v>
      </c>
      <c r="C1697" t="s">
        <v>15451</v>
      </c>
      <c r="D1697" t="s">
        <v>3080</v>
      </c>
      <c r="E1697" t="s">
        <v>3440</v>
      </c>
      <c r="F1697" t="s">
        <v>3425</v>
      </c>
      <c r="G1697" s="3">
        <v>36.753598231432697</v>
      </c>
      <c r="H1697" s="3">
        <v>128.07991158920399</v>
      </c>
      <c r="I1697" t="s">
        <v>6850</v>
      </c>
      <c r="J1697" t="s">
        <v>10203</v>
      </c>
      <c r="K1697" t="s">
        <v>11833</v>
      </c>
      <c r="L1697" t="s">
        <v>3366</v>
      </c>
      <c r="M1697" t="s">
        <v>11910</v>
      </c>
      <c r="N1697" t="s">
        <v>3365</v>
      </c>
      <c r="O1697" t="s">
        <v>3364</v>
      </c>
      <c r="P1697" t="s">
        <v>15211</v>
      </c>
      <c r="Q1697" t="s">
        <v>15211</v>
      </c>
      <c r="R1697" t="s">
        <v>15211</v>
      </c>
      <c r="S1697" t="s">
        <v>15211</v>
      </c>
      <c r="T1697" t="s">
        <v>3373</v>
      </c>
      <c r="U1697" t="s">
        <v>14944</v>
      </c>
      <c r="V1697" t="s">
        <v>15234</v>
      </c>
    </row>
    <row r="1698" spans="1:22" ht="17.399999999999999" hidden="1">
      <c r="A1698" t="s">
        <v>15427</v>
      </c>
      <c r="B1698" t="s">
        <v>15442</v>
      </c>
      <c r="C1698" t="s">
        <v>15451</v>
      </c>
      <c r="D1698" t="s">
        <v>3081</v>
      </c>
      <c r="E1698" t="s">
        <v>3440</v>
      </c>
      <c r="F1698" t="s">
        <v>3431</v>
      </c>
      <c r="G1698" s="3">
        <v>36.753598225119802</v>
      </c>
      <c r="H1698" s="3">
        <v>128.07991159777501</v>
      </c>
      <c r="I1698" t="s">
        <v>6851</v>
      </c>
      <c r="J1698" t="s">
        <v>10204</v>
      </c>
      <c r="K1698" t="s">
        <v>11154</v>
      </c>
      <c r="L1698" t="s">
        <v>3366</v>
      </c>
      <c r="M1698" t="s">
        <v>11911</v>
      </c>
      <c r="N1698" t="s">
        <v>3365</v>
      </c>
      <c r="O1698" t="s">
        <v>3364</v>
      </c>
      <c r="P1698" t="s">
        <v>15211</v>
      </c>
      <c r="Q1698" t="s">
        <v>15211</v>
      </c>
      <c r="R1698" t="s">
        <v>15211</v>
      </c>
      <c r="S1698" t="s">
        <v>15211</v>
      </c>
      <c r="T1698" t="s">
        <v>3373</v>
      </c>
      <c r="U1698" t="s">
        <v>14945</v>
      </c>
      <c r="V1698" t="s">
        <v>15234</v>
      </c>
    </row>
    <row r="1699" spans="1:22" hidden="1">
      <c r="A1699" t="s">
        <v>15306</v>
      </c>
      <c r="B1699" t="s">
        <v>15441</v>
      </c>
      <c r="C1699" t="s">
        <v>15445</v>
      </c>
      <c r="D1699" t="s">
        <v>485</v>
      </c>
      <c r="E1699" t="s">
        <v>3427</v>
      </c>
      <c r="F1699" t="s">
        <v>3430</v>
      </c>
      <c r="G1699" s="3">
        <v>35.408100743661699</v>
      </c>
      <c r="H1699" s="3">
        <v>127.898419458196</v>
      </c>
      <c r="I1699" t="s">
        <v>4252</v>
      </c>
      <c r="J1699" t="s">
        <v>7611</v>
      </c>
      <c r="K1699" t="s">
        <v>10548</v>
      </c>
      <c r="L1699" t="s">
        <v>3366</v>
      </c>
      <c r="M1699" t="s">
        <v>11903</v>
      </c>
      <c r="N1699" t="s">
        <v>3366</v>
      </c>
      <c r="O1699" t="s">
        <v>3362</v>
      </c>
      <c r="P1699" t="s">
        <v>15211</v>
      </c>
      <c r="Q1699" t="s">
        <v>15211</v>
      </c>
      <c r="R1699" t="s">
        <v>15211</v>
      </c>
      <c r="S1699" t="s">
        <v>15211</v>
      </c>
      <c r="T1699" t="s">
        <v>3372</v>
      </c>
      <c r="U1699" t="s">
        <v>12395</v>
      </c>
      <c r="V1699" t="s">
        <v>15228</v>
      </c>
    </row>
    <row r="1700" spans="1:22" hidden="1">
      <c r="A1700" t="s">
        <v>15306</v>
      </c>
      <c r="B1700" t="s">
        <v>15441</v>
      </c>
      <c r="C1700" t="s">
        <v>15446</v>
      </c>
      <c r="D1700" t="s">
        <v>486</v>
      </c>
      <c r="E1700" t="s">
        <v>3427</v>
      </c>
      <c r="F1700" t="s">
        <v>3429</v>
      </c>
      <c r="G1700" s="3">
        <v>35.408100769357198</v>
      </c>
      <c r="H1700" s="3">
        <v>127.89841948814301</v>
      </c>
      <c r="I1700" t="s">
        <v>4253</v>
      </c>
      <c r="J1700" t="s">
        <v>7612</v>
      </c>
      <c r="K1700" t="s">
        <v>10841</v>
      </c>
      <c r="L1700" t="s">
        <v>3366</v>
      </c>
      <c r="M1700" t="s">
        <v>11903</v>
      </c>
      <c r="N1700" t="s">
        <v>3366</v>
      </c>
      <c r="O1700" t="s">
        <v>3362</v>
      </c>
      <c r="P1700" t="s">
        <v>15211</v>
      </c>
      <c r="Q1700" t="s">
        <v>15211</v>
      </c>
      <c r="R1700" t="s">
        <v>15211</v>
      </c>
      <c r="S1700" t="s">
        <v>15211</v>
      </c>
      <c r="T1700" t="s">
        <v>3372</v>
      </c>
      <c r="U1700" t="s">
        <v>12396</v>
      </c>
      <c r="V1700" t="s">
        <v>15229</v>
      </c>
    </row>
    <row r="1701" spans="1:22" hidden="1">
      <c r="A1701" t="s">
        <v>15306</v>
      </c>
      <c r="B1701" t="s">
        <v>15441</v>
      </c>
      <c r="C1701" t="s">
        <v>15447</v>
      </c>
      <c r="D1701" t="s">
        <v>487</v>
      </c>
      <c r="E1701" t="s">
        <v>3436</v>
      </c>
      <c r="F1701" t="s">
        <v>3442</v>
      </c>
      <c r="G1701" s="3">
        <v>35.408100807816503</v>
      </c>
      <c r="H1701" s="3">
        <v>127.89841942752599</v>
      </c>
      <c r="I1701" t="s">
        <v>4254</v>
      </c>
      <c r="J1701" t="s">
        <v>7613</v>
      </c>
      <c r="K1701" t="s">
        <v>10842</v>
      </c>
      <c r="L1701" t="s">
        <v>3366</v>
      </c>
      <c r="M1701" t="s">
        <v>11900</v>
      </c>
      <c r="N1701" t="s">
        <v>3365</v>
      </c>
      <c r="O1701" t="s">
        <v>15211</v>
      </c>
      <c r="P1701" t="s">
        <v>15211</v>
      </c>
      <c r="Q1701" t="s">
        <v>15211</v>
      </c>
      <c r="R1701" t="s">
        <v>15211</v>
      </c>
      <c r="S1701" t="s">
        <v>15211</v>
      </c>
      <c r="T1701" t="s">
        <v>3365</v>
      </c>
      <c r="U1701" t="s">
        <v>12397</v>
      </c>
      <c r="V1701" t="s">
        <v>15235</v>
      </c>
    </row>
    <row r="1702" spans="1:22" hidden="1">
      <c r="A1702" t="s">
        <v>15306</v>
      </c>
      <c r="B1702" t="s">
        <v>15441</v>
      </c>
      <c r="C1702" t="s">
        <v>15448</v>
      </c>
      <c r="D1702" t="s">
        <v>488</v>
      </c>
      <c r="E1702" t="s">
        <v>3434</v>
      </c>
      <c r="F1702" t="s">
        <v>3465</v>
      </c>
      <c r="G1702" s="3">
        <v>35.408100812234302</v>
      </c>
      <c r="H1702" s="3">
        <v>127.898419519857</v>
      </c>
      <c r="I1702" t="s">
        <v>4255</v>
      </c>
      <c r="J1702" t="s">
        <v>7614</v>
      </c>
      <c r="K1702" t="s">
        <v>10843</v>
      </c>
      <c r="L1702" t="s">
        <v>3366</v>
      </c>
      <c r="M1702" t="s">
        <v>11913</v>
      </c>
      <c r="N1702" t="s">
        <v>3365</v>
      </c>
      <c r="O1702" t="s">
        <v>3362</v>
      </c>
      <c r="P1702" t="s">
        <v>3364</v>
      </c>
      <c r="Q1702" t="s">
        <v>3362</v>
      </c>
      <c r="R1702" t="s">
        <v>3358</v>
      </c>
      <c r="S1702" t="s">
        <v>15211</v>
      </c>
      <c r="T1702" t="s">
        <v>3387</v>
      </c>
      <c r="U1702" t="s">
        <v>12398</v>
      </c>
      <c r="V1702" t="s">
        <v>15230</v>
      </c>
    </row>
    <row r="1703" spans="1:22" ht="17.399999999999999" hidden="1">
      <c r="A1703" t="s">
        <v>15339</v>
      </c>
      <c r="B1703" t="s">
        <v>15441</v>
      </c>
      <c r="C1703" t="s">
        <v>15445</v>
      </c>
      <c r="D1703" t="s">
        <v>1702</v>
      </c>
      <c r="E1703" t="s">
        <v>3436</v>
      </c>
      <c r="F1703" t="s">
        <v>3429</v>
      </c>
      <c r="G1703" s="3">
        <v>36.538851191867003</v>
      </c>
      <c r="H1703" s="3">
        <v>129.158093981772</v>
      </c>
      <c r="I1703" t="s">
        <v>5468</v>
      </c>
      <c r="J1703" t="s">
        <v>8827</v>
      </c>
      <c r="K1703" t="s">
        <v>11174</v>
      </c>
      <c r="L1703" t="s">
        <v>3366</v>
      </c>
      <c r="M1703" t="s">
        <v>11886</v>
      </c>
      <c r="N1703" t="s">
        <v>3365</v>
      </c>
      <c r="O1703" t="s">
        <v>3359</v>
      </c>
      <c r="P1703" t="s">
        <v>15211</v>
      </c>
      <c r="Q1703" t="s">
        <v>15211</v>
      </c>
      <c r="R1703" t="s">
        <v>15211</v>
      </c>
      <c r="S1703" t="s">
        <v>15211</v>
      </c>
      <c r="T1703" t="s">
        <v>3368</v>
      </c>
      <c r="U1703" t="s">
        <v>13592</v>
      </c>
      <c r="V1703" t="s">
        <v>15212</v>
      </c>
    </row>
    <row r="1704" spans="1:22" ht="17.399999999999999" hidden="1">
      <c r="A1704" t="s">
        <v>15339</v>
      </c>
      <c r="B1704" t="s">
        <v>15441</v>
      </c>
      <c r="C1704" t="s">
        <v>15445</v>
      </c>
      <c r="D1704" t="s">
        <v>1703</v>
      </c>
      <c r="E1704" t="s">
        <v>3428</v>
      </c>
      <c r="F1704" t="s">
        <v>3435</v>
      </c>
      <c r="G1704" s="3">
        <v>36.538851170145001</v>
      </c>
      <c r="H1704" s="3">
        <v>129.15809396966699</v>
      </c>
      <c r="I1704" t="s">
        <v>5469</v>
      </c>
      <c r="J1704" t="s">
        <v>8828</v>
      </c>
      <c r="K1704" t="s">
        <v>10817</v>
      </c>
      <c r="L1704" t="s">
        <v>3366</v>
      </c>
      <c r="M1704" t="s">
        <v>11886</v>
      </c>
      <c r="N1704" t="s">
        <v>3364</v>
      </c>
      <c r="O1704" t="s">
        <v>3359</v>
      </c>
      <c r="P1704" t="s">
        <v>15211</v>
      </c>
      <c r="Q1704" t="s">
        <v>15211</v>
      </c>
      <c r="R1704" t="s">
        <v>15211</v>
      </c>
      <c r="S1704" t="s">
        <v>15211</v>
      </c>
      <c r="T1704" t="s">
        <v>3367</v>
      </c>
      <c r="U1704" t="s">
        <v>13593</v>
      </c>
      <c r="V1704" t="s">
        <v>15212</v>
      </c>
    </row>
    <row r="1705" spans="1:22" ht="17.399999999999999" hidden="1">
      <c r="A1705" t="s">
        <v>15339</v>
      </c>
      <c r="B1705" t="s">
        <v>15441</v>
      </c>
      <c r="C1705" t="s">
        <v>15445</v>
      </c>
      <c r="D1705" t="s">
        <v>1704</v>
      </c>
      <c r="E1705" t="s">
        <v>3428</v>
      </c>
      <c r="F1705" t="s">
        <v>3434</v>
      </c>
      <c r="G1705" s="3">
        <v>36.538851150562799</v>
      </c>
      <c r="H1705" s="3">
        <v>129.158093985996</v>
      </c>
      <c r="I1705" t="s">
        <v>5470</v>
      </c>
      <c r="J1705" t="s">
        <v>8829</v>
      </c>
      <c r="K1705" t="s">
        <v>10536</v>
      </c>
      <c r="L1705" t="s">
        <v>3366</v>
      </c>
      <c r="M1705" t="s">
        <v>11885</v>
      </c>
      <c r="N1705" t="s">
        <v>3365</v>
      </c>
      <c r="O1705" t="s">
        <v>3359</v>
      </c>
      <c r="P1705" t="s">
        <v>15211</v>
      </c>
      <c r="Q1705" t="s">
        <v>15211</v>
      </c>
      <c r="R1705" t="s">
        <v>15211</v>
      </c>
      <c r="S1705" t="s">
        <v>15211</v>
      </c>
      <c r="T1705" t="s">
        <v>3368</v>
      </c>
      <c r="U1705" t="s">
        <v>13594</v>
      </c>
      <c r="V1705" t="s">
        <v>15212</v>
      </c>
    </row>
    <row r="1706" spans="1:22" ht="17.399999999999999" hidden="1">
      <c r="A1706" t="s">
        <v>15339</v>
      </c>
      <c r="B1706" t="s">
        <v>15441</v>
      </c>
      <c r="C1706" t="s">
        <v>15446</v>
      </c>
      <c r="D1706" t="s">
        <v>1705</v>
      </c>
      <c r="E1706" t="s">
        <v>3425</v>
      </c>
      <c r="F1706" t="s">
        <v>3430</v>
      </c>
      <c r="G1706" s="3">
        <v>36.538851106905597</v>
      </c>
      <c r="H1706" s="3">
        <v>129.15809395173801</v>
      </c>
      <c r="I1706" t="s">
        <v>5471</v>
      </c>
      <c r="J1706" t="s">
        <v>8830</v>
      </c>
      <c r="K1706" t="s">
        <v>11032</v>
      </c>
      <c r="L1706" t="s">
        <v>3377</v>
      </c>
      <c r="M1706" t="s">
        <v>11886</v>
      </c>
      <c r="N1706" t="s">
        <v>3364</v>
      </c>
      <c r="O1706" t="s">
        <v>3359</v>
      </c>
      <c r="P1706" t="s">
        <v>15211</v>
      </c>
      <c r="Q1706" t="s">
        <v>15211</v>
      </c>
      <c r="R1706" t="s">
        <v>15211</v>
      </c>
      <c r="S1706" t="s">
        <v>15211</v>
      </c>
      <c r="T1706" t="s">
        <v>3367</v>
      </c>
      <c r="U1706" t="s">
        <v>13595</v>
      </c>
      <c r="V1706" t="s">
        <v>15213</v>
      </c>
    </row>
    <row r="1707" spans="1:22" ht="17.399999999999999" hidden="1">
      <c r="A1707" t="s">
        <v>15339</v>
      </c>
      <c r="B1707" t="s">
        <v>15441</v>
      </c>
      <c r="C1707" t="s">
        <v>15446</v>
      </c>
      <c r="D1707" t="s">
        <v>1706</v>
      </c>
      <c r="E1707" t="s">
        <v>3425</v>
      </c>
      <c r="F1707" t="s">
        <v>3442</v>
      </c>
      <c r="G1707" s="3">
        <v>36.538851122547797</v>
      </c>
      <c r="H1707" s="3">
        <v>129.15809398941201</v>
      </c>
      <c r="I1707" t="s">
        <v>5472</v>
      </c>
      <c r="J1707" t="s">
        <v>8831</v>
      </c>
      <c r="K1707" t="s">
        <v>11415</v>
      </c>
      <c r="L1707" t="s">
        <v>3366</v>
      </c>
      <c r="M1707" t="s">
        <v>11885</v>
      </c>
      <c r="N1707" t="s">
        <v>3365</v>
      </c>
      <c r="O1707" t="s">
        <v>3359</v>
      </c>
      <c r="P1707" t="s">
        <v>15211</v>
      </c>
      <c r="Q1707" t="s">
        <v>15211</v>
      </c>
      <c r="R1707" t="s">
        <v>15211</v>
      </c>
      <c r="S1707" t="s">
        <v>15211</v>
      </c>
      <c r="T1707" t="s">
        <v>3368</v>
      </c>
      <c r="U1707" t="s">
        <v>13596</v>
      </c>
      <c r="V1707" t="s">
        <v>15213</v>
      </c>
    </row>
    <row r="1708" spans="1:22" ht="17.399999999999999" hidden="1">
      <c r="A1708" t="s">
        <v>15339</v>
      </c>
      <c r="B1708" t="s">
        <v>15441</v>
      </c>
      <c r="C1708" t="s">
        <v>15446</v>
      </c>
      <c r="D1708" t="s">
        <v>1707</v>
      </c>
      <c r="E1708" t="s">
        <v>3425</v>
      </c>
      <c r="F1708" t="s">
        <v>3442</v>
      </c>
      <c r="G1708" s="3">
        <v>36.538851153182499</v>
      </c>
      <c r="H1708" s="3">
        <v>129.15809405274999</v>
      </c>
      <c r="I1708" t="s">
        <v>5473</v>
      </c>
      <c r="J1708" t="s">
        <v>8832</v>
      </c>
      <c r="K1708" t="s">
        <v>11033</v>
      </c>
      <c r="L1708" t="s">
        <v>3366</v>
      </c>
      <c r="M1708" t="s">
        <v>11885</v>
      </c>
      <c r="N1708" t="s">
        <v>3365</v>
      </c>
      <c r="O1708" t="s">
        <v>3359</v>
      </c>
      <c r="P1708" t="s">
        <v>15211</v>
      </c>
      <c r="Q1708" t="s">
        <v>15211</v>
      </c>
      <c r="R1708" t="s">
        <v>15211</v>
      </c>
      <c r="S1708" t="s">
        <v>15211</v>
      </c>
      <c r="T1708" t="s">
        <v>3368</v>
      </c>
      <c r="U1708" t="s">
        <v>13597</v>
      </c>
      <c r="V1708" t="s">
        <v>15213</v>
      </c>
    </row>
    <row r="1709" spans="1:22" ht="17.399999999999999" hidden="1">
      <c r="A1709" t="s">
        <v>15339</v>
      </c>
      <c r="B1709" t="s">
        <v>15441</v>
      </c>
      <c r="C1709" t="s">
        <v>15447</v>
      </c>
      <c r="D1709" t="s">
        <v>1708</v>
      </c>
      <c r="E1709" t="s">
        <v>3427</v>
      </c>
      <c r="F1709" t="s">
        <v>3431</v>
      </c>
      <c r="G1709" s="3">
        <v>36.538851277284699</v>
      </c>
      <c r="H1709" s="3">
        <v>129.15809416234899</v>
      </c>
      <c r="I1709" t="s">
        <v>5474</v>
      </c>
      <c r="J1709" t="s">
        <v>8833</v>
      </c>
      <c r="K1709" t="s">
        <v>11427</v>
      </c>
      <c r="L1709" t="s">
        <v>3374</v>
      </c>
      <c r="M1709" t="s">
        <v>11900</v>
      </c>
      <c r="N1709" t="s">
        <v>3364</v>
      </c>
      <c r="O1709" t="s">
        <v>15211</v>
      </c>
      <c r="P1709" t="s">
        <v>15211</v>
      </c>
      <c r="Q1709" t="s">
        <v>15211</v>
      </c>
      <c r="R1709" t="s">
        <v>15211</v>
      </c>
      <c r="S1709" t="s">
        <v>15211</v>
      </c>
      <c r="T1709" t="s">
        <v>3364</v>
      </c>
      <c r="U1709" t="s">
        <v>13598</v>
      </c>
      <c r="V1709" t="s">
        <v>15214</v>
      </c>
    </row>
    <row r="1710" spans="1:22" ht="17.399999999999999" hidden="1">
      <c r="A1710" t="s">
        <v>15339</v>
      </c>
      <c r="B1710" t="s">
        <v>15441</v>
      </c>
      <c r="C1710" t="s">
        <v>15447</v>
      </c>
      <c r="D1710" t="s">
        <v>1709</v>
      </c>
      <c r="E1710" t="s">
        <v>3425</v>
      </c>
      <c r="F1710" t="s">
        <v>3429</v>
      </c>
      <c r="G1710" s="3">
        <v>36.538851190656501</v>
      </c>
      <c r="H1710" s="3">
        <v>129.158094069085</v>
      </c>
      <c r="I1710" t="s">
        <v>5475</v>
      </c>
      <c r="J1710" t="s">
        <v>8834</v>
      </c>
      <c r="K1710" t="s">
        <v>10787</v>
      </c>
      <c r="L1710" t="s">
        <v>3366</v>
      </c>
      <c r="M1710" t="s">
        <v>11900</v>
      </c>
      <c r="N1710" t="s">
        <v>3365</v>
      </c>
      <c r="O1710" t="s">
        <v>15211</v>
      </c>
      <c r="P1710" t="s">
        <v>15211</v>
      </c>
      <c r="Q1710" t="s">
        <v>15211</v>
      </c>
      <c r="R1710" t="s">
        <v>15211</v>
      </c>
      <c r="S1710" t="s">
        <v>15211</v>
      </c>
      <c r="T1710" t="s">
        <v>3365</v>
      </c>
      <c r="U1710" t="s">
        <v>13599</v>
      </c>
      <c r="V1710" t="s">
        <v>15214</v>
      </c>
    </row>
    <row r="1711" spans="1:22" ht="17.399999999999999" hidden="1">
      <c r="A1711" t="s">
        <v>15339</v>
      </c>
      <c r="B1711" t="s">
        <v>15441</v>
      </c>
      <c r="C1711" t="s">
        <v>15447</v>
      </c>
      <c r="D1711" t="s">
        <v>1710</v>
      </c>
      <c r="E1711" t="s">
        <v>3435</v>
      </c>
      <c r="F1711" t="s">
        <v>3453</v>
      </c>
      <c r="G1711" s="3">
        <v>36.538851133199302</v>
      </c>
      <c r="H1711" s="3">
        <v>129.15809397068301</v>
      </c>
      <c r="I1711" t="s">
        <v>5476</v>
      </c>
      <c r="J1711" t="s">
        <v>8835</v>
      </c>
      <c r="K1711" t="s">
        <v>10506</v>
      </c>
      <c r="L1711" t="s">
        <v>3366</v>
      </c>
      <c r="M1711" t="s">
        <v>11900</v>
      </c>
      <c r="N1711" t="s">
        <v>3365</v>
      </c>
      <c r="O1711" t="s">
        <v>15211</v>
      </c>
      <c r="P1711" t="s">
        <v>15211</v>
      </c>
      <c r="Q1711" t="s">
        <v>15211</v>
      </c>
      <c r="R1711" t="s">
        <v>15211</v>
      </c>
      <c r="S1711" t="s">
        <v>15211</v>
      </c>
      <c r="T1711" t="s">
        <v>3365</v>
      </c>
      <c r="U1711" t="s">
        <v>13600</v>
      </c>
      <c r="V1711" t="s">
        <v>15214</v>
      </c>
    </row>
    <row r="1712" spans="1:22" ht="17.399999999999999" hidden="1">
      <c r="A1712" t="s">
        <v>15339</v>
      </c>
      <c r="B1712" t="s">
        <v>15441</v>
      </c>
      <c r="C1712" t="s">
        <v>15448</v>
      </c>
      <c r="D1712" t="s">
        <v>1711</v>
      </c>
      <c r="E1712" t="s">
        <v>3435</v>
      </c>
      <c r="F1712" t="s">
        <v>3478</v>
      </c>
      <c r="G1712" s="3">
        <v>36.5388506510238</v>
      </c>
      <c r="H1712" s="3">
        <v>129.15809386428899</v>
      </c>
      <c r="I1712" t="s">
        <v>5477</v>
      </c>
      <c r="J1712" t="s">
        <v>8836</v>
      </c>
      <c r="K1712" t="s">
        <v>10578</v>
      </c>
      <c r="L1712" t="s">
        <v>3375</v>
      </c>
      <c r="M1712" t="s">
        <v>11898</v>
      </c>
      <c r="N1712" t="s">
        <v>3365</v>
      </c>
      <c r="O1712" t="s">
        <v>3358</v>
      </c>
      <c r="P1712" t="s">
        <v>3359</v>
      </c>
      <c r="Q1712" t="s">
        <v>3357</v>
      </c>
      <c r="R1712" t="s">
        <v>15211</v>
      </c>
      <c r="S1712" t="s">
        <v>15211</v>
      </c>
      <c r="T1712" t="s">
        <v>3371</v>
      </c>
      <c r="U1712" t="s">
        <v>13601</v>
      </c>
      <c r="V1712" t="s">
        <v>15215</v>
      </c>
    </row>
    <row r="1713" spans="1:22" ht="17.399999999999999" hidden="1">
      <c r="A1713" t="s">
        <v>15339</v>
      </c>
      <c r="B1713" t="s">
        <v>15441</v>
      </c>
      <c r="C1713" t="s">
        <v>15448</v>
      </c>
      <c r="D1713" t="s">
        <v>1712</v>
      </c>
      <c r="E1713" t="s">
        <v>3435</v>
      </c>
      <c r="F1713" t="s">
        <v>3476</v>
      </c>
      <c r="G1713" s="3">
        <v>36.538850880489797</v>
      </c>
      <c r="H1713" s="3">
        <v>129.15809395707601</v>
      </c>
      <c r="I1713" t="s">
        <v>5478</v>
      </c>
      <c r="J1713" t="s">
        <v>8837</v>
      </c>
      <c r="K1713" t="s">
        <v>10535</v>
      </c>
      <c r="L1713" t="s">
        <v>3366</v>
      </c>
      <c r="M1713" t="s">
        <v>11898</v>
      </c>
      <c r="N1713" t="s">
        <v>3365</v>
      </c>
      <c r="O1713" t="s">
        <v>3359</v>
      </c>
      <c r="P1713" t="s">
        <v>3360</v>
      </c>
      <c r="Q1713" t="s">
        <v>3358</v>
      </c>
      <c r="R1713" t="s">
        <v>15211</v>
      </c>
      <c r="S1713" t="s">
        <v>15211</v>
      </c>
      <c r="T1713" t="s">
        <v>3374</v>
      </c>
      <c r="U1713" t="s">
        <v>13602</v>
      </c>
      <c r="V1713" t="s">
        <v>15215</v>
      </c>
    </row>
    <row r="1714" spans="1:22" ht="17.399999999999999" hidden="1">
      <c r="A1714" t="s">
        <v>15339</v>
      </c>
      <c r="B1714" t="s">
        <v>15441</v>
      </c>
      <c r="C1714" t="s">
        <v>15448</v>
      </c>
      <c r="D1714" t="s">
        <v>1713</v>
      </c>
      <c r="E1714" t="s">
        <v>3429</v>
      </c>
      <c r="F1714" t="s">
        <v>3467</v>
      </c>
      <c r="G1714" s="3">
        <v>36.538850926146601</v>
      </c>
      <c r="H1714" s="3">
        <v>129.158093976993</v>
      </c>
      <c r="I1714" t="s">
        <v>5479</v>
      </c>
      <c r="J1714" t="s">
        <v>8838</v>
      </c>
      <c r="K1714" t="s">
        <v>10731</v>
      </c>
      <c r="L1714" t="s">
        <v>3366</v>
      </c>
      <c r="M1714" t="s">
        <v>11898</v>
      </c>
      <c r="N1714" t="s">
        <v>3365</v>
      </c>
      <c r="O1714" t="s">
        <v>3359</v>
      </c>
      <c r="P1714" t="s">
        <v>3360</v>
      </c>
      <c r="Q1714" t="s">
        <v>3358</v>
      </c>
      <c r="R1714" t="s">
        <v>15211</v>
      </c>
      <c r="S1714" t="s">
        <v>15211</v>
      </c>
      <c r="T1714" t="s">
        <v>3374</v>
      </c>
      <c r="U1714" t="s">
        <v>13603</v>
      </c>
      <c r="V1714" t="s">
        <v>15215</v>
      </c>
    </row>
    <row r="1715" spans="1:22" ht="17.399999999999999" hidden="1">
      <c r="A1715" t="s">
        <v>15339</v>
      </c>
      <c r="B1715" t="s">
        <v>15441</v>
      </c>
      <c r="C1715" t="s">
        <v>15449</v>
      </c>
      <c r="D1715" t="s">
        <v>1714</v>
      </c>
      <c r="E1715" t="s">
        <v>3430</v>
      </c>
      <c r="F1715" t="s">
        <v>3462</v>
      </c>
      <c r="G1715" s="3">
        <v>36.538851076942599</v>
      </c>
      <c r="H1715" s="3">
        <v>129.158093979</v>
      </c>
      <c r="I1715" t="s">
        <v>5480</v>
      </c>
      <c r="J1715" t="s">
        <v>8839</v>
      </c>
      <c r="K1715" t="s">
        <v>11428</v>
      </c>
      <c r="L1715" t="s">
        <v>3378</v>
      </c>
      <c r="M1715" t="s">
        <v>11899</v>
      </c>
      <c r="N1715" t="s">
        <v>3363</v>
      </c>
      <c r="O1715" t="s">
        <v>15211</v>
      </c>
      <c r="P1715" t="s">
        <v>3363</v>
      </c>
      <c r="Q1715" t="s">
        <v>3359</v>
      </c>
      <c r="R1715" t="s">
        <v>3357</v>
      </c>
      <c r="S1715" t="s">
        <v>15211</v>
      </c>
      <c r="T1715" t="s">
        <v>3374</v>
      </c>
      <c r="U1715" t="s">
        <v>13604</v>
      </c>
      <c r="V1715" t="s">
        <v>15216</v>
      </c>
    </row>
    <row r="1716" spans="1:22" ht="17.399999999999999" hidden="1">
      <c r="A1716" t="s">
        <v>15339</v>
      </c>
      <c r="B1716" t="s">
        <v>15441</v>
      </c>
      <c r="C1716" t="s">
        <v>15449</v>
      </c>
      <c r="D1716" t="s">
        <v>1715</v>
      </c>
      <c r="E1716" t="s">
        <v>3453</v>
      </c>
      <c r="F1716" t="s">
        <v>3450</v>
      </c>
      <c r="G1716" s="3">
        <v>36.538851047425901</v>
      </c>
      <c r="H1716" s="3">
        <v>129.15809395577</v>
      </c>
      <c r="I1716" t="s">
        <v>5481</v>
      </c>
      <c r="J1716" t="s">
        <v>8840</v>
      </c>
      <c r="K1716" t="s">
        <v>3638</v>
      </c>
      <c r="L1716" t="s">
        <v>3366</v>
      </c>
      <c r="M1716" t="s">
        <v>11899</v>
      </c>
      <c r="N1716" t="s">
        <v>3364</v>
      </c>
      <c r="O1716" t="s">
        <v>15211</v>
      </c>
      <c r="P1716" t="s">
        <v>3363</v>
      </c>
      <c r="Q1716" t="s">
        <v>3359</v>
      </c>
      <c r="R1716" t="s">
        <v>3357</v>
      </c>
      <c r="S1716" t="s">
        <v>15211</v>
      </c>
      <c r="T1716" t="s">
        <v>3375</v>
      </c>
      <c r="U1716" t="s">
        <v>13605</v>
      </c>
      <c r="V1716" t="s">
        <v>15216</v>
      </c>
    </row>
    <row r="1717" spans="1:22" ht="17.399999999999999" hidden="1">
      <c r="A1717" t="s">
        <v>15339</v>
      </c>
      <c r="B1717" t="s">
        <v>15441</v>
      </c>
      <c r="C1717" t="s">
        <v>15449</v>
      </c>
      <c r="D1717" t="s">
        <v>1716</v>
      </c>
      <c r="E1717" t="s">
        <v>3441</v>
      </c>
      <c r="F1717" t="s">
        <v>3449</v>
      </c>
      <c r="G1717" s="3">
        <v>36.538851034211397</v>
      </c>
      <c r="H1717" s="3">
        <v>129.158093994072</v>
      </c>
      <c r="I1717" t="s">
        <v>5482</v>
      </c>
      <c r="J1717" t="s">
        <v>8841</v>
      </c>
      <c r="K1717" t="s">
        <v>10554</v>
      </c>
      <c r="L1717" t="s">
        <v>3366</v>
      </c>
      <c r="M1717" t="s">
        <v>11898</v>
      </c>
      <c r="N1717" t="s">
        <v>3364</v>
      </c>
      <c r="O1717" t="s">
        <v>15211</v>
      </c>
      <c r="P1717" t="s">
        <v>3363</v>
      </c>
      <c r="Q1717" t="s">
        <v>3359</v>
      </c>
      <c r="R1717" t="s">
        <v>3357</v>
      </c>
      <c r="S1717" t="s">
        <v>15211</v>
      </c>
      <c r="T1717" t="s">
        <v>3375</v>
      </c>
      <c r="U1717" t="s">
        <v>13606</v>
      </c>
      <c r="V1717" t="s">
        <v>15216</v>
      </c>
    </row>
    <row r="1718" spans="1:22" ht="17.399999999999999" hidden="1">
      <c r="A1718" t="s">
        <v>15339</v>
      </c>
      <c r="B1718" t="s">
        <v>15442</v>
      </c>
      <c r="C1718" t="s">
        <v>15450</v>
      </c>
      <c r="D1718" t="s">
        <v>1717</v>
      </c>
      <c r="E1718" t="s">
        <v>3425</v>
      </c>
      <c r="F1718" t="s">
        <v>3430</v>
      </c>
      <c r="G1718" s="3">
        <v>36.538851193725499</v>
      </c>
      <c r="H1718" s="3">
        <v>129.158093985812</v>
      </c>
      <c r="I1718" t="s">
        <v>5483</v>
      </c>
      <c r="J1718" t="s">
        <v>8842</v>
      </c>
      <c r="K1718" t="s">
        <v>11427</v>
      </c>
      <c r="L1718" t="s">
        <v>3376</v>
      </c>
      <c r="M1718" t="s">
        <v>11885</v>
      </c>
      <c r="N1718" t="s">
        <v>3365</v>
      </c>
      <c r="O1718" t="s">
        <v>3359</v>
      </c>
      <c r="P1718" t="s">
        <v>15211</v>
      </c>
      <c r="Q1718" t="s">
        <v>15211</v>
      </c>
      <c r="R1718" t="s">
        <v>15211</v>
      </c>
      <c r="S1718" t="s">
        <v>15211</v>
      </c>
      <c r="T1718" t="s">
        <v>3368</v>
      </c>
      <c r="U1718" t="s">
        <v>13607</v>
      </c>
      <c r="V1718" t="s">
        <v>15217</v>
      </c>
    </row>
    <row r="1719" spans="1:22" ht="17.399999999999999" hidden="1">
      <c r="A1719" t="s">
        <v>15339</v>
      </c>
      <c r="B1719" t="s">
        <v>15442</v>
      </c>
      <c r="C1719" t="s">
        <v>15450</v>
      </c>
      <c r="D1719" t="s">
        <v>1718</v>
      </c>
      <c r="E1719" t="s">
        <v>3431</v>
      </c>
      <c r="F1719" t="s">
        <v>3441</v>
      </c>
      <c r="G1719" s="3">
        <v>36.538851138840599</v>
      </c>
      <c r="H1719" s="3">
        <v>129.15809393436399</v>
      </c>
      <c r="I1719" t="s">
        <v>5484</v>
      </c>
      <c r="J1719" t="s">
        <v>8843</v>
      </c>
      <c r="K1719" t="s">
        <v>11429</v>
      </c>
      <c r="L1719" t="s">
        <v>3366</v>
      </c>
      <c r="M1719" t="s">
        <v>11885</v>
      </c>
      <c r="N1719" t="s">
        <v>3365</v>
      </c>
      <c r="O1719" t="s">
        <v>3359</v>
      </c>
      <c r="P1719" t="s">
        <v>15211</v>
      </c>
      <c r="Q1719" t="s">
        <v>15211</v>
      </c>
      <c r="R1719" t="s">
        <v>15211</v>
      </c>
      <c r="S1719" t="s">
        <v>15211</v>
      </c>
      <c r="T1719" t="s">
        <v>3368</v>
      </c>
      <c r="U1719" t="s">
        <v>13608</v>
      </c>
      <c r="V1719" t="s">
        <v>15217</v>
      </c>
    </row>
    <row r="1720" spans="1:22" ht="17.399999999999999" hidden="1">
      <c r="A1720" t="s">
        <v>15339</v>
      </c>
      <c r="B1720" t="s">
        <v>15442</v>
      </c>
      <c r="C1720" t="s">
        <v>15450</v>
      </c>
      <c r="D1720" t="s">
        <v>1719</v>
      </c>
      <c r="E1720" t="s">
        <v>3434</v>
      </c>
      <c r="F1720" t="s">
        <v>3433</v>
      </c>
      <c r="G1720" s="3">
        <v>36.538851128694098</v>
      </c>
      <c r="H1720" s="3">
        <v>129.15809391973301</v>
      </c>
      <c r="I1720" t="s">
        <v>5485</v>
      </c>
      <c r="J1720" t="s">
        <v>8844</v>
      </c>
      <c r="K1720" t="s">
        <v>11430</v>
      </c>
      <c r="L1720" t="s">
        <v>3366</v>
      </c>
      <c r="M1720" t="s">
        <v>11886</v>
      </c>
      <c r="N1720" t="s">
        <v>3365</v>
      </c>
      <c r="O1720" t="s">
        <v>3359</v>
      </c>
      <c r="P1720" t="s">
        <v>15211</v>
      </c>
      <c r="Q1720" t="s">
        <v>15211</v>
      </c>
      <c r="R1720" t="s">
        <v>15211</v>
      </c>
      <c r="S1720" t="s">
        <v>15211</v>
      </c>
      <c r="T1720" t="s">
        <v>3368</v>
      </c>
      <c r="U1720" t="s">
        <v>13609</v>
      </c>
      <c r="V1720" t="s">
        <v>15217</v>
      </c>
    </row>
    <row r="1721" spans="1:22" ht="17.399999999999999" hidden="1">
      <c r="A1721" t="s">
        <v>15339</v>
      </c>
      <c r="B1721" t="s">
        <v>15442</v>
      </c>
      <c r="C1721" t="s">
        <v>15445</v>
      </c>
      <c r="D1721" t="s">
        <v>1720</v>
      </c>
      <c r="E1721" t="s">
        <v>3438</v>
      </c>
      <c r="F1721" t="s">
        <v>3425</v>
      </c>
      <c r="G1721" s="3">
        <v>36.538851038062397</v>
      </c>
      <c r="H1721" s="3">
        <v>129.15809383694699</v>
      </c>
      <c r="I1721" t="s">
        <v>5486</v>
      </c>
      <c r="J1721" t="s">
        <v>8845</v>
      </c>
      <c r="K1721" t="s">
        <v>10763</v>
      </c>
      <c r="L1721" t="s">
        <v>3370</v>
      </c>
      <c r="M1721" t="s">
        <v>11886</v>
      </c>
      <c r="N1721" t="s">
        <v>3365</v>
      </c>
      <c r="O1721" t="s">
        <v>3359</v>
      </c>
      <c r="P1721" t="s">
        <v>15211</v>
      </c>
      <c r="Q1721" t="s">
        <v>15211</v>
      </c>
      <c r="R1721" t="s">
        <v>15211</v>
      </c>
      <c r="S1721" t="s">
        <v>15211</v>
      </c>
      <c r="T1721" t="s">
        <v>3368</v>
      </c>
      <c r="U1721" t="s">
        <v>13610</v>
      </c>
      <c r="V1721" t="s">
        <v>15218</v>
      </c>
    </row>
    <row r="1722" spans="1:22" ht="17.399999999999999" hidden="1">
      <c r="A1722" t="s">
        <v>15339</v>
      </c>
      <c r="B1722" t="s">
        <v>15442</v>
      </c>
      <c r="C1722" t="s">
        <v>15445</v>
      </c>
      <c r="D1722" t="s">
        <v>1721</v>
      </c>
      <c r="E1722" t="s">
        <v>3427</v>
      </c>
      <c r="F1722" t="s">
        <v>3431</v>
      </c>
      <c r="G1722" s="3">
        <v>36.538851046517799</v>
      </c>
      <c r="H1722" s="3">
        <v>129.15809388861899</v>
      </c>
      <c r="I1722" t="s">
        <v>5487</v>
      </c>
      <c r="J1722" t="s">
        <v>8846</v>
      </c>
      <c r="K1722" t="s">
        <v>11431</v>
      </c>
      <c r="L1722" t="s">
        <v>3366</v>
      </c>
      <c r="M1722" t="s">
        <v>11886</v>
      </c>
      <c r="N1722" t="s">
        <v>3365</v>
      </c>
      <c r="O1722" t="s">
        <v>3359</v>
      </c>
      <c r="P1722" t="s">
        <v>15211</v>
      </c>
      <c r="Q1722" t="s">
        <v>15211</v>
      </c>
      <c r="R1722" t="s">
        <v>15211</v>
      </c>
      <c r="S1722" t="s">
        <v>15211</v>
      </c>
      <c r="T1722" t="s">
        <v>3368</v>
      </c>
      <c r="U1722" t="s">
        <v>13611</v>
      </c>
      <c r="V1722" t="s">
        <v>15218</v>
      </c>
    </row>
    <row r="1723" spans="1:22" ht="17.399999999999999" hidden="1">
      <c r="A1723" t="s">
        <v>15339</v>
      </c>
      <c r="B1723" t="s">
        <v>15442</v>
      </c>
      <c r="C1723" t="s">
        <v>15445</v>
      </c>
      <c r="D1723" t="s">
        <v>1722</v>
      </c>
      <c r="E1723" t="s">
        <v>3426</v>
      </c>
      <c r="F1723" t="s">
        <v>3435</v>
      </c>
      <c r="G1723" s="3">
        <v>36.538851086757496</v>
      </c>
      <c r="H1723" s="3">
        <v>129.15809386963801</v>
      </c>
      <c r="I1723" t="s">
        <v>5488</v>
      </c>
      <c r="J1723" t="s">
        <v>8847</v>
      </c>
      <c r="K1723" t="s">
        <v>11384</v>
      </c>
      <c r="L1723" t="s">
        <v>3366</v>
      </c>
      <c r="M1723" t="s">
        <v>11886</v>
      </c>
      <c r="N1723" t="s">
        <v>3364</v>
      </c>
      <c r="O1723" t="s">
        <v>3359</v>
      </c>
      <c r="P1723" t="s">
        <v>15211</v>
      </c>
      <c r="Q1723" t="s">
        <v>15211</v>
      </c>
      <c r="R1723" t="s">
        <v>15211</v>
      </c>
      <c r="S1723" t="s">
        <v>15211</v>
      </c>
      <c r="T1723" t="s">
        <v>3367</v>
      </c>
      <c r="U1723" t="s">
        <v>13612</v>
      </c>
      <c r="V1723" t="s">
        <v>15218</v>
      </c>
    </row>
    <row r="1724" spans="1:22" ht="17.399999999999999" hidden="1">
      <c r="A1724" t="s">
        <v>15339</v>
      </c>
      <c r="B1724" t="s">
        <v>15442</v>
      </c>
      <c r="C1724" t="s">
        <v>15450</v>
      </c>
      <c r="D1724" t="s">
        <v>1723</v>
      </c>
      <c r="E1724" t="s">
        <v>3425</v>
      </c>
      <c r="F1724" t="s">
        <v>3442</v>
      </c>
      <c r="G1724" s="3">
        <v>36.538851102107401</v>
      </c>
      <c r="H1724" s="3">
        <v>129.15809390701401</v>
      </c>
      <c r="I1724" t="s">
        <v>5489</v>
      </c>
      <c r="J1724" t="s">
        <v>8848</v>
      </c>
      <c r="K1724" t="s">
        <v>10538</v>
      </c>
      <c r="L1724" t="s">
        <v>3383</v>
      </c>
      <c r="M1724" t="s">
        <v>11886</v>
      </c>
      <c r="N1724" t="s">
        <v>3364</v>
      </c>
      <c r="O1724" t="s">
        <v>3359</v>
      </c>
      <c r="P1724" t="s">
        <v>15211</v>
      </c>
      <c r="Q1724" t="s">
        <v>15211</v>
      </c>
      <c r="R1724" t="s">
        <v>15211</v>
      </c>
      <c r="S1724" t="s">
        <v>15211</v>
      </c>
      <c r="T1724" t="s">
        <v>3367</v>
      </c>
      <c r="U1724" t="s">
        <v>13613</v>
      </c>
      <c r="V1724" t="s">
        <v>15217</v>
      </c>
    </row>
    <row r="1725" spans="1:22" ht="17.399999999999999" hidden="1">
      <c r="A1725" t="s">
        <v>15339</v>
      </c>
      <c r="B1725" t="s">
        <v>15442</v>
      </c>
      <c r="C1725" t="s">
        <v>15450</v>
      </c>
      <c r="D1725" t="s">
        <v>1724</v>
      </c>
      <c r="E1725" t="s">
        <v>3434</v>
      </c>
      <c r="F1725" t="s">
        <v>3432</v>
      </c>
      <c r="G1725" s="3">
        <v>36.538851094471099</v>
      </c>
      <c r="H1725" s="3">
        <v>129.158093818216</v>
      </c>
      <c r="I1725" t="s">
        <v>5490</v>
      </c>
      <c r="J1725" t="s">
        <v>8849</v>
      </c>
      <c r="K1725" t="s">
        <v>11202</v>
      </c>
      <c r="L1725" t="s">
        <v>3366</v>
      </c>
      <c r="M1725" t="s">
        <v>11886</v>
      </c>
      <c r="N1725" t="s">
        <v>3364</v>
      </c>
      <c r="O1725" t="s">
        <v>3359</v>
      </c>
      <c r="P1725" t="s">
        <v>15211</v>
      </c>
      <c r="Q1725" t="s">
        <v>15211</v>
      </c>
      <c r="R1725" t="s">
        <v>15211</v>
      </c>
      <c r="S1725" t="s">
        <v>15211</v>
      </c>
      <c r="T1725" t="s">
        <v>3367</v>
      </c>
      <c r="U1725" t="s">
        <v>13614</v>
      </c>
      <c r="V1725" t="s">
        <v>15217</v>
      </c>
    </row>
    <row r="1726" spans="1:22" ht="17.399999999999999" hidden="1">
      <c r="A1726" t="s">
        <v>15339</v>
      </c>
      <c r="B1726" t="s">
        <v>15442</v>
      </c>
      <c r="C1726" t="s">
        <v>15450</v>
      </c>
      <c r="D1726" t="s">
        <v>1725</v>
      </c>
      <c r="E1726" t="s">
        <v>3434</v>
      </c>
      <c r="F1726" t="s">
        <v>3432</v>
      </c>
      <c r="G1726" s="3">
        <v>36.538851094248798</v>
      </c>
      <c r="H1726" s="3">
        <v>129.15809374567701</v>
      </c>
      <c r="I1726" t="s">
        <v>5491</v>
      </c>
      <c r="J1726" t="s">
        <v>8850</v>
      </c>
      <c r="K1726" t="s">
        <v>11354</v>
      </c>
      <c r="L1726" t="s">
        <v>3366</v>
      </c>
      <c r="M1726" t="s">
        <v>11886</v>
      </c>
      <c r="N1726" t="s">
        <v>3364</v>
      </c>
      <c r="O1726" t="s">
        <v>3359</v>
      </c>
      <c r="P1726" t="s">
        <v>15211</v>
      </c>
      <c r="Q1726" t="s">
        <v>15211</v>
      </c>
      <c r="R1726" t="s">
        <v>15211</v>
      </c>
      <c r="S1726" t="s">
        <v>15211</v>
      </c>
      <c r="T1726" t="s">
        <v>3367</v>
      </c>
      <c r="U1726" t="s">
        <v>13615</v>
      </c>
      <c r="V1726" t="s">
        <v>15217</v>
      </c>
    </row>
    <row r="1727" spans="1:22" ht="17.399999999999999" hidden="1">
      <c r="A1727" t="s">
        <v>15339</v>
      </c>
      <c r="B1727" t="s">
        <v>15442</v>
      </c>
      <c r="C1727" t="s">
        <v>15451</v>
      </c>
      <c r="D1727" t="s">
        <v>1726</v>
      </c>
      <c r="E1727" t="s">
        <v>3438</v>
      </c>
      <c r="F1727" t="s">
        <v>3425</v>
      </c>
      <c r="G1727" s="3">
        <v>36.538851038949403</v>
      </c>
      <c r="H1727" s="3">
        <v>129.15809384894101</v>
      </c>
      <c r="I1727" t="s">
        <v>5492</v>
      </c>
      <c r="J1727" t="s">
        <v>8851</v>
      </c>
      <c r="K1727" t="s">
        <v>11432</v>
      </c>
      <c r="L1727" t="s">
        <v>3378</v>
      </c>
      <c r="M1727" t="s">
        <v>11889</v>
      </c>
      <c r="N1727" t="s">
        <v>3364</v>
      </c>
      <c r="O1727" t="s">
        <v>3359</v>
      </c>
      <c r="P1727" t="s">
        <v>3363</v>
      </c>
      <c r="Q1727" t="s">
        <v>3359</v>
      </c>
      <c r="R1727" t="s">
        <v>15211</v>
      </c>
      <c r="S1727" t="s">
        <v>15211</v>
      </c>
      <c r="T1727" t="s">
        <v>3377</v>
      </c>
      <c r="U1727" t="s">
        <v>13616</v>
      </c>
      <c r="V1727" t="s">
        <v>15219</v>
      </c>
    </row>
    <row r="1728" spans="1:22" ht="17.399999999999999" hidden="1">
      <c r="A1728" t="s">
        <v>15339</v>
      </c>
      <c r="B1728" t="s">
        <v>15442</v>
      </c>
      <c r="C1728" t="s">
        <v>15451</v>
      </c>
      <c r="D1728" t="s">
        <v>1727</v>
      </c>
      <c r="E1728" t="s">
        <v>3438</v>
      </c>
      <c r="F1728" t="s">
        <v>3425</v>
      </c>
      <c r="G1728" s="3">
        <v>36.538851045982398</v>
      </c>
      <c r="H1728" s="3">
        <v>129.15809386867099</v>
      </c>
      <c r="I1728" t="s">
        <v>5493</v>
      </c>
      <c r="J1728" t="s">
        <v>8852</v>
      </c>
      <c r="K1728" t="s">
        <v>11433</v>
      </c>
      <c r="L1728" t="s">
        <v>3366</v>
      </c>
      <c r="M1728" t="s">
        <v>11908</v>
      </c>
      <c r="N1728" t="s">
        <v>3363</v>
      </c>
      <c r="O1728" t="s">
        <v>3359</v>
      </c>
      <c r="P1728" t="s">
        <v>3363</v>
      </c>
      <c r="Q1728" t="s">
        <v>3359</v>
      </c>
      <c r="R1728" t="s">
        <v>15211</v>
      </c>
      <c r="S1728" t="s">
        <v>15211</v>
      </c>
      <c r="T1728" t="s">
        <v>3376</v>
      </c>
      <c r="U1728" t="s">
        <v>13611</v>
      </c>
      <c r="V1728" t="s">
        <v>15219</v>
      </c>
    </row>
    <row r="1729" spans="1:22" ht="17.399999999999999" hidden="1">
      <c r="A1729" t="s">
        <v>15339</v>
      </c>
      <c r="B1729" t="s">
        <v>15442</v>
      </c>
      <c r="C1729" t="s">
        <v>15451</v>
      </c>
      <c r="D1729" t="s">
        <v>1728</v>
      </c>
      <c r="E1729" t="s">
        <v>3428</v>
      </c>
      <c r="F1729" t="s">
        <v>3429</v>
      </c>
      <c r="G1729" s="3">
        <v>36.538851042579601</v>
      </c>
      <c r="H1729" s="3">
        <v>129.15809388957001</v>
      </c>
      <c r="I1729" t="s">
        <v>5494</v>
      </c>
      <c r="J1729" t="s">
        <v>8853</v>
      </c>
      <c r="K1729" t="s">
        <v>10801</v>
      </c>
      <c r="L1729" t="s">
        <v>3366</v>
      </c>
      <c r="M1729" t="s">
        <v>11899</v>
      </c>
      <c r="N1729" t="s">
        <v>3363</v>
      </c>
      <c r="O1729" t="s">
        <v>3359</v>
      </c>
      <c r="P1729" t="s">
        <v>3363</v>
      </c>
      <c r="Q1729" t="s">
        <v>3359</v>
      </c>
      <c r="R1729" t="s">
        <v>15211</v>
      </c>
      <c r="S1729" t="s">
        <v>15211</v>
      </c>
      <c r="T1729" t="s">
        <v>3376</v>
      </c>
      <c r="U1729" t="s">
        <v>13617</v>
      </c>
      <c r="V1729" t="s">
        <v>15219</v>
      </c>
    </row>
    <row r="1730" spans="1:22" ht="17.399999999999999">
      <c r="A1730" t="s">
        <v>15339</v>
      </c>
      <c r="B1730" t="s">
        <v>15443</v>
      </c>
      <c r="C1730" t="s">
        <v>15452</v>
      </c>
      <c r="D1730" t="s">
        <v>1729</v>
      </c>
      <c r="E1730" t="s">
        <v>3431</v>
      </c>
      <c r="F1730" t="s">
        <v>3433</v>
      </c>
      <c r="G1730" s="3">
        <v>36.5388509622437</v>
      </c>
      <c r="H1730" s="3">
        <v>129.15809400519899</v>
      </c>
      <c r="I1730" t="s">
        <v>5495</v>
      </c>
      <c r="J1730" t="s">
        <v>8854</v>
      </c>
      <c r="K1730" t="s">
        <v>11434</v>
      </c>
      <c r="L1730" t="s">
        <v>3376</v>
      </c>
      <c r="M1730" t="s">
        <v>11890</v>
      </c>
      <c r="N1730" t="s">
        <v>3363</v>
      </c>
      <c r="O1730" t="s">
        <v>15211</v>
      </c>
      <c r="P1730" t="s">
        <v>3360</v>
      </c>
      <c r="Q1730" t="s">
        <v>3358</v>
      </c>
      <c r="R1730" t="s">
        <v>15211</v>
      </c>
      <c r="S1730" t="s">
        <v>15211</v>
      </c>
      <c r="T1730" t="s">
        <v>3369</v>
      </c>
      <c r="U1730" t="s">
        <v>13618</v>
      </c>
      <c r="V1730" t="s">
        <v>15220</v>
      </c>
    </row>
    <row r="1731" spans="1:22" ht="17.399999999999999">
      <c r="A1731" t="s">
        <v>15339</v>
      </c>
      <c r="B1731" t="s">
        <v>15443</v>
      </c>
      <c r="C1731" t="s">
        <v>15452</v>
      </c>
      <c r="D1731" t="s">
        <v>1730</v>
      </c>
      <c r="E1731" t="s">
        <v>3431</v>
      </c>
      <c r="F1731" t="s">
        <v>3433</v>
      </c>
      <c r="G1731" s="3">
        <v>36.538850967663201</v>
      </c>
      <c r="H1731" s="3">
        <v>129.15809401685999</v>
      </c>
      <c r="I1731" t="s">
        <v>5496</v>
      </c>
      <c r="J1731" t="s">
        <v>8855</v>
      </c>
      <c r="K1731" t="s">
        <v>11435</v>
      </c>
      <c r="L1731" t="s">
        <v>3366</v>
      </c>
      <c r="M1731" t="s">
        <v>11894</v>
      </c>
      <c r="N1731" t="s">
        <v>3364</v>
      </c>
      <c r="O1731" t="s">
        <v>15211</v>
      </c>
      <c r="P1731" t="s">
        <v>3360</v>
      </c>
      <c r="Q1731" t="s">
        <v>3358</v>
      </c>
      <c r="R1731" t="s">
        <v>15211</v>
      </c>
      <c r="S1731" t="s">
        <v>15211</v>
      </c>
      <c r="T1731" t="s">
        <v>3370</v>
      </c>
      <c r="U1731" t="s">
        <v>13619</v>
      </c>
      <c r="V1731" t="s">
        <v>15220</v>
      </c>
    </row>
    <row r="1732" spans="1:22" ht="17.399999999999999">
      <c r="A1732" t="s">
        <v>15339</v>
      </c>
      <c r="B1732" t="s">
        <v>15443</v>
      </c>
      <c r="C1732" t="s">
        <v>15452</v>
      </c>
      <c r="D1732" t="s">
        <v>1731</v>
      </c>
      <c r="E1732" t="s">
        <v>3425</v>
      </c>
      <c r="F1732" t="s">
        <v>3433</v>
      </c>
      <c r="G1732" s="3">
        <v>36.538850946482697</v>
      </c>
      <c r="H1732" s="3">
        <v>129.15809402091401</v>
      </c>
      <c r="I1732" t="s">
        <v>5497</v>
      </c>
      <c r="J1732" t="s">
        <v>8856</v>
      </c>
      <c r="K1732" t="s">
        <v>11436</v>
      </c>
      <c r="L1732" t="s">
        <v>3366</v>
      </c>
      <c r="M1732" t="s">
        <v>11894</v>
      </c>
      <c r="N1732" t="s">
        <v>3364</v>
      </c>
      <c r="O1732" t="s">
        <v>15211</v>
      </c>
      <c r="P1732" t="s">
        <v>3360</v>
      </c>
      <c r="Q1732" t="s">
        <v>3358</v>
      </c>
      <c r="R1732" t="s">
        <v>15211</v>
      </c>
      <c r="S1732" t="s">
        <v>15211</v>
      </c>
      <c r="T1732" t="s">
        <v>3370</v>
      </c>
      <c r="U1732" t="s">
        <v>13620</v>
      </c>
      <c r="V1732" t="s">
        <v>15220</v>
      </c>
    </row>
    <row r="1733" spans="1:22" ht="17.399999999999999" hidden="1">
      <c r="A1733" t="s">
        <v>15339</v>
      </c>
      <c r="B1733" t="s">
        <v>15443</v>
      </c>
      <c r="C1733" t="s">
        <v>15475</v>
      </c>
      <c r="D1733" t="s">
        <v>1732</v>
      </c>
      <c r="E1733" t="s">
        <v>3435</v>
      </c>
      <c r="F1733" t="s">
        <v>3460</v>
      </c>
      <c r="G1733" s="3">
        <v>36.538851075631896</v>
      </c>
      <c r="H1733" s="3">
        <v>129.15809402990601</v>
      </c>
      <c r="I1733" t="s">
        <v>5498</v>
      </c>
      <c r="J1733" t="s">
        <v>8857</v>
      </c>
      <c r="K1733" t="s">
        <v>11396</v>
      </c>
      <c r="L1733" t="s">
        <v>3381</v>
      </c>
      <c r="M1733" t="s">
        <v>11894</v>
      </c>
      <c r="N1733" t="s">
        <v>3364</v>
      </c>
      <c r="O1733" t="s">
        <v>15211</v>
      </c>
      <c r="P1733" t="s">
        <v>3360</v>
      </c>
      <c r="Q1733" t="s">
        <v>3358</v>
      </c>
      <c r="R1733" t="s">
        <v>15211</v>
      </c>
      <c r="S1733" t="s">
        <v>15211</v>
      </c>
      <c r="T1733" t="s">
        <v>3370</v>
      </c>
      <c r="U1733" t="s">
        <v>13621</v>
      </c>
      <c r="V1733" t="s">
        <v>15258</v>
      </c>
    </row>
    <row r="1734" spans="1:22" ht="17.399999999999999" hidden="1">
      <c r="A1734" t="s">
        <v>15339</v>
      </c>
      <c r="B1734" t="s">
        <v>15443</v>
      </c>
      <c r="C1734" t="s">
        <v>15475</v>
      </c>
      <c r="D1734" t="s">
        <v>1733</v>
      </c>
      <c r="E1734" t="s">
        <v>3442</v>
      </c>
      <c r="F1734" t="s">
        <v>3478</v>
      </c>
      <c r="G1734" s="3">
        <v>36.538851067525698</v>
      </c>
      <c r="H1734" s="3">
        <v>129.15809399507501</v>
      </c>
      <c r="I1734" t="s">
        <v>5499</v>
      </c>
      <c r="J1734" t="s">
        <v>8858</v>
      </c>
      <c r="K1734" t="s">
        <v>11393</v>
      </c>
      <c r="L1734" t="s">
        <v>3366</v>
      </c>
      <c r="M1734" t="s">
        <v>11894</v>
      </c>
      <c r="N1734" t="s">
        <v>3364</v>
      </c>
      <c r="O1734" t="s">
        <v>15211</v>
      </c>
      <c r="P1734" t="s">
        <v>3360</v>
      </c>
      <c r="Q1734" t="s">
        <v>3358</v>
      </c>
      <c r="R1734" t="s">
        <v>15211</v>
      </c>
      <c r="S1734" t="s">
        <v>15211</v>
      </c>
      <c r="T1734" t="s">
        <v>3370</v>
      </c>
      <c r="U1734" t="s">
        <v>13622</v>
      </c>
      <c r="V1734" t="s">
        <v>15258</v>
      </c>
    </row>
    <row r="1735" spans="1:22" ht="17.399999999999999" hidden="1">
      <c r="A1735" t="s">
        <v>15339</v>
      </c>
      <c r="B1735" t="s">
        <v>15443</v>
      </c>
      <c r="C1735" t="s">
        <v>15475</v>
      </c>
      <c r="D1735" t="s">
        <v>1734</v>
      </c>
      <c r="E1735" t="s">
        <v>3442</v>
      </c>
      <c r="F1735" t="s">
        <v>3579</v>
      </c>
      <c r="G1735" s="3">
        <v>36.538851075440597</v>
      </c>
      <c r="H1735" s="3">
        <v>129.15809396582799</v>
      </c>
      <c r="I1735" t="s">
        <v>5500</v>
      </c>
      <c r="J1735" t="s">
        <v>8859</v>
      </c>
      <c r="K1735" t="s">
        <v>11437</v>
      </c>
      <c r="L1735" t="s">
        <v>3366</v>
      </c>
      <c r="M1735" t="s">
        <v>11894</v>
      </c>
      <c r="N1735" t="s">
        <v>3364</v>
      </c>
      <c r="O1735" t="s">
        <v>15211</v>
      </c>
      <c r="P1735" t="s">
        <v>3360</v>
      </c>
      <c r="Q1735" t="s">
        <v>3358</v>
      </c>
      <c r="R1735" t="s">
        <v>15211</v>
      </c>
      <c r="S1735" t="s">
        <v>15211</v>
      </c>
      <c r="T1735" t="s">
        <v>3370</v>
      </c>
      <c r="U1735" t="s">
        <v>13623</v>
      </c>
      <c r="V1735" t="s">
        <v>15258</v>
      </c>
    </row>
    <row r="1736" spans="1:22" hidden="1">
      <c r="A1736" t="s">
        <v>15306</v>
      </c>
      <c r="B1736" t="s">
        <v>15441</v>
      </c>
      <c r="C1736" t="s">
        <v>15449</v>
      </c>
      <c r="D1736" t="s">
        <v>489</v>
      </c>
      <c r="E1736" t="s">
        <v>3429</v>
      </c>
      <c r="F1736" t="s">
        <v>3450</v>
      </c>
      <c r="G1736" s="3">
        <v>35.408100833027298</v>
      </c>
      <c r="H1736" s="3">
        <v>127.89841947588199</v>
      </c>
      <c r="I1736" t="s">
        <v>4256</v>
      </c>
      <c r="J1736" t="s">
        <v>7615</v>
      </c>
      <c r="K1736" t="s">
        <v>10844</v>
      </c>
      <c r="L1736" t="s">
        <v>3366</v>
      </c>
      <c r="M1736" t="s">
        <v>11907</v>
      </c>
      <c r="N1736" t="s">
        <v>3365</v>
      </c>
      <c r="O1736" t="s">
        <v>3362</v>
      </c>
      <c r="P1736" t="s">
        <v>3363</v>
      </c>
      <c r="Q1736" t="s">
        <v>3362</v>
      </c>
      <c r="R1736" t="s">
        <v>3358</v>
      </c>
      <c r="S1736" t="s">
        <v>15211</v>
      </c>
      <c r="T1736" t="s">
        <v>3386</v>
      </c>
      <c r="U1736" t="s">
        <v>12399</v>
      </c>
      <c r="V1736" t="s">
        <v>15231</v>
      </c>
    </row>
    <row r="1737" spans="1:22" hidden="1">
      <c r="A1737" t="s">
        <v>15306</v>
      </c>
      <c r="B1737" t="s">
        <v>15442</v>
      </c>
      <c r="C1737" t="s">
        <v>15450</v>
      </c>
      <c r="D1737" t="s">
        <v>490</v>
      </c>
      <c r="E1737" t="s">
        <v>3435</v>
      </c>
      <c r="F1737" t="s">
        <v>3426</v>
      </c>
      <c r="G1737" s="3">
        <v>35.408100463058197</v>
      </c>
      <c r="H1737" s="3">
        <v>127.89841945521</v>
      </c>
      <c r="I1737" t="s">
        <v>4257</v>
      </c>
      <c r="J1737" t="s">
        <v>7616</v>
      </c>
      <c r="K1737" t="s">
        <v>10845</v>
      </c>
      <c r="L1737" t="s">
        <v>3366</v>
      </c>
      <c r="M1737" t="s">
        <v>11895</v>
      </c>
      <c r="N1737" t="s">
        <v>3365</v>
      </c>
      <c r="O1737" t="s">
        <v>3362</v>
      </c>
      <c r="P1737" t="s">
        <v>15211</v>
      </c>
      <c r="Q1737" t="s">
        <v>15211</v>
      </c>
      <c r="R1737" t="s">
        <v>15211</v>
      </c>
      <c r="S1737" t="s">
        <v>15211</v>
      </c>
      <c r="T1737" t="s">
        <v>3371</v>
      </c>
      <c r="U1737" t="s">
        <v>12400</v>
      </c>
      <c r="V1737" t="s">
        <v>15232</v>
      </c>
    </row>
    <row r="1738" spans="1:22" hidden="1">
      <c r="A1738" t="s">
        <v>15306</v>
      </c>
      <c r="B1738" t="s">
        <v>15442</v>
      </c>
      <c r="C1738" t="s">
        <v>15445</v>
      </c>
      <c r="D1738" t="s">
        <v>491</v>
      </c>
      <c r="E1738" t="s">
        <v>3428</v>
      </c>
      <c r="F1738" t="s">
        <v>3461</v>
      </c>
      <c r="G1738" s="3">
        <v>35.408100791607097</v>
      </c>
      <c r="H1738" s="3">
        <v>127.898419404508</v>
      </c>
      <c r="I1738" t="s">
        <v>4258</v>
      </c>
      <c r="J1738" t="s">
        <v>7617</v>
      </c>
      <c r="K1738" t="s">
        <v>10846</v>
      </c>
      <c r="L1738" t="s">
        <v>3366</v>
      </c>
      <c r="M1738" t="s">
        <v>11895</v>
      </c>
      <c r="N1738" t="s">
        <v>3365</v>
      </c>
      <c r="O1738" t="s">
        <v>3362</v>
      </c>
      <c r="P1738" t="s">
        <v>15211</v>
      </c>
      <c r="Q1738" t="s">
        <v>15211</v>
      </c>
      <c r="R1738" t="s">
        <v>15211</v>
      </c>
      <c r="S1738" t="s">
        <v>15211</v>
      </c>
      <c r="T1738" t="s">
        <v>3371</v>
      </c>
      <c r="U1738" t="s">
        <v>12401</v>
      </c>
      <c r="V1738" t="s">
        <v>15233</v>
      </c>
    </row>
    <row r="1739" spans="1:22" hidden="1">
      <c r="A1739" t="s">
        <v>15306</v>
      </c>
      <c r="B1739" t="s">
        <v>15442</v>
      </c>
      <c r="C1739" t="s">
        <v>15451</v>
      </c>
      <c r="D1739" t="s">
        <v>492</v>
      </c>
      <c r="E1739" t="s">
        <v>3437</v>
      </c>
      <c r="F1739" t="s">
        <v>3425</v>
      </c>
      <c r="G1739" s="3">
        <v>35.408100735255097</v>
      </c>
      <c r="H1739" s="3">
        <v>127.898419439051</v>
      </c>
      <c r="I1739" t="s">
        <v>4259</v>
      </c>
      <c r="J1739" t="s">
        <v>7618</v>
      </c>
      <c r="K1739" t="s">
        <v>10847</v>
      </c>
      <c r="L1739" t="s">
        <v>3366</v>
      </c>
      <c r="M1739" t="s">
        <v>11911</v>
      </c>
      <c r="N1739" t="s">
        <v>3365</v>
      </c>
      <c r="O1739" t="s">
        <v>3362</v>
      </c>
      <c r="P1739" t="s">
        <v>3364</v>
      </c>
      <c r="Q1739" t="s">
        <v>3362</v>
      </c>
      <c r="R1739" t="s">
        <v>15211</v>
      </c>
      <c r="S1739" t="s">
        <v>15211</v>
      </c>
      <c r="T1739" t="s">
        <v>3385</v>
      </c>
      <c r="U1739" t="s">
        <v>12402</v>
      </c>
      <c r="V1739" t="s">
        <v>15234</v>
      </c>
    </row>
    <row r="1740" spans="1:22" hidden="1">
      <c r="A1740" t="s">
        <v>15306</v>
      </c>
      <c r="B1740" t="s">
        <v>15442</v>
      </c>
      <c r="C1740" t="s">
        <v>15451</v>
      </c>
      <c r="D1740" t="s">
        <v>493</v>
      </c>
      <c r="E1740" t="s">
        <v>3437</v>
      </c>
      <c r="F1740" t="s">
        <v>3425</v>
      </c>
      <c r="G1740" s="3">
        <v>35.408100715943299</v>
      </c>
      <c r="H1740" s="3">
        <v>127.898419459914</v>
      </c>
      <c r="I1740" t="s">
        <v>4260</v>
      </c>
      <c r="J1740" t="s">
        <v>7619</v>
      </c>
      <c r="K1740" t="s">
        <v>10848</v>
      </c>
      <c r="L1740" t="s">
        <v>3366</v>
      </c>
      <c r="M1740" t="s">
        <v>11910</v>
      </c>
      <c r="N1740" t="s">
        <v>3365</v>
      </c>
      <c r="O1740" t="s">
        <v>3362</v>
      </c>
      <c r="P1740" t="s">
        <v>3364</v>
      </c>
      <c r="Q1740" t="s">
        <v>3361</v>
      </c>
      <c r="R1740" t="s">
        <v>15211</v>
      </c>
      <c r="S1740" t="s">
        <v>15211</v>
      </c>
      <c r="T1740" t="s">
        <v>3384</v>
      </c>
      <c r="U1740" t="s">
        <v>12403</v>
      </c>
      <c r="V1740" t="s">
        <v>15234</v>
      </c>
    </row>
    <row r="1741" spans="1:22">
      <c r="A1741" t="s">
        <v>15306</v>
      </c>
      <c r="B1741" t="s">
        <v>15443</v>
      </c>
      <c r="C1741" t="s">
        <v>15452</v>
      </c>
      <c r="D1741" t="s">
        <v>494</v>
      </c>
      <c r="E1741" t="s">
        <v>3438</v>
      </c>
      <c r="F1741" t="s">
        <v>3435</v>
      </c>
      <c r="G1741" s="3">
        <v>35.408100685370201</v>
      </c>
      <c r="H1741" s="3">
        <v>127.898419171895</v>
      </c>
      <c r="I1741" t="s">
        <v>4261</v>
      </c>
      <c r="J1741" t="s">
        <v>7620</v>
      </c>
      <c r="K1741" t="s">
        <v>10849</v>
      </c>
      <c r="L1741" t="s">
        <v>3366</v>
      </c>
      <c r="M1741" t="s">
        <v>11908</v>
      </c>
      <c r="N1741" t="s">
        <v>3364</v>
      </c>
      <c r="O1741" t="s">
        <v>15211</v>
      </c>
      <c r="P1741" t="s">
        <v>3363</v>
      </c>
      <c r="Q1741" t="s">
        <v>3361</v>
      </c>
      <c r="R1741" t="s">
        <v>15211</v>
      </c>
      <c r="S1741" t="s">
        <v>15211</v>
      </c>
      <c r="T1741" t="s">
        <v>3376</v>
      </c>
      <c r="U1741" t="s">
        <v>12404</v>
      </c>
      <c r="V1741" t="s">
        <v>15220</v>
      </c>
    </row>
    <row r="1742" spans="1:22" ht="17.399999999999999" hidden="1">
      <c r="A1742" t="s">
        <v>15381</v>
      </c>
      <c r="B1742" t="s">
        <v>15441</v>
      </c>
      <c r="C1742" t="s">
        <v>15449</v>
      </c>
      <c r="D1742" t="s">
        <v>743</v>
      </c>
      <c r="E1742" t="s">
        <v>3428</v>
      </c>
      <c r="F1742" t="s">
        <v>3442</v>
      </c>
      <c r="G1742" s="3">
        <v>37.848246256633999</v>
      </c>
      <c r="H1742" s="3">
        <v>128.741394081799</v>
      </c>
      <c r="I1742" t="s">
        <v>4509</v>
      </c>
      <c r="J1742" t="s">
        <v>7868</v>
      </c>
      <c r="K1742" t="s">
        <v>10657</v>
      </c>
      <c r="L1742" t="s">
        <v>3366</v>
      </c>
      <c r="M1742" t="s">
        <v>11907</v>
      </c>
      <c r="N1742" t="s">
        <v>3362</v>
      </c>
      <c r="O1742" t="s">
        <v>3361</v>
      </c>
      <c r="P1742" t="s">
        <v>3364</v>
      </c>
      <c r="Q1742" t="s">
        <v>3367</v>
      </c>
      <c r="R1742" t="s">
        <v>15211</v>
      </c>
      <c r="S1742" t="s">
        <v>15211</v>
      </c>
      <c r="T1742" t="s">
        <v>3386</v>
      </c>
      <c r="U1742" t="s">
        <v>12647</v>
      </c>
      <c r="V1742" t="s">
        <v>15231</v>
      </c>
    </row>
    <row r="1743" spans="1:22" ht="17.399999999999999" hidden="1">
      <c r="A1743" t="s">
        <v>15381</v>
      </c>
      <c r="B1743" t="s">
        <v>15441</v>
      </c>
      <c r="C1743" t="s">
        <v>15449</v>
      </c>
      <c r="D1743" t="s">
        <v>744</v>
      </c>
      <c r="E1743" t="s">
        <v>3428</v>
      </c>
      <c r="F1743" t="s">
        <v>3442</v>
      </c>
      <c r="G1743" s="3">
        <v>37.848246248961203</v>
      </c>
      <c r="H1743" s="3">
        <v>128.741394078464</v>
      </c>
      <c r="I1743" t="s">
        <v>4510</v>
      </c>
      <c r="J1743" t="s">
        <v>7869</v>
      </c>
      <c r="K1743" t="s">
        <v>11028</v>
      </c>
      <c r="L1743" t="s">
        <v>3366</v>
      </c>
      <c r="M1743" t="s">
        <v>11907</v>
      </c>
      <c r="N1743" t="s">
        <v>3362</v>
      </c>
      <c r="O1743" t="s">
        <v>3361</v>
      </c>
      <c r="P1743" t="s">
        <v>3364</v>
      </c>
      <c r="Q1743" t="s">
        <v>3367</v>
      </c>
      <c r="R1743" t="s">
        <v>15211</v>
      </c>
      <c r="S1743" t="s">
        <v>15211</v>
      </c>
      <c r="T1743" t="s">
        <v>3386</v>
      </c>
      <c r="U1743" t="s">
        <v>12648</v>
      </c>
      <c r="V1743" t="s">
        <v>15231</v>
      </c>
    </row>
    <row r="1744" spans="1:22" ht="17.399999999999999" hidden="1">
      <c r="A1744" t="s">
        <v>15381</v>
      </c>
      <c r="B1744" t="s">
        <v>15441</v>
      </c>
      <c r="C1744" t="s">
        <v>15449</v>
      </c>
      <c r="D1744" t="s">
        <v>745</v>
      </c>
      <c r="E1744" t="s">
        <v>3436</v>
      </c>
      <c r="F1744" t="s">
        <v>3441</v>
      </c>
      <c r="G1744" s="3">
        <v>37.848246247637199</v>
      </c>
      <c r="H1744" s="3">
        <v>128.74139408246299</v>
      </c>
      <c r="I1744" t="s">
        <v>4511</v>
      </c>
      <c r="J1744" t="s">
        <v>7870</v>
      </c>
      <c r="K1744" t="s">
        <v>10940</v>
      </c>
      <c r="L1744" t="s">
        <v>3366</v>
      </c>
      <c r="M1744" t="s">
        <v>11907</v>
      </c>
      <c r="N1744" t="s">
        <v>3362</v>
      </c>
      <c r="O1744" t="s">
        <v>3361</v>
      </c>
      <c r="P1744" t="s">
        <v>3364</v>
      </c>
      <c r="Q1744" t="s">
        <v>3367</v>
      </c>
      <c r="R1744" t="s">
        <v>15211</v>
      </c>
      <c r="S1744" t="s">
        <v>15211</v>
      </c>
      <c r="T1744" t="s">
        <v>3386</v>
      </c>
      <c r="U1744" t="s">
        <v>12649</v>
      </c>
      <c r="V1744" t="s">
        <v>15231</v>
      </c>
    </row>
    <row r="1745" spans="1:22" ht="17.399999999999999" hidden="1">
      <c r="A1745" t="s">
        <v>15381</v>
      </c>
      <c r="B1745" t="s">
        <v>15441</v>
      </c>
      <c r="C1745" t="s">
        <v>15448</v>
      </c>
      <c r="D1745" t="s">
        <v>746</v>
      </c>
      <c r="E1745" t="s">
        <v>3433</v>
      </c>
      <c r="F1745" t="s">
        <v>3491</v>
      </c>
      <c r="G1745" s="3">
        <v>37.848246103633301</v>
      </c>
      <c r="H1745" s="3">
        <v>128.74139381861599</v>
      </c>
      <c r="I1745" t="s">
        <v>4512</v>
      </c>
      <c r="J1745" t="s">
        <v>7871</v>
      </c>
      <c r="K1745" t="s">
        <v>11029</v>
      </c>
      <c r="L1745" t="s">
        <v>3366</v>
      </c>
      <c r="M1745" t="s">
        <v>11905</v>
      </c>
      <c r="N1745" t="s">
        <v>3362</v>
      </c>
      <c r="O1745" t="s">
        <v>3361</v>
      </c>
      <c r="P1745" t="s">
        <v>3364</v>
      </c>
      <c r="Q1745" t="s">
        <v>3371</v>
      </c>
      <c r="R1745" t="s">
        <v>3357</v>
      </c>
      <c r="S1745" t="s">
        <v>15211</v>
      </c>
      <c r="T1745" t="s">
        <v>3391</v>
      </c>
      <c r="U1745" t="s">
        <v>12650</v>
      </c>
      <c r="V1745" t="s">
        <v>15230</v>
      </c>
    </row>
    <row r="1746" spans="1:22" ht="17.399999999999999" hidden="1">
      <c r="A1746" t="s">
        <v>15381</v>
      </c>
      <c r="B1746" t="s">
        <v>15441</v>
      </c>
      <c r="C1746" t="s">
        <v>15448</v>
      </c>
      <c r="D1746" t="s">
        <v>747</v>
      </c>
      <c r="E1746" t="s">
        <v>3453</v>
      </c>
      <c r="F1746" t="s">
        <v>3562</v>
      </c>
      <c r="G1746" s="3">
        <v>37.848246094154703</v>
      </c>
      <c r="H1746" s="3">
        <v>128.74139386308701</v>
      </c>
      <c r="I1746" t="s">
        <v>4513</v>
      </c>
      <c r="J1746" t="s">
        <v>7872</v>
      </c>
      <c r="K1746" t="s">
        <v>10658</v>
      </c>
      <c r="L1746" t="s">
        <v>3366</v>
      </c>
      <c r="M1746" t="s">
        <v>11916</v>
      </c>
      <c r="N1746" t="s">
        <v>3362</v>
      </c>
      <c r="O1746" t="s">
        <v>3361</v>
      </c>
      <c r="P1746" t="s">
        <v>3364</v>
      </c>
      <c r="Q1746" t="s">
        <v>3371</v>
      </c>
      <c r="R1746" t="s">
        <v>3357</v>
      </c>
      <c r="S1746" t="s">
        <v>15211</v>
      </c>
      <c r="T1746" t="s">
        <v>3391</v>
      </c>
      <c r="U1746" t="s">
        <v>12651</v>
      </c>
      <c r="V1746" t="s">
        <v>15230</v>
      </c>
    </row>
    <row r="1747" spans="1:22" ht="17.399999999999999" hidden="1">
      <c r="A1747" t="s">
        <v>15381</v>
      </c>
      <c r="B1747" t="s">
        <v>15441</v>
      </c>
      <c r="C1747" t="s">
        <v>15448</v>
      </c>
      <c r="D1747" t="s">
        <v>748</v>
      </c>
      <c r="E1747" t="s">
        <v>3453</v>
      </c>
      <c r="F1747" t="s">
        <v>3542</v>
      </c>
      <c r="G1747" s="3">
        <v>37.848246079747803</v>
      </c>
      <c r="H1747" s="3">
        <v>128.74139384968399</v>
      </c>
      <c r="I1747" t="s">
        <v>4514</v>
      </c>
      <c r="J1747" t="s">
        <v>7873</v>
      </c>
      <c r="K1747" t="s">
        <v>10756</v>
      </c>
      <c r="L1747" t="s">
        <v>3366</v>
      </c>
      <c r="M1747" t="s">
        <v>11916</v>
      </c>
      <c r="N1747" t="s">
        <v>3362</v>
      </c>
      <c r="O1747" t="s">
        <v>3361</v>
      </c>
      <c r="P1747" t="s">
        <v>3364</v>
      </c>
      <c r="Q1747" t="s">
        <v>3371</v>
      </c>
      <c r="R1747" t="s">
        <v>3357</v>
      </c>
      <c r="S1747" t="s">
        <v>15211</v>
      </c>
      <c r="T1747" t="s">
        <v>3391</v>
      </c>
      <c r="U1747" t="s">
        <v>12652</v>
      </c>
      <c r="V1747" t="s">
        <v>15230</v>
      </c>
    </row>
    <row r="1748" spans="1:22" ht="17.399999999999999" hidden="1">
      <c r="A1748" t="s">
        <v>15381</v>
      </c>
      <c r="B1748" t="s">
        <v>15444</v>
      </c>
      <c r="C1748" t="s">
        <v>15451</v>
      </c>
      <c r="D1748" t="s">
        <v>749</v>
      </c>
      <c r="E1748" t="s">
        <v>3427</v>
      </c>
      <c r="F1748" t="s">
        <v>3453</v>
      </c>
      <c r="G1748" s="3">
        <v>37.848246236206101</v>
      </c>
      <c r="H1748" s="3">
        <v>128.74139396016099</v>
      </c>
      <c r="I1748" t="s">
        <v>4515</v>
      </c>
      <c r="J1748" t="s">
        <v>7874</v>
      </c>
      <c r="K1748" t="s">
        <v>11030</v>
      </c>
      <c r="L1748" t="s">
        <v>3369</v>
      </c>
      <c r="M1748" t="s">
        <v>11913</v>
      </c>
      <c r="N1748" t="s">
        <v>3362</v>
      </c>
      <c r="O1748" t="s">
        <v>3360</v>
      </c>
      <c r="P1748" t="s">
        <v>3365</v>
      </c>
      <c r="Q1748" t="s">
        <v>3368</v>
      </c>
      <c r="R1748" t="s">
        <v>15211</v>
      </c>
      <c r="S1748" t="s">
        <v>15211</v>
      </c>
      <c r="T1748" t="s">
        <v>3387</v>
      </c>
      <c r="U1748" t="s">
        <v>12653</v>
      </c>
      <c r="V1748" t="s">
        <v>15241</v>
      </c>
    </row>
    <row r="1749" spans="1:22" ht="17.399999999999999" hidden="1">
      <c r="A1749" t="s">
        <v>15381</v>
      </c>
      <c r="B1749" t="s">
        <v>15444</v>
      </c>
      <c r="C1749" t="s">
        <v>15451</v>
      </c>
      <c r="D1749" t="s">
        <v>750</v>
      </c>
      <c r="E1749" t="s">
        <v>3438</v>
      </c>
      <c r="F1749" t="s">
        <v>3441</v>
      </c>
      <c r="G1749" s="3">
        <v>37.848246253132999</v>
      </c>
      <c r="H1749" s="3">
        <v>128.74139398827</v>
      </c>
      <c r="I1749" t="s">
        <v>4516</v>
      </c>
      <c r="J1749" t="s">
        <v>7875</v>
      </c>
      <c r="K1749" t="s">
        <v>10658</v>
      </c>
      <c r="L1749" t="s">
        <v>3366</v>
      </c>
      <c r="M1749" t="s">
        <v>11913</v>
      </c>
      <c r="N1749" t="s">
        <v>3362</v>
      </c>
      <c r="O1749" t="s">
        <v>3360</v>
      </c>
      <c r="P1749" t="s">
        <v>3365</v>
      </c>
      <c r="Q1749" t="s">
        <v>3368</v>
      </c>
      <c r="R1749" t="s">
        <v>15211</v>
      </c>
      <c r="S1749" t="s">
        <v>15211</v>
      </c>
      <c r="T1749" t="s">
        <v>3387</v>
      </c>
      <c r="U1749" t="s">
        <v>12654</v>
      </c>
      <c r="V1749" t="s">
        <v>15241</v>
      </c>
    </row>
    <row r="1750" spans="1:22" ht="17.399999999999999" hidden="1">
      <c r="A1750" t="s">
        <v>15381</v>
      </c>
      <c r="B1750" t="s">
        <v>15444</v>
      </c>
      <c r="C1750" t="s">
        <v>15451</v>
      </c>
      <c r="D1750" t="s">
        <v>751</v>
      </c>
      <c r="E1750" t="s">
        <v>3438</v>
      </c>
      <c r="F1750" t="s">
        <v>3430</v>
      </c>
      <c r="G1750" s="3">
        <v>37.848246263873001</v>
      </c>
      <c r="H1750" s="3">
        <v>128.741393979235</v>
      </c>
      <c r="I1750" t="s">
        <v>4517</v>
      </c>
      <c r="J1750" t="s">
        <v>7876</v>
      </c>
      <c r="K1750" t="s">
        <v>11031</v>
      </c>
      <c r="L1750" t="s">
        <v>3366</v>
      </c>
      <c r="M1750" t="s">
        <v>11906</v>
      </c>
      <c r="N1750" t="s">
        <v>3362</v>
      </c>
      <c r="O1750" t="s">
        <v>3360</v>
      </c>
      <c r="P1750" t="s">
        <v>3365</v>
      </c>
      <c r="Q1750" t="s">
        <v>3369</v>
      </c>
      <c r="R1750" t="s">
        <v>15211</v>
      </c>
      <c r="S1750" t="s">
        <v>15211</v>
      </c>
      <c r="T1750" t="s">
        <v>3388</v>
      </c>
      <c r="U1750" t="s">
        <v>12655</v>
      </c>
      <c r="V1750" t="s">
        <v>15241</v>
      </c>
    </row>
    <row r="1751" spans="1:22" ht="17.399999999999999" hidden="1">
      <c r="A1751" t="s">
        <v>15392</v>
      </c>
      <c r="B1751" t="s">
        <v>15441</v>
      </c>
      <c r="C1751" t="s">
        <v>15445</v>
      </c>
      <c r="D1751" t="s">
        <v>2173</v>
      </c>
      <c r="E1751" t="s">
        <v>3484</v>
      </c>
      <c r="F1751" t="s">
        <v>3699</v>
      </c>
      <c r="G1751" s="3">
        <v>37.2092214638256</v>
      </c>
      <c r="H1751" s="3">
        <v>127.233060518323</v>
      </c>
      <c r="I1751" t="s">
        <v>5940</v>
      </c>
      <c r="J1751" t="s">
        <v>9296</v>
      </c>
      <c r="K1751" t="s">
        <v>11591</v>
      </c>
      <c r="L1751" t="s">
        <v>3366</v>
      </c>
      <c r="M1751" t="s">
        <v>11902</v>
      </c>
      <c r="N1751" t="s">
        <v>3362</v>
      </c>
      <c r="O1751" t="s">
        <v>3360</v>
      </c>
      <c r="P1751" t="s">
        <v>15211</v>
      </c>
      <c r="Q1751" t="s">
        <v>15211</v>
      </c>
      <c r="R1751" t="s">
        <v>15211</v>
      </c>
      <c r="S1751" t="s">
        <v>15211</v>
      </c>
      <c r="T1751" t="s">
        <v>3366</v>
      </c>
      <c r="U1751" t="s">
        <v>14053</v>
      </c>
      <c r="V1751" t="s">
        <v>15228</v>
      </c>
    </row>
    <row r="1752" spans="1:22" ht="17.399999999999999" hidden="1">
      <c r="A1752" t="s">
        <v>15392</v>
      </c>
      <c r="B1752" t="s">
        <v>15441</v>
      </c>
      <c r="C1752" t="s">
        <v>15445</v>
      </c>
      <c r="D1752" t="s">
        <v>2174</v>
      </c>
      <c r="E1752" t="s">
        <v>3463</v>
      </c>
      <c r="F1752" t="s">
        <v>3702</v>
      </c>
      <c r="G1752" s="3">
        <v>37.209221470730803</v>
      </c>
      <c r="H1752" s="3">
        <v>127.23306046526299</v>
      </c>
      <c r="I1752" t="s">
        <v>5941</v>
      </c>
      <c r="J1752" t="s">
        <v>9297</v>
      </c>
      <c r="K1752" t="s">
        <v>11592</v>
      </c>
      <c r="L1752" t="s">
        <v>3369</v>
      </c>
      <c r="M1752" t="s">
        <v>11900</v>
      </c>
      <c r="N1752" t="s">
        <v>3362</v>
      </c>
      <c r="O1752" t="s">
        <v>3359</v>
      </c>
      <c r="P1752" t="s">
        <v>15211</v>
      </c>
      <c r="Q1752" t="s">
        <v>15211</v>
      </c>
      <c r="R1752">
        <v>0</v>
      </c>
      <c r="S1752" t="s">
        <v>15211</v>
      </c>
      <c r="T1752" t="s">
        <v>3365</v>
      </c>
      <c r="U1752" t="s">
        <v>14054</v>
      </c>
      <c r="V1752" t="s">
        <v>15228</v>
      </c>
    </row>
    <row r="1753" spans="1:22" ht="17.399999999999999" hidden="1">
      <c r="A1753" t="s">
        <v>15392</v>
      </c>
      <c r="B1753" t="s">
        <v>15441</v>
      </c>
      <c r="C1753" t="s">
        <v>15445</v>
      </c>
      <c r="D1753" t="s">
        <v>2175</v>
      </c>
      <c r="E1753" t="s">
        <v>3450</v>
      </c>
      <c r="F1753" t="s">
        <v>3537</v>
      </c>
      <c r="G1753" s="3">
        <v>37.209221463252497</v>
      </c>
      <c r="H1753" s="3">
        <v>127.23306044417301</v>
      </c>
      <c r="I1753" t="s">
        <v>5942</v>
      </c>
      <c r="J1753" t="s">
        <v>9298</v>
      </c>
      <c r="K1753" t="s">
        <v>10761</v>
      </c>
      <c r="L1753" t="s">
        <v>3366</v>
      </c>
      <c r="M1753" t="s">
        <v>11902</v>
      </c>
      <c r="N1753" t="s">
        <v>3362</v>
      </c>
      <c r="O1753" t="s">
        <v>3360</v>
      </c>
      <c r="P1753" t="s">
        <v>15211</v>
      </c>
      <c r="Q1753" t="s">
        <v>15211</v>
      </c>
      <c r="R1753" t="s">
        <v>15211</v>
      </c>
      <c r="S1753" t="s">
        <v>15211</v>
      </c>
      <c r="T1753" t="s">
        <v>3366</v>
      </c>
      <c r="U1753" t="s">
        <v>14055</v>
      </c>
      <c r="V1753" t="s">
        <v>15228</v>
      </c>
    </row>
    <row r="1754" spans="1:22" ht="17.399999999999999" hidden="1">
      <c r="A1754" t="s">
        <v>15392</v>
      </c>
      <c r="B1754" t="s">
        <v>15441</v>
      </c>
      <c r="C1754" t="s">
        <v>15445</v>
      </c>
      <c r="D1754" t="s">
        <v>2176</v>
      </c>
      <c r="E1754" t="s">
        <v>3460</v>
      </c>
      <c r="F1754" t="s">
        <v>3580</v>
      </c>
      <c r="G1754" s="3">
        <v>37.209221460407697</v>
      </c>
      <c r="H1754" s="3">
        <v>127.233060439154</v>
      </c>
      <c r="I1754" t="s">
        <v>5943</v>
      </c>
      <c r="J1754" t="s">
        <v>9299</v>
      </c>
      <c r="K1754" t="s">
        <v>11593</v>
      </c>
      <c r="L1754" t="s">
        <v>3366</v>
      </c>
      <c r="M1754" t="s">
        <v>11902</v>
      </c>
      <c r="N1754" t="s">
        <v>3362</v>
      </c>
      <c r="O1754" t="s">
        <v>3360</v>
      </c>
      <c r="P1754" t="s">
        <v>15211</v>
      </c>
      <c r="Q1754" t="s">
        <v>15211</v>
      </c>
      <c r="R1754" t="s">
        <v>15211</v>
      </c>
      <c r="S1754" t="s">
        <v>15211</v>
      </c>
      <c r="T1754" t="s">
        <v>3366</v>
      </c>
      <c r="U1754" t="s">
        <v>14056</v>
      </c>
      <c r="V1754" t="s">
        <v>15228</v>
      </c>
    </row>
    <row r="1755" spans="1:22" ht="17.399999999999999" hidden="1">
      <c r="A1755" t="s">
        <v>15392</v>
      </c>
      <c r="B1755" t="s">
        <v>15441</v>
      </c>
      <c r="C1755" t="s">
        <v>15445</v>
      </c>
      <c r="D1755" t="s">
        <v>2177</v>
      </c>
      <c r="E1755" t="s">
        <v>3463</v>
      </c>
      <c r="F1755" t="s">
        <v>3553</v>
      </c>
      <c r="G1755" s="3">
        <v>37.209221461039199</v>
      </c>
      <c r="H1755" s="3">
        <v>127.233060421836</v>
      </c>
      <c r="I1755" t="s">
        <v>5944</v>
      </c>
      <c r="J1755" t="s">
        <v>9300</v>
      </c>
      <c r="K1755" t="s">
        <v>10930</v>
      </c>
      <c r="L1755" t="s">
        <v>3366</v>
      </c>
      <c r="M1755" t="s">
        <v>11902</v>
      </c>
      <c r="N1755" t="s">
        <v>3362</v>
      </c>
      <c r="O1755" t="s">
        <v>3360</v>
      </c>
      <c r="P1755" t="s">
        <v>15211</v>
      </c>
      <c r="Q1755" t="s">
        <v>15211</v>
      </c>
      <c r="R1755" t="s">
        <v>15211</v>
      </c>
      <c r="S1755" t="s">
        <v>15211</v>
      </c>
      <c r="T1755" t="s">
        <v>3366</v>
      </c>
      <c r="U1755" t="s">
        <v>14057</v>
      </c>
      <c r="V1755" t="s">
        <v>15228</v>
      </c>
    </row>
    <row r="1756" spans="1:22" ht="17.399999999999999" hidden="1">
      <c r="A1756" t="s">
        <v>15392</v>
      </c>
      <c r="B1756" t="s">
        <v>15441</v>
      </c>
      <c r="C1756" t="s">
        <v>15446</v>
      </c>
      <c r="D1756" t="s">
        <v>2178</v>
      </c>
      <c r="E1756" t="s">
        <v>3546</v>
      </c>
      <c r="F1756" t="s">
        <v>3585</v>
      </c>
      <c r="G1756" s="3">
        <v>37.209221603274401</v>
      </c>
      <c r="H1756" s="3">
        <v>127.23306056488499</v>
      </c>
      <c r="I1756" t="s">
        <v>5945</v>
      </c>
      <c r="J1756" t="s">
        <v>9301</v>
      </c>
      <c r="K1756" t="s">
        <v>11594</v>
      </c>
      <c r="L1756" t="s">
        <v>3366</v>
      </c>
      <c r="M1756" t="s">
        <v>11902</v>
      </c>
      <c r="N1756" t="s">
        <v>3362</v>
      </c>
      <c r="O1756" t="s">
        <v>3360</v>
      </c>
      <c r="P1756" t="s">
        <v>15211</v>
      </c>
      <c r="Q1756" t="s">
        <v>15211</v>
      </c>
      <c r="R1756" t="s">
        <v>15211</v>
      </c>
      <c r="S1756" t="s">
        <v>15211</v>
      </c>
      <c r="T1756" t="s">
        <v>3366</v>
      </c>
      <c r="U1756" t="s">
        <v>14058</v>
      </c>
      <c r="V1756" t="s">
        <v>15229</v>
      </c>
    </row>
    <row r="1757" spans="1:22" ht="17.399999999999999" hidden="1">
      <c r="A1757" t="s">
        <v>15392</v>
      </c>
      <c r="B1757" t="s">
        <v>15441</v>
      </c>
      <c r="C1757" t="s">
        <v>15446</v>
      </c>
      <c r="D1757" t="s">
        <v>2179</v>
      </c>
      <c r="E1757" t="s">
        <v>3426</v>
      </c>
      <c r="F1757" t="s">
        <v>3529</v>
      </c>
      <c r="G1757" s="3">
        <v>37.209221655588898</v>
      </c>
      <c r="H1757" s="3">
        <v>127.233060325751</v>
      </c>
      <c r="I1757" t="s">
        <v>5946</v>
      </c>
      <c r="J1757" t="s">
        <v>9302</v>
      </c>
      <c r="K1757" t="s">
        <v>11595</v>
      </c>
      <c r="L1757" t="s">
        <v>3366</v>
      </c>
      <c r="M1757" t="s">
        <v>11902</v>
      </c>
      <c r="N1757" t="s">
        <v>3362</v>
      </c>
      <c r="O1757" t="s">
        <v>3359</v>
      </c>
      <c r="P1757" t="s">
        <v>15211</v>
      </c>
      <c r="Q1757" t="s">
        <v>15211</v>
      </c>
      <c r="R1757" t="s">
        <v>15211</v>
      </c>
      <c r="S1757" t="s">
        <v>15211</v>
      </c>
      <c r="T1757" t="s">
        <v>3365</v>
      </c>
      <c r="U1757" t="s">
        <v>14059</v>
      </c>
      <c r="V1757" t="s">
        <v>15229</v>
      </c>
    </row>
    <row r="1758" spans="1:22" ht="17.399999999999999" hidden="1">
      <c r="A1758" t="s">
        <v>15392</v>
      </c>
      <c r="B1758" t="s">
        <v>15441</v>
      </c>
      <c r="C1758" t="s">
        <v>15446</v>
      </c>
      <c r="D1758" t="s">
        <v>2180</v>
      </c>
      <c r="E1758" t="s">
        <v>3442</v>
      </c>
      <c r="F1758" t="s">
        <v>3540</v>
      </c>
      <c r="G1758" s="3">
        <v>37.209221685801502</v>
      </c>
      <c r="H1758" s="3">
        <v>127.23306023777801</v>
      </c>
      <c r="I1758" t="s">
        <v>5947</v>
      </c>
      <c r="J1758" t="s">
        <v>9303</v>
      </c>
      <c r="K1758" t="s">
        <v>11596</v>
      </c>
      <c r="L1758" t="s">
        <v>3366</v>
      </c>
      <c r="M1758" t="s">
        <v>11902</v>
      </c>
      <c r="N1758" t="s">
        <v>3362</v>
      </c>
      <c r="O1758" t="s">
        <v>3359</v>
      </c>
      <c r="P1758" t="s">
        <v>15211</v>
      </c>
      <c r="Q1758" t="s">
        <v>15211</v>
      </c>
      <c r="R1758" t="s">
        <v>15211</v>
      </c>
      <c r="S1758" t="s">
        <v>15211</v>
      </c>
      <c r="T1758" t="s">
        <v>3365</v>
      </c>
      <c r="U1758" t="s">
        <v>14060</v>
      </c>
      <c r="V1758" t="s">
        <v>15229</v>
      </c>
    </row>
    <row r="1759" spans="1:22" ht="17.399999999999999" hidden="1">
      <c r="A1759" t="s">
        <v>15392</v>
      </c>
      <c r="B1759" t="s">
        <v>15441</v>
      </c>
      <c r="C1759" t="s">
        <v>15446</v>
      </c>
      <c r="D1759" t="s">
        <v>2181</v>
      </c>
      <c r="E1759" t="s">
        <v>3441</v>
      </c>
      <c r="F1759" t="s">
        <v>3540</v>
      </c>
      <c r="G1759" s="3">
        <v>37.209221706089899</v>
      </c>
      <c r="H1759" s="3">
        <v>127.233060235678</v>
      </c>
      <c r="I1759" t="s">
        <v>5948</v>
      </c>
      <c r="J1759" t="s">
        <v>9304</v>
      </c>
      <c r="K1759" t="s">
        <v>11597</v>
      </c>
      <c r="L1759" t="s">
        <v>3366</v>
      </c>
      <c r="M1759" t="s">
        <v>11902</v>
      </c>
      <c r="N1759" t="s">
        <v>3362</v>
      </c>
      <c r="O1759" t="s">
        <v>3360</v>
      </c>
      <c r="P1759" t="s">
        <v>15211</v>
      </c>
      <c r="Q1759" t="s">
        <v>15211</v>
      </c>
      <c r="R1759" t="s">
        <v>15211</v>
      </c>
      <c r="S1759" t="s">
        <v>15211</v>
      </c>
      <c r="T1759" t="s">
        <v>3366</v>
      </c>
      <c r="U1759" t="s">
        <v>14061</v>
      </c>
      <c r="V1759" t="s">
        <v>15229</v>
      </c>
    </row>
    <row r="1760" spans="1:22" ht="17.399999999999999" hidden="1">
      <c r="A1760" t="s">
        <v>15392</v>
      </c>
      <c r="B1760" t="s">
        <v>15441</v>
      </c>
      <c r="C1760" t="s">
        <v>15446</v>
      </c>
      <c r="D1760" t="s">
        <v>2182</v>
      </c>
      <c r="E1760" t="s">
        <v>3441</v>
      </c>
      <c r="F1760" t="s">
        <v>3540</v>
      </c>
      <c r="G1760" s="3">
        <v>37.209221721842702</v>
      </c>
      <c r="H1760" s="3">
        <v>127.23306023196901</v>
      </c>
      <c r="I1760" t="s">
        <v>5949</v>
      </c>
      <c r="J1760" t="s">
        <v>9305</v>
      </c>
      <c r="K1760" t="s">
        <v>11300</v>
      </c>
      <c r="L1760" t="s">
        <v>3366</v>
      </c>
      <c r="M1760" t="s">
        <v>11902</v>
      </c>
      <c r="N1760" t="s">
        <v>3362</v>
      </c>
      <c r="O1760" t="s">
        <v>3360</v>
      </c>
      <c r="P1760" t="s">
        <v>15211</v>
      </c>
      <c r="Q1760" t="s">
        <v>15211</v>
      </c>
      <c r="R1760" t="s">
        <v>15211</v>
      </c>
      <c r="S1760" t="s">
        <v>15211</v>
      </c>
      <c r="T1760" t="s">
        <v>3366</v>
      </c>
      <c r="U1760" t="s">
        <v>14062</v>
      </c>
      <c r="V1760" t="s">
        <v>15229</v>
      </c>
    </row>
    <row r="1761" spans="1:22" ht="17.399999999999999" hidden="1">
      <c r="A1761" t="s">
        <v>15392</v>
      </c>
      <c r="B1761" t="s">
        <v>15441</v>
      </c>
      <c r="C1761" t="s">
        <v>15448</v>
      </c>
      <c r="D1761" t="s">
        <v>2183</v>
      </c>
      <c r="E1761" t="s">
        <v>3460</v>
      </c>
      <c r="F1761" t="s">
        <v>3598</v>
      </c>
      <c r="G1761" s="3">
        <v>37.209221634230197</v>
      </c>
      <c r="H1761" s="3">
        <v>127.233060109633</v>
      </c>
      <c r="I1761" t="s">
        <v>5950</v>
      </c>
      <c r="J1761" t="s">
        <v>9306</v>
      </c>
      <c r="K1761" t="s">
        <v>10710</v>
      </c>
      <c r="L1761" t="s">
        <v>3366</v>
      </c>
      <c r="M1761" t="s">
        <v>11908</v>
      </c>
      <c r="N1761" t="s">
        <v>3361</v>
      </c>
      <c r="O1761" t="s">
        <v>3361</v>
      </c>
      <c r="P1761" t="s">
        <v>3361</v>
      </c>
      <c r="Q1761" t="s">
        <v>3360</v>
      </c>
      <c r="R1761" t="s">
        <v>3358</v>
      </c>
      <c r="S1761" t="s">
        <v>15211</v>
      </c>
      <c r="T1761" t="s">
        <v>3377</v>
      </c>
      <c r="U1761" t="s">
        <v>14063</v>
      </c>
      <c r="V1761" t="s">
        <v>15230</v>
      </c>
    </row>
    <row r="1762" spans="1:22" ht="17.399999999999999" hidden="1">
      <c r="A1762" t="s">
        <v>15392</v>
      </c>
      <c r="B1762" t="s">
        <v>15441</v>
      </c>
      <c r="C1762" t="s">
        <v>15448</v>
      </c>
      <c r="D1762" t="s">
        <v>2184</v>
      </c>
      <c r="E1762" t="s">
        <v>3465</v>
      </c>
      <c r="F1762" t="s">
        <v>3580</v>
      </c>
      <c r="G1762" s="3">
        <v>37.209221702587001</v>
      </c>
      <c r="H1762" s="3">
        <v>127.233060170664</v>
      </c>
      <c r="I1762" t="s">
        <v>5951</v>
      </c>
      <c r="J1762" t="s">
        <v>9307</v>
      </c>
      <c r="K1762" t="s">
        <v>10484</v>
      </c>
      <c r="L1762" t="s">
        <v>3366</v>
      </c>
      <c r="M1762" t="s">
        <v>11908</v>
      </c>
      <c r="N1762" t="s">
        <v>3360</v>
      </c>
      <c r="O1762" t="s">
        <v>3361</v>
      </c>
      <c r="P1762" t="s">
        <v>3361</v>
      </c>
      <c r="Q1762" t="s">
        <v>3360</v>
      </c>
      <c r="R1762" t="s">
        <v>3358</v>
      </c>
      <c r="S1762" t="s">
        <v>15211</v>
      </c>
      <c r="T1762" t="s">
        <v>3376</v>
      </c>
      <c r="U1762" t="s">
        <v>14064</v>
      </c>
      <c r="V1762" t="s">
        <v>15230</v>
      </c>
    </row>
    <row r="1763" spans="1:22" ht="17.399999999999999" hidden="1">
      <c r="A1763" t="s">
        <v>15392</v>
      </c>
      <c r="B1763" t="s">
        <v>15441</v>
      </c>
      <c r="C1763" t="s">
        <v>15448</v>
      </c>
      <c r="D1763" t="s">
        <v>2185</v>
      </c>
      <c r="E1763" t="s">
        <v>3478</v>
      </c>
      <c r="F1763" t="s">
        <v>3645</v>
      </c>
      <c r="G1763" s="3">
        <v>37.209221695877602</v>
      </c>
      <c r="H1763" s="3">
        <v>127.23306001932799</v>
      </c>
      <c r="I1763" t="s">
        <v>5952</v>
      </c>
      <c r="J1763" t="s">
        <v>9308</v>
      </c>
      <c r="K1763" t="s">
        <v>10945</v>
      </c>
      <c r="L1763" t="s">
        <v>3366</v>
      </c>
      <c r="M1763" t="s">
        <v>11908</v>
      </c>
      <c r="N1763" t="s">
        <v>3360</v>
      </c>
      <c r="O1763" t="s">
        <v>3361</v>
      </c>
      <c r="P1763" t="s">
        <v>3361</v>
      </c>
      <c r="Q1763" t="s">
        <v>3360</v>
      </c>
      <c r="R1763" t="s">
        <v>3358</v>
      </c>
      <c r="S1763" t="s">
        <v>15211</v>
      </c>
      <c r="T1763" t="s">
        <v>3376</v>
      </c>
      <c r="U1763" t="s">
        <v>14065</v>
      </c>
      <c r="V1763" t="s">
        <v>15230</v>
      </c>
    </row>
    <row r="1764" spans="1:22" ht="17.399999999999999" hidden="1">
      <c r="A1764" t="s">
        <v>15392</v>
      </c>
      <c r="B1764" t="s">
        <v>15441</v>
      </c>
      <c r="C1764" t="s">
        <v>15448</v>
      </c>
      <c r="D1764" t="s">
        <v>2186</v>
      </c>
      <c r="E1764" t="s">
        <v>3465</v>
      </c>
      <c r="F1764" t="s">
        <v>3664</v>
      </c>
      <c r="G1764" s="3">
        <v>37.209221657445497</v>
      </c>
      <c r="H1764" s="3">
        <v>127.233059990976</v>
      </c>
      <c r="I1764" t="s">
        <v>5953</v>
      </c>
      <c r="J1764" t="s">
        <v>9309</v>
      </c>
      <c r="K1764" t="s">
        <v>11598</v>
      </c>
      <c r="L1764" t="s">
        <v>3366</v>
      </c>
      <c r="M1764" t="s">
        <v>11908</v>
      </c>
      <c r="N1764" t="s">
        <v>3360</v>
      </c>
      <c r="O1764" t="s">
        <v>3361</v>
      </c>
      <c r="P1764" t="s">
        <v>3361</v>
      </c>
      <c r="Q1764" t="s">
        <v>3360</v>
      </c>
      <c r="R1764" t="s">
        <v>3358</v>
      </c>
      <c r="S1764" t="s">
        <v>15211</v>
      </c>
      <c r="T1764" t="s">
        <v>3376</v>
      </c>
      <c r="U1764" t="s">
        <v>14066</v>
      </c>
      <c r="V1764" t="s">
        <v>15230</v>
      </c>
    </row>
    <row r="1765" spans="1:22" ht="17.399999999999999" hidden="1">
      <c r="A1765" t="s">
        <v>15392</v>
      </c>
      <c r="B1765" t="s">
        <v>15441</v>
      </c>
      <c r="C1765" t="s">
        <v>15448</v>
      </c>
      <c r="D1765" t="s">
        <v>2187</v>
      </c>
      <c r="E1765" t="s">
        <v>3466</v>
      </c>
      <c r="F1765" t="s">
        <v>3580</v>
      </c>
      <c r="G1765" s="3">
        <v>37.209221623075699</v>
      </c>
      <c r="H1765" s="3">
        <v>127.233059947828</v>
      </c>
      <c r="I1765" t="s">
        <v>5954</v>
      </c>
      <c r="J1765" t="s">
        <v>9310</v>
      </c>
      <c r="K1765" t="s">
        <v>10638</v>
      </c>
      <c r="L1765" t="s">
        <v>3366</v>
      </c>
      <c r="M1765" t="s">
        <v>11908</v>
      </c>
      <c r="N1765" t="s">
        <v>3360</v>
      </c>
      <c r="O1765" t="s">
        <v>3361</v>
      </c>
      <c r="P1765" t="s">
        <v>3361</v>
      </c>
      <c r="Q1765" t="s">
        <v>3360</v>
      </c>
      <c r="R1765" t="s">
        <v>3358</v>
      </c>
      <c r="S1765" t="s">
        <v>15211</v>
      </c>
      <c r="T1765" t="s">
        <v>3376</v>
      </c>
      <c r="U1765" t="s">
        <v>14067</v>
      </c>
      <c r="V1765" t="s">
        <v>15230</v>
      </c>
    </row>
    <row r="1766" spans="1:22" ht="17.399999999999999" hidden="1">
      <c r="A1766" t="s">
        <v>15392</v>
      </c>
      <c r="B1766" t="s">
        <v>15441</v>
      </c>
      <c r="C1766" t="s">
        <v>15449</v>
      </c>
      <c r="D1766" t="s">
        <v>2188</v>
      </c>
      <c r="E1766" t="s">
        <v>3453</v>
      </c>
      <c r="F1766" t="s">
        <v>3544</v>
      </c>
      <c r="G1766" s="3">
        <v>37.2092215500099</v>
      </c>
      <c r="H1766" s="3">
        <v>127.23306024293601</v>
      </c>
      <c r="I1766" t="s">
        <v>5955</v>
      </c>
      <c r="J1766" t="s">
        <v>9311</v>
      </c>
      <c r="K1766" t="s">
        <v>11599</v>
      </c>
      <c r="L1766" t="s">
        <v>3366</v>
      </c>
      <c r="M1766" t="s">
        <v>11895</v>
      </c>
      <c r="N1766" t="s">
        <v>3361</v>
      </c>
      <c r="O1766" t="s">
        <v>15211</v>
      </c>
      <c r="P1766" t="s">
        <v>3360</v>
      </c>
      <c r="Q1766" t="s">
        <v>3360</v>
      </c>
      <c r="R1766" t="s">
        <v>3358</v>
      </c>
      <c r="S1766" t="s">
        <v>15211</v>
      </c>
      <c r="T1766" t="s">
        <v>3371</v>
      </c>
      <c r="U1766" t="s">
        <v>14068</v>
      </c>
      <c r="V1766" t="s">
        <v>15231</v>
      </c>
    </row>
    <row r="1767" spans="1:22" ht="17.399999999999999" hidden="1">
      <c r="A1767" t="s">
        <v>15392</v>
      </c>
      <c r="B1767" t="s">
        <v>15441</v>
      </c>
      <c r="C1767" t="s">
        <v>15449</v>
      </c>
      <c r="D1767" t="s">
        <v>2189</v>
      </c>
      <c r="E1767" t="s">
        <v>3453</v>
      </c>
      <c r="F1767" t="s">
        <v>3541</v>
      </c>
      <c r="G1767" s="3">
        <v>37.209221593622701</v>
      </c>
      <c r="H1767" s="3">
        <v>127.233060228932</v>
      </c>
      <c r="I1767" t="s">
        <v>5956</v>
      </c>
      <c r="J1767" t="s">
        <v>9312</v>
      </c>
      <c r="K1767" t="s">
        <v>11600</v>
      </c>
      <c r="L1767" t="s">
        <v>3366</v>
      </c>
      <c r="M1767" t="s">
        <v>11895</v>
      </c>
      <c r="N1767" t="s">
        <v>3361</v>
      </c>
      <c r="O1767" t="s">
        <v>15211</v>
      </c>
      <c r="P1767" t="s">
        <v>3360</v>
      </c>
      <c r="Q1767" t="s">
        <v>3360</v>
      </c>
      <c r="R1767" t="s">
        <v>3358</v>
      </c>
      <c r="S1767" t="s">
        <v>15211</v>
      </c>
      <c r="T1767" t="s">
        <v>3371</v>
      </c>
      <c r="U1767" t="s">
        <v>14069</v>
      </c>
      <c r="V1767" t="s">
        <v>15231</v>
      </c>
    </row>
    <row r="1768" spans="1:22" ht="17.399999999999999" hidden="1">
      <c r="A1768" t="s">
        <v>15392</v>
      </c>
      <c r="B1768" t="s">
        <v>15441</v>
      </c>
      <c r="C1768" t="s">
        <v>15449</v>
      </c>
      <c r="D1768" t="s">
        <v>2190</v>
      </c>
      <c r="E1768" t="s">
        <v>3452</v>
      </c>
      <c r="F1768" t="s">
        <v>3610</v>
      </c>
      <c r="G1768" s="3">
        <v>37.209221596085598</v>
      </c>
      <c r="H1768" s="3">
        <v>127.233060186034</v>
      </c>
      <c r="I1768" t="s">
        <v>5957</v>
      </c>
      <c r="J1768" t="s">
        <v>9313</v>
      </c>
      <c r="K1768" t="s">
        <v>10492</v>
      </c>
      <c r="L1768" t="s">
        <v>3366</v>
      </c>
      <c r="M1768" t="s">
        <v>11895</v>
      </c>
      <c r="N1768" t="s">
        <v>3361</v>
      </c>
      <c r="O1768" t="s">
        <v>15211</v>
      </c>
      <c r="P1768" t="s">
        <v>3360</v>
      </c>
      <c r="Q1768" t="s">
        <v>3360</v>
      </c>
      <c r="R1768" t="s">
        <v>3358</v>
      </c>
      <c r="S1768" t="s">
        <v>15211</v>
      </c>
      <c r="T1768" t="s">
        <v>3371</v>
      </c>
      <c r="U1768" t="s">
        <v>14070</v>
      </c>
      <c r="V1768" t="s">
        <v>15231</v>
      </c>
    </row>
    <row r="1769" spans="1:22" ht="17.399999999999999" hidden="1">
      <c r="A1769" t="s">
        <v>15392</v>
      </c>
      <c r="B1769" t="s">
        <v>15441</v>
      </c>
      <c r="C1769" t="s">
        <v>15449</v>
      </c>
      <c r="D1769" t="s">
        <v>2191</v>
      </c>
      <c r="E1769" t="s">
        <v>3452</v>
      </c>
      <c r="F1769" t="s">
        <v>3610</v>
      </c>
      <c r="G1769" s="3">
        <v>37.209221606978097</v>
      </c>
      <c r="H1769" s="3">
        <v>127.233060160869</v>
      </c>
      <c r="I1769" t="s">
        <v>5958</v>
      </c>
      <c r="J1769" t="s">
        <v>9314</v>
      </c>
      <c r="K1769" t="s">
        <v>11601</v>
      </c>
      <c r="L1769" t="s">
        <v>3366</v>
      </c>
      <c r="M1769" t="s">
        <v>11895</v>
      </c>
      <c r="N1769" t="s">
        <v>3361</v>
      </c>
      <c r="O1769" t="s">
        <v>15211</v>
      </c>
      <c r="P1769" t="s">
        <v>3360</v>
      </c>
      <c r="Q1769" t="s">
        <v>3360</v>
      </c>
      <c r="R1769" t="s">
        <v>3358</v>
      </c>
      <c r="S1769" t="s">
        <v>15211</v>
      </c>
      <c r="T1769" t="s">
        <v>3371</v>
      </c>
      <c r="U1769" t="s">
        <v>14071</v>
      </c>
      <c r="V1769" t="s">
        <v>15231</v>
      </c>
    </row>
    <row r="1770" spans="1:22" ht="17.399999999999999" hidden="1">
      <c r="A1770" t="s">
        <v>15392</v>
      </c>
      <c r="B1770" t="s">
        <v>15441</v>
      </c>
      <c r="C1770" t="s">
        <v>15449</v>
      </c>
      <c r="D1770" t="s">
        <v>2192</v>
      </c>
      <c r="E1770" t="s">
        <v>3433</v>
      </c>
      <c r="F1770" t="s">
        <v>3534</v>
      </c>
      <c r="G1770" s="3">
        <v>37.209221631414998</v>
      </c>
      <c r="H1770" s="3">
        <v>127.23306013113999</v>
      </c>
      <c r="I1770" t="s">
        <v>5959</v>
      </c>
      <c r="J1770" t="s">
        <v>9315</v>
      </c>
      <c r="K1770" t="s">
        <v>11602</v>
      </c>
      <c r="L1770" t="s">
        <v>3366</v>
      </c>
      <c r="M1770" t="s">
        <v>11903</v>
      </c>
      <c r="N1770" t="s">
        <v>3361</v>
      </c>
      <c r="O1770" t="s">
        <v>15211</v>
      </c>
      <c r="P1770" t="s">
        <v>3361</v>
      </c>
      <c r="Q1770" t="s">
        <v>3360</v>
      </c>
      <c r="R1770" t="s">
        <v>3358</v>
      </c>
      <c r="S1770" t="s">
        <v>15211</v>
      </c>
      <c r="T1770" t="s">
        <v>3372</v>
      </c>
      <c r="U1770" t="s">
        <v>14072</v>
      </c>
      <c r="V1770" t="s">
        <v>15231</v>
      </c>
    </row>
    <row r="1771" spans="1:22" ht="17.399999999999999" hidden="1">
      <c r="A1771" t="s">
        <v>15392</v>
      </c>
      <c r="B1771" t="s">
        <v>15441</v>
      </c>
      <c r="C1771" t="s">
        <v>15447</v>
      </c>
      <c r="D1771" t="s">
        <v>2193</v>
      </c>
      <c r="E1771" t="s">
        <v>3547</v>
      </c>
      <c r="F1771" t="s">
        <v>3703</v>
      </c>
      <c r="G1771" s="3">
        <v>37.209218677789799</v>
      </c>
      <c r="H1771" s="3">
        <v>127.233064968105</v>
      </c>
      <c r="I1771" t="s">
        <v>5960</v>
      </c>
      <c r="J1771" t="s">
        <v>9316</v>
      </c>
      <c r="K1771" t="s">
        <v>11603</v>
      </c>
      <c r="L1771" t="s">
        <v>3366</v>
      </c>
      <c r="M1771" t="s">
        <v>11915</v>
      </c>
      <c r="N1771" t="s">
        <v>3361</v>
      </c>
      <c r="O1771" t="s">
        <v>15211</v>
      </c>
      <c r="P1771" t="s">
        <v>15211</v>
      </c>
      <c r="Q1771" t="s">
        <v>15211</v>
      </c>
      <c r="R1771" t="s">
        <v>15211</v>
      </c>
      <c r="S1771" t="s">
        <v>15211</v>
      </c>
      <c r="T1771" t="s">
        <v>3361</v>
      </c>
      <c r="U1771" t="s">
        <v>14073</v>
      </c>
      <c r="V1771" t="s">
        <v>15235</v>
      </c>
    </row>
    <row r="1772" spans="1:22" ht="17.399999999999999" hidden="1">
      <c r="A1772" t="s">
        <v>15392</v>
      </c>
      <c r="B1772" t="s">
        <v>15441</v>
      </c>
      <c r="C1772" t="s">
        <v>15447</v>
      </c>
      <c r="D1772" t="s">
        <v>2194</v>
      </c>
      <c r="E1772" t="s">
        <v>3548</v>
      </c>
      <c r="F1772" t="s">
        <v>3499</v>
      </c>
      <c r="G1772" s="3">
        <v>37.209219121650897</v>
      </c>
      <c r="H1772" s="3">
        <v>127.233064450613</v>
      </c>
      <c r="I1772" t="s">
        <v>5961</v>
      </c>
      <c r="J1772" t="s">
        <v>9317</v>
      </c>
      <c r="K1772" t="s">
        <v>11604</v>
      </c>
      <c r="L1772" t="s">
        <v>3367</v>
      </c>
      <c r="M1772" t="s">
        <v>11897</v>
      </c>
      <c r="N1772" t="s">
        <v>3361</v>
      </c>
      <c r="O1772" t="s">
        <v>15211</v>
      </c>
      <c r="P1772" t="s">
        <v>15211</v>
      </c>
      <c r="Q1772" t="s">
        <v>15211</v>
      </c>
      <c r="R1772" t="s">
        <v>15211</v>
      </c>
      <c r="S1772" t="s">
        <v>15211</v>
      </c>
      <c r="T1772" t="s">
        <v>3361</v>
      </c>
      <c r="U1772" t="s">
        <v>14074</v>
      </c>
      <c r="V1772" t="s">
        <v>15235</v>
      </c>
    </row>
    <row r="1773" spans="1:22" ht="17.399999999999999" hidden="1">
      <c r="A1773" t="s">
        <v>15392</v>
      </c>
      <c r="B1773" t="s">
        <v>15441</v>
      </c>
      <c r="C1773" t="s">
        <v>15447</v>
      </c>
      <c r="D1773" t="s">
        <v>2195</v>
      </c>
      <c r="E1773" t="s">
        <v>3549</v>
      </c>
      <c r="F1773" t="s">
        <v>3704</v>
      </c>
      <c r="G1773" s="3">
        <v>37.209219437403803</v>
      </c>
      <c r="H1773" s="3">
        <v>127.233063759952</v>
      </c>
      <c r="I1773" t="s">
        <v>5962</v>
      </c>
      <c r="J1773" t="s">
        <v>9318</v>
      </c>
      <c r="K1773" t="s">
        <v>11605</v>
      </c>
      <c r="L1773" t="s">
        <v>3377</v>
      </c>
      <c r="M1773" t="s">
        <v>11897</v>
      </c>
      <c r="N1773" t="s">
        <v>3360</v>
      </c>
      <c r="O1773" t="s">
        <v>15211</v>
      </c>
      <c r="P1773" t="s">
        <v>15211</v>
      </c>
      <c r="Q1773" t="s">
        <v>15211</v>
      </c>
      <c r="R1773" t="s">
        <v>15211</v>
      </c>
      <c r="S1773" t="s">
        <v>15211</v>
      </c>
      <c r="T1773" t="s">
        <v>3360</v>
      </c>
      <c r="U1773" t="s">
        <v>14075</v>
      </c>
      <c r="V1773" t="s">
        <v>15235</v>
      </c>
    </row>
    <row r="1774" spans="1:22" ht="17.399999999999999" hidden="1">
      <c r="A1774" t="s">
        <v>15392</v>
      </c>
      <c r="B1774" t="s">
        <v>15442</v>
      </c>
      <c r="C1774" t="s">
        <v>15450</v>
      </c>
      <c r="D1774" t="s">
        <v>2196</v>
      </c>
      <c r="E1774" t="s">
        <v>3550</v>
      </c>
      <c r="F1774" t="s">
        <v>3705</v>
      </c>
      <c r="G1774" s="3">
        <v>37.2092212654345</v>
      </c>
      <c r="H1774" s="3">
        <v>127.233061446505</v>
      </c>
      <c r="I1774" t="s">
        <v>5963</v>
      </c>
      <c r="J1774" t="s">
        <v>9319</v>
      </c>
      <c r="K1774" t="s">
        <v>11210</v>
      </c>
      <c r="L1774" t="s">
        <v>3366</v>
      </c>
      <c r="M1774" t="s">
        <v>11902</v>
      </c>
      <c r="N1774" t="s">
        <v>3362</v>
      </c>
      <c r="O1774" t="s">
        <v>3361</v>
      </c>
      <c r="P1774" t="s">
        <v>15211</v>
      </c>
      <c r="Q1774" t="s">
        <v>15211</v>
      </c>
      <c r="R1774" t="s">
        <v>15211</v>
      </c>
      <c r="S1774" t="s">
        <v>15211</v>
      </c>
      <c r="T1774" t="s">
        <v>3367</v>
      </c>
      <c r="U1774" t="s">
        <v>14076</v>
      </c>
      <c r="V1774" t="s">
        <v>15232</v>
      </c>
    </row>
    <row r="1775" spans="1:22" ht="17.399999999999999" hidden="1">
      <c r="A1775" t="s">
        <v>15392</v>
      </c>
      <c r="B1775" t="s">
        <v>15442</v>
      </c>
      <c r="C1775" t="s">
        <v>15450</v>
      </c>
      <c r="D1775" t="s">
        <v>2197</v>
      </c>
      <c r="E1775" t="s">
        <v>3551</v>
      </c>
      <c r="F1775" t="s">
        <v>3696</v>
      </c>
      <c r="G1775" s="3">
        <v>37.2092213296064</v>
      </c>
      <c r="H1775" s="3">
        <v>127.233061246568</v>
      </c>
      <c r="I1775" t="s">
        <v>5964</v>
      </c>
      <c r="J1775" t="s">
        <v>9320</v>
      </c>
      <c r="K1775" t="s">
        <v>10970</v>
      </c>
      <c r="L1775" t="s">
        <v>3367</v>
      </c>
      <c r="M1775" t="s">
        <v>11886</v>
      </c>
      <c r="N1775" t="s">
        <v>3361</v>
      </c>
      <c r="O1775" t="s">
        <v>3362</v>
      </c>
      <c r="P1775" t="s">
        <v>15211</v>
      </c>
      <c r="Q1775" t="s">
        <v>15211</v>
      </c>
      <c r="R1775" t="s">
        <v>15211</v>
      </c>
      <c r="S1775" t="s">
        <v>15211</v>
      </c>
      <c r="T1775" t="s">
        <v>3367</v>
      </c>
      <c r="U1775" t="s">
        <v>14077</v>
      </c>
      <c r="V1775" t="s">
        <v>15232</v>
      </c>
    </row>
    <row r="1776" spans="1:22" ht="17.399999999999999" hidden="1">
      <c r="A1776" t="s">
        <v>15392</v>
      </c>
      <c r="B1776" t="s">
        <v>15442</v>
      </c>
      <c r="C1776" t="s">
        <v>15450</v>
      </c>
      <c r="D1776" t="s">
        <v>2198</v>
      </c>
      <c r="E1776" t="s">
        <v>3552</v>
      </c>
      <c r="F1776" t="s">
        <v>3556</v>
      </c>
      <c r="G1776" s="3">
        <v>37.209221283341101</v>
      </c>
      <c r="H1776" s="3">
        <v>127.23306133478</v>
      </c>
      <c r="I1776" t="s">
        <v>5965</v>
      </c>
      <c r="J1776" t="s">
        <v>9321</v>
      </c>
      <c r="K1776" t="s">
        <v>11606</v>
      </c>
      <c r="L1776" t="s">
        <v>3366</v>
      </c>
      <c r="M1776" t="s">
        <v>11886</v>
      </c>
      <c r="N1776" t="s">
        <v>3361</v>
      </c>
      <c r="O1776" t="s">
        <v>3362</v>
      </c>
      <c r="P1776" t="s">
        <v>15211</v>
      </c>
      <c r="Q1776" t="s">
        <v>15211</v>
      </c>
      <c r="R1776" t="s">
        <v>15211</v>
      </c>
      <c r="S1776" t="s">
        <v>15211</v>
      </c>
      <c r="T1776" t="s">
        <v>3367</v>
      </c>
      <c r="U1776" t="s">
        <v>14078</v>
      </c>
      <c r="V1776" t="s">
        <v>15232</v>
      </c>
    </row>
    <row r="1777" spans="1:22" s="9" customFormat="1" ht="17.399999999999999" hidden="1">
      <c r="A1777" s="9" t="s">
        <v>15392</v>
      </c>
      <c r="B1777" s="9" t="s">
        <v>15442</v>
      </c>
      <c r="C1777" s="9" t="s">
        <v>15450</v>
      </c>
      <c r="D1777" s="9" t="s">
        <v>2199</v>
      </c>
      <c r="E1777" s="9" t="s">
        <v>3553</v>
      </c>
      <c r="F1777" s="9" t="s">
        <v>3706</v>
      </c>
      <c r="G1777" s="10">
        <v>37.209221260636902</v>
      </c>
      <c r="H1777" s="10">
        <v>127.23306140164701</v>
      </c>
      <c r="I1777" s="9" t="s">
        <v>5966</v>
      </c>
      <c r="J1777" s="9" t="s">
        <v>9322</v>
      </c>
      <c r="K1777" s="9" t="s">
        <v>10531</v>
      </c>
      <c r="L1777" s="9" t="s">
        <v>3366</v>
      </c>
      <c r="M1777" s="9" t="s">
        <v>11886</v>
      </c>
      <c r="N1777" s="9" t="s">
        <v>3362</v>
      </c>
      <c r="O1777" s="9" t="s">
        <v>3361</v>
      </c>
      <c r="P1777" s="9" t="s">
        <v>15211</v>
      </c>
      <c r="Q1777" s="9" t="s">
        <v>15211</v>
      </c>
      <c r="R1777" s="9" t="s">
        <v>15211</v>
      </c>
      <c r="S1777" s="9" t="s">
        <v>15211</v>
      </c>
      <c r="T1777" s="9" t="s">
        <v>3367</v>
      </c>
      <c r="U1777" s="9" t="s">
        <v>14079</v>
      </c>
      <c r="V1777" s="9" t="s">
        <v>15232</v>
      </c>
    </row>
    <row r="1778" spans="1:22" ht="17.399999999999999" hidden="1">
      <c r="A1778" t="s">
        <v>15392</v>
      </c>
      <c r="B1778" t="s">
        <v>15442</v>
      </c>
      <c r="C1778" t="s">
        <v>15450</v>
      </c>
      <c r="D1778" t="s">
        <v>2200</v>
      </c>
      <c r="E1778" t="s">
        <v>3554</v>
      </c>
      <c r="F1778" t="s">
        <v>3707</v>
      </c>
      <c r="G1778" s="3">
        <v>37.209221144712998</v>
      </c>
      <c r="H1778" s="3">
        <v>127.233061500479</v>
      </c>
      <c r="I1778" t="s">
        <v>5967</v>
      </c>
      <c r="J1778" t="s">
        <v>9323</v>
      </c>
      <c r="K1778" t="s">
        <v>10977</v>
      </c>
      <c r="L1778" t="s">
        <v>3367</v>
      </c>
      <c r="M1778" t="s">
        <v>11902</v>
      </c>
      <c r="N1778" t="s">
        <v>3361</v>
      </c>
      <c r="O1778" t="s">
        <v>3360</v>
      </c>
      <c r="P1778" t="s">
        <v>15211</v>
      </c>
      <c r="Q1778" t="s">
        <v>15211</v>
      </c>
      <c r="R1778" t="s">
        <v>15211</v>
      </c>
      <c r="S1778" t="s">
        <v>15211</v>
      </c>
      <c r="T1778" t="s">
        <v>3365</v>
      </c>
      <c r="U1778" t="s">
        <v>14076</v>
      </c>
      <c r="V1778" t="s">
        <v>15232</v>
      </c>
    </row>
    <row r="1779" spans="1:22" ht="17.399999999999999" hidden="1">
      <c r="A1779" t="s">
        <v>15392</v>
      </c>
      <c r="B1779" t="s">
        <v>15442</v>
      </c>
      <c r="C1779" t="s">
        <v>15445</v>
      </c>
      <c r="D1779" t="s">
        <v>2201</v>
      </c>
      <c r="E1779" t="s">
        <v>3425</v>
      </c>
      <c r="F1779" t="s">
        <v>3449</v>
      </c>
      <c r="G1779" s="3">
        <v>37.209221569135401</v>
      </c>
      <c r="H1779" s="3">
        <v>127.23306022468201</v>
      </c>
      <c r="I1779" t="s">
        <v>5968</v>
      </c>
      <c r="J1779" t="s">
        <v>9324</v>
      </c>
      <c r="K1779" t="s">
        <v>11607</v>
      </c>
      <c r="L1779" t="s">
        <v>3383</v>
      </c>
      <c r="M1779" t="s">
        <v>11902</v>
      </c>
      <c r="N1779" t="s">
        <v>3361</v>
      </c>
      <c r="O1779" t="s">
        <v>3361</v>
      </c>
      <c r="P1779" t="s">
        <v>15211</v>
      </c>
      <c r="Q1779" t="s">
        <v>15211</v>
      </c>
      <c r="R1779" t="s">
        <v>15211</v>
      </c>
      <c r="S1779" t="s">
        <v>15211</v>
      </c>
      <c r="T1779" t="s">
        <v>3366</v>
      </c>
      <c r="U1779" t="s">
        <v>14080</v>
      </c>
      <c r="V1779" t="s">
        <v>15233</v>
      </c>
    </row>
    <row r="1780" spans="1:22" ht="17.399999999999999" hidden="1">
      <c r="A1780" t="s">
        <v>15392</v>
      </c>
      <c r="B1780" t="s">
        <v>15442</v>
      </c>
      <c r="C1780" t="s">
        <v>15445</v>
      </c>
      <c r="D1780" t="s">
        <v>2202</v>
      </c>
      <c r="E1780" t="s">
        <v>3436</v>
      </c>
      <c r="F1780" t="s">
        <v>3450</v>
      </c>
      <c r="G1780" s="3">
        <v>37.209221553284401</v>
      </c>
      <c r="H1780" s="3">
        <v>127.233060219283</v>
      </c>
      <c r="I1780" t="s">
        <v>5969</v>
      </c>
      <c r="J1780" t="s">
        <v>9325</v>
      </c>
      <c r="K1780" t="s">
        <v>11608</v>
      </c>
      <c r="L1780" t="s">
        <v>3369</v>
      </c>
      <c r="M1780" t="s">
        <v>11886</v>
      </c>
      <c r="N1780" t="s">
        <v>3361</v>
      </c>
      <c r="O1780" t="s">
        <v>3361</v>
      </c>
      <c r="P1780" t="s">
        <v>15211</v>
      </c>
      <c r="Q1780" t="s">
        <v>15211</v>
      </c>
      <c r="R1780" t="s">
        <v>15211</v>
      </c>
      <c r="S1780" t="s">
        <v>15211</v>
      </c>
      <c r="T1780" t="s">
        <v>3366</v>
      </c>
      <c r="U1780" t="s">
        <v>14081</v>
      </c>
      <c r="V1780" t="s">
        <v>15233</v>
      </c>
    </row>
    <row r="1781" spans="1:22" ht="17.399999999999999" hidden="1">
      <c r="A1781" t="s">
        <v>15392</v>
      </c>
      <c r="B1781" t="s">
        <v>15442</v>
      </c>
      <c r="C1781" t="s">
        <v>15445</v>
      </c>
      <c r="D1781" t="s">
        <v>2203</v>
      </c>
      <c r="E1781" t="s">
        <v>3428</v>
      </c>
      <c r="F1781" t="s">
        <v>3462</v>
      </c>
      <c r="G1781" s="3">
        <v>37.2092216310539</v>
      </c>
      <c r="H1781" s="3">
        <v>127.233060187817</v>
      </c>
      <c r="I1781" t="s">
        <v>5970</v>
      </c>
      <c r="J1781" t="s">
        <v>9326</v>
      </c>
      <c r="K1781" t="s">
        <v>11609</v>
      </c>
      <c r="L1781" t="s">
        <v>3366</v>
      </c>
      <c r="M1781" t="s">
        <v>11885</v>
      </c>
      <c r="N1781" t="s">
        <v>3362</v>
      </c>
      <c r="O1781" t="s">
        <v>3362</v>
      </c>
      <c r="P1781" t="s">
        <v>15211</v>
      </c>
      <c r="Q1781" t="s">
        <v>15211</v>
      </c>
      <c r="R1781" t="s">
        <v>15211</v>
      </c>
      <c r="S1781" t="s">
        <v>15211</v>
      </c>
      <c r="T1781" t="s">
        <v>3368</v>
      </c>
      <c r="U1781" t="s">
        <v>14082</v>
      </c>
      <c r="V1781" t="s">
        <v>15233</v>
      </c>
    </row>
    <row r="1782" spans="1:22" ht="17.399999999999999" hidden="1">
      <c r="A1782" t="s">
        <v>15392</v>
      </c>
      <c r="B1782" t="s">
        <v>15442</v>
      </c>
      <c r="C1782" t="s">
        <v>15445</v>
      </c>
      <c r="D1782" t="s">
        <v>2204</v>
      </c>
      <c r="E1782" t="s">
        <v>3427</v>
      </c>
      <c r="F1782" t="s">
        <v>3461</v>
      </c>
      <c r="G1782" s="3">
        <v>37.209221740326903</v>
      </c>
      <c r="H1782" s="3">
        <v>127.23306004555501</v>
      </c>
      <c r="I1782" t="s">
        <v>5971</v>
      </c>
      <c r="J1782" t="s">
        <v>9327</v>
      </c>
      <c r="K1782" t="s">
        <v>11610</v>
      </c>
      <c r="L1782" t="s">
        <v>3366</v>
      </c>
      <c r="M1782" t="s">
        <v>11885</v>
      </c>
      <c r="N1782" t="s">
        <v>3362</v>
      </c>
      <c r="O1782" t="s">
        <v>3362</v>
      </c>
      <c r="P1782" t="s">
        <v>15211</v>
      </c>
      <c r="Q1782" t="s">
        <v>15211</v>
      </c>
      <c r="R1782" t="s">
        <v>15211</v>
      </c>
      <c r="S1782" t="s">
        <v>15211</v>
      </c>
      <c r="T1782" t="s">
        <v>3368</v>
      </c>
      <c r="U1782" t="s">
        <v>14083</v>
      </c>
      <c r="V1782" t="s">
        <v>15233</v>
      </c>
    </row>
    <row r="1783" spans="1:22" ht="17.399999999999999" hidden="1">
      <c r="A1783" t="s">
        <v>15392</v>
      </c>
      <c r="B1783" t="s">
        <v>15442</v>
      </c>
      <c r="C1783" t="s">
        <v>15445</v>
      </c>
      <c r="D1783" t="s">
        <v>2205</v>
      </c>
      <c r="E1783" t="s">
        <v>3427</v>
      </c>
      <c r="F1783" t="s">
        <v>3452</v>
      </c>
      <c r="G1783" s="3">
        <v>37.209221717159899</v>
      </c>
      <c r="H1783" s="3">
        <v>127.233059991237</v>
      </c>
      <c r="I1783" t="s">
        <v>5972</v>
      </c>
      <c r="J1783" t="s">
        <v>9328</v>
      </c>
      <c r="K1783" t="s">
        <v>11611</v>
      </c>
      <c r="L1783" t="s">
        <v>3368</v>
      </c>
      <c r="M1783" t="s">
        <v>11886</v>
      </c>
      <c r="N1783" t="s">
        <v>3361</v>
      </c>
      <c r="O1783" t="s">
        <v>3361</v>
      </c>
      <c r="P1783" t="s">
        <v>15211</v>
      </c>
      <c r="Q1783" t="s">
        <v>15211</v>
      </c>
      <c r="R1783" t="s">
        <v>15211</v>
      </c>
      <c r="S1783" t="s">
        <v>15211</v>
      </c>
      <c r="T1783" t="s">
        <v>3366</v>
      </c>
      <c r="U1783" t="s">
        <v>14084</v>
      </c>
      <c r="V1783" t="s">
        <v>15233</v>
      </c>
    </row>
    <row r="1784" spans="1:22" ht="17.399999999999999" hidden="1">
      <c r="A1784" t="s">
        <v>15392</v>
      </c>
      <c r="B1784" t="s">
        <v>15442</v>
      </c>
      <c r="C1784" t="s">
        <v>15451</v>
      </c>
      <c r="D1784" t="s">
        <v>2206</v>
      </c>
      <c r="E1784" t="s">
        <v>3435</v>
      </c>
      <c r="F1784" t="s">
        <v>3478</v>
      </c>
      <c r="G1784" s="3">
        <v>37.209221468411997</v>
      </c>
      <c r="H1784" s="3">
        <v>127.23306040665101</v>
      </c>
      <c r="I1784" t="s">
        <v>5973</v>
      </c>
      <c r="J1784" t="s">
        <v>9329</v>
      </c>
      <c r="K1784" t="s">
        <v>11612</v>
      </c>
      <c r="L1784" t="s">
        <v>3366</v>
      </c>
      <c r="M1784" t="s">
        <v>11898</v>
      </c>
      <c r="N1784" t="s">
        <v>3361</v>
      </c>
      <c r="O1784" t="s">
        <v>3360</v>
      </c>
      <c r="P1784" t="s">
        <v>3360</v>
      </c>
      <c r="Q1784" t="s">
        <v>3360</v>
      </c>
      <c r="R1784" t="s">
        <v>15211</v>
      </c>
      <c r="S1784" t="s">
        <v>15211</v>
      </c>
      <c r="T1784" t="s">
        <v>3373</v>
      </c>
      <c r="U1784" t="s">
        <v>14085</v>
      </c>
      <c r="V1784" t="s">
        <v>15234</v>
      </c>
    </row>
    <row r="1785" spans="1:22" ht="17.399999999999999" hidden="1">
      <c r="A1785" t="s">
        <v>15392</v>
      </c>
      <c r="B1785" t="s">
        <v>15442</v>
      </c>
      <c r="C1785" t="s">
        <v>15451</v>
      </c>
      <c r="D1785" t="s">
        <v>2207</v>
      </c>
      <c r="E1785" t="s">
        <v>3431</v>
      </c>
      <c r="F1785" t="s">
        <v>3511</v>
      </c>
      <c r="G1785" s="3">
        <v>37.209221489702401</v>
      </c>
      <c r="H1785" s="3">
        <v>127.23306037331901</v>
      </c>
      <c r="I1785" t="s">
        <v>5974</v>
      </c>
      <c r="J1785" t="s">
        <v>9330</v>
      </c>
      <c r="K1785" t="s">
        <v>11511</v>
      </c>
      <c r="L1785" t="s">
        <v>3366</v>
      </c>
      <c r="M1785" t="s">
        <v>11899</v>
      </c>
      <c r="N1785" t="s">
        <v>3361</v>
      </c>
      <c r="O1785" t="s">
        <v>3361</v>
      </c>
      <c r="P1785" t="s">
        <v>3359</v>
      </c>
      <c r="Q1785" t="s">
        <v>3361</v>
      </c>
      <c r="R1785" t="s">
        <v>15211</v>
      </c>
      <c r="S1785" t="s">
        <v>15211</v>
      </c>
      <c r="T1785" t="s">
        <v>3374</v>
      </c>
      <c r="U1785" t="s">
        <v>14078</v>
      </c>
      <c r="V1785" t="s">
        <v>15234</v>
      </c>
    </row>
    <row r="1786" spans="1:22" ht="17.399999999999999" hidden="1">
      <c r="A1786" t="s">
        <v>15392</v>
      </c>
      <c r="B1786" t="s">
        <v>15442</v>
      </c>
      <c r="C1786" t="s">
        <v>15451</v>
      </c>
      <c r="D1786" t="s">
        <v>2208</v>
      </c>
      <c r="E1786" t="s">
        <v>3435</v>
      </c>
      <c r="F1786" t="s">
        <v>3477</v>
      </c>
      <c r="G1786" s="3">
        <v>37.2092215254387</v>
      </c>
      <c r="H1786" s="3">
        <v>127.233060306447</v>
      </c>
      <c r="I1786" t="s">
        <v>5975</v>
      </c>
      <c r="J1786" t="s">
        <v>9331</v>
      </c>
      <c r="K1786" t="s">
        <v>11613</v>
      </c>
      <c r="L1786" t="s">
        <v>3366</v>
      </c>
      <c r="M1786" t="s">
        <v>11908</v>
      </c>
      <c r="N1786" t="s">
        <v>3362</v>
      </c>
      <c r="O1786" t="s">
        <v>3361</v>
      </c>
      <c r="P1786" t="s">
        <v>3360</v>
      </c>
      <c r="Q1786" t="s">
        <v>3361</v>
      </c>
      <c r="R1786" t="s">
        <v>15211</v>
      </c>
      <c r="S1786" t="s">
        <v>15211</v>
      </c>
      <c r="T1786" t="s">
        <v>3376</v>
      </c>
      <c r="U1786" t="s">
        <v>14086</v>
      </c>
      <c r="V1786" t="s">
        <v>15234</v>
      </c>
    </row>
    <row r="1787" spans="1:22" ht="17.399999999999999" hidden="1">
      <c r="A1787" t="s">
        <v>15392</v>
      </c>
      <c r="B1787" t="s">
        <v>15442</v>
      </c>
      <c r="C1787" t="s">
        <v>15451</v>
      </c>
      <c r="D1787" t="s">
        <v>2209</v>
      </c>
      <c r="E1787" t="s">
        <v>3434</v>
      </c>
      <c r="F1787" t="s">
        <v>3466</v>
      </c>
      <c r="G1787" s="3">
        <v>37.209221487890296</v>
      </c>
      <c r="H1787" s="3">
        <v>127.23306036068</v>
      </c>
      <c r="I1787" t="s">
        <v>5976</v>
      </c>
      <c r="J1787" t="s">
        <v>9332</v>
      </c>
      <c r="K1787" t="s">
        <v>11372</v>
      </c>
      <c r="L1787" t="s">
        <v>3366</v>
      </c>
      <c r="M1787" t="s">
        <v>11889</v>
      </c>
      <c r="N1787" t="s">
        <v>3362</v>
      </c>
      <c r="O1787" t="s">
        <v>3361</v>
      </c>
      <c r="P1787" t="s">
        <v>3360</v>
      </c>
      <c r="Q1787" t="s">
        <v>3361</v>
      </c>
      <c r="R1787" t="s">
        <v>15211</v>
      </c>
      <c r="S1787" t="s">
        <v>15211</v>
      </c>
      <c r="T1787" t="s">
        <v>3376</v>
      </c>
      <c r="U1787" t="s">
        <v>14087</v>
      </c>
      <c r="V1787" t="s">
        <v>15234</v>
      </c>
    </row>
    <row r="1788" spans="1:22" ht="17.399999999999999" hidden="1">
      <c r="A1788" t="s">
        <v>15392</v>
      </c>
      <c r="B1788" t="s">
        <v>15442</v>
      </c>
      <c r="C1788" t="s">
        <v>15451</v>
      </c>
      <c r="D1788" t="s">
        <v>2210</v>
      </c>
      <c r="E1788" t="s">
        <v>3436</v>
      </c>
      <c r="F1788" t="s">
        <v>3511</v>
      </c>
      <c r="G1788" s="3">
        <v>37.209221442971497</v>
      </c>
      <c r="H1788" s="3">
        <v>127.233060439165</v>
      </c>
      <c r="I1788" t="s">
        <v>5977</v>
      </c>
      <c r="J1788" t="s">
        <v>9333</v>
      </c>
      <c r="K1788" t="s">
        <v>11614</v>
      </c>
      <c r="L1788" t="s">
        <v>3366</v>
      </c>
      <c r="M1788" t="s">
        <v>11888</v>
      </c>
      <c r="N1788" t="s">
        <v>3362</v>
      </c>
      <c r="O1788" t="s">
        <v>3361</v>
      </c>
      <c r="P1788" t="s">
        <v>3362</v>
      </c>
      <c r="Q1788" t="s">
        <v>3361</v>
      </c>
      <c r="R1788" t="s">
        <v>15211</v>
      </c>
      <c r="S1788" t="s">
        <v>15211</v>
      </c>
      <c r="T1788" t="s">
        <v>3378</v>
      </c>
      <c r="U1788" t="s">
        <v>14088</v>
      </c>
      <c r="V1788" t="s">
        <v>15234</v>
      </c>
    </row>
    <row r="1789" spans="1:22" ht="17.399999999999999">
      <c r="A1789" t="s">
        <v>15392</v>
      </c>
      <c r="B1789" t="s">
        <v>15443</v>
      </c>
      <c r="C1789" t="s">
        <v>15452</v>
      </c>
      <c r="D1789" t="s">
        <v>2211</v>
      </c>
      <c r="E1789" t="s">
        <v>3425</v>
      </c>
      <c r="F1789" t="s">
        <v>3450</v>
      </c>
      <c r="G1789" s="3">
        <v>37.2092214886462</v>
      </c>
      <c r="H1789" s="3">
        <v>127.233059936657</v>
      </c>
      <c r="I1789" t="s">
        <v>5978</v>
      </c>
      <c r="J1789" t="s">
        <v>9334</v>
      </c>
      <c r="K1789" t="s">
        <v>11615</v>
      </c>
      <c r="L1789" t="s">
        <v>3366</v>
      </c>
      <c r="M1789" t="s">
        <v>11900</v>
      </c>
      <c r="N1789" t="s">
        <v>3361</v>
      </c>
      <c r="O1789" t="s">
        <v>15211</v>
      </c>
      <c r="P1789" t="s">
        <v>3360</v>
      </c>
      <c r="Q1789" t="s">
        <v>15211</v>
      </c>
      <c r="R1789" t="s">
        <v>15211</v>
      </c>
      <c r="S1789" t="s">
        <v>15211</v>
      </c>
      <c r="T1789" t="s">
        <v>3365</v>
      </c>
      <c r="U1789" t="s">
        <v>14089</v>
      </c>
      <c r="V1789" t="s">
        <v>15220</v>
      </c>
    </row>
    <row r="1790" spans="1:22" ht="17.399999999999999">
      <c r="A1790" t="s">
        <v>15392</v>
      </c>
      <c r="B1790" t="s">
        <v>15443</v>
      </c>
      <c r="C1790" t="s">
        <v>15452</v>
      </c>
      <c r="D1790" t="s">
        <v>2212</v>
      </c>
      <c r="E1790" t="s">
        <v>3428</v>
      </c>
      <c r="F1790" t="s">
        <v>3461</v>
      </c>
      <c r="G1790" s="3">
        <v>37.209221474298403</v>
      </c>
      <c r="H1790" s="3">
        <v>127.23305993228</v>
      </c>
      <c r="I1790" t="s">
        <v>5979</v>
      </c>
      <c r="J1790" t="s">
        <v>9335</v>
      </c>
      <c r="K1790" t="s">
        <v>11616</v>
      </c>
      <c r="L1790" t="s">
        <v>3406</v>
      </c>
      <c r="M1790" t="s">
        <v>11892</v>
      </c>
      <c r="N1790" t="s">
        <v>3361</v>
      </c>
      <c r="O1790" t="s">
        <v>15211</v>
      </c>
      <c r="P1790" t="s">
        <v>3359</v>
      </c>
      <c r="Q1790" t="s">
        <v>15211</v>
      </c>
      <c r="R1790" t="s">
        <v>15211</v>
      </c>
      <c r="S1790" t="s">
        <v>15211</v>
      </c>
      <c r="T1790" t="s">
        <v>3364</v>
      </c>
      <c r="U1790" t="s">
        <v>14090</v>
      </c>
      <c r="V1790" t="s">
        <v>15220</v>
      </c>
    </row>
    <row r="1791" spans="1:22" ht="17.399999999999999">
      <c r="A1791" t="s">
        <v>15392</v>
      </c>
      <c r="B1791" t="s">
        <v>15443</v>
      </c>
      <c r="C1791" t="s">
        <v>15452</v>
      </c>
      <c r="D1791" t="s">
        <v>2213</v>
      </c>
      <c r="E1791" t="s">
        <v>3436</v>
      </c>
      <c r="F1791" t="s">
        <v>3465</v>
      </c>
      <c r="G1791" s="3">
        <v>37.209221462814703</v>
      </c>
      <c r="H1791" s="3">
        <v>127.23306005241</v>
      </c>
      <c r="I1791" t="s">
        <v>5980</v>
      </c>
      <c r="J1791" t="s">
        <v>9336</v>
      </c>
      <c r="K1791" t="s">
        <v>11617</v>
      </c>
      <c r="L1791" t="s">
        <v>3370</v>
      </c>
      <c r="M1791" t="s">
        <v>11886</v>
      </c>
      <c r="N1791" t="s">
        <v>3361</v>
      </c>
      <c r="O1791" t="s">
        <v>15211</v>
      </c>
      <c r="P1791" t="s">
        <v>3360</v>
      </c>
      <c r="Q1791" t="s">
        <v>3358</v>
      </c>
      <c r="R1791" t="s">
        <v>15211</v>
      </c>
      <c r="S1791" t="s">
        <v>15211</v>
      </c>
      <c r="T1791" t="s">
        <v>3367</v>
      </c>
      <c r="U1791" t="s">
        <v>14091</v>
      </c>
      <c r="V1791" t="s">
        <v>15220</v>
      </c>
    </row>
    <row r="1792" spans="1:22" ht="17.399999999999999">
      <c r="A1792" t="s">
        <v>15392</v>
      </c>
      <c r="B1792" t="s">
        <v>15443</v>
      </c>
      <c r="C1792" t="s">
        <v>15452</v>
      </c>
      <c r="D1792" t="s">
        <v>2214</v>
      </c>
      <c r="E1792" t="s">
        <v>3425</v>
      </c>
      <c r="F1792" t="s">
        <v>3450</v>
      </c>
      <c r="G1792" s="3">
        <v>37.209221485425502</v>
      </c>
      <c r="H1792" s="3">
        <v>127.233060021697</v>
      </c>
      <c r="I1792" t="s">
        <v>5981</v>
      </c>
      <c r="J1792" t="s">
        <v>9337</v>
      </c>
      <c r="K1792" t="s">
        <v>11618</v>
      </c>
      <c r="L1792" t="s">
        <v>3366</v>
      </c>
      <c r="M1792" t="s">
        <v>11885</v>
      </c>
      <c r="N1792" t="s">
        <v>3362</v>
      </c>
      <c r="O1792" t="s">
        <v>15211</v>
      </c>
      <c r="P1792" t="s">
        <v>3360</v>
      </c>
      <c r="Q1792" t="s">
        <v>3358</v>
      </c>
      <c r="R1792" t="s">
        <v>15211</v>
      </c>
      <c r="S1792" t="s">
        <v>15211</v>
      </c>
      <c r="T1792" t="s">
        <v>3368</v>
      </c>
      <c r="U1792" t="s">
        <v>14092</v>
      </c>
      <c r="V1792" t="s">
        <v>15220</v>
      </c>
    </row>
    <row r="1793" spans="1:22" ht="17.399999999999999">
      <c r="A1793" t="s">
        <v>15392</v>
      </c>
      <c r="B1793" t="s">
        <v>15443</v>
      </c>
      <c r="C1793" t="s">
        <v>15452</v>
      </c>
      <c r="D1793" t="s">
        <v>2215</v>
      </c>
      <c r="E1793" t="s">
        <v>3452</v>
      </c>
      <c r="F1793" t="s">
        <v>3462</v>
      </c>
      <c r="G1793" s="3">
        <v>37.209221495918896</v>
      </c>
      <c r="H1793" s="3">
        <v>127.233060010119</v>
      </c>
      <c r="I1793" t="s">
        <v>5982</v>
      </c>
      <c r="J1793" t="s">
        <v>9338</v>
      </c>
      <c r="K1793" t="s">
        <v>11619</v>
      </c>
      <c r="L1793" t="s">
        <v>3366</v>
      </c>
      <c r="M1793" t="s">
        <v>11890</v>
      </c>
      <c r="N1793" t="s">
        <v>3362</v>
      </c>
      <c r="O1793" t="s">
        <v>15211</v>
      </c>
      <c r="P1793" t="s">
        <v>3360</v>
      </c>
      <c r="Q1793" t="s">
        <v>3358</v>
      </c>
      <c r="R1793" t="s">
        <v>15211</v>
      </c>
      <c r="S1793" t="s">
        <v>15211</v>
      </c>
      <c r="T1793" t="s">
        <v>3368</v>
      </c>
      <c r="U1793" t="s">
        <v>14093</v>
      </c>
      <c r="V1793" t="s">
        <v>15220</v>
      </c>
    </row>
    <row r="1794" spans="1:22" ht="17.399999999999999" hidden="1">
      <c r="A1794" t="s">
        <v>15392</v>
      </c>
      <c r="B1794" t="s">
        <v>15443</v>
      </c>
      <c r="C1794" t="s">
        <v>15489</v>
      </c>
      <c r="D1794" t="s">
        <v>2216</v>
      </c>
      <c r="E1794" t="s">
        <v>3555</v>
      </c>
      <c r="F1794" t="s">
        <v>3708</v>
      </c>
      <c r="G1794" s="3">
        <v>37.209220831998998</v>
      </c>
      <c r="H1794" s="3">
        <v>127.23306049428</v>
      </c>
      <c r="I1794" t="s">
        <v>5983</v>
      </c>
      <c r="J1794" t="s">
        <v>9339</v>
      </c>
      <c r="K1794" t="s">
        <v>11620</v>
      </c>
      <c r="L1794" t="s">
        <v>3367</v>
      </c>
      <c r="M1794" t="s">
        <v>11885</v>
      </c>
      <c r="N1794" t="s">
        <v>3361</v>
      </c>
      <c r="O1794" t="s">
        <v>15211</v>
      </c>
      <c r="P1794" t="s">
        <v>3362</v>
      </c>
      <c r="Q1794" t="s">
        <v>15211</v>
      </c>
      <c r="R1794" t="s">
        <v>15211</v>
      </c>
      <c r="S1794" t="s">
        <v>15211</v>
      </c>
      <c r="T1794" t="s">
        <v>3367</v>
      </c>
      <c r="U1794" t="s">
        <v>14094</v>
      </c>
      <c r="V1794" t="s">
        <v>15272</v>
      </c>
    </row>
    <row r="1795" spans="1:22" ht="17.399999999999999" hidden="1">
      <c r="A1795" t="s">
        <v>15392</v>
      </c>
      <c r="B1795" t="s">
        <v>15443</v>
      </c>
      <c r="C1795" t="s">
        <v>15489</v>
      </c>
      <c r="D1795" t="s">
        <v>2217</v>
      </c>
      <c r="E1795" t="s">
        <v>3556</v>
      </c>
      <c r="F1795" t="s">
        <v>3709</v>
      </c>
      <c r="G1795" s="3">
        <v>37.209221170458797</v>
      </c>
      <c r="H1795" s="3">
        <v>127.233060411373</v>
      </c>
      <c r="I1795" t="s">
        <v>5984</v>
      </c>
      <c r="J1795" t="s">
        <v>9340</v>
      </c>
      <c r="K1795" t="s">
        <v>11621</v>
      </c>
      <c r="L1795" t="s">
        <v>3367</v>
      </c>
      <c r="M1795" t="s">
        <v>11902</v>
      </c>
      <c r="N1795" t="s">
        <v>3361</v>
      </c>
      <c r="O1795" t="s">
        <v>15211</v>
      </c>
      <c r="P1795" t="s">
        <v>3362</v>
      </c>
      <c r="Q1795" t="s">
        <v>15211</v>
      </c>
      <c r="R1795" t="s">
        <v>15211</v>
      </c>
      <c r="S1795" t="s">
        <v>15211</v>
      </c>
      <c r="T1795" t="s">
        <v>3367</v>
      </c>
      <c r="U1795" t="s">
        <v>14095</v>
      </c>
      <c r="V1795" t="s">
        <v>15272</v>
      </c>
    </row>
    <row r="1796" spans="1:22" ht="17.399999999999999" hidden="1">
      <c r="A1796" t="s">
        <v>15392</v>
      </c>
      <c r="B1796" t="s">
        <v>15443</v>
      </c>
      <c r="C1796" t="s">
        <v>15489</v>
      </c>
      <c r="D1796" t="s">
        <v>2218</v>
      </c>
      <c r="E1796" t="s">
        <v>3557</v>
      </c>
      <c r="F1796" t="s">
        <v>3710</v>
      </c>
      <c r="G1796" s="3">
        <v>37.209221105293203</v>
      </c>
      <c r="H1796" s="3">
        <v>127.233060497626</v>
      </c>
      <c r="I1796" t="s">
        <v>5985</v>
      </c>
      <c r="J1796" t="s">
        <v>9341</v>
      </c>
      <c r="K1796" t="s">
        <v>11622</v>
      </c>
      <c r="L1796" t="s">
        <v>3367</v>
      </c>
      <c r="M1796" t="s">
        <v>11902</v>
      </c>
      <c r="N1796" t="s">
        <v>3361</v>
      </c>
      <c r="O1796" t="s">
        <v>15211</v>
      </c>
      <c r="P1796" t="s">
        <v>3362</v>
      </c>
      <c r="Q1796" t="s">
        <v>15211</v>
      </c>
      <c r="R1796" t="s">
        <v>15211</v>
      </c>
      <c r="S1796" t="s">
        <v>15211</v>
      </c>
      <c r="T1796" t="s">
        <v>3367</v>
      </c>
      <c r="U1796" t="s">
        <v>14096</v>
      </c>
      <c r="V1796" t="s">
        <v>15272</v>
      </c>
    </row>
    <row r="1797" spans="1:22" ht="17.399999999999999" hidden="1">
      <c r="A1797" t="s">
        <v>15392</v>
      </c>
      <c r="B1797" t="s">
        <v>15443</v>
      </c>
      <c r="C1797" t="s">
        <v>15489</v>
      </c>
      <c r="D1797" t="s">
        <v>2219</v>
      </c>
      <c r="E1797" t="s">
        <v>3558</v>
      </c>
      <c r="F1797" t="s">
        <v>3711</v>
      </c>
      <c r="G1797" s="3">
        <v>37.209221001826698</v>
      </c>
      <c r="H1797" s="3">
        <v>127.23306059020901</v>
      </c>
      <c r="I1797" t="s">
        <v>5986</v>
      </c>
      <c r="J1797" t="s">
        <v>9342</v>
      </c>
      <c r="K1797" t="s">
        <v>11623</v>
      </c>
      <c r="L1797" t="s">
        <v>3366</v>
      </c>
      <c r="M1797" t="s">
        <v>11886</v>
      </c>
      <c r="N1797" t="s">
        <v>3361</v>
      </c>
      <c r="O1797" t="s">
        <v>15211</v>
      </c>
      <c r="P1797" t="s">
        <v>3362</v>
      </c>
      <c r="Q1797" t="s">
        <v>15211</v>
      </c>
      <c r="R1797" t="s">
        <v>15211</v>
      </c>
      <c r="S1797" t="s">
        <v>15211</v>
      </c>
      <c r="T1797" t="s">
        <v>3367</v>
      </c>
      <c r="U1797" t="s">
        <v>14097</v>
      </c>
      <c r="V1797" t="s">
        <v>15272</v>
      </c>
    </row>
    <row r="1798" spans="1:22" ht="17.399999999999999" hidden="1">
      <c r="A1798" t="s">
        <v>15392</v>
      </c>
      <c r="B1798" t="s">
        <v>15443</v>
      </c>
      <c r="C1798" t="s">
        <v>15489</v>
      </c>
      <c r="D1798" t="s">
        <v>2220</v>
      </c>
      <c r="E1798" t="s">
        <v>3559</v>
      </c>
      <c r="F1798" t="s">
        <v>3712</v>
      </c>
      <c r="G1798" s="3">
        <v>37.209220450771902</v>
      </c>
      <c r="H1798" s="3">
        <v>127.233060906551</v>
      </c>
      <c r="I1798" t="s">
        <v>5987</v>
      </c>
      <c r="J1798" t="s">
        <v>9343</v>
      </c>
      <c r="K1798" t="s">
        <v>11624</v>
      </c>
      <c r="L1798" t="s">
        <v>3366</v>
      </c>
      <c r="M1798" t="s">
        <v>11886</v>
      </c>
      <c r="N1798" t="s">
        <v>3361</v>
      </c>
      <c r="O1798" t="s">
        <v>15211</v>
      </c>
      <c r="P1798" t="s">
        <v>3362</v>
      </c>
      <c r="Q1798" t="s">
        <v>15211</v>
      </c>
      <c r="R1798" t="s">
        <v>15211</v>
      </c>
      <c r="S1798" t="s">
        <v>15211</v>
      </c>
      <c r="T1798" t="s">
        <v>3367</v>
      </c>
      <c r="U1798" t="s">
        <v>14098</v>
      </c>
      <c r="V1798" t="s">
        <v>15272</v>
      </c>
    </row>
    <row r="1799" spans="1:22" hidden="1">
      <c r="A1799" t="s">
        <v>15370</v>
      </c>
      <c r="B1799" t="s">
        <v>15441</v>
      </c>
      <c r="C1799" t="s">
        <v>15445</v>
      </c>
      <c r="D1799" t="s">
        <v>431</v>
      </c>
      <c r="E1799" t="s">
        <v>3437</v>
      </c>
      <c r="F1799" t="s">
        <v>3434</v>
      </c>
      <c r="G1799" s="3">
        <v>35.550114805025203</v>
      </c>
      <c r="H1799" s="3">
        <v>127.29328203191599</v>
      </c>
      <c r="I1799" t="s">
        <v>4198</v>
      </c>
      <c r="J1799" t="s">
        <v>7557</v>
      </c>
      <c r="K1799" t="s">
        <v>10807</v>
      </c>
      <c r="L1799" t="s">
        <v>3366</v>
      </c>
      <c r="M1799" t="s">
        <v>11890</v>
      </c>
      <c r="N1799" t="s">
        <v>3364</v>
      </c>
      <c r="O1799" t="s">
        <v>3361</v>
      </c>
      <c r="P1799" t="s">
        <v>15211</v>
      </c>
      <c r="Q1799" t="s">
        <v>15211</v>
      </c>
      <c r="R1799" t="s">
        <v>15211</v>
      </c>
      <c r="S1799" t="s">
        <v>15211</v>
      </c>
      <c r="T1799" t="s">
        <v>3369</v>
      </c>
      <c r="U1799" t="s">
        <v>12341</v>
      </c>
      <c r="V1799" t="s">
        <v>15228</v>
      </c>
    </row>
    <row r="1800" spans="1:22" hidden="1">
      <c r="A1800" t="s">
        <v>15370</v>
      </c>
      <c r="B1800" t="s">
        <v>15441</v>
      </c>
      <c r="C1800" t="s">
        <v>15446</v>
      </c>
      <c r="D1800" t="s">
        <v>432</v>
      </c>
      <c r="E1800" t="s">
        <v>3427</v>
      </c>
      <c r="F1800" t="s">
        <v>3453</v>
      </c>
      <c r="G1800" s="3">
        <v>35.550114791347397</v>
      </c>
      <c r="H1800" s="3">
        <v>127.293282024392</v>
      </c>
      <c r="I1800" t="s">
        <v>4199</v>
      </c>
      <c r="J1800" t="s">
        <v>7558</v>
      </c>
      <c r="K1800" t="s">
        <v>3644</v>
      </c>
      <c r="L1800" t="s">
        <v>3366</v>
      </c>
      <c r="M1800" t="s">
        <v>11890</v>
      </c>
      <c r="N1800" t="s">
        <v>3364</v>
      </c>
      <c r="O1800" t="s">
        <v>3361</v>
      </c>
      <c r="P1800" t="s">
        <v>15211</v>
      </c>
      <c r="Q1800" t="s">
        <v>15211</v>
      </c>
      <c r="R1800" t="s">
        <v>15211</v>
      </c>
      <c r="S1800" t="s">
        <v>15211</v>
      </c>
      <c r="T1800" t="s">
        <v>3369</v>
      </c>
      <c r="U1800" t="s">
        <v>12342</v>
      </c>
      <c r="V1800" t="s">
        <v>15229</v>
      </c>
    </row>
    <row r="1801" spans="1:22" ht="17.399999999999999" hidden="1">
      <c r="A1801" t="s">
        <v>15342</v>
      </c>
      <c r="B1801" t="s">
        <v>15441</v>
      </c>
      <c r="C1801" t="s">
        <v>15445</v>
      </c>
      <c r="D1801" t="s">
        <v>1799</v>
      </c>
      <c r="E1801" t="s">
        <v>3427</v>
      </c>
      <c r="F1801" t="s">
        <v>3452</v>
      </c>
      <c r="G1801" s="3">
        <v>36.122319170511503</v>
      </c>
      <c r="H1801" s="3">
        <v>129.082255142874</v>
      </c>
      <c r="I1801" t="s">
        <v>5566</v>
      </c>
      <c r="J1801" t="s">
        <v>8925</v>
      </c>
      <c r="K1801" t="s">
        <v>10568</v>
      </c>
      <c r="L1801" t="s">
        <v>3368</v>
      </c>
      <c r="M1801" t="s">
        <v>11890</v>
      </c>
      <c r="N1801" t="s">
        <v>3364</v>
      </c>
      <c r="O1801" t="s">
        <v>3361</v>
      </c>
      <c r="P1801" t="s">
        <v>15211</v>
      </c>
      <c r="Q1801" t="s">
        <v>15211</v>
      </c>
      <c r="R1801" t="s">
        <v>15211</v>
      </c>
      <c r="S1801" t="s">
        <v>15211</v>
      </c>
      <c r="T1801" t="s">
        <v>3369</v>
      </c>
      <c r="U1801" t="s">
        <v>13689</v>
      </c>
      <c r="V1801" t="s">
        <v>15212</v>
      </c>
    </row>
    <row r="1802" spans="1:22" ht="17.399999999999999" hidden="1">
      <c r="A1802" t="s">
        <v>15342</v>
      </c>
      <c r="B1802" t="s">
        <v>15441</v>
      </c>
      <c r="C1802" t="s">
        <v>15445</v>
      </c>
      <c r="D1802" t="s">
        <v>1800</v>
      </c>
      <c r="E1802" t="s">
        <v>3428</v>
      </c>
      <c r="F1802" t="s">
        <v>3441</v>
      </c>
      <c r="G1802" s="3">
        <v>36.122319148379297</v>
      </c>
      <c r="H1802" s="3">
        <v>129.08225512641599</v>
      </c>
      <c r="I1802" t="s">
        <v>5567</v>
      </c>
      <c r="J1802" t="s">
        <v>8926</v>
      </c>
      <c r="K1802" t="s">
        <v>10651</v>
      </c>
      <c r="L1802" t="s">
        <v>3366</v>
      </c>
      <c r="M1802" t="s">
        <v>11890</v>
      </c>
      <c r="N1802" t="s">
        <v>3364</v>
      </c>
      <c r="O1802" t="s">
        <v>3361</v>
      </c>
      <c r="P1802" t="s">
        <v>15211</v>
      </c>
      <c r="Q1802" t="s">
        <v>15211</v>
      </c>
      <c r="R1802" t="s">
        <v>15211</v>
      </c>
      <c r="S1802" t="s">
        <v>15211</v>
      </c>
      <c r="T1802" t="s">
        <v>3369</v>
      </c>
      <c r="U1802" t="s">
        <v>13690</v>
      </c>
      <c r="V1802" t="s">
        <v>15212</v>
      </c>
    </row>
    <row r="1803" spans="1:22" ht="17.399999999999999" hidden="1">
      <c r="A1803" t="s">
        <v>15342</v>
      </c>
      <c r="B1803" t="s">
        <v>15441</v>
      </c>
      <c r="C1803" t="s">
        <v>15445</v>
      </c>
      <c r="D1803" t="s">
        <v>1801</v>
      </c>
      <c r="E1803" t="s">
        <v>3436</v>
      </c>
      <c r="F1803" t="s">
        <v>3432</v>
      </c>
      <c r="G1803" s="3">
        <v>36.122319130685902</v>
      </c>
      <c r="H1803" s="3">
        <v>129.082255167997</v>
      </c>
      <c r="I1803" t="s">
        <v>5568</v>
      </c>
      <c r="J1803" t="s">
        <v>8927</v>
      </c>
      <c r="K1803" t="s">
        <v>11098</v>
      </c>
      <c r="L1803" t="s">
        <v>3366</v>
      </c>
      <c r="M1803" t="s">
        <v>11885</v>
      </c>
      <c r="N1803" t="s">
        <v>3364</v>
      </c>
      <c r="O1803" t="s">
        <v>3360</v>
      </c>
      <c r="P1803" t="s">
        <v>15211</v>
      </c>
      <c r="Q1803" t="s">
        <v>15211</v>
      </c>
      <c r="R1803" t="s">
        <v>15211</v>
      </c>
      <c r="S1803" t="s">
        <v>15211</v>
      </c>
      <c r="T1803" t="s">
        <v>3368</v>
      </c>
      <c r="U1803" t="s">
        <v>13691</v>
      </c>
      <c r="V1803" t="s">
        <v>15212</v>
      </c>
    </row>
    <row r="1804" spans="1:22" ht="17.399999999999999" hidden="1">
      <c r="A1804" t="s">
        <v>15342</v>
      </c>
      <c r="B1804" t="s">
        <v>15441</v>
      </c>
      <c r="C1804" t="s">
        <v>15446</v>
      </c>
      <c r="D1804" t="s">
        <v>1802</v>
      </c>
      <c r="E1804" t="s">
        <v>3425</v>
      </c>
      <c r="F1804" t="s">
        <v>3452</v>
      </c>
      <c r="G1804" s="3">
        <v>36.122318798948299</v>
      </c>
      <c r="H1804" s="3">
        <v>129.08225521013799</v>
      </c>
      <c r="I1804" t="s">
        <v>5569</v>
      </c>
      <c r="J1804" t="s">
        <v>8928</v>
      </c>
      <c r="K1804" t="s">
        <v>11479</v>
      </c>
      <c r="L1804" t="s">
        <v>3378</v>
      </c>
      <c r="M1804" t="s">
        <v>11885</v>
      </c>
      <c r="N1804" t="s">
        <v>3364</v>
      </c>
      <c r="O1804" t="s">
        <v>3360</v>
      </c>
      <c r="P1804" t="s">
        <v>15211</v>
      </c>
      <c r="Q1804" t="s">
        <v>15211</v>
      </c>
      <c r="R1804" t="s">
        <v>15211</v>
      </c>
      <c r="S1804" t="s">
        <v>15211</v>
      </c>
      <c r="T1804" t="s">
        <v>3368</v>
      </c>
      <c r="U1804" t="s">
        <v>13692</v>
      </c>
      <c r="V1804" t="s">
        <v>15213</v>
      </c>
    </row>
    <row r="1805" spans="1:22" ht="17.399999999999999" hidden="1">
      <c r="A1805" t="s">
        <v>15342</v>
      </c>
      <c r="B1805" t="s">
        <v>15441</v>
      </c>
      <c r="C1805" t="s">
        <v>15446</v>
      </c>
      <c r="D1805" t="s">
        <v>1803</v>
      </c>
      <c r="E1805" t="s">
        <v>3442</v>
      </c>
      <c r="F1805" t="s">
        <v>3563</v>
      </c>
      <c r="G1805" s="3">
        <v>36.122318902405297</v>
      </c>
      <c r="H1805" s="3">
        <v>129.082255228717</v>
      </c>
      <c r="I1805" t="s">
        <v>5570</v>
      </c>
      <c r="J1805" t="s">
        <v>8929</v>
      </c>
      <c r="K1805" t="s">
        <v>11480</v>
      </c>
      <c r="L1805" t="s">
        <v>3366</v>
      </c>
      <c r="M1805" t="s">
        <v>11886</v>
      </c>
      <c r="N1805" t="s">
        <v>3364</v>
      </c>
      <c r="O1805" t="s">
        <v>3359</v>
      </c>
      <c r="P1805" t="s">
        <v>15211</v>
      </c>
      <c r="Q1805" t="s">
        <v>15211</v>
      </c>
      <c r="R1805" t="s">
        <v>15211</v>
      </c>
      <c r="S1805" t="s">
        <v>15211</v>
      </c>
      <c r="T1805" t="s">
        <v>3367</v>
      </c>
      <c r="U1805" t="s">
        <v>13693</v>
      </c>
      <c r="V1805" t="s">
        <v>15213</v>
      </c>
    </row>
    <row r="1806" spans="1:22" ht="17.399999999999999" hidden="1">
      <c r="A1806" t="s">
        <v>15342</v>
      </c>
      <c r="B1806" t="s">
        <v>15441</v>
      </c>
      <c r="C1806" t="s">
        <v>15446</v>
      </c>
      <c r="D1806" t="s">
        <v>1804</v>
      </c>
      <c r="E1806" t="s">
        <v>3441</v>
      </c>
      <c r="F1806" t="s">
        <v>3564</v>
      </c>
      <c r="G1806" s="3">
        <v>36.122318911813103</v>
      </c>
      <c r="H1806" s="3">
        <v>129.08225520993801</v>
      </c>
      <c r="I1806" t="s">
        <v>5571</v>
      </c>
      <c r="J1806" t="s">
        <v>8930</v>
      </c>
      <c r="K1806" t="s">
        <v>10787</v>
      </c>
      <c r="L1806" t="s">
        <v>3366</v>
      </c>
      <c r="M1806" t="s">
        <v>11885</v>
      </c>
      <c r="N1806" t="s">
        <v>3364</v>
      </c>
      <c r="O1806" t="s">
        <v>3360</v>
      </c>
      <c r="P1806" t="s">
        <v>15211</v>
      </c>
      <c r="Q1806" t="s">
        <v>15211</v>
      </c>
      <c r="R1806" t="s">
        <v>15211</v>
      </c>
      <c r="S1806" t="s">
        <v>15211</v>
      </c>
      <c r="T1806" t="s">
        <v>3368</v>
      </c>
      <c r="U1806" t="s">
        <v>13694</v>
      </c>
      <c r="V1806" t="s">
        <v>15213</v>
      </c>
    </row>
    <row r="1807" spans="1:22" ht="17.399999999999999" hidden="1">
      <c r="A1807" t="s">
        <v>15342</v>
      </c>
      <c r="B1807" t="s">
        <v>15441</v>
      </c>
      <c r="C1807" t="s">
        <v>15447</v>
      </c>
      <c r="D1807" t="s">
        <v>1805</v>
      </c>
      <c r="E1807" t="s">
        <v>3515</v>
      </c>
      <c r="F1807" t="s">
        <v>3580</v>
      </c>
      <c r="G1807" s="3">
        <v>36.122319025137898</v>
      </c>
      <c r="H1807" s="3">
        <v>129.08225519597099</v>
      </c>
      <c r="I1807" t="s">
        <v>5572</v>
      </c>
      <c r="J1807" t="s">
        <v>8931</v>
      </c>
      <c r="K1807" t="s">
        <v>11481</v>
      </c>
      <c r="L1807" t="s">
        <v>3378</v>
      </c>
      <c r="M1807" t="s">
        <v>11892</v>
      </c>
      <c r="N1807" t="s">
        <v>3364</v>
      </c>
      <c r="O1807" t="s">
        <v>15211</v>
      </c>
      <c r="P1807" t="s">
        <v>15211</v>
      </c>
      <c r="Q1807" t="s">
        <v>15211</v>
      </c>
      <c r="R1807" t="s">
        <v>15211</v>
      </c>
      <c r="S1807" t="s">
        <v>15211</v>
      </c>
      <c r="T1807" t="s">
        <v>3364</v>
      </c>
      <c r="U1807" t="s">
        <v>13695</v>
      </c>
      <c r="V1807" t="s">
        <v>15214</v>
      </c>
    </row>
    <row r="1808" spans="1:22" ht="17.399999999999999" hidden="1">
      <c r="A1808" t="s">
        <v>15342</v>
      </c>
      <c r="B1808" t="s">
        <v>15441</v>
      </c>
      <c r="C1808" t="s">
        <v>15447</v>
      </c>
      <c r="D1808" t="s">
        <v>1806</v>
      </c>
      <c r="E1808" t="s">
        <v>3434</v>
      </c>
      <c r="F1808" t="s">
        <v>3484</v>
      </c>
      <c r="G1808" s="3">
        <v>36.122319062921001</v>
      </c>
      <c r="H1808" s="3">
        <v>129.08225517128599</v>
      </c>
      <c r="I1808" t="s">
        <v>5573</v>
      </c>
      <c r="J1808" t="s">
        <v>8932</v>
      </c>
      <c r="K1808" t="s">
        <v>11482</v>
      </c>
      <c r="L1808" t="s">
        <v>3366</v>
      </c>
      <c r="M1808" t="s">
        <v>11892</v>
      </c>
      <c r="N1808" t="s">
        <v>3364</v>
      </c>
      <c r="O1808" t="s">
        <v>15211</v>
      </c>
      <c r="P1808" t="s">
        <v>15211</v>
      </c>
      <c r="Q1808" t="s">
        <v>15211</v>
      </c>
      <c r="R1808" t="s">
        <v>15211</v>
      </c>
      <c r="S1808" t="s">
        <v>15211</v>
      </c>
      <c r="T1808" t="s">
        <v>3364</v>
      </c>
      <c r="U1808" t="s">
        <v>13696</v>
      </c>
      <c r="V1808" t="s">
        <v>15214</v>
      </c>
    </row>
    <row r="1809" spans="1:22" ht="17.399999999999999" hidden="1">
      <c r="A1809" t="s">
        <v>15342</v>
      </c>
      <c r="B1809" t="s">
        <v>15441</v>
      </c>
      <c r="C1809" t="s">
        <v>15447</v>
      </c>
      <c r="D1809" t="s">
        <v>1807</v>
      </c>
      <c r="E1809" t="s">
        <v>3435</v>
      </c>
      <c r="F1809" t="s">
        <v>3579</v>
      </c>
      <c r="G1809" s="3">
        <v>36.122319109452</v>
      </c>
      <c r="H1809" s="3">
        <v>129.082255170417</v>
      </c>
      <c r="I1809" t="s">
        <v>5574</v>
      </c>
      <c r="J1809" t="s">
        <v>8933</v>
      </c>
      <c r="K1809" t="s">
        <v>11482</v>
      </c>
      <c r="L1809" t="s">
        <v>3366</v>
      </c>
      <c r="M1809" t="s">
        <v>11892</v>
      </c>
      <c r="N1809" t="s">
        <v>3364</v>
      </c>
      <c r="O1809" t="s">
        <v>15211</v>
      </c>
      <c r="P1809" t="s">
        <v>15211</v>
      </c>
      <c r="Q1809" t="s">
        <v>15211</v>
      </c>
      <c r="R1809" t="s">
        <v>15211</v>
      </c>
      <c r="S1809" t="s">
        <v>15211</v>
      </c>
      <c r="T1809" t="s">
        <v>3364</v>
      </c>
      <c r="U1809" t="s">
        <v>13697</v>
      </c>
      <c r="V1809" t="s">
        <v>15214</v>
      </c>
    </row>
    <row r="1810" spans="1:22" ht="17.399999999999999" hidden="1">
      <c r="A1810" t="s">
        <v>15342</v>
      </c>
      <c r="B1810" t="s">
        <v>15441</v>
      </c>
      <c r="C1810" t="s">
        <v>15448</v>
      </c>
      <c r="D1810" t="s">
        <v>1808</v>
      </c>
      <c r="E1810" t="s">
        <v>3436</v>
      </c>
      <c r="F1810" t="s">
        <v>3432</v>
      </c>
      <c r="G1810" s="3">
        <v>36.122318603070497</v>
      </c>
      <c r="H1810" s="3">
        <v>129.082255316546</v>
      </c>
      <c r="I1810" t="s">
        <v>5575</v>
      </c>
      <c r="J1810" t="s">
        <v>8934</v>
      </c>
      <c r="K1810" t="s">
        <v>10830</v>
      </c>
      <c r="L1810" t="s">
        <v>3374</v>
      </c>
      <c r="M1810" t="s">
        <v>11910</v>
      </c>
      <c r="N1810" t="s">
        <v>3364</v>
      </c>
      <c r="O1810" t="s">
        <v>3361</v>
      </c>
      <c r="P1810" t="s">
        <v>3362</v>
      </c>
      <c r="Q1810" t="s">
        <v>3364</v>
      </c>
      <c r="R1810" t="s">
        <v>3357</v>
      </c>
      <c r="S1810" t="s">
        <v>15211</v>
      </c>
      <c r="T1810" t="s">
        <v>3384</v>
      </c>
      <c r="U1810" t="s">
        <v>13698</v>
      </c>
      <c r="V1810" t="s">
        <v>15215</v>
      </c>
    </row>
    <row r="1811" spans="1:22" ht="17.399999999999999" hidden="1">
      <c r="A1811" t="s">
        <v>15342</v>
      </c>
      <c r="B1811" t="s">
        <v>15441</v>
      </c>
      <c r="C1811" t="s">
        <v>15448</v>
      </c>
      <c r="D1811" t="s">
        <v>1809</v>
      </c>
      <c r="E1811" t="s">
        <v>3425</v>
      </c>
      <c r="F1811" t="s">
        <v>3461</v>
      </c>
      <c r="G1811" s="3">
        <v>36.122318591201399</v>
      </c>
      <c r="H1811" s="3">
        <v>129.08225530647101</v>
      </c>
      <c r="I1811" t="s">
        <v>5576</v>
      </c>
      <c r="J1811" t="s">
        <v>8935</v>
      </c>
      <c r="K1811" t="s">
        <v>11483</v>
      </c>
      <c r="L1811" t="s">
        <v>3366</v>
      </c>
      <c r="M1811" t="s">
        <v>11910</v>
      </c>
      <c r="N1811" t="s">
        <v>3364</v>
      </c>
      <c r="O1811" t="s">
        <v>3361</v>
      </c>
      <c r="P1811" t="s">
        <v>3362</v>
      </c>
      <c r="Q1811" t="s">
        <v>3364</v>
      </c>
      <c r="R1811" t="s">
        <v>3357</v>
      </c>
      <c r="S1811" t="s">
        <v>15211</v>
      </c>
      <c r="T1811" t="s">
        <v>3384</v>
      </c>
      <c r="U1811" t="s">
        <v>13699</v>
      </c>
      <c r="V1811" t="s">
        <v>15215</v>
      </c>
    </row>
    <row r="1812" spans="1:22" ht="17.399999999999999" hidden="1">
      <c r="A1812" t="s">
        <v>15342</v>
      </c>
      <c r="B1812" t="s">
        <v>15441</v>
      </c>
      <c r="C1812" t="s">
        <v>15448</v>
      </c>
      <c r="D1812" t="s">
        <v>1810</v>
      </c>
      <c r="E1812" t="s">
        <v>3431</v>
      </c>
      <c r="F1812" t="s">
        <v>3462</v>
      </c>
      <c r="G1812" s="3">
        <v>36.122318583004798</v>
      </c>
      <c r="H1812" s="3">
        <v>129.08225528705901</v>
      </c>
      <c r="I1812" t="s">
        <v>5577</v>
      </c>
      <c r="J1812" t="s">
        <v>8936</v>
      </c>
      <c r="K1812" t="s">
        <v>10909</v>
      </c>
      <c r="L1812" t="s">
        <v>3366</v>
      </c>
      <c r="M1812" t="s">
        <v>11911</v>
      </c>
      <c r="N1812" t="s">
        <v>3364</v>
      </c>
      <c r="O1812" t="s">
        <v>3361</v>
      </c>
      <c r="P1812" t="s">
        <v>3362</v>
      </c>
      <c r="Q1812" t="s">
        <v>3364</v>
      </c>
      <c r="R1812" t="s">
        <v>3357</v>
      </c>
      <c r="S1812" t="s">
        <v>15211</v>
      </c>
      <c r="T1812" t="s">
        <v>3384</v>
      </c>
      <c r="U1812" t="s">
        <v>13700</v>
      </c>
      <c r="V1812" t="s">
        <v>15215</v>
      </c>
    </row>
    <row r="1813" spans="1:22" ht="17.399999999999999" hidden="1">
      <c r="A1813" t="s">
        <v>15342</v>
      </c>
      <c r="B1813" t="s">
        <v>15441</v>
      </c>
      <c r="C1813" t="s">
        <v>15449</v>
      </c>
      <c r="D1813" t="s">
        <v>1811</v>
      </c>
      <c r="E1813" t="s">
        <v>3439</v>
      </c>
      <c r="F1813" t="s">
        <v>3428</v>
      </c>
      <c r="G1813" s="3">
        <v>36.122318521049799</v>
      </c>
      <c r="H1813" s="3">
        <v>129.082255243883</v>
      </c>
      <c r="I1813" t="s">
        <v>5578</v>
      </c>
      <c r="J1813" t="s">
        <v>8937</v>
      </c>
      <c r="K1813" t="s">
        <v>11484</v>
      </c>
      <c r="L1813" t="s">
        <v>3381</v>
      </c>
      <c r="M1813" t="s">
        <v>11896</v>
      </c>
      <c r="N1813" t="s">
        <v>3364</v>
      </c>
      <c r="O1813" t="s">
        <v>15211</v>
      </c>
      <c r="P1813" t="s">
        <v>3361</v>
      </c>
      <c r="Q1813" t="s">
        <v>3365</v>
      </c>
      <c r="R1813" t="s">
        <v>15211</v>
      </c>
      <c r="S1813" t="s">
        <v>15211</v>
      </c>
      <c r="T1813" t="s">
        <v>3378</v>
      </c>
      <c r="U1813" t="s">
        <v>13701</v>
      </c>
      <c r="V1813" t="s">
        <v>15216</v>
      </c>
    </row>
    <row r="1814" spans="1:22" ht="17.399999999999999" hidden="1">
      <c r="A1814" t="s">
        <v>15342</v>
      </c>
      <c r="B1814" t="s">
        <v>15441</v>
      </c>
      <c r="C1814" t="s">
        <v>15449</v>
      </c>
      <c r="D1814" t="s">
        <v>1812</v>
      </c>
      <c r="E1814" t="s">
        <v>3437</v>
      </c>
      <c r="F1814" t="s">
        <v>3425</v>
      </c>
      <c r="G1814" s="3">
        <v>36.1223185040784</v>
      </c>
      <c r="H1814" s="3">
        <v>129.082255207217</v>
      </c>
      <c r="I1814" t="s">
        <v>5579</v>
      </c>
      <c r="J1814" t="s">
        <v>8938</v>
      </c>
      <c r="K1814" t="s">
        <v>11484</v>
      </c>
      <c r="L1814" t="s">
        <v>3366</v>
      </c>
      <c r="M1814" t="s">
        <v>11891</v>
      </c>
      <c r="N1814" t="s">
        <v>3364</v>
      </c>
      <c r="O1814" t="s">
        <v>15211</v>
      </c>
      <c r="P1814" t="s">
        <v>3362</v>
      </c>
      <c r="Q1814" t="s">
        <v>3365</v>
      </c>
      <c r="R1814" t="s">
        <v>3357</v>
      </c>
      <c r="S1814" t="s">
        <v>15211</v>
      </c>
      <c r="T1814" t="s">
        <v>3380</v>
      </c>
      <c r="U1814" t="s">
        <v>13702</v>
      </c>
      <c r="V1814" t="s">
        <v>15216</v>
      </c>
    </row>
    <row r="1815" spans="1:22" ht="17.399999999999999" hidden="1">
      <c r="A1815" t="s">
        <v>15342</v>
      </c>
      <c r="B1815" t="s">
        <v>15441</v>
      </c>
      <c r="C1815" t="s">
        <v>15449</v>
      </c>
      <c r="D1815" t="s">
        <v>1813</v>
      </c>
      <c r="E1815" t="s">
        <v>3440</v>
      </c>
      <c r="F1815" t="s">
        <v>3431</v>
      </c>
      <c r="G1815" s="3">
        <v>36.122318494312999</v>
      </c>
      <c r="H1815" s="3">
        <v>129.082255201583</v>
      </c>
      <c r="I1815" t="s">
        <v>5580</v>
      </c>
      <c r="J1815" t="s">
        <v>8939</v>
      </c>
      <c r="K1815" t="s">
        <v>3636</v>
      </c>
      <c r="L1815" t="s">
        <v>3366</v>
      </c>
      <c r="M1815" t="s">
        <v>11896</v>
      </c>
      <c r="N1815" t="s">
        <v>3364</v>
      </c>
      <c r="O1815" t="s">
        <v>15211</v>
      </c>
      <c r="P1815" t="s">
        <v>3362</v>
      </c>
      <c r="Q1815" t="s">
        <v>3365</v>
      </c>
      <c r="R1815" t="s">
        <v>3357</v>
      </c>
      <c r="S1815" t="s">
        <v>15211</v>
      </c>
      <c r="T1815" t="s">
        <v>3380</v>
      </c>
      <c r="U1815" t="s">
        <v>13703</v>
      </c>
      <c r="V1815" t="s">
        <v>15216</v>
      </c>
    </row>
    <row r="1816" spans="1:22" ht="17.399999999999999" hidden="1">
      <c r="A1816" t="s">
        <v>15342</v>
      </c>
      <c r="B1816" t="s">
        <v>15442</v>
      </c>
      <c r="C1816" t="s">
        <v>15450</v>
      </c>
      <c r="D1816" t="s">
        <v>1814</v>
      </c>
      <c r="E1816" t="s">
        <v>3427</v>
      </c>
      <c r="F1816" t="s">
        <v>3430</v>
      </c>
      <c r="G1816" s="3">
        <v>36.122318473558799</v>
      </c>
      <c r="H1816" s="3">
        <v>129.08225514551299</v>
      </c>
      <c r="I1816" t="s">
        <v>5581</v>
      </c>
      <c r="J1816" t="s">
        <v>8940</v>
      </c>
      <c r="K1816" t="s">
        <v>11112</v>
      </c>
      <c r="L1816" t="s">
        <v>3366</v>
      </c>
      <c r="M1816" t="s">
        <v>11890</v>
      </c>
      <c r="N1816" t="s">
        <v>3364</v>
      </c>
      <c r="O1816" t="s">
        <v>3361</v>
      </c>
      <c r="P1816" t="s">
        <v>15211</v>
      </c>
      <c r="Q1816" t="s">
        <v>15211</v>
      </c>
      <c r="R1816" t="s">
        <v>15211</v>
      </c>
      <c r="S1816" t="s">
        <v>15211</v>
      </c>
      <c r="T1816" t="s">
        <v>3369</v>
      </c>
      <c r="U1816" t="s">
        <v>13704</v>
      </c>
      <c r="V1816" t="s">
        <v>15217</v>
      </c>
    </row>
    <row r="1817" spans="1:22" ht="17.399999999999999" hidden="1">
      <c r="A1817" t="s">
        <v>15342</v>
      </c>
      <c r="B1817" t="s">
        <v>15442</v>
      </c>
      <c r="C1817" t="s">
        <v>15450</v>
      </c>
      <c r="D1817" t="s">
        <v>1815</v>
      </c>
      <c r="E1817" t="s">
        <v>3427</v>
      </c>
      <c r="F1817" t="s">
        <v>3430</v>
      </c>
      <c r="G1817" s="3">
        <v>36.122318487552299</v>
      </c>
      <c r="H1817" s="3">
        <v>129.08225512115101</v>
      </c>
      <c r="I1817" t="s">
        <v>5582</v>
      </c>
      <c r="J1817" t="s">
        <v>8941</v>
      </c>
      <c r="K1817" t="s">
        <v>11142</v>
      </c>
      <c r="L1817" t="s">
        <v>3366</v>
      </c>
      <c r="M1817" t="s">
        <v>11890</v>
      </c>
      <c r="N1817" t="s">
        <v>3364</v>
      </c>
      <c r="O1817" t="s">
        <v>3361</v>
      </c>
      <c r="P1817" t="s">
        <v>15211</v>
      </c>
      <c r="Q1817" t="s">
        <v>15211</v>
      </c>
      <c r="R1817" t="s">
        <v>15211</v>
      </c>
      <c r="S1817" t="s">
        <v>15211</v>
      </c>
      <c r="T1817" t="s">
        <v>3369</v>
      </c>
      <c r="U1817" t="s">
        <v>13705</v>
      </c>
      <c r="V1817" t="s">
        <v>15217</v>
      </c>
    </row>
    <row r="1818" spans="1:22" ht="17.399999999999999" hidden="1">
      <c r="A1818" t="s">
        <v>15342</v>
      </c>
      <c r="B1818" t="s">
        <v>15442</v>
      </c>
      <c r="C1818" t="s">
        <v>15450</v>
      </c>
      <c r="D1818" t="s">
        <v>1816</v>
      </c>
      <c r="E1818" t="s">
        <v>3427</v>
      </c>
      <c r="F1818" t="s">
        <v>3430</v>
      </c>
      <c r="G1818" s="3">
        <v>36.122318492864899</v>
      </c>
      <c r="H1818" s="3">
        <v>129.08225515822099</v>
      </c>
      <c r="I1818" t="s">
        <v>5583</v>
      </c>
      <c r="J1818" t="s">
        <v>8942</v>
      </c>
      <c r="K1818" t="s">
        <v>11142</v>
      </c>
      <c r="L1818" t="s">
        <v>3366</v>
      </c>
      <c r="M1818" t="s">
        <v>11890</v>
      </c>
      <c r="N1818" t="s">
        <v>3364</v>
      </c>
      <c r="O1818" t="s">
        <v>3361</v>
      </c>
      <c r="P1818" t="s">
        <v>15211</v>
      </c>
      <c r="Q1818" t="s">
        <v>15211</v>
      </c>
      <c r="R1818" t="s">
        <v>15211</v>
      </c>
      <c r="S1818" t="s">
        <v>15211</v>
      </c>
      <c r="T1818" t="s">
        <v>3369</v>
      </c>
      <c r="U1818" t="s">
        <v>13706</v>
      </c>
      <c r="V1818" t="s">
        <v>15217</v>
      </c>
    </row>
    <row r="1819" spans="1:22" ht="17.399999999999999" hidden="1">
      <c r="A1819" t="s">
        <v>15342</v>
      </c>
      <c r="B1819" t="s">
        <v>15442</v>
      </c>
      <c r="C1819" t="s">
        <v>15445</v>
      </c>
      <c r="D1819" t="s">
        <v>1817</v>
      </c>
      <c r="E1819" t="s">
        <v>3439</v>
      </c>
      <c r="F1819" t="s">
        <v>3427</v>
      </c>
      <c r="G1819" s="3">
        <v>36.122318529049899</v>
      </c>
      <c r="H1819" s="3">
        <v>129.082255194672</v>
      </c>
      <c r="I1819" t="s">
        <v>5584</v>
      </c>
      <c r="J1819" t="s">
        <v>8943</v>
      </c>
      <c r="K1819" t="s">
        <v>11485</v>
      </c>
      <c r="L1819" t="s">
        <v>3379</v>
      </c>
      <c r="M1819" t="s">
        <v>11885</v>
      </c>
      <c r="N1819" t="s">
        <v>3363</v>
      </c>
      <c r="O1819" t="s">
        <v>3361</v>
      </c>
      <c r="P1819" t="s">
        <v>15211</v>
      </c>
      <c r="Q1819" t="s">
        <v>15211</v>
      </c>
      <c r="R1819" t="s">
        <v>15211</v>
      </c>
      <c r="S1819" t="s">
        <v>15211</v>
      </c>
      <c r="T1819" t="s">
        <v>3368</v>
      </c>
      <c r="U1819" t="s">
        <v>13707</v>
      </c>
      <c r="V1819" t="s">
        <v>15218</v>
      </c>
    </row>
    <row r="1820" spans="1:22" ht="17.399999999999999" hidden="1">
      <c r="A1820" t="s">
        <v>15342</v>
      </c>
      <c r="B1820" t="s">
        <v>15442</v>
      </c>
      <c r="C1820" t="s">
        <v>15445</v>
      </c>
      <c r="D1820" t="s">
        <v>1818</v>
      </c>
      <c r="E1820" t="s">
        <v>3439</v>
      </c>
      <c r="F1820" t="s">
        <v>3427</v>
      </c>
      <c r="G1820" s="3">
        <v>36.122318519065601</v>
      </c>
      <c r="H1820" s="3">
        <v>129.08225520891099</v>
      </c>
      <c r="I1820" t="s">
        <v>5585</v>
      </c>
      <c r="J1820" t="s">
        <v>8944</v>
      </c>
      <c r="K1820" t="s">
        <v>11111</v>
      </c>
      <c r="L1820" t="s">
        <v>3366</v>
      </c>
      <c r="M1820" t="s">
        <v>11890</v>
      </c>
      <c r="N1820" t="s">
        <v>3364</v>
      </c>
      <c r="O1820" t="s">
        <v>3361</v>
      </c>
      <c r="P1820" t="s">
        <v>15211</v>
      </c>
      <c r="Q1820" t="s">
        <v>15211</v>
      </c>
      <c r="R1820" t="s">
        <v>15211</v>
      </c>
      <c r="S1820" t="s">
        <v>15211</v>
      </c>
      <c r="T1820" t="s">
        <v>3369</v>
      </c>
      <c r="U1820" t="s">
        <v>13708</v>
      </c>
      <c r="V1820" t="s">
        <v>15218</v>
      </c>
    </row>
    <row r="1821" spans="1:22" ht="17.399999999999999" hidden="1">
      <c r="A1821" t="s">
        <v>15342</v>
      </c>
      <c r="B1821" t="s">
        <v>15442</v>
      </c>
      <c r="C1821" t="s">
        <v>15445</v>
      </c>
      <c r="D1821" t="s">
        <v>1819</v>
      </c>
      <c r="E1821" t="s">
        <v>3439</v>
      </c>
      <c r="F1821" t="s">
        <v>3427</v>
      </c>
      <c r="G1821" s="3">
        <v>36.1223185303066</v>
      </c>
      <c r="H1821" s="3">
        <v>129.08225524127101</v>
      </c>
      <c r="I1821" t="s">
        <v>5586</v>
      </c>
      <c r="J1821" t="s">
        <v>8945</v>
      </c>
      <c r="K1821" t="s">
        <v>11111</v>
      </c>
      <c r="L1821" t="s">
        <v>3366</v>
      </c>
      <c r="M1821" t="s">
        <v>11890</v>
      </c>
      <c r="N1821" t="s">
        <v>3364</v>
      </c>
      <c r="O1821" t="s">
        <v>3361</v>
      </c>
      <c r="P1821" t="s">
        <v>15211</v>
      </c>
      <c r="Q1821" t="s">
        <v>15211</v>
      </c>
      <c r="R1821" t="s">
        <v>15211</v>
      </c>
      <c r="S1821" t="s">
        <v>15211</v>
      </c>
      <c r="T1821" t="s">
        <v>3369</v>
      </c>
      <c r="U1821" t="s">
        <v>13709</v>
      </c>
      <c r="V1821" t="s">
        <v>15218</v>
      </c>
    </row>
    <row r="1822" spans="1:22" ht="17.399999999999999" hidden="1">
      <c r="A1822" t="s">
        <v>15342</v>
      </c>
      <c r="B1822" t="s">
        <v>15442</v>
      </c>
      <c r="C1822" t="s">
        <v>15451</v>
      </c>
      <c r="D1822" t="s">
        <v>1820</v>
      </c>
      <c r="E1822" t="s">
        <v>3457</v>
      </c>
      <c r="F1822" t="s">
        <v>3440</v>
      </c>
      <c r="G1822" s="3">
        <v>36.122318507726597</v>
      </c>
      <c r="H1822" s="3">
        <v>129.082255219508</v>
      </c>
      <c r="I1822" t="s">
        <v>5587</v>
      </c>
      <c r="J1822" t="s">
        <v>8946</v>
      </c>
      <c r="K1822" t="s">
        <v>11279</v>
      </c>
      <c r="L1822" t="s">
        <v>3382</v>
      </c>
      <c r="M1822" t="s">
        <v>11896</v>
      </c>
      <c r="N1822" t="s">
        <v>3364</v>
      </c>
      <c r="O1822" t="s">
        <v>3361</v>
      </c>
      <c r="P1822" t="s">
        <v>3362</v>
      </c>
      <c r="Q1822" t="s">
        <v>3361</v>
      </c>
      <c r="R1822" t="s">
        <v>15211</v>
      </c>
      <c r="S1822" t="s">
        <v>15211</v>
      </c>
      <c r="T1822" t="s">
        <v>3380</v>
      </c>
      <c r="U1822" t="s">
        <v>13710</v>
      </c>
      <c r="V1822" t="s">
        <v>15219</v>
      </c>
    </row>
    <row r="1823" spans="1:22" ht="17.399999999999999" hidden="1">
      <c r="A1823" t="s">
        <v>15342</v>
      </c>
      <c r="B1823" t="s">
        <v>15442</v>
      </c>
      <c r="C1823" t="s">
        <v>15451</v>
      </c>
      <c r="D1823" t="s">
        <v>1821</v>
      </c>
      <c r="E1823" t="s">
        <v>3457</v>
      </c>
      <c r="F1823" t="s">
        <v>3440</v>
      </c>
      <c r="G1823" s="3">
        <v>36.122318510675598</v>
      </c>
      <c r="H1823" s="3">
        <v>129.08225523637901</v>
      </c>
      <c r="I1823" t="s">
        <v>5588</v>
      </c>
      <c r="J1823" t="s">
        <v>8947</v>
      </c>
      <c r="K1823" t="s">
        <v>11486</v>
      </c>
      <c r="L1823" t="s">
        <v>3366</v>
      </c>
      <c r="M1823" t="s">
        <v>11896</v>
      </c>
      <c r="N1823" t="s">
        <v>3364</v>
      </c>
      <c r="O1823" t="s">
        <v>3361</v>
      </c>
      <c r="P1823" t="s">
        <v>3362</v>
      </c>
      <c r="Q1823" t="s">
        <v>3361</v>
      </c>
      <c r="R1823" t="s">
        <v>15211</v>
      </c>
      <c r="S1823" t="s">
        <v>15211</v>
      </c>
      <c r="T1823" t="s">
        <v>3380</v>
      </c>
      <c r="U1823" t="s">
        <v>13711</v>
      </c>
      <c r="V1823" t="s">
        <v>15219</v>
      </c>
    </row>
    <row r="1824" spans="1:22" ht="17.399999999999999" hidden="1">
      <c r="A1824" t="s">
        <v>15342</v>
      </c>
      <c r="B1824" t="s">
        <v>15442</v>
      </c>
      <c r="C1824" t="s">
        <v>15451</v>
      </c>
      <c r="D1824" t="s">
        <v>1822</v>
      </c>
      <c r="E1824" t="s">
        <v>3457</v>
      </c>
      <c r="F1824" t="s">
        <v>3440</v>
      </c>
      <c r="G1824" s="3">
        <v>36.122318516047997</v>
      </c>
      <c r="H1824" s="3">
        <v>129.08225522453699</v>
      </c>
      <c r="I1824" t="s">
        <v>5589</v>
      </c>
      <c r="J1824" t="s">
        <v>8948</v>
      </c>
      <c r="K1824" t="s">
        <v>11487</v>
      </c>
      <c r="L1824" t="s">
        <v>3366</v>
      </c>
      <c r="M1824" t="s">
        <v>11896</v>
      </c>
      <c r="N1824" t="s">
        <v>3364</v>
      </c>
      <c r="O1824" t="s">
        <v>3360</v>
      </c>
      <c r="P1824" t="s">
        <v>3362</v>
      </c>
      <c r="Q1824" t="s">
        <v>3361</v>
      </c>
      <c r="R1824" t="s">
        <v>15211</v>
      </c>
      <c r="S1824" t="s">
        <v>15211</v>
      </c>
      <c r="T1824" t="s">
        <v>3379</v>
      </c>
      <c r="U1824" t="s">
        <v>13712</v>
      </c>
      <c r="V1824" t="s">
        <v>15219</v>
      </c>
    </row>
    <row r="1825" spans="1:22" ht="17.399999999999999">
      <c r="A1825" t="s">
        <v>15342</v>
      </c>
      <c r="B1825" t="s">
        <v>15443</v>
      </c>
      <c r="C1825" t="s">
        <v>15452</v>
      </c>
      <c r="D1825" t="s">
        <v>1823</v>
      </c>
      <c r="E1825" t="s">
        <v>3440</v>
      </c>
      <c r="F1825" t="s">
        <v>3431</v>
      </c>
      <c r="G1825" s="3">
        <v>36.122318522618301</v>
      </c>
      <c r="H1825" s="3">
        <v>129.08225527206099</v>
      </c>
      <c r="I1825" t="s">
        <v>5590</v>
      </c>
      <c r="J1825" t="s">
        <v>8949</v>
      </c>
      <c r="K1825" t="s">
        <v>10873</v>
      </c>
      <c r="L1825" t="s">
        <v>3377</v>
      </c>
      <c r="M1825" t="s">
        <v>11898</v>
      </c>
      <c r="N1825" t="s">
        <v>3363</v>
      </c>
      <c r="O1825" t="s">
        <v>15211</v>
      </c>
      <c r="P1825" t="s">
        <v>3361</v>
      </c>
      <c r="Q1825" t="s">
        <v>3361</v>
      </c>
      <c r="R1825" t="s">
        <v>15211</v>
      </c>
      <c r="S1825" t="s">
        <v>15211</v>
      </c>
      <c r="T1825" t="s">
        <v>3373</v>
      </c>
      <c r="U1825" t="s">
        <v>13713</v>
      </c>
      <c r="V1825" t="s">
        <v>15220</v>
      </c>
    </row>
    <row r="1826" spans="1:22" ht="17.399999999999999">
      <c r="A1826" t="s">
        <v>15342</v>
      </c>
      <c r="B1826" t="s">
        <v>15443</v>
      </c>
      <c r="C1826" t="s">
        <v>15452</v>
      </c>
      <c r="D1826" t="s">
        <v>1824</v>
      </c>
      <c r="E1826" t="s">
        <v>3440</v>
      </c>
      <c r="F1826" t="s">
        <v>3431</v>
      </c>
      <c r="G1826" s="3">
        <v>36.122318544836297</v>
      </c>
      <c r="H1826" s="3">
        <v>129.08225528738899</v>
      </c>
      <c r="I1826" t="s">
        <v>5591</v>
      </c>
      <c r="J1826" t="s">
        <v>8950</v>
      </c>
      <c r="K1826" t="s">
        <v>10984</v>
      </c>
      <c r="L1826" t="s">
        <v>3366</v>
      </c>
      <c r="M1826" t="s">
        <v>11898</v>
      </c>
      <c r="N1826" t="s">
        <v>3363</v>
      </c>
      <c r="O1826" t="s">
        <v>15211</v>
      </c>
      <c r="P1826" t="s">
        <v>3362</v>
      </c>
      <c r="Q1826" t="s">
        <v>3361</v>
      </c>
      <c r="R1826" t="s">
        <v>15211</v>
      </c>
      <c r="S1826" t="s">
        <v>15211</v>
      </c>
      <c r="T1826" t="s">
        <v>3374</v>
      </c>
      <c r="U1826" t="s">
        <v>13714</v>
      </c>
      <c r="V1826" t="s">
        <v>15220</v>
      </c>
    </row>
    <row r="1827" spans="1:22" ht="17.399999999999999">
      <c r="A1827" t="s">
        <v>15342</v>
      </c>
      <c r="B1827" t="s">
        <v>15443</v>
      </c>
      <c r="C1827" t="s">
        <v>15452</v>
      </c>
      <c r="D1827" t="s">
        <v>1825</v>
      </c>
      <c r="E1827" t="s">
        <v>3438</v>
      </c>
      <c r="F1827" t="s">
        <v>3434</v>
      </c>
      <c r="G1827" s="3">
        <v>36.122318576338401</v>
      </c>
      <c r="H1827" s="3">
        <v>129.082255303127</v>
      </c>
      <c r="I1827" t="s">
        <v>5592</v>
      </c>
      <c r="J1827" t="s">
        <v>8951</v>
      </c>
      <c r="K1827" t="s">
        <v>10846</v>
      </c>
      <c r="L1827" t="s">
        <v>3366</v>
      </c>
      <c r="M1827" t="s">
        <v>11898</v>
      </c>
      <c r="N1827" t="s">
        <v>3363</v>
      </c>
      <c r="O1827" t="s">
        <v>15211</v>
      </c>
      <c r="P1827" t="s">
        <v>3362</v>
      </c>
      <c r="Q1827" t="s">
        <v>3361</v>
      </c>
      <c r="R1827" t="s">
        <v>15211</v>
      </c>
      <c r="S1827" t="s">
        <v>15211</v>
      </c>
      <c r="T1827" t="s">
        <v>3374</v>
      </c>
      <c r="U1827" t="s">
        <v>13715</v>
      </c>
      <c r="V1827" t="s">
        <v>15220</v>
      </c>
    </row>
    <row r="1828" spans="1:22" ht="17.399999999999999" hidden="1">
      <c r="A1828" t="s">
        <v>15342</v>
      </c>
      <c r="B1828" t="s">
        <v>15443</v>
      </c>
      <c r="C1828" t="s">
        <v>15478</v>
      </c>
      <c r="D1828" t="s">
        <v>1826</v>
      </c>
      <c r="E1828" t="s">
        <v>3428</v>
      </c>
      <c r="F1828" t="s">
        <v>3441</v>
      </c>
      <c r="G1828" s="3">
        <v>36.122318575733402</v>
      </c>
      <c r="H1828" s="3">
        <v>129.08225523944199</v>
      </c>
      <c r="I1828" t="s">
        <v>5593</v>
      </c>
      <c r="J1828" t="s">
        <v>8952</v>
      </c>
      <c r="K1828" t="s">
        <v>11488</v>
      </c>
      <c r="L1828" t="s">
        <v>3384</v>
      </c>
      <c r="M1828" t="s">
        <v>11898</v>
      </c>
      <c r="N1828" t="s">
        <v>3363</v>
      </c>
      <c r="O1828" t="s">
        <v>15211</v>
      </c>
      <c r="P1828" t="s">
        <v>3362</v>
      </c>
      <c r="Q1828" t="s">
        <v>3361</v>
      </c>
      <c r="R1828" t="s">
        <v>15211</v>
      </c>
      <c r="S1828" t="s">
        <v>15211</v>
      </c>
      <c r="T1828" t="s">
        <v>3374</v>
      </c>
      <c r="U1828" t="s">
        <v>13716</v>
      </c>
      <c r="V1828" t="s">
        <v>15261</v>
      </c>
    </row>
    <row r="1829" spans="1:22" ht="17.399999999999999" hidden="1">
      <c r="A1829" t="s">
        <v>15342</v>
      </c>
      <c r="B1829" t="s">
        <v>15443</v>
      </c>
      <c r="C1829" t="s">
        <v>15478</v>
      </c>
      <c r="D1829" t="s">
        <v>1827</v>
      </c>
      <c r="E1829" t="s">
        <v>3428</v>
      </c>
      <c r="F1829" t="s">
        <v>3441</v>
      </c>
      <c r="G1829" s="3">
        <v>36.122318575298799</v>
      </c>
      <c r="H1829" s="3">
        <v>129.08225522786901</v>
      </c>
      <c r="I1829" t="s">
        <v>5594</v>
      </c>
      <c r="J1829" t="s">
        <v>8953</v>
      </c>
      <c r="K1829" t="s">
        <v>11488</v>
      </c>
      <c r="L1829" t="s">
        <v>3366</v>
      </c>
      <c r="M1829" t="s">
        <v>11898</v>
      </c>
      <c r="N1829" t="s">
        <v>3363</v>
      </c>
      <c r="O1829" t="s">
        <v>15211</v>
      </c>
      <c r="P1829" t="s">
        <v>3362</v>
      </c>
      <c r="Q1829" t="s">
        <v>3361</v>
      </c>
      <c r="R1829" t="s">
        <v>15211</v>
      </c>
      <c r="S1829" t="s">
        <v>15211</v>
      </c>
      <c r="T1829" t="s">
        <v>3374</v>
      </c>
      <c r="U1829" t="s">
        <v>13717</v>
      </c>
      <c r="V1829" t="s">
        <v>15261</v>
      </c>
    </row>
    <row r="1830" spans="1:22" ht="17.399999999999999" hidden="1">
      <c r="A1830" t="s">
        <v>15342</v>
      </c>
      <c r="B1830" t="s">
        <v>15443</v>
      </c>
      <c r="C1830" t="s">
        <v>15478</v>
      </c>
      <c r="D1830" t="s">
        <v>1828</v>
      </c>
      <c r="E1830" t="s">
        <v>3428</v>
      </c>
      <c r="F1830" t="s">
        <v>3441</v>
      </c>
      <c r="G1830" s="3">
        <v>36.122318601559002</v>
      </c>
      <c r="H1830" s="3">
        <v>129.08225525598399</v>
      </c>
      <c r="I1830" t="s">
        <v>5595</v>
      </c>
      <c r="J1830" t="s">
        <v>8954</v>
      </c>
      <c r="K1830" t="s">
        <v>10868</v>
      </c>
      <c r="L1830" t="s">
        <v>3366</v>
      </c>
      <c r="M1830" t="s">
        <v>11898</v>
      </c>
      <c r="N1830" t="s">
        <v>3363</v>
      </c>
      <c r="O1830" t="s">
        <v>15211</v>
      </c>
      <c r="P1830" t="s">
        <v>3362</v>
      </c>
      <c r="Q1830" t="s">
        <v>3361</v>
      </c>
      <c r="R1830" t="s">
        <v>15211</v>
      </c>
      <c r="S1830" t="s">
        <v>15211</v>
      </c>
      <c r="T1830" t="s">
        <v>3374</v>
      </c>
      <c r="U1830" t="s">
        <v>13718</v>
      </c>
      <c r="V1830" t="s">
        <v>15261</v>
      </c>
    </row>
    <row r="1831" spans="1:22" hidden="1">
      <c r="A1831" t="s">
        <v>15343</v>
      </c>
      <c r="B1831" t="s">
        <v>15441</v>
      </c>
      <c r="C1831" t="s">
        <v>15445</v>
      </c>
      <c r="D1831" t="s">
        <v>1829</v>
      </c>
      <c r="E1831" t="s">
        <v>3438</v>
      </c>
      <c r="F1831" t="s">
        <v>3441</v>
      </c>
      <c r="G1831" s="3">
        <v>36.246416506920099</v>
      </c>
      <c r="H1831" s="3">
        <v>129.21425598421001</v>
      </c>
      <c r="I1831" t="s">
        <v>5596</v>
      </c>
      <c r="J1831" t="s">
        <v>8955</v>
      </c>
      <c r="K1831" t="s">
        <v>10711</v>
      </c>
      <c r="L1831" t="s">
        <v>3366</v>
      </c>
      <c r="M1831" t="s">
        <v>11886</v>
      </c>
      <c r="N1831" t="s">
        <v>3363</v>
      </c>
      <c r="O1831" t="s">
        <v>3360</v>
      </c>
      <c r="P1831" t="s">
        <v>15211</v>
      </c>
      <c r="Q1831" t="s">
        <v>15211</v>
      </c>
      <c r="R1831" t="s">
        <v>15211</v>
      </c>
      <c r="S1831" t="s">
        <v>15211</v>
      </c>
      <c r="T1831" t="s">
        <v>3367</v>
      </c>
      <c r="U1831" t="s">
        <v>13719</v>
      </c>
      <c r="V1831" t="s">
        <v>15212</v>
      </c>
    </row>
    <row r="1832" spans="1:22" hidden="1">
      <c r="A1832" t="s">
        <v>15343</v>
      </c>
      <c r="B1832" t="s">
        <v>15441</v>
      </c>
      <c r="C1832" t="s">
        <v>15445</v>
      </c>
      <c r="D1832" t="s">
        <v>1830</v>
      </c>
      <c r="E1832" t="s">
        <v>3438</v>
      </c>
      <c r="F1832" t="s">
        <v>3441</v>
      </c>
      <c r="G1832" s="3">
        <v>36.2464164870647</v>
      </c>
      <c r="H1832" s="3">
        <v>129.21425597109501</v>
      </c>
      <c r="I1832" t="s">
        <v>5597</v>
      </c>
      <c r="J1832" t="s">
        <v>8956</v>
      </c>
      <c r="K1832" t="s">
        <v>10732</v>
      </c>
      <c r="L1832" t="s">
        <v>3366</v>
      </c>
      <c r="M1832" t="s">
        <v>11886</v>
      </c>
      <c r="N1832" t="s">
        <v>3363</v>
      </c>
      <c r="O1832" t="s">
        <v>3360</v>
      </c>
      <c r="P1832" t="s">
        <v>15211</v>
      </c>
      <c r="Q1832" t="s">
        <v>15211</v>
      </c>
      <c r="R1832" t="s">
        <v>15211</v>
      </c>
      <c r="S1832" t="s">
        <v>15211</v>
      </c>
      <c r="T1832" t="s">
        <v>3367</v>
      </c>
      <c r="U1832" t="s">
        <v>13720</v>
      </c>
      <c r="V1832" t="s">
        <v>15212</v>
      </c>
    </row>
    <row r="1833" spans="1:22" hidden="1">
      <c r="A1833" t="s">
        <v>15343</v>
      </c>
      <c r="B1833" t="s">
        <v>15441</v>
      </c>
      <c r="C1833" t="s">
        <v>15445</v>
      </c>
      <c r="D1833" t="s">
        <v>1831</v>
      </c>
      <c r="E1833" t="s">
        <v>3438</v>
      </c>
      <c r="F1833" t="s">
        <v>3441</v>
      </c>
      <c r="G1833" s="3">
        <v>36.246416487977697</v>
      </c>
      <c r="H1833" s="3">
        <v>129.214255932415</v>
      </c>
      <c r="I1833" t="s">
        <v>5598</v>
      </c>
      <c r="J1833" t="s">
        <v>8957</v>
      </c>
      <c r="K1833" t="s">
        <v>11489</v>
      </c>
      <c r="L1833" t="s">
        <v>3366</v>
      </c>
      <c r="M1833" t="s">
        <v>11886</v>
      </c>
      <c r="N1833" t="s">
        <v>3363</v>
      </c>
      <c r="O1833" t="s">
        <v>3360</v>
      </c>
      <c r="P1833" t="s">
        <v>15211</v>
      </c>
      <c r="Q1833" t="s">
        <v>15211</v>
      </c>
      <c r="R1833" t="s">
        <v>15211</v>
      </c>
      <c r="S1833" t="s">
        <v>15211</v>
      </c>
      <c r="T1833" t="s">
        <v>3367</v>
      </c>
      <c r="U1833" t="s">
        <v>13721</v>
      </c>
      <c r="V1833" t="s">
        <v>15212</v>
      </c>
    </row>
    <row r="1834" spans="1:22" hidden="1">
      <c r="A1834" t="s">
        <v>15343</v>
      </c>
      <c r="B1834" t="s">
        <v>15441</v>
      </c>
      <c r="C1834" t="s">
        <v>15447</v>
      </c>
      <c r="D1834" t="s">
        <v>1832</v>
      </c>
      <c r="E1834" t="s">
        <v>3436</v>
      </c>
      <c r="F1834" t="s">
        <v>3465</v>
      </c>
      <c r="G1834" s="3">
        <v>36.246416576815797</v>
      </c>
      <c r="H1834" s="3">
        <v>129.21425603756299</v>
      </c>
      <c r="I1834" t="s">
        <v>5599</v>
      </c>
      <c r="J1834" t="s">
        <v>8958</v>
      </c>
      <c r="K1834" t="s">
        <v>11490</v>
      </c>
      <c r="L1834" t="s">
        <v>3380</v>
      </c>
      <c r="M1834" t="s">
        <v>11887</v>
      </c>
      <c r="N1834" t="s">
        <v>3363</v>
      </c>
      <c r="O1834" t="s">
        <v>3358</v>
      </c>
      <c r="P1834" t="s">
        <v>3358</v>
      </c>
      <c r="Q1834" t="s">
        <v>3362</v>
      </c>
      <c r="R1834" t="s">
        <v>15211</v>
      </c>
      <c r="S1834" t="s">
        <v>15211</v>
      </c>
      <c r="T1834" t="s">
        <v>3373</v>
      </c>
      <c r="U1834" t="s">
        <v>13722</v>
      </c>
      <c r="V1834" t="s">
        <v>15214</v>
      </c>
    </row>
    <row r="1835" spans="1:22" hidden="1">
      <c r="A1835" t="s">
        <v>15343</v>
      </c>
      <c r="B1835" t="s">
        <v>15441</v>
      </c>
      <c r="C1835" t="s">
        <v>15447</v>
      </c>
      <c r="D1835" t="s">
        <v>1833</v>
      </c>
      <c r="E1835" t="s">
        <v>3428</v>
      </c>
      <c r="F1835" t="s">
        <v>3452</v>
      </c>
      <c r="G1835" s="3">
        <v>36.2464165724396</v>
      </c>
      <c r="H1835" s="3">
        <v>129.21425601615701</v>
      </c>
      <c r="I1835" t="s">
        <v>5600</v>
      </c>
      <c r="J1835" t="s">
        <v>8959</v>
      </c>
      <c r="K1835" t="s">
        <v>11490</v>
      </c>
      <c r="L1835" t="s">
        <v>3366</v>
      </c>
      <c r="M1835" t="s">
        <v>11887</v>
      </c>
      <c r="N1835" t="s">
        <v>3363</v>
      </c>
      <c r="O1835" t="s">
        <v>15211</v>
      </c>
      <c r="P1835" t="s">
        <v>15211</v>
      </c>
      <c r="Q1835" t="s">
        <v>15211</v>
      </c>
      <c r="R1835" t="s">
        <v>15211</v>
      </c>
      <c r="S1835" t="s">
        <v>15211</v>
      </c>
      <c r="T1835" t="s">
        <v>3363</v>
      </c>
      <c r="U1835" t="s">
        <v>13723</v>
      </c>
      <c r="V1835" t="s">
        <v>15214</v>
      </c>
    </row>
    <row r="1836" spans="1:22" hidden="1">
      <c r="A1836" t="s">
        <v>15343</v>
      </c>
      <c r="B1836" t="s">
        <v>15441</v>
      </c>
      <c r="C1836" t="s">
        <v>15447</v>
      </c>
      <c r="D1836" t="s">
        <v>1834</v>
      </c>
      <c r="E1836" t="s">
        <v>3428</v>
      </c>
      <c r="F1836" t="s">
        <v>3452</v>
      </c>
      <c r="G1836" s="3">
        <v>36.246416571111503</v>
      </c>
      <c r="H1836" s="3">
        <v>129.21425601618799</v>
      </c>
      <c r="I1836" t="s">
        <v>5601</v>
      </c>
      <c r="J1836" t="s">
        <v>8960</v>
      </c>
      <c r="K1836" t="s">
        <v>11490</v>
      </c>
      <c r="L1836" t="s">
        <v>3366</v>
      </c>
      <c r="M1836" t="s">
        <v>11887</v>
      </c>
      <c r="N1836" t="s">
        <v>3363</v>
      </c>
      <c r="O1836" t="s">
        <v>15211</v>
      </c>
      <c r="P1836" t="s">
        <v>15211</v>
      </c>
      <c r="Q1836" t="s">
        <v>15211</v>
      </c>
      <c r="R1836" t="s">
        <v>15211</v>
      </c>
      <c r="S1836" t="s">
        <v>15211</v>
      </c>
      <c r="T1836" t="s">
        <v>3363</v>
      </c>
      <c r="U1836" t="s">
        <v>13724</v>
      </c>
      <c r="V1836" t="s">
        <v>15214</v>
      </c>
    </row>
    <row r="1837" spans="1:22" hidden="1">
      <c r="A1837" t="s">
        <v>15343</v>
      </c>
      <c r="B1837" t="s">
        <v>15441</v>
      </c>
      <c r="C1837" t="s">
        <v>15448</v>
      </c>
      <c r="D1837" t="s">
        <v>1835</v>
      </c>
      <c r="E1837" t="s">
        <v>3428</v>
      </c>
      <c r="F1837" t="s">
        <v>3452</v>
      </c>
      <c r="G1837" s="3">
        <v>36.246416542650501</v>
      </c>
      <c r="H1837" s="3">
        <v>129.214255996611</v>
      </c>
      <c r="I1837" t="s">
        <v>5602</v>
      </c>
      <c r="J1837" t="s">
        <v>8961</v>
      </c>
      <c r="K1837" t="s">
        <v>11461</v>
      </c>
      <c r="L1837" t="s">
        <v>3376</v>
      </c>
      <c r="M1837" t="s">
        <v>11891</v>
      </c>
      <c r="N1837" t="s">
        <v>3362</v>
      </c>
      <c r="O1837" t="s">
        <v>3360</v>
      </c>
      <c r="P1837" t="s">
        <v>3362</v>
      </c>
      <c r="Q1837" t="s">
        <v>3363</v>
      </c>
      <c r="R1837" t="s">
        <v>3357</v>
      </c>
      <c r="S1837" t="s">
        <v>15211</v>
      </c>
      <c r="T1837" t="s">
        <v>3380</v>
      </c>
      <c r="U1837" t="s">
        <v>13725</v>
      </c>
      <c r="V1837" t="s">
        <v>15215</v>
      </c>
    </row>
    <row r="1838" spans="1:22" hidden="1">
      <c r="A1838" t="s">
        <v>15343</v>
      </c>
      <c r="B1838" t="s">
        <v>15441</v>
      </c>
      <c r="C1838" t="s">
        <v>15448</v>
      </c>
      <c r="D1838" t="s">
        <v>1836</v>
      </c>
      <c r="E1838" t="s">
        <v>3436</v>
      </c>
      <c r="F1838" t="s">
        <v>3462</v>
      </c>
      <c r="G1838" s="3">
        <v>36.246416554318699</v>
      </c>
      <c r="H1838" s="3">
        <v>129.214256010838</v>
      </c>
      <c r="I1838" t="s">
        <v>5603</v>
      </c>
      <c r="J1838" t="s">
        <v>8962</v>
      </c>
      <c r="K1838" t="s">
        <v>11491</v>
      </c>
      <c r="L1838" t="s">
        <v>3366</v>
      </c>
      <c r="M1838" t="s">
        <v>11891</v>
      </c>
      <c r="N1838" t="s">
        <v>3362</v>
      </c>
      <c r="O1838" t="s">
        <v>3360</v>
      </c>
      <c r="P1838" t="s">
        <v>3362</v>
      </c>
      <c r="Q1838" t="s">
        <v>3363</v>
      </c>
      <c r="R1838" t="s">
        <v>3357</v>
      </c>
      <c r="S1838" t="s">
        <v>15211</v>
      </c>
      <c r="T1838" t="s">
        <v>3380</v>
      </c>
      <c r="U1838" t="s">
        <v>13726</v>
      </c>
      <c r="V1838" t="s">
        <v>15215</v>
      </c>
    </row>
    <row r="1839" spans="1:22" hidden="1">
      <c r="A1839" t="s">
        <v>15343</v>
      </c>
      <c r="B1839" t="s">
        <v>15441</v>
      </c>
      <c r="C1839" t="s">
        <v>15448</v>
      </c>
      <c r="D1839" t="s">
        <v>1837</v>
      </c>
      <c r="E1839" t="s">
        <v>3436</v>
      </c>
      <c r="F1839" t="s">
        <v>3465</v>
      </c>
      <c r="G1839" s="3">
        <v>36.246416532945801</v>
      </c>
      <c r="H1839" s="3">
        <v>129.214256024538</v>
      </c>
      <c r="I1839" t="s">
        <v>5604</v>
      </c>
      <c r="J1839" t="s">
        <v>8963</v>
      </c>
      <c r="K1839" t="s">
        <v>10620</v>
      </c>
      <c r="L1839" t="s">
        <v>3366</v>
      </c>
      <c r="M1839" t="s">
        <v>11891</v>
      </c>
      <c r="N1839" t="s">
        <v>3363</v>
      </c>
      <c r="O1839" t="s">
        <v>3360</v>
      </c>
      <c r="P1839" t="s">
        <v>3362</v>
      </c>
      <c r="Q1839" t="s">
        <v>3363</v>
      </c>
      <c r="R1839" t="s">
        <v>3357</v>
      </c>
      <c r="S1839" t="s">
        <v>15211</v>
      </c>
      <c r="T1839" t="s">
        <v>3381</v>
      </c>
      <c r="U1839" t="s">
        <v>13727</v>
      </c>
      <c r="V1839" t="s">
        <v>15215</v>
      </c>
    </row>
    <row r="1840" spans="1:22" hidden="1">
      <c r="A1840" t="s">
        <v>15343</v>
      </c>
      <c r="B1840" t="s">
        <v>15441</v>
      </c>
      <c r="C1840" t="s">
        <v>15446</v>
      </c>
      <c r="D1840" t="s">
        <v>1838</v>
      </c>
      <c r="E1840" t="s">
        <v>3438</v>
      </c>
      <c r="F1840" t="s">
        <v>3452</v>
      </c>
      <c r="G1840" s="3">
        <v>36.246416470587299</v>
      </c>
      <c r="H1840" s="3">
        <v>129.21425594625299</v>
      </c>
      <c r="I1840" t="s">
        <v>5605</v>
      </c>
      <c r="J1840" t="s">
        <v>8964</v>
      </c>
      <c r="K1840" t="s">
        <v>11492</v>
      </c>
      <c r="L1840" t="s">
        <v>3375</v>
      </c>
      <c r="M1840" t="s">
        <v>11902</v>
      </c>
      <c r="N1840" t="s">
        <v>3362</v>
      </c>
      <c r="O1840" t="s">
        <v>3360</v>
      </c>
      <c r="P1840" t="s">
        <v>3357</v>
      </c>
      <c r="Q1840" t="s">
        <v>3357</v>
      </c>
      <c r="R1840" t="s">
        <v>15211</v>
      </c>
      <c r="S1840" t="s">
        <v>15211</v>
      </c>
      <c r="T1840" t="s">
        <v>3368</v>
      </c>
      <c r="U1840" t="s">
        <v>13728</v>
      </c>
      <c r="V1840" t="s">
        <v>15213</v>
      </c>
    </row>
    <row r="1841" spans="1:22" hidden="1">
      <c r="A1841" t="s">
        <v>15343</v>
      </c>
      <c r="B1841" t="s">
        <v>15441</v>
      </c>
      <c r="C1841" t="s">
        <v>15446</v>
      </c>
      <c r="D1841" t="s">
        <v>1839</v>
      </c>
      <c r="E1841" t="s">
        <v>3438</v>
      </c>
      <c r="F1841" t="s">
        <v>3452</v>
      </c>
      <c r="G1841" s="3">
        <v>36.246416457368198</v>
      </c>
      <c r="H1841" s="3">
        <v>129.21425592920801</v>
      </c>
      <c r="I1841" t="s">
        <v>5606</v>
      </c>
      <c r="J1841" t="s">
        <v>8965</v>
      </c>
      <c r="K1841" t="s">
        <v>11493</v>
      </c>
      <c r="L1841" t="s">
        <v>3366</v>
      </c>
      <c r="M1841" t="s">
        <v>11902</v>
      </c>
      <c r="N1841" t="s">
        <v>3362</v>
      </c>
      <c r="O1841" t="s">
        <v>3360</v>
      </c>
      <c r="P1841" t="s">
        <v>15211</v>
      </c>
      <c r="Q1841" t="s">
        <v>15211</v>
      </c>
      <c r="R1841" t="s">
        <v>15211</v>
      </c>
      <c r="S1841" t="s">
        <v>15211</v>
      </c>
      <c r="T1841" t="s">
        <v>3366</v>
      </c>
      <c r="U1841" t="s">
        <v>13729</v>
      </c>
      <c r="V1841" t="s">
        <v>15213</v>
      </c>
    </row>
    <row r="1842" spans="1:22" hidden="1">
      <c r="A1842" t="s">
        <v>15343</v>
      </c>
      <c r="B1842" t="s">
        <v>15441</v>
      </c>
      <c r="C1842" t="s">
        <v>15446</v>
      </c>
      <c r="D1842" t="s">
        <v>1840</v>
      </c>
      <c r="E1842" t="s">
        <v>3438</v>
      </c>
      <c r="F1842" t="s">
        <v>3452</v>
      </c>
      <c r="G1842" s="3">
        <v>36.246416444675397</v>
      </c>
      <c r="H1842" s="3">
        <v>129.21425592639099</v>
      </c>
      <c r="I1842" t="s">
        <v>5607</v>
      </c>
      <c r="J1842" t="s">
        <v>8966</v>
      </c>
      <c r="K1842" t="s">
        <v>11494</v>
      </c>
      <c r="L1842" t="s">
        <v>3366</v>
      </c>
      <c r="M1842" t="s">
        <v>11902</v>
      </c>
      <c r="N1842" t="s">
        <v>3362</v>
      </c>
      <c r="O1842" t="s">
        <v>3360</v>
      </c>
      <c r="P1842" t="s">
        <v>15211</v>
      </c>
      <c r="Q1842" t="s">
        <v>15211</v>
      </c>
      <c r="R1842" t="s">
        <v>15211</v>
      </c>
      <c r="S1842" t="s">
        <v>15211</v>
      </c>
      <c r="T1842" t="s">
        <v>3366</v>
      </c>
      <c r="U1842" t="s">
        <v>13730</v>
      </c>
      <c r="V1842" t="s">
        <v>15213</v>
      </c>
    </row>
    <row r="1843" spans="1:22" hidden="1">
      <c r="A1843" t="s">
        <v>15343</v>
      </c>
      <c r="B1843" t="s">
        <v>15441</v>
      </c>
      <c r="C1843" t="s">
        <v>15449</v>
      </c>
      <c r="D1843" t="s">
        <v>1841</v>
      </c>
      <c r="E1843" t="s">
        <v>3439</v>
      </c>
      <c r="F1843" t="s">
        <v>3434</v>
      </c>
      <c r="G1843" s="3">
        <v>36.246416402928503</v>
      </c>
      <c r="H1843" s="3">
        <v>129.21425606418001</v>
      </c>
      <c r="I1843" t="s">
        <v>5608</v>
      </c>
      <c r="J1843" t="s">
        <v>8967</v>
      </c>
      <c r="K1843" t="s">
        <v>11495</v>
      </c>
      <c r="L1843" t="s">
        <v>3379</v>
      </c>
      <c r="M1843" t="s">
        <v>11891</v>
      </c>
      <c r="N1843" t="s">
        <v>3362</v>
      </c>
      <c r="O1843" t="s">
        <v>3360</v>
      </c>
      <c r="P1843" t="s">
        <v>3361</v>
      </c>
      <c r="Q1843" t="s">
        <v>3362</v>
      </c>
      <c r="R1843" t="s">
        <v>15211</v>
      </c>
      <c r="S1843" t="s">
        <v>15211</v>
      </c>
      <c r="T1843" t="s">
        <v>3377</v>
      </c>
      <c r="U1843" t="s">
        <v>13731</v>
      </c>
      <c r="V1843" t="s">
        <v>15216</v>
      </c>
    </row>
    <row r="1844" spans="1:22" hidden="1">
      <c r="A1844" t="s">
        <v>15343</v>
      </c>
      <c r="B1844" t="s">
        <v>15441</v>
      </c>
      <c r="C1844" t="s">
        <v>15449</v>
      </c>
      <c r="D1844" t="s">
        <v>1842</v>
      </c>
      <c r="E1844" t="s">
        <v>3437</v>
      </c>
      <c r="F1844" t="s">
        <v>3430</v>
      </c>
      <c r="G1844" s="3">
        <v>36.2464163857465</v>
      </c>
      <c r="H1844" s="3">
        <v>129.214256076818</v>
      </c>
      <c r="I1844" t="s">
        <v>5609</v>
      </c>
      <c r="J1844" t="s">
        <v>8968</v>
      </c>
      <c r="K1844" t="s">
        <v>10957</v>
      </c>
      <c r="L1844" t="s">
        <v>3366</v>
      </c>
      <c r="M1844" t="s">
        <v>11893</v>
      </c>
      <c r="N1844" t="s">
        <v>3363</v>
      </c>
      <c r="O1844" t="s">
        <v>3360</v>
      </c>
      <c r="P1844" t="s">
        <v>3362</v>
      </c>
      <c r="Q1844" t="s">
        <v>3363</v>
      </c>
      <c r="R1844" t="s">
        <v>3357</v>
      </c>
      <c r="S1844" t="s">
        <v>15211</v>
      </c>
      <c r="T1844" t="s">
        <v>3381</v>
      </c>
      <c r="U1844" t="s">
        <v>13732</v>
      </c>
      <c r="V1844" t="s">
        <v>15216</v>
      </c>
    </row>
    <row r="1845" spans="1:22" hidden="1">
      <c r="A1845" t="s">
        <v>15343</v>
      </c>
      <c r="B1845" t="s">
        <v>15441</v>
      </c>
      <c r="C1845" t="s">
        <v>15449</v>
      </c>
      <c r="D1845" t="s">
        <v>1843</v>
      </c>
      <c r="E1845" t="s">
        <v>3440</v>
      </c>
      <c r="F1845" t="s">
        <v>3442</v>
      </c>
      <c r="G1845" s="3">
        <v>36.246416390830902</v>
      </c>
      <c r="H1845" s="3">
        <v>129.214256099138</v>
      </c>
      <c r="I1845" t="s">
        <v>5610</v>
      </c>
      <c r="J1845" t="s">
        <v>8969</v>
      </c>
      <c r="K1845" t="s">
        <v>10957</v>
      </c>
      <c r="L1845" t="s">
        <v>3366</v>
      </c>
      <c r="M1845" t="s">
        <v>11893</v>
      </c>
      <c r="N1845" t="s">
        <v>3363</v>
      </c>
      <c r="O1845" t="s">
        <v>3360</v>
      </c>
      <c r="P1845" t="s">
        <v>3362</v>
      </c>
      <c r="Q1845" t="s">
        <v>3363</v>
      </c>
      <c r="R1845" t="s">
        <v>3357</v>
      </c>
      <c r="S1845" t="s">
        <v>15211</v>
      </c>
      <c r="T1845" t="s">
        <v>3381</v>
      </c>
      <c r="U1845" t="s">
        <v>13732</v>
      </c>
      <c r="V1845" t="s">
        <v>15216</v>
      </c>
    </row>
    <row r="1846" spans="1:22" hidden="1">
      <c r="A1846" t="s">
        <v>15343</v>
      </c>
      <c r="B1846" t="s">
        <v>15442</v>
      </c>
      <c r="C1846" t="s">
        <v>15450</v>
      </c>
      <c r="D1846" t="s">
        <v>1844</v>
      </c>
      <c r="E1846" t="s">
        <v>3530</v>
      </c>
      <c r="F1846" t="s">
        <v>3685</v>
      </c>
      <c r="G1846" s="3">
        <v>36.246417090013601</v>
      </c>
      <c r="H1846" s="3">
        <v>129.21425724739899</v>
      </c>
      <c r="I1846" t="s">
        <v>5611</v>
      </c>
      <c r="J1846" t="s">
        <v>8970</v>
      </c>
      <c r="K1846" t="s">
        <v>11496</v>
      </c>
      <c r="L1846" t="s">
        <v>3374</v>
      </c>
      <c r="M1846" t="s">
        <v>11895</v>
      </c>
      <c r="N1846" t="s">
        <v>3363</v>
      </c>
      <c r="O1846" t="s">
        <v>3361</v>
      </c>
      <c r="P1846" t="s">
        <v>3357</v>
      </c>
      <c r="Q1846" t="s">
        <v>3358</v>
      </c>
      <c r="R1846" t="s">
        <v>15211</v>
      </c>
      <c r="S1846" t="s">
        <v>15211</v>
      </c>
      <c r="T1846" t="s">
        <v>3371</v>
      </c>
      <c r="U1846" t="s">
        <v>13733</v>
      </c>
      <c r="V1846" t="s">
        <v>15217</v>
      </c>
    </row>
    <row r="1847" spans="1:22" hidden="1">
      <c r="A1847" t="s">
        <v>15343</v>
      </c>
      <c r="B1847" t="s">
        <v>15442</v>
      </c>
      <c r="C1847" t="s">
        <v>15450</v>
      </c>
      <c r="D1847" t="s">
        <v>1845</v>
      </c>
      <c r="E1847" t="s">
        <v>3531</v>
      </c>
      <c r="F1847" t="s">
        <v>3686</v>
      </c>
      <c r="G1847" s="3">
        <v>36.246416604842103</v>
      </c>
      <c r="H1847" s="3">
        <v>129.21425650430501</v>
      </c>
      <c r="I1847" t="s">
        <v>5612</v>
      </c>
      <c r="J1847" t="s">
        <v>8971</v>
      </c>
      <c r="K1847" t="s">
        <v>11497</v>
      </c>
      <c r="L1847" t="s">
        <v>3366</v>
      </c>
      <c r="M1847" t="s">
        <v>11885</v>
      </c>
      <c r="N1847" t="s">
        <v>3363</v>
      </c>
      <c r="O1847" t="s">
        <v>3361</v>
      </c>
      <c r="P1847" t="s">
        <v>15211</v>
      </c>
      <c r="Q1847" t="s">
        <v>15211</v>
      </c>
      <c r="R1847" t="s">
        <v>15211</v>
      </c>
      <c r="S1847" t="s">
        <v>15211</v>
      </c>
      <c r="T1847" t="s">
        <v>3368</v>
      </c>
      <c r="U1847" t="s">
        <v>13734</v>
      </c>
      <c r="V1847" t="s">
        <v>15217</v>
      </c>
    </row>
    <row r="1848" spans="1:22" hidden="1">
      <c r="A1848" t="s">
        <v>15343</v>
      </c>
      <c r="B1848" t="s">
        <v>15442</v>
      </c>
      <c r="C1848" t="s">
        <v>15450</v>
      </c>
      <c r="D1848" t="s">
        <v>1846</v>
      </c>
      <c r="E1848" t="s">
        <v>3464</v>
      </c>
      <c r="F1848" t="s">
        <v>3687</v>
      </c>
      <c r="G1848" s="3">
        <v>36.2464164644948</v>
      </c>
      <c r="H1848" s="3">
        <v>129.214256033342</v>
      </c>
      <c r="I1848" t="s">
        <v>5613</v>
      </c>
      <c r="J1848" t="s">
        <v>8972</v>
      </c>
      <c r="K1848" t="s">
        <v>11497</v>
      </c>
      <c r="L1848" t="s">
        <v>3366</v>
      </c>
      <c r="M1848" t="s">
        <v>11885</v>
      </c>
      <c r="N1848" t="s">
        <v>3363</v>
      </c>
      <c r="O1848" t="s">
        <v>3361</v>
      </c>
      <c r="P1848" t="s">
        <v>15211</v>
      </c>
      <c r="Q1848" t="s">
        <v>15211</v>
      </c>
      <c r="R1848" t="s">
        <v>15211</v>
      </c>
      <c r="S1848" t="s">
        <v>15211</v>
      </c>
      <c r="T1848" t="s">
        <v>3368</v>
      </c>
      <c r="U1848" t="s">
        <v>13735</v>
      </c>
      <c r="V1848" t="s">
        <v>15217</v>
      </c>
    </row>
    <row r="1849" spans="1:22" hidden="1">
      <c r="A1849" t="s">
        <v>15343</v>
      </c>
      <c r="B1849" t="s">
        <v>15442</v>
      </c>
      <c r="C1849" t="s">
        <v>15445</v>
      </c>
      <c r="D1849" t="s">
        <v>1847</v>
      </c>
      <c r="E1849" t="s">
        <v>3438</v>
      </c>
      <c r="F1849" t="s">
        <v>3441</v>
      </c>
      <c r="G1849" s="3">
        <v>36.246416359668103</v>
      </c>
      <c r="H1849" s="3">
        <v>129.214256004795</v>
      </c>
      <c r="I1849" t="s">
        <v>5614</v>
      </c>
      <c r="J1849" t="s">
        <v>8973</v>
      </c>
      <c r="K1849" t="s">
        <v>11498</v>
      </c>
      <c r="L1849" t="s">
        <v>3380</v>
      </c>
      <c r="M1849" t="s">
        <v>11886</v>
      </c>
      <c r="N1849" t="s">
        <v>3363</v>
      </c>
      <c r="O1849" t="s">
        <v>3360</v>
      </c>
      <c r="P1849" t="s">
        <v>15211</v>
      </c>
      <c r="Q1849" t="s">
        <v>15211</v>
      </c>
      <c r="R1849" t="s">
        <v>15211</v>
      </c>
      <c r="S1849" t="s">
        <v>15211</v>
      </c>
      <c r="T1849" t="s">
        <v>3367</v>
      </c>
      <c r="U1849" t="s">
        <v>13736</v>
      </c>
      <c r="V1849" t="s">
        <v>15218</v>
      </c>
    </row>
    <row r="1850" spans="1:22" hidden="1">
      <c r="A1850" t="s">
        <v>15343</v>
      </c>
      <c r="B1850" t="s">
        <v>15442</v>
      </c>
      <c r="C1850" t="s">
        <v>15445</v>
      </c>
      <c r="D1850" t="s">
        <v>1848</v>
      </c>
      <c r="E1850" t="s">
        <v>3438</v>
      </c>
      <c r="F1850" t="s">
        <v>3453</v>
      </c>
      <c r="G1850" s="3">
        <v>36.246416359215701</v>
      </c>
      <c r="H1850" s="3">
        <v>129.21425602540401</v>
      </c>
      <c r="I1850" t="s">
        <v>5615</v>
      </c>
      <c r="J1850" t="s">
        <v>8974</v>
      </c>
      <c r="K1850" t="s">
        <v>11499</v>
      </c>
      <c r="L1850" t="s">
        <v>3366</v>
      </c>
      <c r="M1850" t="s">
        <v>11886</v>
      </c>
      <c r="N1850" t="s">
        <v>3362</v>
      </c>
      <c r="O1850" t="s">
        <v>3361</v>
      </c>
      <c r="P1850" t="s">
        <v>15211</v>
      </c>
      <c r="Q1850" t="s">
        <v>15211</v>
      </c>
      <c r="R1850" t="s">
        <v>15211</v>
      </c>
      <c r="S1850" t="s">
        <v>15211</v>
      </c>
      <c r="T1850" t="s">
        <v>3367</v>
      </c>
      <c r="U1850" t="s">
        <v>13737</v>
      </c>
      <c r="V1850" t="s">
        <v>15218</v>
      </c>
    </row>
    <row r="1851" spans="1:22" hidden="1">
      <c r="A1851" t="s">
        <v>15343</v>
      </c>
      <c r="B1851" t="s">
        <v>15442</v>
      </c>
      <c r="C1851" t="s">
        <v>15445</v>
      </c>
      <c r="D1851" t="s">
        <v>1849</v>
      </c>
      <c r="E1851" t="s">
        <v>3438</v>
      </c>
      <c r="F1851" t="s">
        <v>3432</v>
      </c>
      <c r="G1851" s="3">
        <v>36.246416361203202</v>
      </c>
      <c r="H1851" s="3">
        <v>129.214256041346</v>
      </c>
      <c r="I1851" t="s">
        <v>5616</v>
      </c>
      <c r="J1851" t="s">
        <v>8975</v>
      </c>
      <c r="K1851" t="s">
        <v>11500</v>
      </c>
      <c r="L1851" t="s">
        <v>3366</v>
      </c>
      <c r="M1851" t="s">
        <v>11886</v>
      </c>
      <c r="N1851" t="s">
        <v>3362</v>
      </c>
      <c r="O1851" t="s">
        <v>3361</v>
      </c>
      <c r="P1851" t="s">
        <v>15211</v>
      </c>
      <c r="Q1851" t="s">
        <v>15211</v>
      </c>
      <c r="R1851" t="s">
        <v>15211</v>
      </c>
      <c r="S1851" t="s">
        <v>15211</v>
      </c>
      <c r="T1851" t="s">
        <v>3367</v>
      </c>
      <c r="U1851" t="s">
        <v>13738</v>
      </c>
      <c r="V1851" t="s">
        <v>15218</v>
      </c>
    </row>
    <row r="1852" spans="1:22" hidden="1">
      <c r="A1852" t="s">
        <v>15343</v>
      </c>
      <c r="B1852" t="s">
        <v>15442</v>
      </c>
      <c r="C1852" t="s">
        <v>15451</v>
      </c>
      <c r="D1852" t="s">
        <v>1850</v>
      </c>
      <c r="E1852" t="s">
        <v>3439</v>
      </c>
      <c r="F1852" t="s">
        <v>3425</v>
      </c>
      <c r="G1852" s="3">
        <v>36.246416402232597</v>
      </c>
      <c r="H1852" s="3">
        <v>129.21425598817399</v>
      </c>
      <c r="I1852" t="s">
        <v>5617</v>
      </c>
      <c r="J1852" t="s">
        <v>8976</v>
      </c>
      <c r="K1852" t="s">
        <v>11250</v>
      </c>
      <c r="L1852" t="s">
        <v>3381</v>
      </c>
      <c r="M1852" t="s">
        <v>11888</v>
      </c>
      <c r="N1852" t="s">
        <v>3362</v>
      </c>
      <c r="O1852" t="s">
        <v>3361</v>
      </c>
      <c r="P1852" t="s">
        <v>3362</v>
      </c>
      <c r="Q1852" t="s">
        <v>3361</v>
      </c>
      <c r="R1852" t="s">
        <v>15211</v>
      </c>
      <c r="S1852" t="s">
        <v>15211</v>
      </c>
      <c r="T1852" t="s">
        <v>3378</v>
      </c>
      <c r="U1852" t="s">
        <v>13739</v>
      </c>
      <c r="V1852" t="s">
        <v>15219</v>
      </c>
    </row>
    <row r="1853" spans="1:22" hidden="1">
      <c r="A1853" t="s">
        <v>15343</v>
      </c>
      <c r="B1853" t="s">
        <v>15442</v>
      </c>
      <c r="C1853" t="s">
        <v>15451</v>
      </c>
      <c r="D1853" t="s">
        <v>1851</v>
      </c>
      <c r="E1853" t="s">
        <v>3439</v>
      </c>
      <c r="F1853" t="s">
        <v>3425</v>
      </c>
      <c r="G1853" s="3">
        <v>36.246416392309797</v>
      </c>
      <c r="H1853" s="3">
        <v>129.21425599440499</v>
      </c>
      <c r="I1853" t="s">
        <v>5618</v>
      </c>
      <c r="J1853" t="s">
        <v>8977</v>
      </c>
      <c r="K1853" t="s">
        <v>11379</v>
      </c>
      <c r="L1853" t="s">
        <v>3366</v>
      </c>
      <c r="M1853" t="s">
        <v>11888</v>
      </c>
      <c r="N1853" t="s">
        <v>3362</v>
      </c>
      <c r="O1853" t="s">
        <v>3361</v>
      </c>
      <c r="P1853" t="s">
        <v>3362</v>
      </c>
      <c r="Q1853" t="s">
        <v>3361</v>
      </c>
      <c r="R1853" t="s">
        <v>15211</v>
      </c>
      <c r="S1853" t="s">
        <v>15211</v>
      </c>
      <c r="T1853" t="s">
        <v>3378</v>
      </c>
      <c r="U1853" t="s">
        <v>13740</v>
      </c>
      <c r="V1853" t="s">
        <v>15219</v>
      </c>
    </row>
    <row r="1854" spans="1:22" hidden="1">
      <c r="A1854" t="s">
        <v>15343</v>
      </c>
      <c r="B1854" t="s">
        <v>15442</v>
      </c>
      <c r="C1854" t="s">
        <v>15451</v>
      </c>
      <c r="D1854" t="s">
        <v>1852</v>
      </c>
      <c r="E1854" t="s">
        <v>3439</v>
      </c>
      <c r="F1854" t="s">
        <v>3425</v>
      </c>
      <c r="G1854" s="3">
        <v>36.246416388919002</v>
      </c>
      <c r="H1854" s="3">
        <v>129.21425599848899</v>
      </c>
      <c r="I1854" t="s">
        <v>5619</v>
      </c>
      <c r="J1854" t="s">
        <v>8978</v>
      </c>
      <c r="K1854" t="s">
        <v>11379</v>
      </c>
      <c r="L1854" t="s">
        <v>3366</v>
      </c>
      <c r="M1854" t="s">
        <v>11888</v>
      </c>
      <c r="N1854" t="s">
        <v>3362</v>
      </c>
      <c r="O1854" t="s">
        <v>3361</v>
      </c>
      <c r="P1854" t="s">
        <v>3362</v>
      </c>
      <c r="Q1854" t="s">
        <v>3361</v>
      </c>
      <c r="R1854" t="s">
        <v>15211</v>
      </c>
      <c r="S1854" t="s">
        <v>15211</v>
      </c>
      <c r="T1854" t="s">
        <v>3378</v>
      </c>
      <c r="U1854" t="s">
        <v>13741</v>
      </c>
      <c r="V1854" t="s">
        <v>15219</v>
      </c>
    </row>
    <row r="1855" spans="1:22">
      <c r="A1855" t="s">
        <v>15343</v>
      </c>
      <c r="B1855" t="s">
        <v>15443</v>
      </c>
      <c r="C1855" t="s">
        <v>15452</v>
      </c>
      <c r="D1855" t="s">
        <v>1853</v>
      </c>
      <c r="E1855" t="s">
        <v>3439</v>
      </c>
      <c r="F1855" t="s">
        <v>3436</v>
      </c>
      <c r="G1855" s="3">
        <v>36.246416238658902</v>
      </c>
      <c r="H1855" s="3">
        <v>129.21425622754199</v>
      </c>
      <c r="I1855" t="s">
        <v>5620</v>
      </c>
      <c r="J1855" t="s">
        <v>8979</v>
      </c>
      <c r="K1855" t="s">
        <v>10952</v>
      </c>
      <c r="L1855" t="s">
        <v>3377</v>
      </c>
      <c r="M1855" t="s">
        <v>11903</v>
      </c>
      <c r="N1855" t="s">
        <v>3362</v>
      </c>
      <c r="O1855" t="s">
        <v>15211</v>
      </c>
      <c r="P1855" t="s">
        <v>3362</v>
      </c>
      <c r="Q1855" t="s">
        <v>3360</v>
      </c>
      <c r="R1855" t="s">
        <v>15211</v>
      </c>
      <c r="S1855" t="s">
        <v>15211</v>
      </c>
      <c r="T1855" t="s">
        <v>3372</v>
      </c>
      <c r="U1855" t="s">
        <v>13742</v>
      </c>
      <c r="V1855" t="s">
        <v>15220</v>
      </c>
    </row>
    <row r="1856" spans="1:22">
      <c r="A1856" t="s">
        <v>15343</v>
      </c>
      <c r="B1856" t="s">
        <v>15443</v>
      </c>
      <c r="C1856" t="s">
        <v>15452</v>
      </c>
      <c r="D1856" t="s">
        <v>1854</v>
      </c>
      <c r="E1856" t="s">
        <v>3437</v>
      </c>
      <c r="F1856" t="s">
        <v>3436</v>
      </c>
      <c r="G1856" s="3">
        <v>36.246416231019303</v>
      </c>
      <c r="H1856" s="3">
        <v>129.214256226054</v>
      </c>
      <c r="I1856" t="s">
        <v>5621</v>
      </c>
      <c r="J1856" t="s">
        <v>8980</v>
      </c>
      <c r="K1856" t="s">
        <v>10952</v>
      </c>
      <c r="L1856" t="s">
        <v>3366</v>
      </c>
      <c r="M1856" t="s">
        <v>11903</v>
      </c>
      <c r="N1856" t="s">
        <v>3362</v>
      </c>
      <c r="O1856" t="s">
        <v>15211</v>
      </c>
      <c r="P1856" t="s">
        <v>3362</v>
      </c>
      <c r="Q1856" t="s">
        <v>3360</v>
      </c>
      <c r="R1856" t="s">
        <v>15211</v>
      </c>
      <c r="S1856" t="s">
        <v>15211</v>
      </c>
      <c r="T1856" t="s">
        <v>3372</v>
      </c>
      <c r="U1856" t="s">
        <v>13743</v>
      </c>
      <c r="V1856" t="s">
        <v>15220</v>
      </c>
    </row>
    <row r="1857" spans="1:22">
      <c r="A1857" t="s">
        <v>15343</v>
      </c>
      <c r="B1857" t="s">
        <v>15443</v>
      </c>
      <c r="C1857" t="s">
        <v>15452</v>
      </c>
      <c r="D1857" t="s">
        <v>1855</v>
      </c>
      <c r="E1857" t="s">
        <v>3437</v>
      </c>
      <c r="F1857" t="s">
        <v>3425</v>
      </c>
      <c r="G1857" s="3">
        <v>36.2464162381508</v>
      </c>
      <c r="H1857" s="3">
        <v>129.21425621776999</v>
      </c>
      <c r="I1857" t="s">
        <v>5622</v>
      </c>
      <c r="J1857" t="s">
        <v>8981</v>
      </c>
      <c r="K1857" t="s">
        <v>11388</v>
      </c>
      <c r="L1857" t="s">
        <v>3366</v>
      </c>
      <c r="M1857" t="s">
        <v>11903</v>
      </c>
      <c r="N1857" t="s">
        <v>3362</v>
      </c>
      <c r="O1857" t="s">
        <v>15211</v>
      </c>
      <c r="P1857" t="s">
        <v>3362</v>
      </c>
      <c r="Q1857" t="s">
        <v>3360</v>
      </c>
      <c r="R1857" t="s">
        <v>15211</v>
      </c>
      <c r="S1857" t="s">
        <v>15211</v>
      </c>
      <c r="T1857" t="s">
        <v>3372</v>
      </c>
      <c r="U1857" t="s">
        <v>13744</v>
      </c>
      <c r="V1857" t="s">
        <v>15220</v>
      </c>
    </row>
    <row r="1858" spans="1:22" hidden="1">
      <c r="A1858" t="s">
        <v>15343</v>
      </c>
      <c r="B1858" t="s">
        <v>15443</v>
      </c>
      <c r="C1858" t="s">
        <v>15479</v>
      </c>
      <c r="D1858" t="s">
        <v>1856</v>
      </c>
      <c r="E1858" t="s">
        <v>3435</v>
      </c>
      <c r="F1858" t="s">
        <v>3449</v>
      </c>
      <c r="G1858" s="3">
        <v>36.2464162103239</v>
      </c>
      <c r="H1858" s="3">
        <v>129.21425616369999</v>
      </c>
      <c r="I1858" t="s">
        <v>5623</v>
      </c>
      <c r="J1858" t="s">
        <v>8982</v>
      </c>
      <c r="K1858" t="s">
        <v>11480</v>
      </c>
      <c r="L1858" t="s">
        <v>3379</v>
      </c>
      <c r="M1858" t="s">
        <v>11903</v>
      </c>
      <c r="N1858" t="s">
        <v>3362</v>
      </c>
      <c r="O1858" t="s">
        <v>15211</v>
      </c>
      <c r="P1858" t="s">
        <v>3362</v>
      </c>
      <c r="Q1858" t="s">
        <v>3360</v>
      </c>
      <c r="R1858" t="s">
        <v>15211</v>
      </c>
      <c r="S1858" t="s">
        <v>15211</v>
      </c>
      <c r="T1858" t="s">
        <v>3372</v>
      </c>
      <c r="U1858" t="s">
        <v>13745</v>
      </c>
      <c r="V1858" t="s">
        <v>15262</v>
      </c>
    </row>
    <row r="1859" spans="1:22" hidden="1">
      <c r="A1859" t="s">
        <v>15343</v>
      </c>
      <c r="B1859" t="s">
        <v>15443</v>
      </c>
      <c r="C1859" t="s">
        <v>15479</v>
      </c>
      <c r="D1859" t="s">
        <v>1857</v>
      </c>
      <c r="E1859" t="s">
        <v>3432</v>
      </c>
      <c r="F1859" t="s">
        <v>3477</v>
      </c>
      <c r="G1859" s="3">
        <v>36.246416214213397</v>
      </c>
      <c r="H1859" s="3">
        <v>129.21425615064001</v>
      </c>
      <c r="I1859" t="s">
        <v>5624</v>
      </c>
      <c r="J1859" t="s">
        <v>8983</v>
      </c>
      <c r="K1859" t="s">
        <v>11501</v>
      </c>
      <c r="L1859" t="s">
        <v>3366</v>
      </c>
      <c r="M1859" t="s">
        <v>11903</v>
      </c>
      <c r="N1859" t="s">
        <v>3362</v>
      </c>
      <c r="O1859" t="s">
        <v>15211</v>
      </c>
      <c r="P1859" t="s">
        <v>3362</v>
      </c>
      <c r="Q1859" t="s">
        <v>3360</v>
      </c>
      <c r="R1859" t="s">
        <v>15211</v>
      </c>
      <c r="S1859" t="s">
        <v>15211</v>
      </c>
      <c r="T1859" t="s">
        <v>3372</v>
      </c>
      <c r="U1859" t="s">
        <v>13746</v>
      </c>
      <c r="V1859" t="s">
        <v>15262</v>
      </c>
    </row>
    <row r="1860" spans="1:22" hidden="1">
      <c r="A1860" t="s">
        <v>15343</v>
      </c>
      <c r="B1860" t="s">
        <v>15443</v>
      </c>
      <c r="C1860" t="s">
        <v>15479</v>
      </c>
      <c r="D1860" t="s">
        <v>1858</v>
      </c>
      <c r="E1860" t="s">
        <v>3452</v>
      </c>
      <c r="F1860" t="s">
        <v>3563</v>
      </c>
      <c r="G1860" s="3">
        <v>36.246416226016301</v>
      </c>
      <c r="H1860" s="3">
        <v>129.21425613847899</v>
      </c>
      <c r="I1860" t="s">
        <v>5625</v>
      </c>
      <c r="J1860" t="s">
        <v>8984</v>
      </c>
      <c r="K1860" t="s">
        <v>10763</v>
      </c>
      <c r="L1860" t="s">
        <v>3366</v>
      </c>
      <c r="M1860" t="s">
        <v>11903</v>
      </c>
      <c r="N1860" t="s">
        <v>3362</v>
      </c>
      <c r="O1860" t="s">
        <v>15211</v>
      </c>
      <c r="P1860" t="s">
        <v>3362</v>
      </c>
      <c r="Q1860" t="s">
        <v>3360</v>
      </c>
      <c r="R1860" t="s">
        <v>15211</v>
      </c>
      <c r="S1860" t="s">
        <v>15211</v>
      </c>
      <c r="T1860" t="s">
        <v>3372</v>
      </c>
      <c r="U1860" t="s">
        <v>13747</v>
      </c>
      <c r="V1860" t="s">
        <v>15262</v>
      </c>
    </row>
    <row r="1861" spans="1:22" hidden="1">
      <c r="A1861" t="s">
        <v>15352</v>
      </c>
      <c r="B1861" t="s">
        <v>15441</v>
      </c>
      <c r="C1861" t="s">
        <v>15445</v>
      </c>
      <c r="D1861" t="s">
        <v>1859</v>
      </c>
      <c r="E1861" t="s">
        <v>3439</v>
      </c>
      <c r="F1861" t="s">
        <v>3427</v>
      </c>
      <c r="G1861" s="3">
        <v>35.420218407864702</v>
      </c>
      <c r="H1861" s="3">
        <v>129.176025271583</v>
      </c>
      <c r="I1861" t="s">
        <v>5626</v>
      </c>
      <c r="J1861" t="s">
        <v>8985</v>
      </c>
      <c r="K1861" t="s">
        <v>11502</v>
      </c>
      <c r="L1861" t="s">
        <v>3366</v>
      </c>
      <c r="M1861" t="s">
        <v>11890</v>
      </c>
      <c r="N1861" t="s">
        <v>3364</v>
      </c>
      <c r="O1861" t="s">
        <v>3361</v>
      </c>
      <c r="P1861" t="s">
        <v>15211</v>
      </c>
      <c r="Q1861" t="s">
        <v>15211</v>
      </c>
      <c r="R1861" t="s">
        <v>15211</v>
      </c>
      <c r="S1861" t="s">
        <v>15211</v>
      </c>
      <c r="T1861" t="s">
        <v>3369</v>
      </c>
      <c r="U1861" t="s">
        <v>13748</v>
      </c>
      <c r="V1861" t="s">
        <v>15212</v>
      </c>
    </row>
    <row r="1862" spans="1:22" hidden="1">
      <c r="A1862" t="s">
        <v>15352</v>
      </c>
      <c r="B1862" t="s">
        <v>15441</v>
      </c>
      <c r="C1862" t="s">
        <v>15445</v>
      </c>
      <c r="D1862" t="s">
        <v>1860</v>
      </c>
      <c r="E1862" t="s">
        <v>3439</v>
      </c>
      <c r="F1862" t="s">
        <v>3427</v>
      </c>
      <c r="G1862" s="3">
        <v>35.4202184217148</v>
      </c>
      <c r="H1862" s="3">
        <v>129.17602528549099</v>
      </c>
      <c r="I1862" t="s">
        <v>5627</v>
      </c>
      <c r="J1862" t="s">
        <v>8986</v>
      </c>
      <c r="K1862" t="s">
        <v>10753</v>
      </c>
      <c r="L1862" t="s">
        <v>3366</v>
      </c>
      <c r="M1862" t="s">
        <v>11890</v>
      </c>
      <c r="N1862" t="s">
        <v>3364</v>
      </c>
      <c r="O1862" t="s">
        <v>3361</v>
      </c>
      <c r="P1862" t="s">
        <v>15211</v>
      </c>
      <c r="Q1862" t="s">
        <v>15211</v>
      </c>
      <c r="R1862" t="s">
        <v>15211</v>
      </c>
      <c r="S1862" t="s">
        <v>15211</v>
      </c>
      <c r="T1862" t="s">
        <v>3369</v>
      </c>
      <c r="U1862" t="s">
        <v>13749</v>
      </c>
      <c r="V1862" t="s">
        <v>15212</v>
      </c>
    </row>
    <row r="1863" spans="1:22" hidden="1">
      <c r="A1863" t="s">
        <v>15352</v>
      </c>
      <c r="B1863" t="s">
        <v>15441</v>
      </c>
      <c r="C1863" t="s">
        <v>15445</v>
      </c>
      <c r="D1863" t="s">
        <v>1861</v>
      </c>
      <c r="E1863" t="s">
        <v>3439</v>
      </c>
      <c r="F1863" t="s">
        <v>3438</v>
      </c>
      <c r="G1863" s="3">
        <v>35.420218437979202</v>
      </c>
      <c r="H1863" s="3">
        <v>129.17602529130201</v>
      </c>
      <c r="I1863" t="s">
        <v>5628</v>
      </c>
      <c r="J1863" t="s">
        <v>8987</v>
      </c>
      <c r="K1863" t="s">
        <v>11185</v>
      </c>
      <c r="L1863" t="s">
        <v>3366</v>
      </c>
      <c r="M1863" t="s">
        <v>11890</v>
      </c>
      <c r="N1863" t="s">
        <v>3364</v>
      </c>
      <c r="O1863" t="s">
        <v>3361</v>
      </c>
      <c r="P1863" t="s">
        <v>15211</v>
      </c>
      <c r="Q1863" t="s">
        <v>15211</v>
      </c>
      <c r="R1863" t="s">
        <v>15211</v>
      </c>
      <c r="S1863" t="s">
        <v>15211</v>
      </c>
      <c r="T1863" t="s">
        <v>3369</v>
      </c>
      <c r="U1863" t="s">
        <v>13750</v>
      </c>
      <c r="V1863" t="s">
        <v>15212</v>
      </c>
    </row>
    <row r="1864" spans="1:22" hidden="1">
      <c r="A1864" t="s">
        <v>15352</v>
      </c>
      <c r="B1864" t="s">
        <v>15441</v>
      </c>
      <c r="C1864" t="s">
        <v>15446</v>
      </c>
      <c r="D1864" t="s">
        <v>1862</v>
      </c>
      <c r="E1864" t="s">
        <v>3439</v>
      </c>
      <c r="F1864" t="s">
        <v>3427</v>
      </c>
      <c r="G1864" s="3">
        <v>35.420218449213898</v>
      </c>
      <c r="H1864" s="3">
        <v>129.176025308638</v>
      </c>
      <c r="I1864" t="s">
        <v>5629</v>
      </c>
      <c r="J1864" t="s">
        <v>8988</v>
      </c>
      <c r="K1864" t="s">
        <v>10791</v>
      </c>
      <c r="L1864" t="s">
        <v>3379</v>
      </c>
      <c r="M1864" t="s">
        <v>11890</v>
      </c>
      <c r="N1864" t="s">
        <v>3364</v>
      </c>
      <c r="O1864" t="s">
        <v>3361</v>
      </c>
      <c r="P1864" t="s">
        <v>15211</v>
      </c>
      <c r="Q1864" t="s">
        <v>15211</v>
      </c>
      <c r="R1864" t="s">
        <v>15211</v>
      </c>
      <c r="S1864" t="s">
        <v>15211</v>
      </c>
      <c r="T1864" t="s">
        <v>3369</v>
      </c>
      <c r="U1864" t="s">
        <v>13751</v>
      </c>
      <c r="V1864" t="s">
        <v>15213</v>
      </c>
    </row>
    <row r="1865" spans="1:22" hidden="1">
      <c r="A1865" t="s">
        <v>15352</v>
      </c>
      <c r="B1865" t="s">
        <v>15441</v>
      </c>
      <c r="C1865" t="s">
        <v>15446</v>
      </c>
      <c r="D1865" t="s">
        <v>1863</v>
      </c>
      <c r="E1865" t="s">
        <v>3439</v>
      </c>
      <c r="F1865" t="s">
        <v>3427</v>
      </c>
      <c r="G1865" s="3">
        <v>35.420218430070697</v>
      </c>
      <c r="H1865" s="3">
        <v>129.17602533450901</v>
      </c>
      <c r="I1865" t="s">
        <v>5630</v>
      </c>
      <c r="J1865" t="s">
        <v>8989</v>
      </c>
      <c r="K1865" t="s">
        <v>10791</v>
      </c>
      <c r="L1865" t="s">
        <v>3366</v>
      </c>
      <c r="M1865" t="s">
        <v>11890</v>
      </c>
      <c r="N1865" t="s">
        <v>3364</v>
      </c>
      <c r="O1865" t="s">
        <v>3361</v>
      </c>
      <c r="P1865" t="s">
        <v>15211</v>
      </c>
      <c r="Q1865" t="s">
        <v>15211</v>
      </c>
      <c r="R1865" t="s">
        <v>15211</v>
      </c>
      <c r="S1865" t="s">
        <v>15211</v>
      </c>
      <c r="T1865" t="s">
        <v>3369</v>
      </c>
      <c r="U1865" t="s">
        <v>13752</v>
      </c>
      <c r="V1865" t="s">
        <v>15213</v>
      </c>
    </row>
    <row r="1866" spans="1:22" hidden="1">
      <c r="A1866" t="s">
        <v>15352</v>
      </c>
      <c r="B1866" t="s">
        <v>15441</v>
      </c>
      <c r="C1866" t="s">
        <v>15446</v>
      </c>
      <c r="D1866" t="s">
        <v>1864</v>
      </c>
      <c r="E1866" t="s">
        <v>3439</v>
      </c>
      <c r="F1866" t="s">
        <v>3427</v>
      </c>
      <c r="G1866" s="3">
        <v>35.420218444770597</v>
      </c>
      <c r="H1866" s="3">
        <v>129.17602532874201</v>
      </c>
      <c r="I1866" t="s">
        <v>5631</v>
      </c>
      <c r="J1866" t="s">
        <v>8990</v>
      </c>
      <c r="K1866" t="s">
        <v>10902</v>
      </c>
      <c r="L1866" t="s">
        <v>3366</v>
      </c>
      <c r="M1866" t="s">
        <v>11890</v>
      </c>
      <c r="N1866" t="s">
        <v>3364</v>
      </c>
      <c r="O1866" t="s">
        <v>3361</v>
      </c>
      <c r="P1866" t="s">
        <v>15211</v>
      </c>
      <c r="Q1866" t="s">
        <v>15211</v>
      </c>
      <c r="R1866" t="s">
        <v>15211</v>
      </c>
      <c r="S1866" t="s">
        <v>15211</v>
      </c>
      <c r="T1866" t="s">
        <v>3369</v>
      </c>
      <c r="U1866" t="s">
        <v>13753</v>
      </c>
      <c r="V1866" t="s">
        <v>15213</v>
      </c>
    </row>
    <row r="1867" spans="1:22" hidden="1">
      <c r="A1867" t="s">
        <v>15352</v>
      </c>
      <c r="B1867" t="s">
        <v>15441</v>
      </c>
      <c r="C1867" t="s">
        <v>15447</v>
      </c>
      <c r="D1867" t="s">
        <v>1865</v>
      </c>
      <c r="E1867" t="s">
        <v>3440</v>
      </c>
      <c r="F1867" t="s">
        <v>3425</v>
      </c>
      <c r="G1867" s="3">
        <v>35.420218440533901</v>
      </c>
      <c r="H1867" s="3">
        <v>129.176025355972</v>
      </c>
      <c r="I1867" t="s">
        <v>5632</v>
      </c>
      <c r="J1867" t="s">
        <v>8991</v>
      </c>
      <c r="K1867" t="s">
        <v>11503</v>
      </c>
      <c r="L1867" t="s">
        <v>3378</v>
      </c>
      <c r="M1867" t="s">
        <v>11892</v>
      </c>
      <c r="N1867" t="s">
        <v>3364</v>
      </c>
      <c r="O1867" t="s">
        <v>15211</v>
      </c>
      <c r="P1867" t="s">
        <v>15211</v>
      </c>
      <c r="Q1867" t="s">
        <v>15211</v>
      </c>
      <c r="R1867" t="s">
        <v>15211</v>
      </c>
      <c r="S1867" t="s">
        <v>15211</v>
      </c>
      <c r="T1867" t="s">
        <v>3364</v>
      </c>
      <c r="U1867" t="s">
        <v>13754</v>
      </c>
      <c r="V1867" t="s">
        <v>15214</v>
      </c>
    </row>
    <row r="1868" spans="1:22" hidden="1">
      <c r="A1868" t="s">
        <v>15352</v>
      </c>
      <c r="B1868" t="s">
        <v>15441</v>
      </c>
      <c r="C1868" t="s">
        <v>15447</v>
      </c>
      <c r="D1868" t="s">
        <v>1866</v>
      </c>
      <c r="E1868" t="s">
        <v>3440</v>
      </c>
      <c r="F1868" t="s">
        <v>3436</v>
      </c>
      <c r="G1868" s="3">
        <v>35.420218441394297</v>
      </c>
      <c r="H1868" s="3">
        <v>129.17602535487299</v>
      </c>
      <c r="I1868" t="s">
        <v>5633</v>
      </c>
      <c r="J1868" t="s">
        <v>8992</v>
      </c>
      <c r="K1868" t="s">
        <v>10971</v>
      </c>
      <c r="L1868" t="s">
        <v>3366</v>
      </c>
      <c r="M1868" t="s">
        <v>11892</v>
      </c>
      <c r="N1868" t="s">
        <v>3364</v>
      </c>
      <c r="O1868" t="s">
        <v>15211</v>
      </c>
      <c r="P1868" t="s">
        <v>15211</v>
      </c>
      <c r="Q1868" t="s">
        <v>15211</v>
      </c>
      <c r="R1868" t="s">
        <v>15211</v>
      </c>
      <c r="S1868" t="s">
        <v>15211</v>
      </c>
      <c r="T1868" t="s">
        <v>3364</v>
      </c>
      <c r="U1868" t="s">
        <v>13755</v>
      </c>
      <c r="V1868" t="s">
        <v>15214</v>
      </c>
    </row>
    <row r="1869" spans="1:22" hidden="1">
      <c r="A1869" t="s">
        <v>15352</v>
      </c>
      <c r="B1869" t="s">
        <v>15441</v>
      </c>
      <c r="C1869" t="s">
        <v>15447</v>
      </c>
      <c r="D1869" t="s">
        <v>1867</v>
      </c>
      <c r="E1869" t="s">
        <v>3440</v>
      </c>
      <c r="F1869" t="s">
        <v>3436</v>
      </c>
      <c r="G1869" s="3">
        <v>35.420218419254297</v>
      </c>
      <c r="H1869" s="3">
        <v>129.17602535519401</v>
      </c>
      <c r="I1869" t="s">
        <v>5634</v>
      </c>
      <c r="J1869" t="s">
        <v>8993</v>
      </c>
      <c r="K1869" t="s">
        <v>11504</v>
      </c>
      <c r="L1869" t="s">
        <v>3366</v>
      </c>
      <c r="M1869" t="s">
        <v>11892</v>
      </c>
      <c r="N1869" t="s">
        <v>3364</v>
      </c>
      <c r="O1869" t="s">
        <v>15211</v>
      </c>
      <c r="P1869" t="s">
        <v>15211</v>
      </c>
      <c r="Q1869" t="s">
        <v>15211</v>
      </c>
      <c r="R1869" t="s">
        <v>15211</v>
      </c>
      <c r="S1869" t="s">
        <v>15211</v>
      </c>
      <c r="T1869" t="s">
        <v>3364</v>
      </c>
      <c r="U1869" t="s">
        <v>13756</v>
      </c>
      <c r="V1869" t="s">
        <v>15214</v>
      </c>
    </row>
    <row r="1870" spans="1:22" hidden="1">
      <c r="A1870" t="s">
        <v>15352</v>
      </c>
      <c r="B1870" t="s">
        <v>15441</v>
      </c>
      <c r="C1870" t="s">
        <v>15448</v>
      </c>
      <c r="D1870" t="s">
        <v>1868</v>
      </c>
      <c r="E1870" t="s">
        <v>3435</v>
      </c>
      <c r="F1870" t="s">
        <v>3452</v>
      </c>
      <c r="G1870" s="3">
        <v>35.420218447103998</v>
      </c>
      <c r="H1870" s="3">
        <v>129.17602537445401</v>
      </c>
      <c r="I1870" t="s">
        <v>5635</v>
      </c>
      <c r="J1870" t="s">
        <v>8994</v>
      </c>
      <c r="K1870" t="s">
        <v>11505</v>
      </c>
      <c r="L1870" t="s">
        <v>3376</v>
      </c>
      <c r="M1870" t="s">
        <v>11910</v>
      </c>
      <c r="N1870" t="s">
        <v>3365</v>
      </c>
      <c r="O1870" t="s">
        <v>3361</v>
      </c>
      <c r="P1870" t="s">
        <v>3362</v>
      </c>
      <c r="Q1870" t="s">
        <v>3362</v>
      </c>
      <c r="R1870" t="s">
        <v>3358</v>
      </c>
      <c r="S1870" t="s">
        <v>15211</v>
      </c>
      <c r="T1870" t="s">
        <v>3384</v>
      </c>
      <c r="U1870" t="s">
        <v>13757</v>
      </c>
      <c r="V1870" t="s">
        <v>15215</v>
      </c>
    </row>
    <row r="1871" spans="1:22" hidden="1">
      <c r="A1871" t="s">
        <v>15352</v>
      </c>
      <c r="B1871" t="s">
        <v>15441</v>
      </c>
      <c r="C1871" t="s">
        <v>15448</v>
      </c>
      <c r="D1871" t="s">
        <v>1869</v>
      </c>
      <c r="E1871" t="s">
        <v>3429</v>
      </c>
      <c r="F1871" t="s">
        <v>3462</v>
      </c>
      <c r="G1871" s="3">
        <v>35.420218438438297</v>
      </c>
      <c r="H1871" s="3">
        <v>129.17602536108501</v>
      </c>
      <c r="I1871" t="s">
        <v>5636</v>
      </c>
      <c r="J1871" t="s">
        <v>8995</v>
      </c>
      <c r="K1871" t="s">
        <v>11015</v>
      </c>
      <c r="L1871" t="s">
        <v>3366</v>
      </c>
      <c r="M1871" t="s">
        <v>11910</v>
      </c>
      <c r="N1871" t="s">
        <v>3364</v>
      </c>
      <c r="O1871" t="s">
        <v>3361</v>
      </c>
      <c r="P1871" t="s">
        <v>3362</v>
      </c>
      <c r="Q1871" t="s">
        <v>3363</v>
      </c>
      <c r="R1871" t="s">
        <v>3358</v>
      </c>
      <c r="S1871" t="s">
        <v>15211</v>
      </c>
      <c r="T1871" t="s">
        <v>3384</v>
      </c>
      <c r="U1871" t="s">
        <v>13758</v>
      </c>
      <c r="V1871" t="s">
        <v>15215</v>
      </c>
    </row>
    <row r="1872" spans="1:22" hidden="1">
      <c r="A1872" t="s">
        <v>15352</v>
      </c>
      <c r="B1872" t="s">
        <v>15441</v>
      </c>
      <c r="C1872" t="s">
        <v>15448</v>
      </c>
      <c r="D1872" t="s">
        <v>1870</v>
      </c>
      <c r="E1872" t="s">
        <v>3429</v>
      </c>
      <c r="F1872" t="s">
        <v>3462</v>
      </c>
      <c r="G1872" s="3">
        <v>35.420218459034103</v>
      </c>
      <c r="H1872" s="3">
        <v>129.17602535445801</v>
      </c>
      <c r="I1872" t="s">
        <v>5637</v>
      </c>
      <c r="J1872" t="s">
        <v>8996</v>
      </c>
      <c r="K1872" t="s">
        <v>11506</v>
      </c>
      <c r="L1872" t="s">
        <v>3366</v>
      </c>
      <c r="M1872" t="s">
        <v>11911</v>
      </c>
      <c r="N1872" t="s">
        <v>3364</v>
      </c>
      <c r="O1872" t="s">
        <v>3361</v>
      </c>
      <c r="P1872" t="s">
        <v>3362</v>
      </c>
      <c r="Q1872" t="s">
        <v>3363</v>
      </c>
      <c r="R1872" t="s">
        <v>3358</v>
      </c>
      <c r="S1872" t="s">
        <v>15211</v>
      </c>
      <c r="T1872" t="s">
        <v>3384</v>
      </c>
      <c r="U1872" t="s">
        <v>13758</v>
      </c>
      <c r="V1872" t="s">
        <v>15215</v>
      </c>
    </row>
    <row r="1873" spans="1:22" hidden="1">
      <c r="A1873" t="s">
        <v>15352</v>
      </c>
      <c r="B1873" t="s">
        <v>15441</v>
      </c>
      <c r="C1873" t="s">
        <v>15449</v>
      </c>
      <c r="D1873" t="s">
        <v>1871</v>
      </c>
      <c r="E1873" t="s">
        <v>3438</v>
      </c>
      <c r="F1873" t="s">
        <v>3431</v>
      </c>
      <c r="G1873" s="3">
        <v>35.420218439612803</v>
      </c>
      <c r="H1873" s="3">
        <v>129.17602534660401</v>
      </c>
      <c r="I1873" t="s">
        <v>5638</v>
      </c>
      <c r="J1873" t="s">
        <v>8997</v>
      </c>
      <c r="K1873" t="s">
        <v>11357</v>
      </c>
      <c r="L1873" t="s">
        <v>3378</v>
      </c>
      <c r="M1873" t="s">
        <v>11914</v>
      </c>
      <c r="N1873" t="s">
        <v>3364</v>
      </c>
      <c r="O1873" t="s">
        <v>3361</v>
      </c>
      <c r="P1873" t="s">
        <v>3362</v>
      </c>
      <c r="Q1873" t="s">
        <v>3363</v>
      </c>
      <c r="R1873" t="s">
        <v>3357</v>
      </c>
      <c r="S1873" t="s">
        <v>15211</v>
      </c>
      <c r="T1873" t="s">
        <v>3383</v>
      </c>
      <c r="U1873" t="s">
        <v>13759</v>
      </c>
      <c r="V1873" t="s">
        <v>15216</v>
      </c>
    </row>
    <row r="1874" spans="1:22" hidden="1">
      <c r="A1874" t="s">
        <v>15352</v>
      </c>
      <c r="B1874" t="s">
        <v>15441</v>
      </c>
      <c r="C1874" t="s">
        <v>15449</v>
      </c>
      <c r="D1874" t="s">
        <v>1872</v>
      </c>
      <c r="E1874" t="s">
        <v>3427</v>
      </c>
      <c r="F1874" t="s">
        <v>3434</v>
      </c>
      <c r="G1874" s="3">
        <v>35.420218437477402</v>
      </c>
      <c r="H1874" s="3">
        <v>129.17602533242999</v>
      </c>
      <c r="I1874" t="s">
        <v>5639</v>
      </c>
      <c r="J1874" t="s">
        <v>8998</v>
      </c>
      <c r="K1874" t="s">
        <v>11013</v>
      </c>
      <c r="L1874" t="s">
        <v>3366</v>
      </c>
      <c r="M1874" t="s">
        <v>11914</v>
      </c>
      <c r="N1874" t="s">
        <v>3364</v>
      </c>
      <c r="O1874" t="s">
        <v>3361</v>
      </c>
      <c r="P1874" t="s">
        <v>3362</v>
      </c>
      <c r="Q1874" t="s">
        <v>3362</v>
      </c>
      <c r="R1874" t="s">
        <v>3358</v>
      </c>
      <c r="S1874" t="s">
        <v>15211</v>
      </c>
      <c r="T1874" t="s">
        <v>3383</v>
      </c>
      <c r="U1874" t="s">
        <v>13760</v>
      </c>
      <c r="V1874" t="s">
        <v>15216</v>
      </c>
    </row>
    <row r="1875" spans="1:22" hidden="1">
      <c r="A1875" t="s">
        <v>15352</v>
      </c>
      <c r="B1875" t="s">
        <v>15441</v>
      </c>
      <c r="C1875" t="s">
        <v>15449</v>
      </c>
      <c r="D1875" t="s">
        <v>1873</v>
      </c>
      <c r="E1875" t="s">
        <v>3438</v>
      </c>
      <c r="F1875" t="s">
        <v>3434</v>
      </c>
      <c r="G1875" s="3">
        <v>35.420218445135497</v>
      </c>
      <c r="H1875" s="3">
        <v>129.17602531662999</v>
      </c>
      <c r="I1875" t="s">
        <v>5640</v>
      </c>
      <c r="J1875" t="s">
        <v>8999</v>
      </c>
      <c r="K1875" t="s">
        <v>11507</v>
      </c>
      <c r="L1875" t="s">
        <v>3366</v>
      </c>
      <c r="M1875" t="s">
        <v>11914</v>
      </c>
      <c r="N1875" t="s">
        <v>3364</v>
      </c>
      <c r="O1875" t="s">
        <v>3361</v>
      </c>
      <c r="P1875" t="s">
        <v>3362</v>
      </c>
      <c r="Q1875" t="s">
        <v>3362</v>
      </c>
      <c r="R1875" t="s">
        <v>3358</v>
      </c>
      <c r="S1875" t="s">
        <v>15211</v>
      </c>
      <c r="T1875" t="s">
        <v>3383</v>
      </c>
      <c r="U1875" t="s">
        <v>13761</v>
      </c>
      <c r="V1875" t="s">
        <v>15216</v>
      </c>
    </row>
    <row r="1876" spans="1:22" hidden="1">
      <c r="A1876" t="s">
        <v>15352</v>
      </c>
      <c r="B1876" t="s">
        <v>15442</v>
      </c>
      <c r="C1876" t="s">
        <v>15450</v>
      </c>
      <c r="D1876" t="s">
        <v>1874</v>
      </c>
      <c r="E1876" t="s">
        <v>3428</v>
      </c>
      <c r="F1876" t="s">
        <v>3429</v>
      </c>
      <c r="G1876" s="3">
        <v>35.420218484023501</v>
      </c>
      <c r="H1876" s="3">
        <v>129.17602529372601</v>
      </c>
      <c r="I1876" t="s">
        <v>5641</v>
      </c>
      <c r="J1876" t="s">
        <v>9000</v>
      </c>
      <c r="K1876" t="s">
        <v>11369</v>
      </c>
      <c r="L1876" t="s">
        <v>3379</v>
      </c>
      <c r="M1876" t="s">
        <v>11885</v>
      </c>
      <c r="N1876" t="s">
        <v>3364</v>
      </c>
      <c r="O1876" t="s">
        <v>3360</v>
      </c>
      <c r="P1876" t="s">
        <v>15211</v>
      </c>
      <c r="Q1876" t="s">
        <v>15211</v>
      </c>
      <c r="R1876" t="s">
        <v>15211</v>
      </c>
      <c r="S1876" t="s">
        <v>15211</v>
      </c>
      <c r="T1876" t="s">
        <v>3368</v>
      </c>
      <c r="U1876" t="s">
        <v>13762</v>
      </c>
      <c r="V1876" t="s">
        <v>15217</v>
      </c>
    </row>
    <row r="1877" spans="1:22" hidden="1">
      <c r="A1877" t="s">
        <v>15352</v>
      </c>
      <c r="B1877" t="s">
        <v>15442</v>
      </c>
      <c r="C1877" t="s">
        <v>15450</v>
      </c>
      <c r="D1877" t="s">
        <v>1875</v>
      </c>
      <c r="E1877" t="s">
        <v>3428</v>
      </c>
      <c r="F1877" t="s">
        <v>3429</v>
      </c>
      <c r="G1877" s="3">
        <v>35.420218460210798</v>
      </c>
      <c r="H1877" s="3">
        <v>129.17602529777199</v>
      </c>
      <c r="I1877" t="s">
        <v>5642</v>
      </c>
      <c r="J1877" t="s">
        <v>9001</v>
      </c>
      <c r="K1877" t="s">
        <v>11369</v>
      </c>
      <c r="L1877" t="s">
        <v>3366</v>
      </c>
      <c r="M1877" t="s">
        <v>11885</v>
      </c>
      <c r="N1877" t="s">
        <v>3364</v>
      </c>
      <c r="O1877" t="s">
        <v>3360</v>
      </c>
      <c r="P1877" t="s">
        <v>15211</v>
      </c>
      <c r="Q1877" t="s">
        <v>15211</v>
      </c>
      <c r="R1877" t="s">
        <v>15211</v>
      </c>
      <c r="S1877" t="s">
        <v>15211</v>
      </c>
      <c r="T1877" t="s">
        <v>3368</v>
      </c>
      <c r="U1877" t="s">
        <v>13763</v>
      </c>
      <c r="V1877" t="s">
        <v>15217</v>
      </c>
    </row>
    <row r="1878" spans="1:22" hidden="1">
      <c r="A1878" t="s">
        <v>15352</v>
      </c>
      <c r="B1878" t="s">
        <v>15442</v>
      </c>
      <c r="C1878" t="s">
        <v>15450</v>
      </c>
      <c r="D1878" t="s">
        <v>1876</v>
      </c>
      <c r="E1878" t="s">
        <v>3428</v>
      </c>
      <c r="F1878" t="s">
        <v>3429</v>
      </c>
      <c r="G1878" s="3">
        <v>35.420218458346099</v>
      </c>
      <c r="H1878" s="3">
        <v>129.176025301295</v>
      </c>
      <c r="I1878" t="s">
        <v>5643</v>
      </c>
      <c r="J1878" t="s">
        <v>9002</v>
      </c>
      <c r="K1878" t="s">
        <v>11369</v>
      </c>
      <c r="L1878" t="s">
        <v>3366</v>
      </c>
      <c r="M1878" t="s">
        <v>11885</v>
      </c>
      <c r="N1878" t="s">
        <v>3364</v>
      </c>
      <c r="O1878" t="s">
        <v>3360</v>
      </c>
      <c r="P1878" t="s">
        <v>15211</v>
      </c>
      <c r="Q1878" t="s">
        <v>15211</v>
      </c>
      <c r="R1878" t="s">
        <v>15211</v>
      </c>
      <c r="S1878" t="s">
        <v>15211</v>
      </c>
      <c r="T1878" t="s">
        <v>3368</v>
      </c>
      <c r="U1878" t="s">
        <v>13764</v>
      </c>
      <c r="V1878" t="s">
        <v>15217</v>
      </c>
    </row>
    <row r="1879" spans="1:22" hidden="1">
      <c r="A1879" t="s">
        <v>15352</v>
      </c>
      <c r="B1879" t="s">
        <v>15442</v>
      </c>
      <c r="C1879" t="s">
        <v>15445</v>
      </c>
      <c r="D1879" t="s">
        <v>1877</v>
      </c>
      <c r="E1879" t="s">
        <v>3439</v>
      </c>
      <c r="F1879" t="s">
        <v>3427</v>
      </c>
      <c r="G1879" s="3">
        <v>35.4202184835518</v>
      </c>
      <c r="H1879" s="3">
        <v>129.17602530364701</v>
      </c>
      <c r="I1879" t="s">
        <v>5644</v>
      </c>
      <c r="J1879" t="s">
        <v>9003</v>
      </c>
      <c r="K1879" t="s">
        <v>10956</v>
      </c>
      <c r="L1879" t="s">
        <v>3375</v>
      </c>
      <c r="M1879" t="s">
        <v>11885</v>
      </c>
      <c r="N1879" t="s">
        <v>3364</v>
      </c>
      <c r="O1879" t="s">
        <v>3360</v>
      </c>
      <c r="P1879" t="s">
        <v>15211</v>
      </c>
      <c r="Q1879" t="s">
        <v>15211</v>
      </c>
      <c r="R1879" t="s">
        <v>15211</v>
      </c>
      <c r="S1879" t="s">
        <v>15211</v>
      </c>
      <c r="T1879" t="s">
        <v>3368</v>
      </c>
      <c r="U1879" t="s">
        <v>13765</v>
      </c>
      <c r="V1879" t="s">
        <v>15218</v>
      </c>
    </row>
    <row r="1880" spans="1:22" hidden="1">
      <c r="A1880" t="s">
        <v>15352</v>
      </c>
      <c r="B1880" t="s">
        <v>15442</v>
      </c>
      <c r="C1880" t="s">
        <v>15445</v>
      </c>
      <c r="D1880" t="s">
        <v>1878</v>
      </c>
      <c r="E1880" t="s">
        <v>3439</v>
      </c>
      <c r="F1880" t="s">
        <v>3427</v>
      </c>
      <c r="G1880" s="3">
        <v>35.420218472979897</v>
      </c>
      <c r="H1880" s="3">
        <v>129.176025295937</v>
      </c>
      <c r="I1880" t="s">
        <v>5645</v>
      </c>
      <c r="J1880" t="s">
        <v>9004</v>
      </c>
      <c r="K1880" t="s">
        <v>11508</v>
      </c>
      <c r="L1880" t="s">
        <v>3366</v>
      </c>
      <c r="M1880" t="s">
        <v>11885</v>
      </c>
      <c r="N1880" t="s">
        <v>3364</v>
      </c>
      <c r="O1880" t="s">
        <v>3360</v>
      </c>
      <c r="P1880" t="s">
        <v>15211</v>
      </c>
      <c r="Q1880" t="s">
        <v>15211</v>
      </c>
      <c r="R1880" t="s">
        <v>15211</v>
      </c>
      <c r="S1880" t="s">
        <v>15211</v>
      </c>
      <c r="T1880" t="s">
        <v>3368</v>
      </c>
      <c r="U1880" t="s">
        <v>13766</v>
      </c>
      <c r="V1880" t="s">
        <v>15218</v>
      </c>
    </row>
    <row r="1881" spans="1:22" hidden="1">
      <c r="A1881" t="s">
        <v>15352</v>
      </c>
      <c r="B1881" t="s">
        <v>15442</v>
      </c>
      <c r="C1881" t="s">
        <v>15445</v>
      </c>
      <c r="D1881" t="s">
        <v>1879</v>
      </c>
      <c r="E1881" t="s">
        <v>3439</v>
      </c>
      <c r="F1881" t="s">
        <v>3427</v>
      </c>
      <c r="G1881" s="3">
        <v>35.420218449165397</v>
      </c>
      <c r="H1881" s="3">
        <v>129.17602529493101</v>
      </c>
      <c r="I1881" t="s">
        <v>5646</v>
      </c>
      <c r="J1881" t="s">
        <v>9005</v>
      </c>
      <c r="K1881" t="s">
        <v>11508</v>
      </c>
      <c r="L1881" t="s">
        <v>3366</v>
      </c>
      <c r="M1881" t="s">
        <v>11885</v>
      </c>
      <c r="N1881" t="s">
        <v>3364</v>
      </c>
      <c r="O1881" t="s">
        <v>3360</v>
      </c>
      <c r="P1881" t="s">
        <v>15211</v>
      </c>
      <c r="Q1881" t="s">
        <v>15211</v>
      </c>
      <c r="R1881" t="s">
        <v>15211</v>
      </c>
      <c r="S1881" t="s">
        <v>15211</v>
      </c>
      <c r="T1881" t="s">
        <v>3368</v>
      </c>
      <c r="U1881" t="s">
        <v>13767</v>
      </c>
      <c r="V1881" t="s">
        <v>15218</v>
      </c>
    </row>
    <row r="1882" spans="1:22" hidden="1">
      <c r="A1882" t="s">
        <v>15352</v>
      </c>
      <c r="B1882" t="s">
        <v>15442</v>
      </c>
      <c r="C1882" t="s">
        <v>15451</v>
      </c>
      <c r="D1882" t="s">
        <v>1880</v>
      </c>
      <c r="E1882" t="s">
        <v>3443</v>
      </c>
      <c r="F1882" t="s">
        <v>3440</v>
      </c>
      <c r="G1882" s="3">
        <v>35.420218447688903</v>
      </c>
      <c r="H1882" s="3">
        <v>129.17602529574901</v>
      </c>
      <c r="I1882" t="s">
        <v>5647</v>
      </c>
      <c r="J1882" t="s">
        <v>9006</v>
      </c>
      <c r="K1882" t="s">
        <v>11486</v>
      </c>
      <c r="L1882" t="s">
        <v>3384</v>
      </c>
      <c r="M1882" t="s">
        <v>11889</v>
      </c>
      <c r="N1882" t="s">
        <v>3364</v>
      </c>
      <c r="O1882" t="s">
        <v>3360</v>
      </c>
      <c r="P1882" t="s">
        <v>3360</v>
      </c>
      <c r="Q1882" t="s">
        <v>3358</v>
      </c>
      <c r="R1882" t="s">
        <v>15211</v>
      </c>
      <c r="S1882" t="s">
        <v>15211</v>
      </c>
      <c r="T1882" t="s">
        <v>3374</v>
      </c>
      <c r="U1882" t="s">
        <v>13768</v>
      </c>
      <c r="V1882" t="s">
        <v>15219</v>
      </c>
    </row>
    <row r="1883" spans="1:22" hidden="1">
      <c r="A1883" t="s">
        <v>15352</v>
      </c>
      <c r="B1883" t="s">
        <v>15442</v>
      </c>
      <c r="C1883" t="s">
        <v>15451</v>
      </c>
      <c r="D1883" t="s">
        <v>1881</v>
      </c>
      <c r="E1883" t="s">
        <v>3443</v>
      </c>
      <c r="F1883" t="s">
        <v>3440</v>
      </c>
      <c r="G1883" s="3">
        <v>35.420218465646201</v>
      </c>
      <c r="H1883" s="3">
        <v>129.17602527829101</v>
      </c>
      <c r="I1883" t="s">
        <v>5648</v>
      </c>
      <c r="J1883" t="s">
        <v>9007</v>
      </c>
      <c r="K1883" t="s">
        <v>11486</v>
      </c>
      <c r="L1883" t="s">
        <v>3366</v>
      </c>
      <c r="M1883" t="s">
        <v>11889</v>
      </c>
      <c r="N1883" t="s">
        <v>3364</v>
      </c>
      <c r="O1883" t="s">
        <v>3360</v>
      </c>
      <c r="P1883" t="s">
        <v>3362</v>
      </c>
      <c r="Q1883" t="s">
        <v>3359</v>
      </c>
      <c r="R1883" t="s">
        <v>15211</v>
      </c>
      <c r="S1883" t="s">
        <v>15211</v>
      </c>
      <c r="T1883" t="s">
        <v>3377</v>
      </c>
      <c r="U1883" t="s">
        <v>13769</v>
      </c>
      <c r="V1883" t="s">
        <v>15219</v>
      </c>
    </row>
    <row r="1884" spans="1:22" hidden="1">
      <c r="A1884" t="s">
        <v>15352</v>
      </c>
      <c r="B1884" t="s">
        <v>15442</v>
      </c>
      <c r="C1884" t="s">
        <v>15451</v>
      </c>
      <c r="D1884" t="s">
        <v>1882</v>
      </c>
      <c r="E1884" t="s">
        <v>3443</v>
      </c>
      <c r="F1884" t="s">
        <v>3440</v>
      </c>
      <c r="G1884" s="3">
        <v>35.420218468425396</v>
      </c>
      <c r="H1884" s="3">
        <v>129.17602526340701</v>
      </c>
      <c r="I1884" t="s">
        <v>5649</v>
      </c>
      <c r="J1884" t="s">
        <v>9008</v>
      </c>
      <c r="K1884" t="s">
        <v>11486</v>
      </c>
      <c r="L1884" t="s">
        <v>3366</v>
      </c>
      <c r="M1884" t="s">
        <v>11889</v>
      </c>
      <c r="N1884" t="s">
        <v>3364</v>
      </c>
      <c r="O1884" t="s">
        <v>3360</v>
      </c>
      <c r="P1884" t="s">
        <v>3362</v>
      </c>
      <c r="Q1884" t="s">
        <v>3359</v>
      </c>
      <c r="R1884" t="s">
        <v>15211</v>
      </c>
      <c r="S1884" t="s">
        <v>15211</v>
      </c>
      <c r="T1884" t="s">
        <v>3377</v>
      </c>
      <c r="U1884" t="s">
        <v>13770</v>
      </c>
      <c r="V1884" t="s">
        <v>15219</v>
      </c>
    </row>
    <row r="1885" spans="1:22">
      <c r="A1885" t="s">
        <v>15352</v>
      </c>
      <c r="B1885" t="s">
        <v>15443</v>
      </c>
      <c r="C1885" t="s">
        <v>15452</v>
      </c>
      <c r="D1885" t="s">
        <v>1883</v>
      </c>
      <c r="E1885" t="s">
        <v>3439</v>
      </c>
      <c r="F1885" t="s">
        <v>3438</v>
      </c>
      <c r="G1885" s="3">
        <v>35.420218430633298</v>
      </c>
      <c r="H1885" s="3">
        <v>129.176025348595</v>
      </c>
      <c r="I1885" t="s">
        <v>5650</v>
      </c>
      <c r="J1885" t="s">
        <v>9009</v>
      </c>
      <c r="K1885" t="s">
        <v>10895</v>
      </c>
      <c r="L1885" t="s">
        <v>3372</v>
      </c>
      <c r="M1885" t="s">
        <v>11894</v>
      </c>
      <c r="N1885" t="s">
        <v>3364</v>
      </c>
      <c r="O1885" t="s">
        <v>15211</v>
      </c>
      <c r="P1885" t="s">
        <v>3361</v>
      </c>
      <c r="Q1885" t="s">
        <v>3357</v>
      </c>
      <c r="R1885" t="s">
        <v>15211</v>
      </c>
      <c r="S1885" t="s">
        <v>15211</v>
      </c>
      <c r="T1885" t="s">
        <v>3370</v>
      </c>
      <c r="U1885" t="s">
        <v>13771</v>
      </c>
      <c r="V1885" t="s">
        <v>15220</v>
      </c>
    </row>
    <row r="1886" spans="1:22">
      <c r="A1886" t="s">
        <v>15352</v>
      </c>
      <c r="B1886" t="s">
        <v>15443</v>
      </c>
      <c r="C1886" t="s">
        <v>15452</v>
      </c>
      <c r="D1886" t="s">
        <v>1884</v>
      </c>
      <c r="E1886" t="s">
        <v>3439</v>
      </c>
      <c r="F1886" t="s">
        <v>3438</v>
      </c>
      <c r="G1886" s="3">
        <v>35.420218427038101</v>
      </c>
      <c r="H1886" s="3">
        <v>129.176025340362</v>
      </c>
      <c r="I1886" t="s">
        <v>5651</v>
      </c>
      <c r="J1886" t="s">
        <v>9010</v>
      </c>
      <c r="K1886" t="s">
        <v>11427</v>
      </c>
      <c r="L1886" t="s">
        <v>3366</v>
      </c>
      <c r="M1886" t="s">
        <v>11895</v>
      </c>
      <c r="N1886" t="s">
        <v>3364</v>
      </c>
      <c r="O1886" t="s">
        <v>15211</v>
      </c>
      <c r="P1886" t="s">
        <v>3361</v>
      </c>
      <c r="Q1886" t="s">
        <v>3358</v>
      </c>
      <c r="R1886" t="s">
        <v>15211</v>
      </c>
      <c r="S1886" t="s">
        <v>15211</v>
      </c>
      <c r="T1886" t="s">
        <v>3371</v>
      </c>
      <c r="U1886" t="s">
        <v>13772</v>
      </c>
      <c r="V1886" t="s">
        <v>15220</v>
      </c>
    </row>
    <row r="1887" spans="1:22">
      <c r="A1887" t="s">
        <v>15352</v>
      </c>
      <c r="B1887" t="s">
        <v>15443</v>
      </c>
      <c r="C1887" t="s">
        <v>15452</v>
      </c>
      <c r="D1887" t="s">
        <v>1885</v>
      </c>
      <c r="E1887" t="s">
        <v>3439</v>
      </c>
      <c r="F1887" t="s">
        <v>3438</v>
      </c>
      <c r="G1887" s="3">
        <v>35.420218418717603</v>
      </c>
      <c r="H1887" s="3">
        <v>129.176025353352</v>
      </c>
      <c r="I1887" t="s">
        <v>5652</v>
      </c>
      <c r="J1887" t="s">
        <v>9011</v>
      </c>
      <c r="K1887" t="s">
        <v>11509</v>
      </c>
      <c r="L1887" t="s">
        <v>3366</v>
      </c>
      <c r="M1887" t="s">
        <v>11895</v>
      </c>
      <c r="N1887" t="s">
        <v>3364</v>
      </c>
      <c r="O1887" t="s">
        <v>15211</v>
      </c>
      <c r="P1887" t="s">
        <v>3361</v>
      </c>
      <c r="Q1887" t="s">
        <v>3358</v>
      </c>
      <c r="R1887" t="s">
        <v>15211</v>
      </c>
      <c r="S1887" t="s">
        <v>15211</v>
      </c>
      <c r="T1887" t="s">
        <v>3371</v>
      </c>
      <c r="U1887" t="s">
        <v>13773</v>
      </c>
      <c r="V1887" t="s">
        <v>15220</v>
      </c>
    </row>
    <row r="1888" spans="1:22" hidden="1">
      <c r="A1888" t="s">
        <v>15352</v>
      </c>
      <c r="B1888" t="s">
        <v>15443</v>
      </c>
      <c r="C1888" t="s">
        <v>15480</v>
      </c>
      <c r="D1888" t="s">
        <v>1886</v>
      </c>
      <c r="E1888" t="s">
        <v>3442</v>
      </c>
      <c r="F1888" t="s">
        <v>3426</v>
      </c>
      <c r="G1888" s="3">
        <v>35.420218392537798</v>
      </c>
      <c r="H1888" s="3">
        <v>129.17602530768801</v>
      </c>
      <c r="I1888" t="s">
        <v>5653</v>
      </c>
      <c r="J1888" t="s">
        <v>9012</v>
      </c>
      <c r="K1888" t="s">
        <v>11335</v>
      </c>
      <c r="L1888" t="s">
        <v>3380</v>
      </c>
      <c r="M1888" t="s">
        <v>11895</v>
      </c>
      <c r="N1888" t="s">
        <v>3364</v>
      </c>
      <c r="O1888" t="s">
        <v>15211</v>
      </c>
      <c r="P1888" t="s">
        <v>3361</v>
      </c>
      <c r="Q1888" t="s">
        <v>3358</v>
      </c>
      <c r="R1888" t="s">
        <v>15211</v>
      </c>
      <c r="S1888" t="s">
        <v>15211</v>
      </c>
      <c r="T1888" t="s">
        <v>3371</v>
      </c>
      <c r="U1888" t="s">
        <v>13774</v>
      </c>
      <c r="V1888" t="s">
        <v>15263</v>
      </c>
    </row>
    <row r="1889" spans="1:22" hidden="1">
      <c r="A1889" t="s">
        <v>15352</v>
      </c>
      <c r="B1889" t="s">
        <v>15443</v>
      </c>
      <c r="C1889" t="s">
        <v>15480</v>
      </c>
      <c r="D1889" t="s">
        <v>1887</v>
      </c>
      <c r="E1889" t="s">
        <v>3430</v>
      </c>
      <c r="F1889" t="s">
        <v>3426</v>
      </c>
      <c r="G1889" s="3">
        <v>35.4202183930514</v>
      </c>
      <c r="H1889" s="3">
        <v>129.17602529894</v>
      </c>
      <c r="I1889" t="s">
        <v>5654</v>
      </c>
      <c r="J1889" t="s">
        <v>9013</v>
      </c>
      <c r="K1889" t="s">
        <v>10762</v>
      </c>
      <c r="L1889" t="s">
        <v>3366</v>
      </c>
      <c r="M1889" t="s">
        <v>11903</v>
      </c>
      <c r="N1889" t="s">
        <v>3364</v>
      </c>
      <c r="O1889" t="s">
        <v>15211</v>
      </c>
      <c r="P1889" t="s">
        <v>3361</v>
      </c>
      <c r="Q1889" t="s">
        <v>3359</v>
      </c>
      <c r="R1889" t="s">
        <v>15211</v>
      </c>
      <c r="S1889" t="s">
        <v>15211</v>
      </c>
      <c r="T1889" t="s">
        <v>3372</v>
      </c>
      <c r="U1889" t="s">
        <v>13775</v>
      </c>
      <c r="V1889" t="s">
        <v>15263</v>
      </c>
    </row>
    <row r="1890" spans="1:22" hidden="1">
      <c r="A1890" t="s">
        <v>15352</v>
      </c>
      <c r="B1890" t="s">
        <v>15443</v>
      </c>
      <c r="C1890" t="s">
        <v>15480</v>
      </c>
      <c r="D1890" t="s">
        <v>1888</v>
      </c>
      <c r="E1890" t="s">
        <v>3435</v>
      </c>
      <c r="F1890" t="s">
        <v>3452</v>
      </c>
      <c r="G1890" s="3">
        <v>35.420218399503902</v>
      </c>
      <c r="H1890" s="3">
        <v>129.176025297048</v>
      </c>
      <c r="I1890" t="s">
        <v>5655</v>
      </c>
      <c r="J1890" t="s">
        <v>9014</v>
      </c>
      <c r="K1890" t="s">
        <v>3721</v>
      </c>
      <c r="L1890" t="s">
        <v>3366</v>
      </c>
      <c r="M1890" t="s">
        <v>11901</v>
      </c>
      <c r="N1890" t="s">
        <v>3364</v>
      </c>
      <c r="O1890" t="s">
        <v>15211</v>
      </c>
      <c r="P1890" t="s">
        <v>3362</v>
      </c>
      <c r="Q1890" t="s">
        <v>3359</v>
      </c>
      <c r="R1890" t="s">
        <v>15211</v>
      </c>
      <c r="S1890" t="s">
        <v>15211</v>
      </c>
      <c r="T1890" t="s">
        <v>3373</v>
      </c>
      <c r="U1890" t="s">
        <v>13776</v>
      </c>
      <c r="V1890" t="s">
        <v>15263</v>
      </c>
    </row>
    <row r="1891" spans="1:22">
      <c r="A1891" t="s">
        <v>15352</v>
      </c>
      <c r="B1891" t="s">
        <v>15443</v>
      </c>
      <c r="C1891" t="s">
        <v>15452</v>
      </c>
      <c r="D1891" t="s">
        <v>1889</v>
      </c>
      <c r="E1891" t="s">
        <v>3425</v>
      </c>
      <c r="F1891" t="s">
        <v>3441</v>
      </c>
      <c r="G1891" s="3">
        <v>35.420218430669003</v>
      </c>
      <c r="H1891" s="3">
        <v>129.17602529722899</v>
      </c>
      <c r="I1891" t="s">
        <v>5656</v>
      </c>
      <c r="J1891" t="s">
        <v>9015</v>
      </c>
      <c r="K1891" t="s">
        <v>10903</v>
      </c>
      <c r="L1891" t="s">
        <v>3374</v>
      </c>
      <c r="M1891" t="s">
        <v>11895</v>
      </c>
      <c r="N1891" t="s">
        <v>3364</v>
      </c>
      <c r="O1891" t="s">
        <v>15211</v>
      </c>
      <c r="P1891" t="s">
        <v>3362</v>
      </c>
      <c r="Q1891" t="s">
        <v>3357</v>
      </c>
      <c r="R1891" t="s">
        <v>15211</v>
      </c>
      <c r="S1891" t="s">
        <v>15211</v>
      </c>
      <c r="T1891" t="s">
        <v>3371</v>
      </c>
      <c r="U1891" t="s">
        <v>13777</v>
      </c>
      <c r="V1891" t="s">
        <v>15220</v>
      </c>
    </row>
    <row r="1892" spans="1:22">
      <c r="A1892" t="s">
        <v>15352</v>
      </c>
      <c r="B1892" t="s">
        <v>15443</v>
      </c>
      <c r="C1892" t="s">
        <v>15452</v>
      </c>
      <c r="D1892" t="s">
        <v>1890</v>
      </c>
      <c r="E1892" t="s">
        <v>3431</v>
      </c>
      <c r="F1892" t="s">
        <v>3453</v>
      </c>
      <c r="G1892" s="3">
        <v>35.420218435113398</v>
      </c>
      <c r="H1892" s="3">
        <v>129.176025326077</v>
      </c>
      <c r="I1892" t="s">
        <v>5657</v>
      </c>
      <c r="J1892" t="s">
        <v>9016</v>
      </c>
      <c r="K1892" t="s">
        <v>10791</v>
      </c>
      <c r="L1892" t="s">
        <v>3366</v>
      </c>
      <c r="M1892" t="s">
        <v>11895</v>
      </c>
      <c r="N1892" t="s">
        <v>3364</v>
      </c>
      <c r="O1892" t="s">
        <v>15211</v>
      </c>
      <c r="P1892" t="s">
        <v>3362</v>
      </c>
      <c r="Q1892" t="s">
        <v>3357</v>
      </c>
      <c r="R1892" t="s">
        <v>15211</v>
      </c>
      <c r="S1892" t="s">
        <v>15211</v>
      </c>
      <c r="T1892" t="s">
        <v>3371</v>
      </c>
      <c r="U1892" t="s">
        <v>13778</v>
      </c>
      <c r="V1892" t="s">
        <v>15220</v>
      </c>
    </row>
    <row r="1893" spans="1:22">
      <c r="A1893" t="s">
        <v>15352</v>
      </c>
      <c r="B1893" t="s">
        <v>15443</v>
      </c>
      <c r="C1893" t="s">
        <v>15452</v>
      </c>
      <c r="D1893" t="s">
        <v>1891</v>
      </c>
      <c r="E1893" t="s">
        <v>3425</v>
      </c>
      <c r="F1893" t="s">
        <v>3453</v>
      </c>
      <c r="G1893" s="3">
        <v>35.420218425339499</v>
      </c>
      <c r="H1893" s="3">
        <v>129.176025339017</v>
      </c>
      <c r="I1893" t="s">
        <v>5658</v>
      </c>
      <c r="J1893" t="s">
        <v>9017</v>
      </c>
      <c r="K1893" t="s">
        <v>10902</v>
      </c>
      <c r="L1893" t="s">
        <v>3366</v>
      </c>
      <c r="M1893" t="s">
        <v>11895</v>
      </c>
      <c r="N1893" t="s">
        <v>3364</v>
      </c>
      <c r="O1893" t="s">
        <v>15211</v>
      </c>
      <c r="P1893" t="s">
        <v>3362</v>
      </c>
      <c r="Q1893" t="s">
        <v>3357</v>
      </c>
      <c r="R1893" t="s">
        <v>15211</v>
      </c>
      <c r="S1893" t="s">
        <v>15211</v>
      </c>
      <c r="T1893" t="s">
        <v>3371</v>
      </c>
      <c r="U1893" t="s">
        <v>13779</v>
      </c>
      <c r="V1893" t="s">
        <v>15220</v>
      </c>
    </row>
    <row r="1894" spans="1:22" ht="17.399999999999999" hidden="1">
      <c r="A1894" t="s">
        <v>15353</v>
      </c>
      <c r="B1894" t="s">
        <v>15441</v>
      </c>
      <c r="C1894" t="s">
        <v>15445</v>
      </c>
      <c r="D1894" t="s">
        <v>1892</v>
      </c>
      <c r="E1894" t="s">
        <v>3427</v>
      </c>
      <c r="F1894" t="s">
        <v>3435</v>
      </c>
      <c r="G1894" s="3">
        <v>35.3721130264694</v>
      </c>
      <c r="H1894" s="3">
        <v>128.90491756524801</v>
      </c>
      <c r="I1894" t="s">
        <v>5659</v>
      </c>
      <c r="J1894" t="s">
        <v>9018</v>
      </c>
      <c r="K1894" t="s">
        <v>11510</v>
      </c>
      <c r="L1894" t="s">
        <v>3366</v>
      </c>
      <c r="M1894" t="s">
        <v>11886</v>
      </c>
      <c r="N1894" t="s">
        <v>3363</v>
      </c>
      <c r="O1894" t="s">
        <v>3360</v>
      </c>
      <c r="P1894" t="s">
        <v>15211</v>
      </c>
      <c r="Q1894" t="s">
        <v>15211</v>
      </c>
      <c r="R1894" t="s">
        <v>15211</v>
      </c>
      <c r="S1894" t="s">
        <v>15211</v>
      </c>
      <c r="T1894" t="s">
        <v>3367</v>
      </c>
      <c r="U1894" t="s">
        <v>13780</v>
      </c>
      <c r="V1894" t="s">
        <v>15212</v>
      </c>
    </row>
    <row r="1895" spans="1:22" ht="17.399999999999999" hidden="1">
      <c r="A1895" t="s">
        <v>15353</v>
      </c>
      <c r="B1895" t="s">
        <v>15441</v>
      </c>
      <c r="C1895" t="s">
        <v>15445</v>
      </c>
      <c r="D1895" t="s">
        <v>1893</v>
      </c>
      <c r="E1895" t="s">
        <v>3427</v>
      </c>
      <c r="F1895" t="s">
        <v>3435</v>
      </c>
      <c r="G1895" s="3">
        <v>35.372112999438798</v>
      </c>
      <c r="H1895" s="3">
        <v>128.904917582129</v>
      </c>
      <c r="I1895" t="s">
        <v>5660</v>
      </c>
      <c r="J1895" t="s">
        <v>9019</v>
      </c>
      <c r="K1895" t="s">
        <v>11511</v>
      </c>
      <c r="L1895" t="s">
        <v>3366</v>
      </c>
      <c r="M1895" t="s">
        <v>11886</v>
      </c>
      <c r="N1895" t="s">
        <v>3363</v>
      </c>
      <c r="O1895" t="s">
        <v>3360</v>
      </c>
      <c r="P1895" t="s">
        <v>15211</v>
      </c>
      <c r="Q1895" t="s">
        <v>15211</v>
      </c>
      <c r="R1895" t="s">
        <v>15211</v>
      </c>
      <c r="S1895" t="s">
        <v>15211</v>
      </c>
      <c r="T1895" t="s">
        <v>3367</v>
      </c>
      <c r="U1895" t="s">
        <v>13781</v>
      </c>
      <c r="V1895" t="s">
        <v>15212</v>
      </c>
    </row>
    <row r="1896" spans="1:22" ht="17.399999999999999" hidden="1">
      <c r="A1896" t="s">
        <v>15353</v>
      </c>
      <c r="B1896" t="s">
        <v>15441</v>
      </c>
      <c r="C1896" t="s">
        <v>15445</v>
      </c>
      <c r="D1896" t="s">
        <v>1894</v>
      </c>
      <c r="E1896" t="s">
        <v>3427</v>
      </c>
      <c r="F1896" t="s">
        <v>3435</v>
      </c>
      <c r="G1896" s="3">
        <v>35.372112940786998</v>
      </c>
      <c r="H1896" s="3">
        <v>128.90491760787901</v>
      </c>
      <c r="I1896" t="s">
        <v>5661</v>
      </c>
      <c r="J1896" t="s">
        <v>9020</v>
      </c>
      <c r="K1896" t="s">
        <v>11512</v>
      </c>
      <c r="L1896" t="s">
        <v>3366</v>
      </c>
      <c r="M1896" t="s">
        <v>11886</v>
      </c>
      <c r="N1896" t="s">
        <v>3363</v>
      </c>
      <c r="O1896" t="s">
        <v>3360</v>
      </c>
      <c r="P1896" t="s">
        <v>15211</v>
      </c>
      <c r="Q1896" t="s">
        <v>15211</v>
      </c>
      <c r="R1896" t="s">
        <v>15211</v>
      </c>
      <c r="S1896" t="s">
        <v>15211</v>
      </c>
      <c r="T1896" t="s">
        <v>3367</v>
      </c>
      <c r="U1896" t="s">
        <v>13782</v>
      </c>
      <c r="V1896" t="s">
        <v>15212</v>
      </c>
    </row>
    <row r="1897" spans="1:22" ht="17.399999999999999" hidden="1">
      <c r="A1897" t="s">
        <v>15353</v>
      </c>
      <c r="B1897" t="s">
        <v>15441</v>
      </c>
      <c r="C1897" t="s">
        <v>15446</v>
      </c>
      <c r="D1897" t="s">
        <v>1895</v>
      </c>
      <c r="E1897" t="s">
        <v>3427</v>
      </c>
      <c r="F1897" t="s">
        <v>3429</v>
      </c>
      <c r="G1897" s="3">
        <v>35.372112989961401</v>
      </c>
      <c r="H1897" s="3">
        <v>128.90491756259701</v>
      </c>
      <c r="I1897" t="s">
        <v>5662</v>
      </c>
      <c r="J1897" t="s">
        <v>9021</v>
      </c>
      <c r="K1897" t="s">
        <v>11513</v>
      </c>
      <c r="L1897" t="s">
        <v>3375</v>
      </c>
      <c r="M1897" t="s">
        <v>11886</v>
      </c>
      <c r="N1897" t="s">
        <v>3363</v>
      </c>
      <c r="O1897" t="s">
        <v>3360</v>
      </c>
      <c r="P1897" t="s">
        <v>15211</v>
      </c>
      <c r="Q1897" t="s">
        <v>15211</v>
      </c>
      <c r="R1897" t="s">
        <v>15211</v>
      </c>
      <c r="S1897" t="s">
        <v>15211</v>
      </c>
      <c r="T1897" t="s">
        <v>3367</v>
      </c>
      <c r="U1897" t="s">
        <v>13783</v>
      </c>
      <c r="V1897" t="s">
        <v>15213</v>
      </c>
    </row>
    <row r="1898" spans="1:22" ht="17.399999999999999" hidden="1">
      <c r="A1898" t="s">
        <v>15353</v>
      </c>
      <c r="B1898" t="s">
        <v>15441</v>
      </c>
      <c r="C1898" t="s">
        <v>15446</v>
      </c>
      <c r="D1898" t="s">
        <v>1896</v>
      </c>
      <c r="E1898" t="s">
        <v>3438</v>
      </c>
      <c r="F1898" t="s">
        <v>3430</v>
      </c>
      <c r="G1898" s="3">
        <v>35.372113099223398</v>
      </c>
      <c r="H1898" s="3">
        <v>128.90491747448499</v>
      </c>
      <c r="I1898" t="s">
        <v>5663</v>
      </c>
      <c r="J1898" t="s">
        <v>9022</v>
      </c>
      <c r="K1898" t="s">
        <v>11514</v>
      </c>
      <c r="L1898" t="s">
        <v>3366</v>
      </c>
      <c r="M1898" t="s">
        <v>11885</v>
      </c>
      <c r="N1898" t="s">
        <v>3364</v>
      </c>
      <c r="O1898" t="s">
        <v>3360</v>
      </c>
      <c r="P1898" t="s">
        <v>15211</v>
      </c>
      <c r="Q1898" t="s">
        <v>15211</v>
      </c>
      <c r="R1898" t="s">
        <v>15211</v>
      </c>
      <c r="S1898" t="s">
        <v>15211</v>
      </c>
      <c r="T1898" t="s">
        <v>3368</v>
      </c>
      <c r="U1898" t="s">
        <v>13784</v>
      </c>
      <c r="V1898" t="s">
        <v>15213</v>
      </c>
    </row>
    <row r="1899" spans="1:22" ht="17.399999999999999" hidden="1">
      <c r="A1899" t="s">
        <v>15353</v>
      </c>
      <c r="B1899" t="s">
        <v>15441</v>
      </c>
      <c r="C1899" t="s">
        <v>15446</v>
      </c>
      <c r="D1899" t="s">
        <v>1897</v>
      </c>
      <c r="E1899" t="s">
        <v>3428</v>
      </c>
      <c r="F1899" t="s">
        <v>3453</v>
      </c>
      <c r="G1899" s="3">
        <v>35.372113082961199</v>
      </c>
      <c r="H1899" s="3">
        <v>128.90491749755401</v>
      </c>
      <c r="I1899" t="s">
        <v>5664</v>
      </c>
      <c r="J1899" t="s">
        <v>9023</v>
      </c>
      <c r="K1899" t="s">
        <v>11515</v>
      </c>
      <c r="L1899" t="s">
        <v>3366</v>
      </c>
      <c r="M1899" t="s">
        <v>11885</v>
      </c>
      <c r="N1899" t="s">
        <v>3364</v>
      </c>
      <c r="O1899" t="s">
        <v>3360</v>
      </c>
      <c r="P1899" t="s">
        <v>15211</v>
      </c>
      <c r="Q1899" t="s">
        <v>15211</v>
      </c>
      <c r="R1899" t="s">
        <v>15211</v>
      </c>
      <c r="S1899" t="s">
        <v>15211</v>
      </c>
      <c r="T1899" t="s">
        <v>3368</v>
      </c>
      <c r="U1899" t="s">
        <v>13785</v>
      </c>
      <c r="V1899" t="s">
        <v>15213</v>
      </c>
    </row>
    <row r="1900" spans="1:22" ht="17.399999999999999" hidden="1">
      <c r="A1900" t="s">
        <v>15353</v>
      </c>
      <c r="B1900" t="s">
        <v>15441</v>
      </c>
      <c r="C1900" t="s">
        <v>15447</v>
      </c>
      <c r="D1900" t="s">
        <v>1898</v>
      </c>
      <c r="E1900" t="s">
        <v>3428</v>
      </c>
      <c r="F1900" t="s">
        <v>3453</v>
      </c>
      <c r="G1900" s="3">
        <v>35.372113073159397</v>
      </c>
      <c r="H1900" s="3">
        <v>128.90491760842201</v>
      </c>
      <c r="I1900" t="s">
        <v>5665</v>
      </c>
      <c r="J1900" t="s">
        <v>9024</v>
      </c>
      <c r="K1900" t="s">
        <v>10798</v>
      </c>
      <c r="L1900" t="s">
        <v>3379</v>
      </c>
      <c r="M1900" t="s">
        <v>11892</v>
      </c>
      <c r="N1900" t="s">
        <v>3364</v>
      </c>
      <c r="O1900" t="s">
        <v>15211</v>
      </c>
      <c r="P1900" t="s">
        <v>15211</v>
      </c>
      <c r="Q1900" t="s">
        <v>15211</v>
      </c>
      <c r="R1900" t="s">
        <v>15211</v>
      </c>
      <c r="S1900" t="s">
        <v>15211</v>
      </c>
      <c r="T1900" t="s">
        <v>3364</v>
      </c>
      <c r="U1900" t="s">
        <v>13786</v>
      </c>
      <c r="V1900" t="s">
        <v>15214</v>
      </c>
    </row>
    <row r="1901" spans="1:22" ht="17.399999999999999" hidden="1">
      <c r="A1901" t="s">
        <v>15353</v>
      </c>
      <c r="B1901" t="s">
        <v>15441</v>
      </c>
      <c r="C1901" t="s">
        <v>15447</v>
      </c>
      <c r="D1901" t="s">
        <v>1899</v>
      </c>
      <c r="E1901" t="s">
        <v>3438</v>
      </c>
      <c r="F1901" t="s">
        <v>3435</v>
      </c>
      <c r="G1901" s="3">
        <v>35.372113009755502</v>
      </c>
      <c r="H1901" s="3">
        <v>128.90491768545499</v>
      </c>
      <c r="I1901" t="s">
        <v>5666</v>
      </c>
      <c r="J1901" t="s">
        <v>9025</v>
      </c>
      <c r="K1901" t="s">
        <v>11516</v>
      </c>
      <c r="L1901" t="s">
        <v>3366</v>
      </c>
      <c r="M1901" t="s">
        <v>11892</v>
      </c>
      <c r="N1901" t="s">
        <v>3364</v>
      </c>
      <c r="O1901" t="s">
        <v>15211</v>
      </c>
      <c r="P1901" t="s">
        <v>15211</v>
      </c>
      <c r="Q1901" t="s">
        <v>15211</v>
      </c>
      <c r="R1901" t="s">
        <v>15211</v>
      </c>
      <c r="S1901" t="s">
        <v>15211</v>
      </c>
      <c r="T1901" t="s">
        <v>3364</v>
      </c>
      <c r="U1901" t="s">
        <v>13787</v>
      </c>
      <c r="V1901" t="s">
        <v>15214</v>
      </c>
    </row>
    <row r="1902" spans="1:22" ht="17.399999999999999" hidden="1">
      <c r="A1902" t="s">
        <v>15353</v>
      </c>
      <c r="B1902" t="s">
        <v>15441</v>
      </c>
      <c r="C1902" t="s">
        <v>15447</v>
      </c>
      <c r="D1902" t="s">
        <v>1900</v>
      </c>
      <c r="E1902" t="s">
        <v>3438</v>
      </c>
      <c r="F1902" t="s">
        <v>3435</v>
      </c>
      <c r="G1902" s="3">
        <v>35.372113024186703</v>
      </c>
      <c r="H1902" s="3">
        <v>128.90491767989599</v>
      </c>
      <c r="I1902" t="s">
        <v>5667</v>
      </c>
      <c r="J1902" t="s">
        <v>9026</v>
      </c>
      <c r="K1902" t="s">
        <v>11517</v>
      </c>
      <c r="L1902" t="s">
        <v>3366</v>
      </c>
      <c r="M1902" t="s">
        <v>11892</v>
      </c>
      <c r="N1902" t="s">
        <v>3364</v>
      </c>
      <c r="O1902" t="s">
        <v>15211</v>
      </c>
      <c r="P1902" t="s">
        <v>15211</v>
      </c>
      <c r="Q1902" t="s">
        <v>15211</v>
      </c>
      <c r="R1902" t="s">
        <v>15211</v>
      </c>
      <c r="S1902" t="s">
        <v>15211</v>
      </c>
      <c r="T1902" t="s">
        <v>3364</v>
      </c>
      <c r="U1902" t="s">
        <v>13788</v>
      </c>
      <c r="V1902" t="s">
        <v>15214</v>
      </c>
    </row>
    <row r="1903" spans="1:22" ht="17.399999999999999" hidden="1">
      <c r="A1903" t="s">
        <v>15353</v>
      </c>
      <c r="B1903" t="s">
        <v>15441</v>
      </c>
      <c r="C1903" t="s">
        <v>15448</v>
      </c>
      <c r="D1903" t="s">
        <v>1901</v>
      </c>
      <c r="E1903" t="s">
        <v>3425</v>
      </c>
      <c r="F1903" t="s">
        <v>3452</v>
      </c>
      <c r="G1903" s="3">
        <v>35.3721129643938</v>
      </c>
      <c r="H1903" s="3">
        <v>128.904917551463</v>
      </c>
      <c r="I1903" t="s">
        <v>5668</v>
      </c>
      <c r="J1903" t="s">
        <v>9027</v>
      </c>
      <c r="K1903" t="s">
        <v>11025</v>
      </c>
      <c r="L1903" t="s">
        <v>3378</v>
      </c>
      <c r="M1903" t="s">
        <v>11912</v>
      </c>
      <c r="N1903" t="s">
        <v>3364</v>
      </c>
      <c r="O1903" t="s">
        <v>3359</v>
      </c>
      <c r="P1903" t="s">
        <v>3360</v>
      </c>
      <c r="Q1903" t="s">
        <v>3359</v>
      </c>
      <c r="R1903" t="s">
        <v>3357</v>
      </c>
      <c r="S1903" t="s">
        <v>15211</v>
      </c>
      <c r="T1903" t="s">
        <v>3375</v>
      </c>
      <c r="U1903" t="s">
        <v>13789</v>
      </c>
      <c r="V1903" t="s">
        <v>15215</v>
      </c>
    </row>
    <row r="1904" spans="1:22" ht="17.399999999999999" hidden="1">
      <c r="A1904" t="s">
        <v>15353</v>
      </c>
      <c r="B1904" t="s">
        <v>15441</v>
      </c>
      <c r="C1904" t="s">
        <v>15448</v>
      </c>
      <c r="D1904" t="s">
        <v>1902</v>
      </c>
      <c r="E1904" t="s">
        <v>3434</v>
      </c>
      <c r="F1904" t="s">
        <v>3465</v>
      </c>
      <c r="G1904" s="3">
        <v>35.372112973145597</v>
      </c>
      <c r="H1904" s="3">
        <v>128.90491757610999</v>
      </c>
      <c r="I1904" t="s">
        <v>5669</v>
      </c>
      <c r="J1904" t="s">
        <v>9028</v>
      </c>
      <c r="K1904" t="s">
        <v>11089</v>
      </c>
      <c r="L1904" t="s">
        <v>3366</v>
      </c>
      <c r="M1904" t="s">
        <v>11912</v>
      </c>
      <c r="N1904" t="s">
        <v>3365</v>
      </c>
      <c r="O1904" t="s">
        <v>3361</v>
      </c>
      <c r="P1904" t="s">
        <v>3362</v>
      </c>
      <c r="Q1904" t="s">
        <v>3361</v>
      </c>
      <c r="R1904" t="s">
        <v>3358</v>
      </c>
      <c r="S1904" t="s">
        <v>15211</v>
      </c>
      <c r="T1904" t="s">
        <v>3383</v>
      </c>
      <c r="U1904" t="s">
        <v>13790</v>
      </c>
      <c r="V1904" t="s">
        <v>15215</v>
      </c>
    </row>
    <row r="1905" spans="1:22" ht="17.399999999999999" hidden="1">
      <c r="A1905" t="s">
        <v>15353</v>
      </c>
      <c r="B1905" t="s">
        <v>15441</v>
      </c>
      <c r="C1905" t="s">
        <v>15448</v>
      </c>
      <c r="D1905" t="s">
        <v>1903</v>
      </c>
      <c r="E1905" t="s">
        <v>3435</v>
      </c>
      <c r="F1905" t="s">
        <v>3460</v>
      </c>
      <c r="G1905" s="3">
        <v>35.372112970223696</v>
      </c>
      <c r="H1905" s="3">
        <v>128.90491756434201</v>
      </c>
      <c r="I1905" t="s">
        <v>5670</v>
      </c>
      <c r="J1905" t="s">
        <v>9029</v>
      </c>
      <c r="K1905" t="s">
        <v>11025</v>
      </c>
      <c r="L1905" t="s">
        <v>3366</v>
      </c>
      <c r="M1905" t="s">
        <v>11912</v>
      </c>
      <c r="N1905" t="s">
        <v>3365</v>
      </c>
      <c r="O1905" t="s">
        <v>3361</v>
      </c>
      <c r="P1905" t="s">
        <v>3362</v>
      </c>
      <c r="Q1905" t="s">
        <v>3361</v>
      </c>
      <c r="R1905" t="s">
        <v>3358</v>
      </c>
      <c r="S1905" t="s">
        <v>15211</v>
      </c>
      <c r="T1905" t="s">
        <v>3383</v>
      </c>
      <c r="U1905" t="s">
        <v>13791</v>
      </c>
      <c r="V1905" t="s">
        <v>15215</v>
      </c>
    </row>
    <row r="1906" spans="1:22" ht="17.399999999999999" hidden="1">
      <c r="A1906" t="s">
        <v>15353</v>
      </c>
      <c r="B1906" t="s">
        <v>15441</v>
      </c>
      <c r="C1906" t="s">
        <v>15449</v>
      </c>
      <c r="D1906" t="s">
        <v>1904</v>
      </c>
      <c r="E1906" t="s">
        <v>3438</v>
      </c>
      <c r="F1906" t="s">
        <v>3435</v>
      </c>
      <c r="G1906" s="3">
        <v>35.372112931296797</v>
      </c>
      <c r="H1906" s="3">
        <v>128.9049175513</v>
      </c>
      <c r="I1906" t="s">
        <v>5671</v>
      </c>
      <c r="J1906" t="s">
        <v>9030</v>
      </c>
      <c r="K1906" t="s">
        <v>11518</v>
      </c>
      <c r="L1906" t="s">
        <v>3379</v>
      </c>
      <c r="M1906" t="s">
        <v>11912</v>
      </c>
      <c r="N1906" t="s">
        <v>3365</v>
      </c>
      <c r="O1906" t="s">
        <v>3361</v>
      </c>
      <c r="P1906" t="s">
        <v>3362</v>
      </c>
      <c r="Q1906" t="s">
        <v>3361</v>
      </c>
      <c r="R1906" t="s">
        <v>3357</v>
      </c>
      <c r="S1906" t="s">
        <v>15211</v>
      </c>
      <c r="T1906" t="s">
        <v>3382</v>
      </c>
      <c r="U1906" t="s">
        <v>13792</v>
      </c>
      <c r="V1906" t="s">
        <v>15216</v>
      </c>
    </row>
    <row r="1907" spans="1:22" ht="17.399999999999999" hidden="1">
      <c r="A1907" t="s">
        <v>15353</v>
      </c>
      <c r="B1907" t="s">
        <v>15441</v>
      </c>
      <c r="C1907" t="s">
        <v>15449</v>
      </c>
      <c r="D1907" t="s">
        <v>1905</v>
      </c>
      <c r="E1907" t="s">
        <v>3427</v>
      </c>
      <c r="F1907" t="s">
        <v>3430</v>
      </c>
      <c r="G1907" s="3">
        <v>35.3721129177124</v>
      </c>
      <c r="H1907" s="3">
        <v>128.904917536742</v>
      </c>
      <c r="I1907" t="s">
        <v>5672</v>
      </c>
      <c r="J1907" t="s">
        <v>9031</v>
      </c>
      <c r="K1907" t="s">
        <v>11206</v>
      </c>
      <c r="L1907" t="s">
        <v>3366</v>
      </c>
      <c r="M1907" t="s">
        <v>11912</v>
      </c>
      <c r="N1907" t="s">
        <v>3365</v>
      </c>
      <c r="O1907" t="s">
        <v>3361</v>
      </c>
      <c r="P1907" t="s">
        <v>3362</v>
      </c>
      <c r="Q1907" t="s">
        <v>3360</v>
      </c>
      <c r="R1907" t="s">
        <v>3358</v>
      </c>
      <c r="S1907" t="s">
        <v>15211</v>
      </c>
      <c r="T1907" t="s">
        <v>3382</v>
      </c>
      <c r="U1907" t="s">
        <v>13793</v>
      </c>
      <c r="V1907" t="s">
        <v>15216</v>
      </c>
    </row>
    <row r="1908" spans="1:22" ht="17.399999999999999" hidden="1">
      <c r="A1908" t="s">
        <v>15353</v>
      </c>
      <c r="B1908" t="s">
        <v>15441</v>
      </c>
      <c r="C1908" t="s">
        <v>15449</v>
      </c>
      <c r="D1908" t="s">
        <v>1906</v>
      </c>
      <c r="E1908" t="s">
        <v>3428</v>
      </c>
      <c r="F1908" t="s">
        <v>3441</v>
      </c>
      <c r="G1908" s="3">
        <v>35.372112919702197</v>
      </c>
      <c r="H1908" s="3">
        <v>128.90491755678201</v>
      </c>
      <c r="I1908" t="s">
        <v>5673</v>
      </c>
      <c r="J1908" t="s">
        <v>9032</v>
      </c>
      <c r="K1908" t="s">
        <v>11025</v>
      </c>
      <c r="L1908" t="s">
        <v>3366</v>
      </c>
      <c r="M1908" t="s">
        <v>11914</v>
      </c>
      <c r="N1908" t="s">
        <v>3365</v>
      </c>
      <c r="O1908" t="s">
        <v>3361</v>
      </c>
      <c r="P1908" t="s">
        <v>3362</v>
      </c>
      <c r="Q1908" t="s">
        <v>3361</v>
      </c>
      <c r="R1908" t="s">
        <v>3358</v>
      </c>
      <c r="S1908" t="s">
        <v>15211</v>
      </c>
      <c r="T1908" t="s">
        <v>3383</v>
      </c>
      <c r="U1908" t="s">
        <v>13794</v>
      </c>
      <c r="V1908" t="s">
        <v>15216</v>
      </c>
    </row>
    <row r="1909" spans="1:22" ht="17.399999999999999" hidden="1">
      <c r="A1909" t="s">
        <v>15353</v>
      </c>
      <c r="B1909" t="s">
        <v>15442</v>
      </c>
      <c r="C1909" t="s">
        <v>15450</v>
      </c>
      <c r="D1909" t="s">
        <v>1907</v>
      </c>
      <c r="E1909" t="s">
        <v>3436</v>
      </c>
      <c r="F1909" t="s">
        <v>3433</v>
      </c>
      <c r="G1909" s="3">
        <v>35.372113018648101</v>
      </c>
      <c r="H1909" s="3">
        <v>128.904917308471</v>
      </c>
      <c r="I1909" t="s">
        <v>5674</v>
      </c>
      <c r="J1909" t="s">
        <v>9033</v>
      </c>
      <c r="K1909" t="s">
        <v>11519</v>
      </c>
      <c r="L1909" t="s">
        <v>3374</v>
      </c>
      <c r="M1909" t="s">
        <v>11894</v>
      </c>
      <c r="N1909" t="s">
        <v>3366</v>
      </c>
      <c r="O1909" t="s">
        <v>3361</v>
      </c>
      <c r="P1909" t="s">
        <v>15211</v>
      </c>
      <c r="Q1909" t="s">
        <v>15211</v>
      </c>
      <c r="R1909" t="s">
        <v>15211</v>
      </c>
      <c r="S1909" t="s">
        <v>15211</v>
      </c>
      <c r="T1909" t="s">
        <v>3371</v>
      </c>
      <c r="U1909" t="s">
        <v>13795</v>
      </c>
      <c r="V1909" t="s">
        <v>15217</v>
      </c>
    </row>
    <row r="1910" spans="1:22" ht="17.399999999999999" hidden="1">
      <c r="A1910" t="s">
        <v>15353</v>
      </c>
      <c r="B1910" t="s">
        <v>15442</v>
      </c>
      <c r="C1910" t="s">
        <v>15450</v>
      </c>
      <c r="D1910" t="s">
        <v>1908</v>
      </c>
      <c r="E1910" t="s">
        <v>3436</v>
      </c>
      <c r="F1910" t="s">
        <v>3442</v>
      </c>
      <c r="G1910" s="3">
        <v>35.372112957034901</v>
      </c>
      <c r="H1910" s="3">
        <v>128.904917432411</v>
      </c>
      <c r="I1910" t="s">
        <v>5675</v>
      </c>
      <c r="J1910" t="s">
        <v>9034</v>
      </c>
      <c r="K1910" t="s">
        <v>10593</v>
      </c>
      <c r="L1910" t="s">
        <v>3366</v>
      </c>
      <c r="M1910" t="s">
        <v>11894</v>
      </c>
      <c r="N1910" t="s">
        <v>3365</v>
      </c>
      <c r="O1910" t="s">
        <v>3361</v>
      </c>
      <c r="P1910" t="s">
        <v>15211</v>
      </c>
      <c r="Q1910" t="s">
        <v>15211</v>
      </c>
      <c r="R1910" t="s">
        <v>15211</v>
      </c>
      <c r="S1910" t="s">
        <v>15211</v>
      </c>
      <c r="T1910" t="s">
        <v>3370</v>
      </c>
      <c r="U1910" t="s">
        <v>13796</v>
      </c>
      <c r="V1910" t="s">
        <v>15217</v>
      </c>
    </row>
    <row r="1911" spans="1:22" ht="17.399999999999999" hidden="1">
      <c r="A1911" t="s">
        <v>15353</v>
      </c>
      <c r="B1911" t="s">
        <v>15442</v>
      </c>
      <c r="C1911" t="s">
        <v>15450</v>
      </c>
      <c r="D1911" t="s">
        <v>1909</v>
      </c>
      <c r="E1911" t="s">
        <v>3436</v>
      </c>
      <c r="F1911" t="s">
        <v>3441</v>
      </c>
      <c r="G1911" s="3">
        <v>35.372112957303301</v>
      </c>
      <c r="H1911" s="3">
        <v>128.90491747020701</v>
      </c>
      <c r="I1911" t="s">
        <v>5676</v>
      </c>
      <c r="J1911" t="s">
        <v>9035</v>
      </c>
      <c r="K1911" t="s">
        <v>3658</v>
      </c>
      <c r="L1911" t="s">
        <v>3366</v>
      </c>
      <c r="M1911" t="s">
        <v>11894</v>
      </c>
      <c r="N1911" t="s">
        <v>3365</v>
      </c>
      <c r="O1911" t="s">
        <v>3361</v>
      </c>
      <c r="P1911" t="s">
        <v>15211</v>
      </c>
      <c r="Q1911" t="s">
        <v>15211</v>
      </c>
      <c r="R1911" t="s">
        <v>15211</v>
      </c>
      <c r="S1911" t="s">
        <v>15211</v>
      </c>
      <c r="T1911" t="s">
        <v>3370</v>
      </c>
      <c r="U1911" t="s">
        <v>13797</v>
      </c>
      <c r="V1911" t="s">
        <v>15217</v>
      </c>
    </row>
    <row r="1912" spans="1:22" ht="17.399999999999999" hidden="1">
      <c r="A1912" t="s">
        <v>15353</v>
      </c>
      <c r="B1912" t="s">
        <v>15442</v>
      </c>
      <c r="C1912" t="s">
        <v>15450</v>
      </c>
      <c r="D1912" t="s">
        <v>1910</v>
      </c>
      <c r="E1912" t="s">
        <v>3436</v>
      </c>
      <c r="F1912" t="s">
        <v>3441</v>
      </c>
      <c r="G1912" s="3">
        <v>35.3721129647775</v>
      </c>
      <c r="H1912" s="3">
        <v>128.90491749167001</v>
      </c>
      <c r="I1912" t="s">
        <v>5677</v>
      </c>
      <c r="J1912" t="s">
        <v>9036</v>
      </c>
      <c r="K1912" t="s">
        <v>11520</v>
      </c>
      <c r="L1912" t="s">
        <v>3366</v>
      </c>
      <c r="M1912" t="s">
        <v>11894</v>
      </c>
      <c r="N1912" t="s">
        <v>3365</v>
      </c>
      <c r="O1912" t="s">
        <v>3361</v>
      </c>
      <c r="P1912" t="s">
        <v>15211</v>
      </c>
      <c r="Q1912" t="s">
        <v>15211</v>
      </c>
      <c r="R1912" t="s">
        <v>15211</v>
      </c>
      <c r="S1912" t="s">
        <v>15211</v>
      </c>
      <c r="T1912" t="s">
        <v>3370</v>
      </c>
      <c r="U1912" t="s">
        <v>13798</v>
      </c>
      <c r="V1912" t="s">
        <v>15217</v>
      </c>
    </row>
    <row r="1913" spans="1:22" ht="17.399999999999999" hidden="1">
      <c r="A1913" t="s">
        <v>15353</v>
      </c>
      <c r="B1913" t="s">
        <v>15442</v>
      </c>
      <c r="C1913" t="s">
        <v>15445</v>
      </c>
      <c r="D1913" t="s">
        <v>1911</v>
      </c>
      <c r="E1913" t="s">
        <v>3437</v>
      </c>
      <c r="F1913" t="s">
        <v>3436</v>
      </c>
      <c r="G1913" s="3">
        <v>35.372113121891701</v>
      </c>
      <c r="H1913" s="3">
        <v>128.90491746847599</v>
      </c>
      <c r="I1913" t="s">
        <v>5678</v>
      </c>
      <c r="J1913" t="s">
        <v>9037</v>
      </c>
      <c r="K1913" t="s">
        <v>11519</v>
      </c>
      <c r="L1913" t="s">
        <v>3378</v>
      </c>
      <c r="M1913" t="s">
        <v>11894</v>
      </c>
      <c r="N1913" t="s">
        <v>3366</v>
      </c>
      <c r="O1913" t="s">
        <v>3361</v>
      </c>
      <c r="P1913" t="s">
        <v>15211</v>
      </c>
      <c r="Q1913" t="s">
        <v>15211</v>
      </c>
      <c r="R1913" t="s">
        <v>15211</v>
      </c>
      <c r="S1913" t="s">
        <v>15211</v>
      </c>
      <c r="T1913" t="s">
        <v>3371</v>
      </c>
      <c r="U1913" t="s">
        <v>13799</v>
      </c>
      <c r="V1913" t="s">
        <v>15218</v>
      </c>
    </row>
    <row r="1914" spans="1:22" ht="17.399999999999999" hidden="1">
      <c r="A1914" t="s">
        <v>15353</v>
      </c>
      <c r="B1914" t="s">
        <v>15442</v>
      </c>
      <c r="C1914" t="s">
        <v>15445</v>
      </c>
      <c r="D1914" t="s">
        <v>1912</v>
      </c>
      <c r="E1914" t="s">
        <v>3437</v>
      </c>
      <c r="F1914" t="s">
        <v>3436</v>
      </c>
      <c r="G1914" s="3">
        <v>35.372113153347698</v>
      </c>
      <c r="H1914" s="3">
        <v>128.904917457523</v>
      </c>
      <c r="I1914" t="s">
        <v>5679</v>
      </c>
      <c r="J1914" t="s">
        <v>9038</v>
      </c>
      <c r="K1914" t="s">
        <v>11521</v>
      </c>
      <c r="L1914" t="s">
        <v>3366</v>
      </c>
      <c r="M1914" t="s">
        <v>11894</v>
      </c>
      <c r="N1914" t="s">
        <v>3366</v>
      </c>
      <c r="O1914" t="s">
        <v>3361</v>
      </c>
      <c r="P1914" t="s">
        <v>15211</v>
      </c>
      <c r="Q1914" t="s">
        <v>15211</v>
      </c>
      <c r="R1914" t="s">
        <v>15211</v>
      </c>
      <c r="S1914" t="s">
        <v>15211</v>
      </c>
      <c r="T1914" t="s">
        <v>3371</v>
      </c>
      <c r="U1914" t="s">
        <v>13800</v>
      </c>
      <c r="V1914" t="s">
        <v>15218</v>
      </c>
    </row>
    <row r="1915" spans="1:22" ht="17.399999999999999" hidden="1">
      <c r="A1915" t="s">
        <v>15353</v>
      </c>
      <c r="B1915" t="s">
        <v>15442</v>
      </c>
      <c r="C1915" t="s">
        <v>15445</v>
      </c>
      <c r="D1915" t="s">
        <v>1913</v>
      </c>
      <c r="E1915" t="s">
        <v>3437</v>
      </c>
      <c r="F1915" t="s">
        <v>3436</v>
      </c>
      <c r="G1915" s="3">
        <v>35.372113131033501</v>
      </c>
      <c r="H1915" s="3">
        <v>128.90491746496701</v>
      </c>
      <c r="I1915" t="s">
        <v>5680</v>
      </c>
      <c r="J1915" t="s">
        <v>9039</v>
      </c>
      <c r="K1915" t="s">
        <v>11407</v>
      </c>
      <c r="L1915" t="s">
        <v>3366</v>
      </c>
      <c r="M1915" t="s">
        <v>11895</v>
      </c>
      <c r="N1915" t="s">
        <v>3366</v>
      </c>
      <c r="O1915" t="s">
        <v>3361</v>
      </c>
      <c r="P1915" t="s">
        <v>15211</v>
      </c>
      <c r="Q1915" t="s">
        <v>15211</v>
      </c>
      <c r="R1915" t="s">
        <v>15211</v>
      </c>
      <c r="S1915" t="s">
        <v>15211</v>
      </c>
      <c r="T1915" t="s">
        <v>3371</v>
      </c>
      <c r="U1915" t="s">
        <v>13801</v>
      </c>
      <c r="V1915" t="s">
        <v>15218</v>
      </c>
    </row>
    <row r="1916" spans="1:22" ht="17.399999999999999" hidden="1">
      <c r="A1916" t="s">
        <v>15353</v>
      </c>
      <c r="B1916" t="s">
        <v>15442</v>
      </c>
      <c r="C1916" t="s">
        <v>15451</v>
      </c>
      <c r="D1916" t="s">
        <v>1914</v>
      </c>
      <c r="E1916" t="s">
        <v>3439</v>
      </c>
      <c r="F1916" t="s">
        <v>3427</v>
      </c>
      <c r="G1916" s="3">
        <v>35.372113027785197</v>
      </c>
      <c r="H1916" s="3">
        <v>128.904917446447</v>
      </c>
      <c r="I1916" t="s">
        <v>5681</v>
      </c>
      <c r="J1916" t="s">
        <v>9040</v>
      </c>
      <c r="K1916" t="s">
        <v>10741</v>
      </c>
      <c r="L1916" t="s">
        <v>3375</v>
      </c>
      <c r="M1916" t="s">
        <v>11912</v>
      </c>
      <c r="N1916" t="s">
        <v>3365</v>
      </c>
      <c r="O1916" t="s">
        <v>3360</v>
      </c>
      <c r="P1916" t="s">
        <v>3362</v>
      </c>
      <c r="Q1916" t="s">
        <v>3359</v>
      </c>
      <c r="R1916" t="s">
        <v>15211</v>
      </c>
      <c r="S1916" t="s">
        <v>15211</v>
      </c>
      <c r="T1916" t="s">
        <v>3378</v>
      </c>
      <c r="U1916" t="s">
        <v>13802</v>
      </c>
      <c r="V1916" t="s">
        <v>15219</v>
      </c>
    </row>
    <row r="1917" spans="1:22" ht="17.399999999999999" hidden="1">
      <c r="A1917" t="s">
        <v>15353</v>
      </c>
      <c r="B1917" t="s">
        <v>15442</v>
      </c>
      <c r="C1917" t="s">
        <v>15451</v>
      </c>
      <c r="D1917" t="s">
        <v>1915</v>
      </c>
      <c r="E1917" t="s">
        <v>3439</v>
      </c>
      <c r="F1917" t="s">
        <v>3427</v>
      </c>
      <c r="G1917" s="3">
        <v>35.372113028599998</v>
      </c>
      <c r="H1917" s="3">
        <v>128.90491747255101</v>
      </c>
      <c r="I1917" t="s">
        <v>5682</v>
      </c>
      <c r="J1917" t="s">
        <v>9041</v>
      </c>
      <c r="K1917" t="s">
        <v>10741</v>
      </c>
      <c r="L1917" t="s">
        <v>3366</v>
      </c>
      <c r="M1917" t="s">
        <v>11912</v>
      </c>
      <c r="N1917" t="s">
        <v>3366</v>
      </c>
      <c r="O1917" t="s">
        <v>3361</v>
      </c>
      <c r="P1917" t="s">
        <v>3363</v>
      </c>
      <c r="Q1917" t="s">
        <v>3360</v>
      </c>
      <c r="R1917" t="s">
        <v>15211</v>
      </c>
      <c r="S1917" t="s">
        <v>15211</v>
      </c>
      <c r="T1917" t="s">
        <v>3382</v>
      </c>
      <c r="U1917" t="s">
        <v>13803</v>
      </c>
      <c r="V1917" t="s">
        <v>15219</v>
      </c>
    </row>
    <row r="1918" spans="1:22" ht="17.399999999999999" hidden="1">
      <c r="A1918" t="s">
        <v>15353</v>
      </c>
      <c r="B1918" t="s">
        <v>15442</v>
      </c>
      <c r="C1918" t="s">
        <v>15451</v>
      </c>
      <c r="D1918" t="s">
        <v>1916</v>
      </c>
      <c r="E1918" t="s">
        <v>3439</v>
      </c>
      <c r="F1918" t="s">
        <v>3428</v>
      </c>
      <c r="G1918" s="3">
        <v>35.372113038691097</v>
      </c>
      <c r="H1918" s="3">
        <v>128.90491747966499</v>
      </c>
      <c r="I1918" t="s">
        <v>5683</v>
      </c>
      <c r="J1918" t="s">
        <v>9042</v>
      </c>
      <c r="K1918" t="s">
        <v>11052</v>
      </c>
      <c r="L1918" t="s">
        <v>3366</v>
      </c>
      <c r="M1918" t="s">
        <v>11912</v>
      </c>
      <c r="N1918" t="s">
        <v>3366</v>
      </c>
      <c r="O1918" t="s">
        <v>3361</v>
      </c>
      <c r="P1918" t="s">
        <v>3363</v>
      </c>
      <c r="Q1918" t="s">
        <v>3360</v>
      </c>
      <c r="R1918" t="s">
        <v>15211</v>
      </c>
      <c r="S1918" t="s">
        <v>15211</v>
      </c>
      <c r="T1918" t="s">
        <v>3382</v>
      </c>
      <c r="U1918" t="s">
        <v>13804</v>
      </c>
      <c r="V1918" t="s">
        <v>15219</v>
      </c>
    </row>
    <row r="1919" spans="1:22" ht="17.399999999999999">
      <c r="A1919" t="s">
        <v>15353</v>
      </c>
      <c r="B1919" t="s">
        <v>15443</v>
      </c>
      <c r="C1919" t="s">
        <v>15452</v>
      </c>
      <c r="D1919" t="s">
        <v>1917</v>
      </c>
      <c r="E1919" t="s">
        <v>3427</v>
      </c>
      <c r="F1919" t="s">
        <v>3430</v>
      </c>
      <c r="G1919" s="3">
        <v>35.372112949721704</v>
      </c>
      <c r="H1919" s="3">
        <v>128.90491748252199</v>
      </c>
      <c r="I1919" t="s">
        <v>5684</v>
      </c>
      <c r="J1919" t="s">
        <v>9043</v>
      </c>
      <c r="K1919" t="s">
        <v>10602</v>
      </c>
      <c r="L1919" t="s">
        <v>3376</v>
      </c>
      <c r="M1919" t="s">
        <v>11890</v>
      </c>
      <c r="N1919" t="s">
        <v>3364</v>
      </c>
      <c r="O1919" t="s">
        <v>15211</v>
      </c>
      <c r="P1919" t="s">
        <v>3361</v>
      </c>
      <c r="Q1919" t="s">
        <v>15211</v>
      </c>
      <c r="R1919" t="s">
        <v>15211</v>
      </c>
      <c r="S1919" t="s">
        <v>15211</v>
      </c>
      <c r="T1919" t="s">
        <v>3369</v>
      </c>
      <c r="U1919" t="s">
        <v>13805</v>
      </c>
      <c r="V1919" t="s">
        <v>15220</v>
      </c>
    </row>
    <row r="1920" spans="1:22" ht="17.399999999999999">
      <c r="A1920" t="s">
        <v>15353</v>
      </c>
      <c r="B1920" t="s">
        <v>15443</v>
      </c>
      <c r="C1920" t="s">
        <v>15452</v>
      </c>
      <c r="D1920" t="s">
        <v>1918</v>
      </c>
      <c r="E1920" t="s">
        <v>3427</v>
      </c>
      <c r="F1920" t="s">
        <v>3430</v>
      </c>
      <c r="G1920" s="3">
        <v>35.372112937193897</v>
      </c>
      <c r="H1920" s="3">
        <v>128.90491748177999</v>
      </c>
      <c r="I1920" t="s">
        <v>5685</v>
      </c>
      <c r="J1920" t="s">
        <v>9044</v>
      </c>
      <c r="K1920" t="s">
        <v>10595</v>
      </c>
      <c r="L1920" t="s">
        <v>3366</v>
      </c>
      <c r="M1920" t="s">
        <v>11890</v>
      </c>
      <c r="N1920" t="s">
        <v>3364</v>
      </c>
      <c r="O1920" t="s">
        <v>15211</v>
      </c>
      <c r="P1920" t="s">
        <v>3361</v>
      </c>
      <c r="Q1920" t="s">
        <v>15211</v>
      </c>
      <c r="R1920" t="s">
        <v>15211</v>
      </c>
      <c r="S1920" t="s">
        <v>15211</v>
      </c>
      <c r="T1920" t="s">
        <v>3369</v>
      </c>
      <c r="U1920" t="s">
        <v>13806</v>
      </c>
      <c r="V1920" t="s">
        <v>15220</v>
      </c>
    </row>
    <row r="1921" spans="1:22" ht="17.399999999999999">
      <c r="A1921" t="s">
        <v>15353</v>
      </c>
      <c r="B1921" t="s">
        <v>15443</v>
      </c>
      <c r="C1921" t="s">
        <v>15452</v>
      </c>
      <c r="D1921" t="s">
        <v>1919</v>
      </c>
      <c r="E1921" t="s">
        <v>3427</v>
      </c>
      <c r="F1921" t="s">
        <v>3430</v>
      </c>
      <c r="G1921" s="3">
        <v>35.372112936386301</v>
      </c>
      <c r="H1921" s="3">
        <v>128.90491746673999</v>
      </c>
      <c r="I1921" t="s">
        <v>5686</v>
      </c>
      <c r="J1921" t="s">
        <v>9045</v>
      </c>
      <c r="K1921" t="s">
        <v>10595</v>
      </c>
      <c r="L1921" t="s">
        <v>3366</v>
      </c>
      <c r="M1921" t="s">
        <v>11890</v>
      </c>
      <c r="N1921" t="s">
        <v>3364</v>
      </c>
      <c r="O1921" t="s">
        <v>15211</v>
      </c>
      <c r="P1921" t="s">
        <v>3361</v>
      </c>
      <c r="Q1921" t="s">
        <v>15211</v>
      </c>
      <c r="R1921" t="s">
        <v>15211</v>
      </c>
      <c r="S1921" t="s">
        <v>15211</v>
      </c>
      <c r="T1921" t="s">
        <v>3369</v>
      </c>
      <c r="U1921" t="s">
        <v>13805</v>
      </c>
      <c r="V1921" t="s">
        <v>15220</v>
      </c>
    </row>
    <row r="1922" spans="1:22" ht="17.399999999999999" hidden="1">
      <c r="A1922" t="s">
        <v>15353</v>
      </c>
      <c r="B1922" t="s">
        <v>15443</v>
      </c>
      <c r="C1922" t="s">
        <v>15481</v>
      </c>
      <c r="D1922" t="s">
        <v>1920</v>
      </c>
      <c r="E1922" t="s">
        <v>3431</v>
      </c>
      <c r="F1922" t="s">
        <v>3461</v>
      </c>
      <c r="G1922" s="3">
        <v>35.372112968453102</v>
      </c>
      <c r="H1922" s="3">
        <v>128.90491751927601</v>
      </c>
      <c r="I1922" t="s">
        <v>5687</v>
      </c>
      <c r="J1922" t="s">
        <v>9046</v>
      </c>
      <c r="K1922" t="s">
        <v>11352</v>
      </c>
      <c r="L1922" t="s">
        <v>3378</v>
      </c>
      <c r="M1922" t="s">
        <v>11894</v>
      </c>
      <c r="N1922" t="s">
        <v>3364</v>
      </c>
      <c r="O1922" t="s">
        <v>15211</v>
      </c>
      <c r="P1922" t="s">
        <v>3362</v>
      </c>
      <c r="Q1922" t="s">
        <v>15211</v>
      </c>
      <c r="R1922" t="s">
        <v>15211</v>
      </c>
      <c r="S1922" t="s">
        <v>15211</v>
      </c>
      <c r="T1922" t="s">
        <v>3370</v>
      </c>
      <c r="U1922" t="s">
        <v>13807</v>
      </c>
      <c r="V1922" t="s">
        <v>15264</v>
      </c>
    </row>
    <row r="1923" spans="1:22" ht="17.399999999999999" hidden="1">
      <c r="A1923" t="s">
        <v>15353</v>
      </c>
      <c r="B1923" t="s">
        <v>15443</v>
      </c>
      <c r="C1923" t="s">
        <v>15481</v>
      </c>
      <c r="D1923" t="s">
        <v>1921</v>
      </c>
      <c r="E1923" t="s">
        <v>3431</v>
      </c>
      <c r="F1923" t="s">
        <v>3461</v>
      </c>
      <c r="G1923" s="3">
        <v>35.3721129951169</v>
      </c>
      <c r="H1923" s="3">
        <v>128.90491755023899</v>
      </c>
      <c r="I1923" t="s">
        <v>5688</v>
      </c>
      <c r="J1923" t="s">
        <v>9047</v>
      </c>
      <c r="K1923" t="s">
        <v>11352</v>
      </c>
      <c r="L1923" t="s">
        <v>3366</v>
      </c>
      <c r="M1923" t="s">
        <v>11894</v>
      </c>
      <c r="N1923" t="s">
        <v>3364</v>
      </c>
      <c r="O1923" t="s">
        <v>15211</v>
      </c>
      <c r="P1923" t="s">
        <v>3362</v>
      </c>
      <c r="Q1923" t="s">
        <v>15211</v>
      </c>
      <c r="R1923" t="s">
        <v>15211</v>
      </c>
      <c r="S1923" t="s">
        <v>15211</v>
      </c>
      <c r="T1923" t="s">
        <v>3370</v>
      </c>
      <c r="U1923" t="s">
        <v>13808</v>
      </c>
      <c r="V1923" t="s">
        <v>15264</v>
      </c>
    </row>
    <row r="1924" spans="1:22" ht="17.399999999999999" hidden="1">
      <c r="A1924" t="s">
        <v>15353</v>
      </c>
      <c r="B1924" t="s">
        <v>15443</v>
      </c>
      <c r="C1924" t="s">
        <v>15481</v>
      </c>
      <c r="D1924" t="s">
        <v>1922</v>
      </c>
      <c r="E1924" t="s">
        <v>3431</v>
      </c>
      <c r="F1924" t="s">
        <v>3452</v>
      </c>
      <c r="G1924" s="3">
        <v>35.372112997869401</v>
      </c>
      <c r="H1924" s="3">
        <v>128.90491756772099</v>
      </c>
      <c r="I1924" t="s">
        <v>5689</v>
      </c>
      <c r="J1924" t="s">
        <v>9048</v>
      </c>
      <c r="K1924" t="s">
        <v>10566</v>
      </c>
      <c r="L1924" t="s">
        <v>3366</v>
      </c>
      <c r="M1924" t="s">
        <v>11894</v>
      </c>
      <c r="N1924" t="s">
        <v>3363</v>
      </c>
      <c r="O1924" t="s">
        <v>15211</v>
      </c>
      <c r="P1924" t="s">
        <v>3362</v>
      </c>
      <c r="Q1924" t="s">
        <v>15211</v>
      </c>
      <c r="R1924" t="s">
        <v>15211</v>
      </c>
      <c r="S1924" t="s">
        <v>15211</v>
      </c>
      <c r="T1924" t="s">
        <v>3369</v>
      </c>
      <c r="U1924" t="s">
        <v>13809</v>
      </c>
      <c r="V1924" t="s">
        <v>15264</v>
      </c>
    </row>
    <row r="1925" spans="1:22" hidden="1">
      <c r="A1925" t="s">
        <v>15354</v>
      </c>
      <c r="B1925" t="s">
        <v>15441</v>
      </c>
      <c r="C1925" t="s">
        <v>15445</v>
      </c>
      <c r="D1925" t="s">
        <v>1923</v>
      </c>
      <c r="E1925" t="s">
        <v>3427</v>
      </c>
      <c r="F1925" t="s">
        <v>3431</v>
      </c>
      <c r="G1925" s="3">
        <v>35.323026256058803</v>
      </c>
      <c r="H1925" s="3">
        <v>128.85488150610601</v>
      </c>
      <c r="I1925" t="s">
        <v>5690</v>
      </c>
      <c r="J1925" t="s">
        <v>9049</v>
      </c>
      <c r="K1925" t="s">
        <v>11438</v>
      </c>
      <c r="L1925" t="s">
        <v>3381</v>
      </c>
      <c r="M1925" t="s">
        <v>11885</v>
      </c>
      <c r="N1925" t="s">
        <v>3363</v>
      </c>
      <c r="O1925" t="s">
        <v>3359</v>
      </c>
      <c r="P1925" t="s">
        <v>3357</v>
      </c>
      <c r="Q1925" t="s">
        <v>3357</v>
      </c>
      <c r="R1925" t="s">
        <v>15211</v>
      </c>
      <c r="S1925" t="s">
        <v>15211</v>
      </c>
      <c r="T1925" t="s">
        <v>3368</v>
      </c>
      <c r="U1925" t="s">
        <v>13810</v>
      </c>
      <c r="V1925" t="s">
        <v>15212</v>
      </c>
    </row>
    <row r="1926" spans="1:22" hidden="1">
      <c r="A1926" t="s">
        <v>15354</v>
      </c>
      <c r="B1926" t="s">
        <v>15441</v>
      </c>
      <c r="C1926" t="s">
        <v>15445</v>
      </c>
      <c r="D1926" t="s">
        <v>1924</v>
      </c>
      <c r="E1926" t="s">
        <v>3427</v>
      </c>
      <c r="F1926" t="s">
        <v>3431</v>
      </c>
      <c r="G1926" s="3">
        <v>35.3230262328333</v>
      </c>
      <c r="H1926" s="3">
        <v>128.854881509813</v>
      </c>
      <c r="I1926" t="s">
        <v>5691</v>
      </c>
      <c r="J1926" t="s">
        <v>9050</v>
      </c>
      <c r="K1926" t="s">
        <v>11438</v>
      </c>
      <c r="L1926" t="s">
        <v>3366</v>
      </c>
      <c r="M1926" t="s">
        <v>11885</v>
      </c>
      <c r="N1926" t="s">
        <v>3364</v>
      </c>
      <c r="O1926" t="s">
        <v>3360</v>
      </c>
      <c r="P1926" t="s">
        <v>15211</v>
      </c>
      <c r="Q1926" t="s">
        <v>15211</v>
      </c>
      <c r="R1926" t="s">
        <v>15211</v>
      </c>
      <c r="S1926" t="s">
        <v>15211</v>
      </c>
      <c r="T1926" t="s">
        <v>3368</v>
      </c>
      <c r="U1926" t="s">
        <v>13811</v>
      </c>
      <c r="V1926" t="s">
        <v>15212</v>
      </c>
    </row>
    <row r="1927" spans="1:22" hidden="1">
      <c r="A1927" t="s">
        <v>15354</v>
      </c>
      <c r="B1927" t="s">
        <v>15441</v>
      </c>
      <c r="C1927" t="s">
        <v>15445</v>
      </c>
      <c r="D1927" t="s">
        <v>1925</v>
      </c>
      <c r="E1927" t="s">
        <v>3427</v>
      </c>
      <c r="F1927" t="s">
        <v>3431</v>
      </c>
      <c r="G1927" s="3">
        <v>35.323026276277197</v>
      </c>
      <c r="H1927" s="3">
        <v>128.85488153171099</v>
      </c>
      <c r="I1927" t="s">
        <v>5692</v>
      </c>
      <c r="J1927" t="s">
        <v>9051</v>
      </c>
      <c r="K1927" t="s">
        <v>11522</v>
      </c>
      <c r="L1927" t="s">
        <v>3366</v>
      </c>
      <c r="M1927" t="s">
        <v>11885</v>
      </c>
      <c r="N1927" t="s">
        <v>3364</v>
      </c>
      <c r="O1927" t="s">
        <v>3360</v>
      </c>
      <c r="P1927" t="s">
        <v>15211</v>
      </c>
      <c r="Q1927" t="s">
        <v>15211</v>
      </c>
      <c r="R1927" t="s">
        <v>15211</v>
      </c>
      <c r="S1927" t="s">
        <v>15211</v>
      </c>
      <c r="T1927" t="s">
        <v>3368</v>
      </c>
      <c r="U1927" t="s">
        <v>13812</v>
      </c>
      <c r="V1927" t="s">
        <v>15212</v>
      </c>
    </row>
    <row r="1928" spans="1:22" hidden="1">
      <c r="A1928" t="s">
        <v>15354</v>
      </c>
      <c r="B1928" t="s">
        <v>15441</v>
      </c>
      <c r="C1928" t="s">
        <v>15446</v>
      </c>
      <c r="D1928" t="s">
        <v>1926</v>
      </c>
      <c r="E1928" t="s">
        <v>3438</v>
      </c>
      <c r="F1928" t="s">
        <v>3431</v>
      </c>
      <c r="G1928" s="3">
        <v>35.323026285784998</v>
      </c>
      <c r="H1928" s="3">
        <v>128.85488163121701</v>
      </c>
      <c r="I1928" t="s">
        <v>5693</v>
      </c>
      <c r="J1928" t="s">
        <v>9052</v>
      </c>
      <c r="K1928" t="s">
        <v>11168</v>
      </c>
      <c r="L1928" t="s">
        <v>3381</v>
      </c>
      <c r="M1928" t="s">
        <v>11885</v>
      </c>
      <c r="N1928" t="s">
        <v>3364</v>
      </c>
      <c r="O1928" t="s">
        <v>3360</v>
      </c>
      <c r="P1928" t="s">
        <v>15211</v>
      </c>
      <c r="Q1928" t="s">
        <v>15211</v>
      </c>
      <c r="R1928" t="s">
        <v>15211</v>
      </c>
      <c r="S1928" t="s">
        <v>15211</v>
      </c>
      <c r="T1928" t="s">
        <v>3368</v>
      </c>
      <c r="U1928" t="s">
        <v>13813</v>
      </c>
      <c r="V1928" t="s">
        <v>15213</v>
      </c>
    </row>
    <row r="1929" spans="1:22" hidden="1">
      <c r="A1929" t="s">
        <v>15354</v>
      </c>
      <c r="B1929" t="s">
        <v>15441</v>
      </c>
      <c r="C1929" t="s">
        <v>15446</v>
      </c>
      <c r="D1929" t="s">
        <v>1927</v>
      </c>
      <c r="E1929" t="s">
        <v>3427</v>
      </c>
      <c r="F1929" t="s">
        <v>3431</v>
      </c>
      <c r="G1929" s="3">
        <v>35.323026400105803</v>
      </c>
      <c r="H1929" s="3">
        <v>128.854881755609</v>
      </c>
      <c r="I1929" t="s">
        <v>5694</v>
      </c>
      <c r="J1929" t="s">
        <v>9053</v>
      </c>
      <c r="K1929" t="s">
        <v>11168</v>
      </c>
      <c r="L1929" t="s">
        <v>3366</v>
      </c>
      <c r="M1929" t="s">
        <v>11885</v>
      </c>
      <c r="N1929" t="s">
        <v>3364</v>
      </c>
      <c r="O1929" t="s">
        <v>3360</v>
      </c>
      <c r="P1929" t="s">
        <v>15211</v>
      </c>
      <c r="Q1929" t="s">
        <v>15211</v>
      </c>
      <c r="R1929" t="s">
        <v>15211</v>
      </c>
      <c r="S1929" t="s">
        <v>15211</v>
      </c>
      <c r="T1929" t="s">
        <v>3368</v>
      </c>
      <c r="U1929" t="s">
        <v>13814</v>
      </c>
      <c r="V1929" t="s">
        <v>15213</v>
      </c>
    </row>
    <row r="1930" spans="1:22" hidden="1">
      <c r="A1930" t="s">
        <v>15354</v>
      </c>
      <c r="B1930" t="s">
        <v>15441</v>
      </c>
      <c r="C1930" t="s">
        <v>15446</v>
      </c>
      <c r="D1930" t="s">
        <v>1928</v>
      </c>
      <c r="E1930" t="s">
        <v>3427</v>
      </c>
      <c r="F1930" t="s">
        <v>3431</v>
      </c>
      <c r="G1930" s="3">
        <v>35.3230263952236</v>
      </c>
      <c r="H1930" s="3">
        <v>128.85488178339901</v>
      </c>
      <c r="I1930" t="s">
        <v>5695</v>
      </c>
      <c r="J1930" t="s">
        <v>9054</v>
      </c>
      <c r="K1930" t="s">
        <v>10780</v>
      </c>
      <c r="L1930" t="s">
        <v>3366</v>
      </c>
      <c r="M1930" t="s">
        <v>11885</v>
      </c>
      <c r="N1930" t="s">
        <v>3364</v>
      </c>
      <c r="O1930" t="s">
        <v>3360</v>
      </c>
      <c r="P1930" t="s">
        <v>15211</v>
      </c>
      <c r="Q1930" t="s">
        <v>15211</v>
      </c>
      <c r="R1930" t="s">
        <v>15211</v>
      </c>
      <c r="S1930" t="s">
        <v>15211</v>
      </c>
      <c r="T1930" t="s">
        <v>3368</v>
      </c>
      <c r="U1930" t="s">
        <v>13815</v>
      </c>
      <c r="V1930" t="s">
        <v>15213</v>
      </c>
    </row>
    <row r="1931" spans="1:22" hidden="1">
      <c r="A1931" t="s">
        <v>15354</v>
      </c>
      <c r="B1931" t="s">
        <v>15441</v>
      </c>
      <c r="C1931" t="s">
        <v>15447</v>
      </c>
      <c r="D1931" t="s">
        <v>1929</v>
      </c>
      <c r="E1931" t="s">
        <v>3436</v>
      </c>
      <c r="F1931" t="s">
        <v>3435</v>
      </c>
      <c r="G1931" s="3">
        <v>35.323026339212397</v>
      </c>
      <c r="H1931" s="3">
        <v>128.85488176436499</v>
      </c>
      <c r="I1931" t="s">
        <v>5696</v>
      </c>
      <c r="J1931" t="s">
        <v>9055</v>
      </c>
      <c r="K1931" t="s">
        <v>10769</v>
      </c>
      <c r="L1931" t="s">
        <v>3381</v>
      </c>
      <c r="M1931" t="s">
        <v>11892</v>
      </c>
      <c r="N1931" t="s">
        <v>3364</v>
      </c>
      <c r="O1931" t="s">
        <v>15211</v>
      </c>
      <c r="P1931" t="s">
        <v>15211</v>
      </c>
      <c r="Q1931" t="s">
        <v>15211</v>
      </c>
      <c r="R1931" t="s">
        <v>15211</v>
      </c>
      <c r="S1931" t="s">
        <v>15211</v>
      </c>
      <c r="T1931" t="s">
        <v>3364</v>
      </c>
      <c r="U1931" t="s">
        <v>13816</v>
      </c>
      <c r="V1931" t="s">
        <v>15214</v>
      </c>
    </row>
    <row r="1932" spans="1:22" hidden="1">
      <c r="A1932" t="s">
        <v>15354</v>
      </c>
      <c r="B1932" t="s">
        <v>15441</v>
      </c>
      <c r="C1932" t="s">
        <v>15447</v>
      </c>
      <c r="D1932" t="s">
        <v>1930</v>
      </c>
      <c r="E1932" t="s">
        <v>3428</v>
      </c>
      <c r="F1932" t="s">
        <v>3435</v>
      </c>
      <c r="G1932" s="3">
        <v>35.323026269105199</v>
      </c>
      <c r="H1932" s="3">
        <v>128.854881718217</v>
      </c>
      <c r="I1932" t="s">
        <v>5697</v>
      </c>
      <c r="J1932" t="s">
        <v>9056</v>
      </c>
      <c r="K1932" t="s">
        <v>11067</v>
      </c>
      <c r="L1932" t="s">
        <v>3366</v>
      </c>
      <c r="M1932" t="s">
        <v>11892</v>
      </c>
      <c r="N1932" t="s">
        <v>3364</v>
      </c>
      <c r="O1932" t="s">
        <v>15211</v>
      </c>
      <c r="P1932" t="s">
        <v>15211</v>
      </c>
      <c r="Q1932" t="s">
        <v>15211</v>
      </c>
      <c r="R1932" t="s">
        <v>15211</v>
      </c>
      <c r="S1932" t="s">
        <v>15211</v>
      </c>
      <c r="T1932" t="s">
        <v>3364</v>
      </c>
      <c r="U1932" t="s">
        <v>13817</v>
      </c>
      <c r="V1932" t="s">
        <v>15214</v>
      </c>
    </row>
    <row r="1933" spans="1:22" hidden="1">
      <c r="A1933" t="s">
        <v>15354</v>
      </c>
      <c r="B1933" t="s">
        <v>15441</v>
      </c>
      <c r="C1933" t="s">
        <v>15447</v>
      </c>
      <c r="D1933" t="s">
        <v>1931</v>
      </c>
      <c r="E1933" t="s">
        <v>3428</v>
      </c>
      <c r="F1933" t="s">
        <v>3435</v>
      </c>
      <c r="G1933" s="3">
        <v>35.3230262752569</v>
      </c>
      <c r="H1933" s="3">
        <v>128.85488171757299</v>
      </c>
      <c r="I1933" t="s">
        <v>5698</v>
      </c>
      <c r="J1933" t="s">
        <v>9057</v>
      </c>
      <c r="K1933" t="s">
        <v>11523</v>
      </c>
      <c r="L1933" t="s">
        <v>3366</v>
      </c>
      <c r="M1933" t="s">
        <v>11892</v>
      </c>
      <c r="N1933" t="s">
        <v>3364</v>
      </c>
      <c r="O1933" t="s">
        <v>15211</v>
      </c>
      <c r="P1933" t="s">
        <v>15211</v>
      </c>
      <c r="Q1933" t="s">
        <v>15211</v>
      </c>
      <c r="R1933" t="s">
        <v>15211</v>
      </c>
      <c r="S1933" t="s">
        <v>15211</v>
      </c>
      <c r="T1933" t="s">
        <v>3364</v>
      </c>
      <c r="U1933" t="s">
        <v>13818</v>
      </c>
      <c r="V1933" t="s">
        <v>15214</v>
      </c>
    </row>
    <row r="1934" spans="1:22" hidden="1">
      <c r="A1934" t="s">
        <v>15354</v>
      </c>
      <c r="B1934" t="s">
        <v>15441</v>
      </c>
      <c r="C1934" t="s">
        <v>15448</v>
      </c>
      <c r="D1934" t="s">
        <v>1932</v>
      </c>
      <c r="E1934" t="s">
        <v>3434</v>
      </c>
      <c r="F1934" t="s">
        <v>3461</v>
      </c>
      <c r="G1934" s="3">
        <v>35.323026258334103</v>
      </c>
      <c r="H1934" s="3">
        <v>128.85488146445499</v>
      </c>
      <c r="I1934" t="s">
        <v>5699</v>
      </c>
      <c r="J1934" t="s">
        <v>9058</v>
      </c>
      <c r="K1934" t="s">
        <v>10746</v>
      </c>
      <c r="L1934" t="s">
        <v>3377</v>
      </c>
      <c r="M1934" t="s">
        <v>11912</v>
      </c>
      <c r="N1934" t="s">
        <v>3364</v>
      </c>
      <c r="O1934" t="s">
        <v>3359</v>
      </c>
      <c r="P1934" t="s">
        <v>3363</v>
      </c>
      <c r="Q1934" t="s">
        <v>3360</v>
      </c>
      <c r="R1934" t="s">
        <v>3357</v>
      </c>
      <c r="S1934" t="s">
        <v>15211</v>
      </c>
      <c r="T1934" t="s">
        <v>3379</v>
      </c>
      <c r="U1934" t="s">
        <v>13819</v>
      </c>
      <c r="V1934" t="s">
        <v>15215</v>
      </c>
    </row>
    <row r="1935" spans="1:22" hidden="1">
      <c r="A1935" t="s">
        <v>15354</v>
      </c>
      <c r="B1935" t="s">
        <v>15441</v>
      </c>
      <c r="C1935" t="s">
        <v>15448</v>
      </c>
      <c r="D1935" t="s">
        <v>1933</v>
      </c>
      <c r="E1935" t="s">
        <v>3430</v>
      </c>
      <c r="F1935" t="s">
        <v>3460</v>
      </c>
      <c r="G1935" s="3">
        <v>35.323026292411903</v>
      </c>
      <c r="H1935" s="3">
        <v>128.85488148166101</v>
      </c>
      <c r="I1935" t="s">
        <v>5700</v>
      </c>
      <c r="J1935" t="s">
        <v>9059</v>
      </c>
      <c r="K1935" t="s">
        <v>10871</v>
      </c>
      <c r="L1935" t="s">
        <v>3366</v>
      </c>
      <c r="M1935" t="s">
        <v>11912</v>
      </c>
      <c r="N1935" t="s">
        <v>3364</v>
      </c>
      <c r="O1935" t="s">
        <v>3360</v>
      </c>
      <c r="P1935" t="s">
        <v>3364</v>
      </c>
      <c r="Q1935" t="s">
        <v>3360</v>
      </c>
      <c r="R1935" t="s">
        <v>3358</v>
      </c>
      <c r="S1935" t="s">
        <v>15211</v>
      </c>
      <c r="T1935" t="s">
        <v>3382</v>
      </c>
      <c r="U1935" t="s">
        <v>13820</v>
      </c>
      <c r="V1935" t="s">
        <v>15215</v>
      </c>
    </row>
    <row r="1936" spans="1:22" hidden="1">
      <c r="A1936" t="s">
        <v>15354</v>
      </c>
      <c r="B1936" t="s">
        <v>15441</v>
      </c>
      <c r="C1936" t="s">
        <v>15448</v>
      </c>
      <c r="D1936" t="s">
        <v>1934</v>
      </c>
      <c r="E1936" t="s">
        <v>3430</v>
      </c>
      <c r="F1936" t="s">
        <v>3449</v>
      </c>
      <c r="G1936" s="3">
        <v>35.323026295939897</v>
      </c>
      <c r="H1936" s="3">
        <v>128.85488145788801</v>
      </c>
      <c r="I1936" t="s">
        <v>5701</v>
      </c>
      <c r="J1936" t="s">
        <v>9060</v>
      </c>
      <c r="K1936" t="s">
        <v>11524</v>
      </c>
      <c r="L1936" t="s">
        <v>3366</v>
      </c>
      <c r="M1936" t="s">
        <v>11912</v>
      </c>
      <c r="N1936" t="s">
        <v>3364</v>
      </c>
      <c r="O1936" t="s">
        <v>3360</v>
      </c>
      <c r="P1936" t="s">
        <v>3364</v>
      </c>
      <c r="Q1936" t="s">
        <v>3360</v>
      </c>
      <c r="R1936" t="s">
        <v>3358</v>
      </c>
      <c r="S1936" t="s">
        <v>15211</v>
      </c>
      <c r="T1936" t="s">
        <v>3382</v>
      </c>
      <c r="U1936" t="s">
        <v>13821</v>
      </c>
      <c r="V1936" t="s">
        <v>15215</v>
      </c>
    </row>
    <row r="1937" spans="1:22" hidden="1">
      <c r="A1937" t="s">
        <v>15354</v>
      </c>
      <c r="B1937" t="s">
        <v>15441</v>
      </c>
      <c r="C1937" t="s">
        <v>15449</v>
      </c>
      <c r="D1937" t="s">
        <v>1935</v>
      </c>
      <c r="E1937" t="s">
        <v>3428</v>
      </c>
      <c r="F1937" t="s">
        <v>3442</v>
      </c>
      <c r="G1937" s="3">
        <v>35.323026152558903</v>
      </c>
      <c r="H1937" s="3">
        <v>128.85488149483399</v>
      </c>
      <c r="I1937" t="s">
        <v>5702</v>
      </c>
      <c r="J1937" t="s">
        <v>9061</v>
      </c>
      <c r="K1937" t="s">
        <v>11344</v>
      </c>
      <c r="L1937" t="s">
        <v>3378</v>
      </c>
      <c r="M1937" t="s">
        <v>11889</v>
      </c>
      <c r="N1937" t="s">
        <v>3363</v>
      </c>
      <c r="O1937" t="s">
        <v>15211</v>
      </c>
      <c r="P1937" t="s">
        <v>3364</v>
      </c>
      <c r="Q1937" t="s">
        <v>3360</v>
      </c>
      <c r="R1937" t="s">
        <v>3358</v>
      </c>
      <c r="S1937" t="s">
        <v>15211</v>
      </c>
      <c r="T1937" t="s">
        <v>3377</v>
      </c>
      <c r="U1937" t="s">
        <v>13822</v>
      </c>
      <c r="V1937" t="s">
        <v>15216</v>
      </c>
    </row>
    <row r="1938" spans="1:22" hidden="1">
      <c r="A1938" t="s">
        <v>15354</v>
      </c>
      <c r="B1938" t="s">
        <v>15441</v>
      </c>
      <c r="C1938" t="s">
        <v>15449</v>
      </c>
      <c r="D1938" t="s">
        <v>1936</v>
      </c>
      <c r="E1938" t="s">
        <v>3425</v>
      </c>
      <c r="F1938" t="s">
        <v>3432</v>
      </c>
      <c r="G1938" s="3">
        <v>35.323026168013797</v>
      </c>
      <c r="H1938" s="3">
        <v>128.85488151888001</v>
      </c>
      <c r="I1938" t="s">
        <v>5703</v>
      </c>
      <c r="J1938" t="s">
        <v>9062</v>
      </c>
      <c r="K1938" t="s">
        <v>11082</v>
      </c>
      <c r="L1938" t="s">
        <v>3366</v>
      </c>
      <c r="M1938" t="s">
        <v>11889</v>
      </c>
      <c r="N1938" t="s">
        <v>3363</v>
      </c>
      <c r="O1938" t="s">
        <v>15211</v>
      </c>
      <c r="P1938" t="s">
        <v>3363</v>
      </c>
      <c r="Q1938" t="s">
        <v>3360</v>
      </c>
      <c r="R1938" t="s">
        <v>3358</v>
      </c>
      <c r="S1938" t="s">
        <v>15211</v>
      </c>
      <c r="T1938" t="s">
        <v>3376</v>
      </c>
      <c r="U1938" t="s">
        <v>13823</v>
      </c>
      <c r="V1938" t="s">
        <v>15216</v>
      </c>
    </row>
    <row r="1939" spans="1:22" hidden="1">
      <c r="A1939" t="s">
        <v>15354</v>
      </c>
      <c r="B1939" t="s">
        <v>15441</v>
      </c>
      <c r="C1939" t="s">
        <v>15449</v>
      </c>
      <c r="D1939" t="s">
        <v>1937</v>
      </c>
      <c r="E1939" t="s">
        <v>3425</v>
      </c>
      <c r="F1939" t="s">
        <v>3432</v>
      </c>
      <c r="G1939" s="3">
        <v>35.323026189352397</v>
      </c>
      <c r="H1939" s="3">
        <v>128.85488151101299</v>
      </c>
      <c r="I1939" t="s">
        <v>5704</v>
      </c>
      <c r="J1939" t="s">
        <v>9063</v>
      </c>
      <c r="K1939" t="s">
        <v>11070</v>
      </c>
      <c r="L1939" t="s">
        <v>3366</v>
      </c>
      <c r="M1939" t="s">
        <v>11908</v>
      </c>
      <c r="N1939" t="s">
        <v>3363</v>
      </c>
      <c r="O1939" t="s">
        <v>15211</v>
      </c>
      <c r="P1939" t="s">
        <v>3364</v>
      </c>
      <c r="Q1939" t="s">
        <v>3360</v>
      </c>
      <c r="R1939" t="s">
        <v>3358</v>
      </c>
      <c r="S1939" t="s">
        <v>15211</v>
      </c>
      <c r="T1939" t="s">
        <v>3377</v>
      </c>
      <c r="U1939" t="s">
        <v>13824</v>
      </c>
      <c r="V1939" t="s">
        <v>15216</v>
      </c>
    </row>
    <row r="1940" spans="1:22" hidden="1">
      <c r="A1940" t="s">
        <v>15354</v>
      </c>
      <c r="B1940" t="s">
        <v>15442</v>
      </c>
      <c r="C1940" t="s">
        <v>15450</v>
      </c>
      <c r="D1940" t="s">
        <v>1938</v>
      </c>
      <c r="E1940" t="s">
        <v>3434</v>
      </c>
      <c r="F1940" t="s">
        <v>3441</v>
      </c>
      <c r="G1940" s="3">
        <v>35.323026459142397</v>
      </c>
      <c r="H1940" s="3">
        <v>128.85488148065201</v>
      </c>
      <c r="I1940" t="s">
        <v>5705</v>
      </c>
      <c r="J1940" t="s">
        <v>9064</v>
      </c>
      <c r="K1940" t="s">
        <v>10986</v>
      </c>
      <c r="L1940" t="s">
        <v>3378</v>
      </c>
      <c r="M1940" t="s">
        <v>11885</v>
      </c>
      <c r="N1940" t="s">
        <v>3364</v>
      </c>
      <c r="O1940" t="s">
        <v>3359</v>
      </c>
      <c r="P1940" t="s">
        <v>3357</v>
      </c>
      <c r="Q1940" t="s">
        <v>3358</v>
      </c>
      <c r="R1940" t="s">
        <v>15211</v>
      </c>
      <c r="S1940" t="s">
        <v>15211</v>
      </c>
      <c r="T1940" t="s">
        <v>3370</v>
      </c>
      <c r="U1940" t="s">
        <v>13825</v>
      </c>
      <c r="V1940" t="s">
        <v>15217</v>
      </c>
    </row>
    <row r="1941" spans="1:22" hidden="1">
      <c r="A1941" t="s">
        <v>15354</v>
      </c>
      <c r="B1941" t="s">
        <v>15442</v>
      </c>
      <c r="C1941" t="s">
        <v>15450</v>
      </c>
      <c r="D1941" t="s">
        <v>1939</v>
      </c>
      <c r="E1941" t="s">
        <v>3425</v>
      </c>
      <c r="F1941" t="s">
        <v>3430</v>
      </c>
      <c r="G1941" s="3">
        <v>35.323026406352398</v>
      </c>
      <c r="H1941" s="3">
        <v>128.85488144942599</v>
      </c>
      <c r="I1941" t="s">
        <v>5706</v>
      </c>
      <c r="J1941" t="s">
        <v>9065</v>
      </c>
      <c r="K1941" t="s">
        <v>10770</v>
      </c>
      <c r="L1941" t="s">
        <v>3366</v>
      </c>
      <c r="M1941" t="s">
        <v>11885</v>
      </c>
      <c r="N1941" t="s">
        <v>3364</v>
      </c>
      <c r="O1941" t="s">
        <v>3360</v>
      </c>
      <c r="P1941" t="s">
        <v>15211</v>
      </c>
      <c r="Q1941" t="s">
        <v>15211</v>
      </c>
      <c r="R1941" t="s">
        <v>15211</v>
      </c>
      <c r="S1941" t="s">
        <v>15211</v>
      </c>
      <c r="T1941" t="s">
        <v>3368</v>
      </c>
      <c r="U1941" t="s">
        <v>13826</v>
      </c>
      <c r="V1941" t="s">
        <v>15217</v>
      </c>
    </row>
    <row r="1942" spans="1:22" hidden="1">
      <c r="A1942" t="s">
        <v>15354</v>
      </c>
      <c r="B1942" t="s">
        <v>15442</v>
      </c>
      <c r="C1942" t="s">
        <v>15450</v>
      </c>
      <c r="D1942" t="s">
        <v>1940</v>
      </c>
      <c r="E1942" t="s">
        <v>3425</v>
      </c>
      <c r="F1942" t="s">
        <v>3430</v>
      </c>
      <c r="G1942" s="3">
        <v>35.323026451719002</v>
      </c>
      <c r="H1942" s="3">
        <v>128.85488145987799</v>
      </c>
      <c r="I1942" t="s">
        <v>5707</v>
      </c>
      <c r="J1942" t="s">
        <v>9066</v>
      </c>
      <c r="K1942" t="s">
        <v>10770</v>
      </c>
      <c r="L1942" t="s">
        <v>3366</v>
      </c>
      <c r="M1942" t="s">
        <v>11885</v>
      </c>
      <c r="N1942" t="s">
        <v>3364</v>
      </c>
      <c r="O1942" t="s">
        <v>3360</v>
      </c>
      <c r="P1942" t="s">
        <v>15211</v>
      </c>
      <c r="Q1942" t="s">
        <v>15211</v>
      </c>
      <c r="R1942" t="s">
        <v>15211</v>
      </c>
      <c r="S1942" t="s">
        <v>15211</v>
      </c>
      <c r="T1942" t="s">
        <v>3368</v>
      </c>
      <c r="U1942" t="s">
        <v>13827</v>
      </c>
      <c r="V1942" t="s">
        <v>15217</v>
      </c>
    </row>
    <row r="1943" spans="1:22" hidden="1">
      <c r="A1943" t="s">
        <v>15354</v>
      </c>
      <c r="B1943" t="s">
        <v>15442</v>
      </c>
      <c r="C1943" t="s">
        <v>15445</v>
      </c>
      <c r="D1943" t="s">
        <v>1941</v>
      </c>
      <c r="E1943" t="s">
        <v>3438</v>
      </c>
      <c r="F1943" t="s">
        <v>3436</v>
      </c>
      <c r="G1943" s="3">
        <v>35.323026435864499</v>
      </c>
      <c r="H1943" s="3">
        <v>128.854881503233</v>
      </c>
      <c r="I1943" t="s">
        <v>5708</v>
      </c>
      <c r="J1943" t="s">
        <v>9067</v>
      </c>
      <c r="K1943" t="s">
        <v>11525</v>
      </c>
      <c r="L1943" t="s">
        <v>3375</v>
      </c>
      <c r="M1943" t="s">
        <v>11885</v>
      </c>
      <c r="N1943" t="s">
        <v>3364</v>
      </c>
      <c r="O1943" t="s">
        <v>3360</v>
      </c>
      <c r="P1943" t="s">
        <v>15211</v>
      </c>
      <c r="Q1943" t="s">
        <v>15211</v>
      </c>
      <c r="R1943" t="s">
        <v>15211</v>
      </c>
      <c r="S1943" t="s">
        <v>15211</v>
      </c>
      <c r="T1943" t="s">
        <v>3368</v>
      </c>
      <c r="U1943" t="s">
        <v>13828</v>
      </c>
      <c r="V1943" t="s">
        <v>15218</v>
      </c>
    </row>
    <row r="1944" spans="1:22" hidden="1">
      <c r="A1944" t="s">
        <v>15354</v>
      </c>
      <c r="B1944" t="s">
        <v>15442</v>
      </c>
      <c r="C1944" t="s">
        <v>15445</v>
      </c>
      <c r="D1944" t="s">
        <v>1942</v>
      </c>
      <c r="E1944" t="s">
        <v>3438</v>
      </c>
      <c r="F1944" t="s">
        <v>3436</v>
      </c>
      <c r="G1944" s="3">
        <v>35.323026411666298</v>
      </c>
      <c r="H1944" s="3">
        <v>128.85488153412501</v>
      </c>
      <c r="I1944" t="s">
        <v>5709</v>
      </c>
      <c r="J1944" t="s">
        <v>9068</v>
      </c>
      <c r="K1944" t="s">
        <v>10731</v>
      </c>
      <c r="L1944" t="s">
        <v>3366</v>
      </c>
      <c r="M1944" t="s">
        <v>11885</v>
      </c>
      <c r="N1944" t="s">
        <v>3364</v>
      </c>
      <c r="O1944" t="s">
        <v>3360</v>
      </c>
      <c r="P1944" t="s">
        <v>15211</v>
      </c>
      <c r="Q1944" t="s">
        <v>15211</v>
      </c>
      <c r="R1944" t="s">
        <v>15211</v>
      </c>
      <c r="S1944" t="s">
        <v>15211</v>
      </c>
      <c r="T1944" t="s">
        <v>3368</v>
      </c>
      <c r="U1944" t="s">
        <v>13829</v>
      </c>
      <c r="V1944" t="s">
        <v>15218</v>
      </c>
    </row>
    <row r="1945" spans="1:22" hidden="1">
      <c r="A1945" t="s">
        <v>15354</v>
      </c>
      <c r="B1945" t="s">
        <v>15442</v>
      </c>
      <c r="C1945" t="s">
        <v>15445</v>
      </c>
      <c r="D1945" t="s">
        <v>1943</v>
      </c>
      <c r="E1945" t="s">
        <v>3440</v>
      </c>
      <c r="F1945" t="s">
        <v>3428</v>
      </c>
      <c r="G1945" s="3">
        <v>35.323026421565103</v>
      </c>
      <c r="H1945" s="3">
        <v>128.85488154818199</v>
      </c>
      <c r="I1945" t="s">
        <v>5710</v>
      </c>
      <c r="J1945" t="s">
        <v>9069</v>
      </c>
      <c r="K1945" t="s">
        <v>10731</v>
      </c>
      <c r="L1945" t="s">
        <v>3366</v>
      </c>
      <c r="M1945" t="s">
        <v>11885</v>
      </c>
      <c r="N1945" t="s">
        <v>3364</v>
      </c>
      <c r="O1945" t="s">
        <v>3360</v>
      </c>
      <c r="P1945" t="s">
        <v>15211</v>
      </c>
      <c r="Q1945" t="s">
        <v>15211</v>
      </c>
      <c r="R1945" t="s">
        <v>15211</v>
      </c>
      <c r="S1945" t="s">
        <v>15211</v>
      </c>
      <c r="T1945" t="s">
        <v>3368</v>
      </c>
      <c r="U1945" t="s">
        <v>13830</v>
      </c>
      <c r="V1945" t="s">
        <v>15218</v>
      </c>
    </row>
    <row r="1946" spans="1:22" hidden="1">
      <c r="A1946" t="s">
        <v>15354</v>
      </c>
      <c r="B1946" t="s">
        <v>15442</v>
      </c>
      <c r="C1946" t="s">
        <v>15451</v>
      </c>
      <c r="D1946" t="s">
        <v>1944</v>
      </c>
      <c r="E1946" t="s">
        <v>3437</v>
      </c>
      <c r="F1946" t="s">
        <v>3428</v>
      </c>
      <c r="G1946" s="3">
        <v>35.3230263496947</v>
      </c>
      <c r="H1946" s="3">
        <v>128.85488145231801</v>
      </c>
      <c r="I1946" t="s">
        <v>5711</v>
      </c>
      <c r="J1946" t="s">
        <v>9070</v>
      </c>
      <c r="K1946" t="s">
        <v>11526</v>
      </c>
      <c r="L1946" t="s">
        <v>3383</v>
      </c>
      <c r="M1946" t="s">
        <v>11896</v>
      </c>
      <c r="N1946" t="s">
        <v>3364</v>
      </c>
      <c r="O1946" t="s">
        <v>3360</v>
      </c>
      <c r="P1946" t="s">
        <v>3362</v>
      </c>
      <c r="Q1946" t="s">
        <v>3359</v>
      </c>
      <c r="R1946" t="s">
        <v>15211</v>
      </c>
      <c r="S1946" t="s">
        <v>15211</v>
      </c>
      <c r="T1946" t="s">
        <v>3377</v>
      </c>
      <c r="U1946" t="s">
        <v>13831</v>
      </c>
      <c r="V1946" t="s">
        <v>15219</v>
      </c>
    </row>
    <row r="1947" spans="1:22" hidden="1">
      <c r="A1947" t="s">
        <v>15354</v>
      </c>
      <c r="B1947" t="s">
        <v>15442</v>
      </c>
      <c r="C1947" t="s">
        <v>15451</v>
      </c>
      <c r="D1947" t="s">
        <v>1945</v>
      </c>
      <c r="E1947" t="s">
        <v>3427</v>
      </c>
      <c r="F1947" t="s">
        <v>3429</v>
      </c>
      <c r="G1947" s="3">
        <v>35.323026338168702</v>
      </c>
      <c r="H1947" s="3">
        <v>128.85488145460201</v>
      </c>
      <c r="I1947" t="s">
        <v>5712</v>
      </c>
      <c r="J1947" t="s">
        <v>9071</v>
      </c>
      <c r="K1947" t="s">
        <v>11459</v>
      </c>
      <c r="L1947" t="s">
        <v>3366</v>
      </c>
      <c r="M1947" t="s">
        <v>11896</v>
      </c>
      <c r="N1947" t="s">
        <v>3364</v>
      </c>
      <c r="O1947" t="s">
        <v>3360</v>
      </c>
      <c r="P1947" t="s">
        <v>3363</v>
      </c>
      <c r="Q1947" t="s">
        <v>3360</v>
      </c>
      <c r="R1947" t="s">
        <v>15211</v>
      </c>
      <c r="S1947" t="s">
        <v>15211</v>
      </c>
      <c r="T1947" t="s">
        <v>3379</v>
      </c>
      <c r="U1947" t="s">
        <v>13832</v>
      </c>
      <c r="V1947" t="s">
        <v>15219</v>
      </c>
    </row>
    <row r="1948" spans="1:22" hidden="1">
      <c r="A1948" t="s">
        <v>15354</v>
      </c>
      <c r="B1948" t="s">
        <v>15442</v>
      </c>
      <c r="C1948" t="s">
        <v>15451</v>
      </c>
      <c r="D1948" t="s">
        <v>1946</v>
      </c>
      <c r="E1948" t="s">
        <v>3438</v>
      </c>
      <c r="F1948" t="s">
        <v>3434</v>
      </c>
      <c r="G1948" s="3">
        <v>35.323026333271102</v>
      </c>
      <c r="H1948" s="3">
        <v>128.85488146424501</v>
      </c>
      <c r="I1948" t="s">
        <v>5713</v>
      </c>
      <c r="J1948" t="s">
        <v>9072</v>
      </c>
      <c r="K1948" t="s">
        <v>11484</v>
      </c>
      <c r="L1948" t="s">
        <v>3366</v>
      </c>
      <c r="M1948" t="s">
        <v>11896</v>
      </c>
      <c r="N1948" t="s">
        <v>3364</v>
      </c>
      <c r="O1948" t="s">
        <v>3360</v>
      </c>
      <c r="P1948" t="s">
        <v>3363</v>
      </c>
      <c r="Q1948" t="s">
        <v>3360</v>
      </c>
      <c r="R1948" t="s">
        <v>15211</v>
      </c>
      <c r="S1948" t="s">
        <v>15211</v>
      </c>
      <c r="T1948" t="s">
        <v>3379</v>
      </c>
      <c r="U1948" t="s">
        <v>13833</v>
      </c>
      <c r="V1948" t="s">
        <v>15219</v>
      </c>
    </row>
    <row r="1949" spans="1:22">
      <c r="A1949" t="s">
        <v>15354</v>
      </c>
      <c r="B1949" t="s">
        <v>15443</v>
      </c>
      <c r="C1949" t="s">
        <v>15452</v>
      </c>
      <c r="D1949" t="s">
        <v>1947</v>
      </c>
      <c r="E1949" t="s">
        <v>3495</v>
      </c>
      <c r="F1949" t="s">
        <v>3688</v>
      </c>
      <c r="G1949" s="3">
        <v>35.3230274764461</v>
      </c>
      <c r="H1949" s="3">
        <v>128.85488217836499</v>
      </c>
      <c r="I1949" t="s">
        <v>5714</v>
      </c>
      <c r="J1949" t="s">
        <v>9073</v>
      </c>
      <c r="K1949" t="s">
        <v>11527</v>
      </c>
      <c r="L1949" t="s">
        <v>3378</v>
      </c>
      <c r="M1949" t="s">
        <v>11890</v>
      </c>
      <c r="N1949" t="s">
        <v>3363</v>
      </c>
      <c r="O1949" t="s">
        <v>15211</v>
      </c>
      <c r="P1949" t="s">
        <v>3362</v>
      </c>
      <c r="Q1949" t="s">
        <v>3357</v>
      </c>
      <c r="R1949" t="s">
        <v>15211</v>
      </c>
      <c r="S1949" t="s">
        <v>15211</v>
      </c>
      <c r="T1949" t="s">
        <v>3370</v>
      </c>
      <c r="U1949" t="s">
        <v>13834</v>
      </c>
      <c r="V1949" t="s">
        <v>15220</v>
      </c>
    </row>
    <row r="1950" spans="1:22">
      <c r="A1950" t="s">
        <v>15354</v>
      </c>
      <c r="B1950" t="s">
        <v>15443</v>
      </c>
      <c r="C1950" t="s">
        <v>15452</v>
      </c>
      <c r="D1950" t="s">
        <v>1948</v>
      </c>
      <c r="E1950" t="s">
        <v>3494</v>
      </c>
      <c r="F1950" t="s">
        <v>3689</v>
      </c>
      <c r="G1950" s="3">
        <v>35.323027763885598</v>
      </c>
      <c r="H1950" s="3">
        <v>128.85488200646901</v>
      </c>
      <c r="I1950" t="s">
        <v>5715</v>
      </c>
      <c r="J1950" t="s">
        <v>9074</v>
      </c>
      <c r="K1950" t="s">
        <v>11528</v>
      </c>
      <c r="L1950" t="s">
        <v>3366</v>
      </c>
      <c r="M1950" t="s">
        <v>11885</v>
      </c>
      <c r="N1950" t="s">
        <v>3362</v>
      </c>
      <c r="O1950" t="s">
        <v>15211</v>
      </c>
      <c r="P1950" t="s">
        <v>3362</v>
      </c>
      <c r="Q1950" t="s">
        <v>15211</v>
      </c>
      <c r="R1950" t="s">
        <v>15211</v>
      </c>
      <c r="S1950" t="s">
        <v>15211</v>
      </c>
      <c r="T1950" t="s">
        <v>3368</v>
      </c>
      <c r="U1950" t="s">
        <v>13835</v>
      </c>
      <c r="V1950" t="s">
        <v>15220</v>
      </c>
    </row>
    <row r="1951" spans="1:22">
      <c r="A1951" t="s">
        <v>15354</v>
      </c>
      <c r="B1951" t="s">
        <v>15443</v>
      </c>
      <c r="C1951" t="s">
        <v>15452</v>
      </c>
      <c r="D1951" t="s">
        <v>1949</v>
      </c>
      <c r="E1951" t="s">
        <v>3532</v>
      </c>
      <c r="F1951" t="s">
        <v>3690</v>
      </c>
      <c r="G1951" s="3">
        <v>35.3230277794624</v>
      </c>
      <c r="H1951" s="3">
        <v>128.854882157232</v>
      </c>
      <c r="I1951" t="s">
        <v>5716</v>
      </c>
      <c r="J1951" t="s">
        <v>6845</v>
      </c>
      <c r="K1951" t="s">
        <v>10726</v>
      </c>
      <c r="L1951" t="s">
        <v>3366</v>
      </c>
      <c r="M1951" t="s">
        <v>11890</v>
      </c>
      <c r="N1951" t="s">
        <v>3363</v>
      </c>
      <c r="O1951" t="s">
        <v>15211</v>
      </c>
      <c r="P1951" t="s">
        <v>3362</v>
      </c>
      <c r="Q1951" t="s">
        <v>15211</v>
      </c>
      <c r="R1951" t="s">
        <v>15211</v>
      </c>
      <c r="S1951" t="s">
        <v>15211</v>
      </c>
      <c r="T1951" t="s">
        <v>3369</v>
      </c>
      <c r="U1951" t="s">
        <v>13836</v>
      </c>
      <c r="V1951" t="s">
        <v>15220</v>
      </c>
    </row>
    <row r="1952" spans="1:22" hidden="1">
      <c r="A1952" t="s">
        <v>15354</v>
      </c>
      <c r="B1952" t="s">
        <v>15443</v>
      </c>
      <c r="C1952" t="s">
        <v>15482</v>
      </c>
      <c r="D1952" t="s">
        <v>1950</v>
      </c>
      <c r="E1952" t="s">
        <v>3533</v>
      </c>
      <c r="F1952" t="s">
        <v>3691</v>
      </c>
      <c r="G1952" s="3">
        <v>35.323027922345403</v>
      </c>
      <c r="H1952" s="3">
        <v>128.85488180048199</v>
      </c>
      <c r="I1952" t="s">
        <v>5717</v>
      </c>
      <c r="J1952" t="s">
        <v>9075</v>
      </c>
      <c r="K1952" t="s">
        <v>10541</v>
      </c>
      <c r="L1952" t="s">
        <v>3382</v>
      </c>
      <c r="M1952" t="s">
        <v>11885</v>
      </c>
      <c r="N1952" t="s">
        <v>3361</v>
      </c>
      <c r="O1952" t="s">
        <v>15211</v>
      </c>
      <c r="P1952" t="s">
        <v>3362</v>
      </c>
      <c r="Q1952" t="s">
        <v>15211</v>
      </c>
      <c r="R1952" t="s">
        <v>15211</v>
      </c>
      <c r="S1952" t="s">
        <v>15211</v>
      </c>
      <c r="T1952" t="s">
        <v>3367</v>
      </c>
      <c r="U1952" t="s">
        <v>13837</v>
      </c>
      <c r="V1952" t="s">
        <v>15265</v>
      </c>
    </row>
    <row r="1953" spans="1:22" hidden="1">
      <c r="A1953" t="s">
        <v>15354</v>
      </c>
      <c r="B1953" t="s">
        <v>15443</v>
      </c>
      <c r="C1953" t="s">
        <v>15482</v>
      </c>
      <c r="D1953" t="s">
        <v>1951</v>
      </c>
      <c r="E1953" t="s">
        <v>3533</v>
      </c>
      <c r="F1953" t="s">
        <v>3692</v>
      </c>
      <c r="G1953" s="3">
        <v>35.323027706260397</v>
      </c>
      <c r="H1953" s="3">
        <v>128.85488190683299</v>
      </c>
      <c r="I1953" t="s">
        <v>5718</v>
      </c>
      <c r="J1953" t="s">
        <v>9076</v>
      </c>
      <c r="K1953" t="s">
        <v>11212</v>
      </c>
      <c r="L1953" t="s">
        <v>3366</v>
      </c>
      <c r="M1953" t="s">
        <v>11886</v>
      </c>
      <c r="N1953" t="s">
        <v>3361</v>
      </c>
      <c r="O1953" t="s">
        <v>15211</v>
      </c>
      <c r="P1953" t="s">
        <v>3361</v>
      </c>
      <c r="Q1953" t="s">
        <v>15211</v>
      </c>
      <c r="R1953" t="s">
        <v>15211</v>
      </c>
      <c r="S1953" t="s">
        <v>15211</v>
      </c>
      <c r="T1953" t="s">
        <v>3366</v>
      </c>
      <c r="U1953" t="s">
        <v>13838</v>
      </c>
      <c r="V1953" t="s">
        <v>15265</v>
      </c>
    </row>
    <row r="1954" spans="1:22" hidden="1">
      <c r="A1954" t="s">
        <v>15354</v>
      </c>
      <c r="B1954" t="s">
        <v>15443</v>
      </c>
      <c r="C1954" t="s">
        <v>15482</v>
      </c>
      <c r="D1954" t="s">
        <v>1952</v>
      </c>
      <c r="E1954" t="s">
        <v>3533</v>
      </c>
      <c r="F1954" t="s">
        <v>3693</v>
      </c>
      <c r="G1954" s="3">
        <v>35.323027643761598</v>
      </c>
      <c r="H1954" s="3">
        <v>128.854881953633</v>
      </c>
      <c r="I1954" t="s">
        <v>5719</v>
      </c>
      <c r="J1954" t="s">
        <v>9077</v>
      </c>
      <c r="K1954" t="s">
        <v>11529</v>
      </c>
      <c r="L1954" t="s">
        <v>3366</v>
      </c>
      <c r="M1954" t="s">
        <v>11885</v>
      </c>
      <c r="N1954" t="s">
        <v>3362</v>
      </c>
      <c r="O1954" t="s">
        <v>15211</v>
      </c>
      <c r="P1954" t="s">
        <v>3362</v>
      </c>
      <c r="Q1954" t="s">
        <v>15211</v>
      </c>
      <c r="R1954" t="s">
        <v>15211</v>
      </c>
      <c r="S1954" t="s">
        <v>15211</v>
      </c>
      <c r="T1954" t="s">
        <v>3368</v>
      </c>
      <c r="U1954" t="s">
        <v>13839</v>
      </c>
      <c r="V1954" t="s">
        <v>15265</v>
      </c>
    </row>
    <row r="1955" spans="1:22" ht="17.399999999999999" hidden="1">
      <c r="A1955" t="s">
        <v>15355</v>
      </c>
      <c r="B1955" t="s">
        <v>15441</v>
      </c>
      <c r="C1955" t="s">
        <v>15445</v>
      </c>
      <c r="D1955" t="s">
        <v>1953</v>
      </c>
      <c r="E1955" t="s">
        <v>3439</v>
      </c>
      <c r="F1955" t="s">
        <v>3427</v>
      </c>
      <c r="G1955" s="3">
        <v>35.509055576826398</v>
      </c>
      <c r="H1955" s="3">
        <v>128.73048456357401</v>
      </c>
      <c r="I1955" t="s">
        <v>5720</v>
      </c>
      <c r="J1955" t="s">
        <v>9078</v>
      </c>
      <c r="K1955" t="s">
        <v>10653</v>
      </c>
      <c r="L1955" t="s">
        <v>3374</v>
      </c>
      <c r="M1955" t="s">
        <v>11892</v>
      </c>
      <c r="N1955" t="s">
        <v>3364</v>
      </c>
      <c r="O1955" t="s">
        <v>15211</v>
      </c>
      <c r="P1955" t="s">
        <v>15211</v>
      </c>
      <c r="Q1955" t="s">
        <v>15211</v>
      </c>
      <c r="R1955" t="s">
        <v>15211</v>
      </c>
      <c r="S1955" t="s">
        <v>15211</v>
      </c>
      <c r="T1955" t="s">
        <v>3364</v>
      </c>
      <c r="U1955" t="s">
        <v>13840</v>
      </c>
      <c r="V1955" t="s">
        <v>15212</v>
      </c>
    </row>
    <row r="1956" spans="1:22" ht="17.399999999999999" hidden="1">
      <c r="A1956" t="s">
        <v>15355</v>
      </c>
      <c r="B1956" t="s">
        <v>15441</v>
      </c>
      <c r="C1956" t="s">
        <v>15445</v>
      </c>
      <c r="D1956" t="s">
        <v>1954</v>
      </c>
      <c r="E1956" t="s">
        <v>3439</v>
      </c>
      <c r="F1956" t="s">
        <v>3427</v>
      </c>
      <c r="G1956" s="3">
        <v>35.509055582167697</v>
      </c>
      <c r="H1956" s="3">
        <v>128.730484570974</v>
      </c>
      <c r="I1956" t="s">
        <v>5721</v>
      </c>
      <c r="J1956" t="s">
        <v>9079</v>
      </c>
      <c r="K1956" t="s">
        <v>11530</v>
      </c>
      <c r="L1956" t="s">
        <v>3366</v>
      </c>
      <c r="M1956" t="s">
        <v>11887</v>
      </c>
      <c r="N1956" t="s">
        <v>3364</v>
      </c>
      <c r="O1956" t="s">
        <v>15211</v>
      </c>
      <c r="P1956" t="s">
        <v>15211</v>
      </c>
      <c r="Q1956" t="s">
        <v>15211</v>
      </c>
      <c r="R1956" t="s">
        <v>15211</v>
      </c>
      <c r="S1956" t="s">
        <v>15211</v>
      </c>
      <c r="T1956" t="s">
        <v>3364</v>
      </c>
      <c r="U1956" t="s">
        <v>13841</v>
      </c>
      <c r="V1956" t="s">
        <v>15212</v>
      </c>
    </row>
    <row r="1957" spans="1:22" ht="17.399999999999999" hidden="1">
      <c r="A1957" t="s">
        <v>15355</v>
      </c>
      <c r="B1957" t="s">
        <v>15441</v>
      </c>
      <c r="C1957" t="s">
        <v>15445</v>
      </c>
      <c r="D1957" t="s">
        <v>1955</v>
      </c>
      <c r="E1957" t="s">
        <v>3439</v>
      </c>
      <c r="F1957" t="s">
        <v>3427</v>
      </c>
      <c r="G1957" s="3">
        <v>35.509055574120801</v>
      </c>
      <c r="H1957" s="3">
        <v>128.730484594556</v>
      </c>
      <c r="I1957" t="s">
        <v>5722</v>
      </c>
      <c r="J1957" t="s">
        <v>9080</v>
      </c>
      <c r="K1957" t="s">
        <v>11060</v>
      </c>
      <c r="L1957" t="s">
        <v>3366</v>
      </c>
      <c r="M1957" t="s">
        <v>11892</v>
      </c>
      <c r="N1957" t="s">
        <v>3364</v>
      </c>
      <c r="O1957" t="s">
        <v>15211</v>
      </c>
      <c r="P1957" t="s">
        <v>15211</v>
      </c>
      <c r="Q1957" t="s">
        <v>15211</v>
      </c>
      <c r="R1957" t="s">
        <v>15211</v>
      </c>
      <c r="S1957" t="s">
        <v>15211</v>
      </c>
      <c r="T1957" t="s">
        <v>3364</v>
      </c>
      <c r="U1957" t="s">
        <v>13842</v>
      </c>
      <c r="V1957" t="s">
        <v>15212</v>
      </c>
    </row>
    <row r="1958" spans="1:22" ht="17.399999999999999" hidden="1">
      <c r="A1958" t="s">
        <v>15355</v>
      </c>
      <c r="B1958" t="s">
        <v>15441</v>
      </c>
      <c r="C1958" t="s">
        <v>15446</v>
      </c>
      <c r="D1958" t="s">
        <v>1956</v>
      </c>
      <c r="E1958" t="s">
        <v>3439</v>
      </c>
      <c r="F1958" t="s">
        <v>3428</v>
      </c>
      <c r="G1958" s="3">
        <v>35.509055514861203</v>
      </c>
      <c r="H1958" s="3">
        <v>128.73048457784</v>
      </c>
      <c r="I1958" t="s">
        <v>5723</v>
      </c>
      <c r="J1958" t="s">
        <v>9081</v>
      </c>
      <c r="K1958" t="s">
        <v>11531</v>
      </c>
      <c r="L1958" t="s">
        <v>3379</v>
      </c>
      <c r="M1958" t="s">
        <v>11887</v>
      </c>
      <c r="N1958" t="s">
        <v>3363</v>
      </c>
      <c r="O1958" t="s">
        <v>15211</v>
      </c>
      <c r="P1958" t="s">
        <v>15211</v>
      </c>
      <c r="Q1958" t="s">
        <v>15211</v>
      </c>
      <c r="R1958" t="s">
        <v>15211</v>
      </c>
      <c r="S1958" t="s">
        <v>15211</v>
      </c>
      <c r="T1958" t="s">
        <v>3363</v>
      </c>
      <c r="U1958" t="s">
        <v>13843</v>
      </c>
      <c r="V1958" t="s">
        <v>15213</v>
      </c>
    </row>
    <row r="1959" spans="1:22" ht="17.399999999999999" hidden="1">
      <c r="A1959" t="s">
        <v>15355</v>
      </c>
      <c r="B1959" t="s">
        <v>15441</v>
      </c>
      <c r="C1959" t="s">
        <v>15446</v>
      </c>
      <c r="D1959" t="s">
        <v>1957</v>
      </c>
      <c r="E1959" t="s">
        <v>3439</v>
      </c>
      <c r="F1959" t="s">
        <v>3428</v>
      </c>
      <c r="G1959" s="3">
        <v>35.509055527735597</v>
      </c>
      <c r="H1959" s="3">
        <v>128.73048459308501</v>
      </c>
      <c r="I1959" t="s">
        <v>5724</v>
      </c>
      <c r="J1959" t="s">
        <v>9082</v>
      </c>
      <c r="K1959" t="s">
        <v>11532</v>
      </c>
      <c r="L1959" t="s">
        <v>3366</v>
      </c>
      <c r="M1959" t="s">
        <v>11887</v>
      </c>
      <c r="N1959" t="s">
        <v>3363</v>
      </c>
      <c r="O1959" t="s">
        <v>15211</v>
      </c>
      <c r="P1959" t="s">
        <v>15211</v>
      </c>
      <c r="Q1959" t="s">
        <v>15211</v>
      </c>
      <c r="R1959" t="s">
        <v>15211</v>
      </c>
      <c r="S1959" t="s">
        <v>15211</v>
      </c>
      <c r="T1959" t="s">
        <v>3363</v>
      </c>
      <c r="U1959" t="s">
        <v>13844</v>
      </c>
      <c r="V1959" t="s">
        <v>15213</v>
      </c>
    </row>
    <row r="1960" spans="1:22" ht="17.399999999999999" hidden="1">
      <c r="A1960" t="s">
        <v>15355</v>
      </c>
      <c r="B1960" t="s">
        <v>15441</v>
      </c>
      <c r="C1960" t="s">
        <v>15446</v>
      </c>
      <c r="D1960" t="s">
        <v>1958</v>
      </c>
      <c r="E1960" t="s">
        <v>3439</v>
      </c>
      <c r="F1960" t="s">
        <v>3428</v>
      </c>
      <c r="G1960" s="3">
        <v>35.509055563204598</v>
      </c>
      <c r="H1960" s="3">
        <v>128.73048459790701</v>
      </c>
      <c r="I1960" t="s">
        <v>5725</v>
      </c>
      <c r="J1960" t="s">
        <v>9083</v>
      </c>
      <c r="K1960" t="s">
        <v>11533</v>
      </c>
      <c r="L1960" t="s">
        <v>3366</v>
      </c>
      <c r="M1960" t="s">
        <v>11902</v>
      </c>
      <c r="N1960" t="s">
        <v>3363</v>
      </c>
      <c r="O1960" t="s">
        <v>3358</v>
      </c>
      <c r="P1960" t="s">
        <v>15211</v>
      </c>
      <c r="Q1960" t="s">
        <v>15211</v>
      </c>
      <c r="R1960" t="s">
        <v>15211</v>
      </c>
      <c r="S1960" t="s">
        <v>15211</v>
      </c>
      <c r="T1960" t="s">
        <v>3365</v>
      </c>
      <c r="U1960" t="s">
        <v>13845</v>
      </c>
      <c r="V1960" t="s">
        <v>15213</v>
      </c>
    </row>
    <row r="1961" spans="1:22" ht="17.399999999999999" hidden="1">
      <c r="A1961" t="s">
        <v>15355</v>
      </c>
      <c r="B1961" t="s">
        <v>15441</v>
      </c>
      <c r="C1961" t="s">
        <v>15447</v>
      </c>
      <c r="D1961" t="s">
        <v>1959</v>
      </c>
      <c r="E1961" t="s">
        <v>3439</v>
      </c>
      <c r="F1961" t="s">
        <v>3427</v>
      </c>
      <c r="G1961" s="3">
        <v>35.509055585059798</v>
      </c>
      <c r="H1961" s="3">
        <v>128.730484560664</v>
      </c>
      <c r="I1961" t="s">
        <v>5726</v>
      </c>
      <c r="J1961" t="s">
        <v>9084</v>
      </c>
      <c r="K1961" t="s">
        <v>10537</v>
      </c>
      <c r="L1961" t="s">
        <v>3378</v>
      </c>
      <c r="M1961" t="s">
        <v>11892</v>
      </c>
      <c r="N1961" t="s">
        <v>3364</v>
      </c>
      <c r="O1961" t="s">
        <v>15211</v>
      </c>
      <c r="P1961" t="s">
        <v>15211</v>
      </c>
      <c r="Q1961" t="s">
        <v>15211</v>
      </c>
      <c r="R1961" t="s">
        <v>15211</v>
      </c>
      <c r="S1961" t="s">
        <v>15211</v>
      </c>
      <c r="T1961" t="s">
        <v>3364</v>
      </c>
      <c r="U1961" t="s">
        <v>13840</v>
      </c>
      <c r="V1961" t="s">
        <v>15214</v>
      </c>
    </row>
    <row r="1962" spans="1:22" ht="17.399999999999999" hidden="1">
      <c r="A1962" t="s">
        <v>15355</v>
      </c>
      <c r="B1962" t="s">
        <v>15441</v>
      </c>
      <c r="C1962" t="s">
        <v>15447</v>
      </c>
      <c r="D1962" t="s">
        <v>1960</v>
      </c>
      <c r="E1962" t="s">
        <v>3439</v>
      </c>
      <c r="F1962" t="s">
        <v>3427</v>
      </c>
      <c r="G1962" s="3">
        <v>35.509055575973797</v>
      </c>
      <c r="H1962" s="3">
        <v>128.730484565436</v>
      </c>
      <c r="I1962" t="s">
        <v>5727</v>
      </c>
      <c r="J1962" t="s">
        <v>9085</v>
      </c>
      <c r="K1962" t="s">
        <v>11105</v>
      </c>
      <c r="L1962" t="s">
        <v>3366</v>
      </c>
      <c r="M1962" t="s">
        <v>11892</v>
      </c>
      <c r="N1962" t="s">
        <v>3364</v>
      </c>
      <c r="O1962" t="s">
        <v>15211</v>
      </c>
      <c r="P1962" t="s">
        <v>15211</v>
      </c>
      <c r="Q1962" t="s">
        <v>15211</v>
      </c>
      <c r="R1962" t="s">
        <v>15211</v>
      </c>
      <c r="S1962" t="s">
        <v>15211</v>
      </c>
      <c r="T1962" t="s">
        <v>3364</v>
      </c>
      <c r="U1962" t="s">
        <v>13846</v>
      </c>
      <c r="V1962" t="s">
        <v>15214</v>
      </c>
    </row>
    <row r="1963" spans="1:22" ht="17.399999999999999" hidden="1">
      <c r="A1963" t="s">
        <v>15355</v>
      </c>
      <c r="B1963" t="s">
        <v>15441</v>
      </c>
      <c r="C1963" t="s">
        <v>15447</v>
      </c>
      <c r="D1963" t="s">
        <v>1961</v>
      </c>
      <c r="E1963" t="s">
        <v>3439</v>
      </c>
      <c r="F1963" t="s">
        <v>3427</v>
      </c>
      <c r="G1963" s="3">
        <v>35.509055576102703</v>
      </c>
      <c r="H1963" s="3">
        <v>128.7304845781</v>
      </c>
      <c r="I1963" t="s">
        <v>5728</v>
      </c>
      <c r="J1963" t="s">
        <v>9086</v>
      </c>
      <c r="K1963" t="s">
        <v>10885</v>
      </c>
      <c r="L1963" t="s">
        <v>3366</v>
      </c>
      <c r="M1963" t="s">
        <v>11892</v>
      </c>
      <c r="N1963" t="s">
        <v>3364</v>
      </c>
      <c r="O1963" t="s">
        <v>15211</v>
      </c>
      <c r="P1963" t="s">
        <v>15211</v>
      </c>
      <c r="Q1963" t="s">
        <v>15211</v>
      </c>
      <c r="R1963" t="s">
        <v>15211</v>
      </c>
      <c r="S1963" t="s">
        <v>15211</v>
      </c>
      <c r="T1963" t="s">
        <v>3364</v>
      </c>
      <c r="U1963" t="s">
        <v>13847</v>
      </c>
      <c r="V1963" t="s">
        <v>15214</v>
      </c>
    </row>
    <row r="1964" spans="1:22" ht="17.399999999999999" hidden="1">
      <c r="A1964" t="s">
        <v>15355</v>
      </c>
      <c r="B1964" t="s">
        <v>15441</v>
      </c>
      <c r="C1964" t="s">
        <v>15448</v>
      </c>
      <c r="D1964" t="s">
        <v>1962</v>
      </c>
      <c r="E1964" t="s">
        <v>3434</v>
      </c>
      <c r="F1964" t="s">
        <v>3460</v>
      </c>
      <c r="G1964" s="3">
        <v>35.509055526569</v>
      </c>
      <c r="H1964" s="3">
        <v>128.73048465542399</v>
      </c>
      <c r="I1964" t="s">
        <v>5729</v>
      </c>
      <c r="J1964" t="s">
        <v>9087</v>
      </c>
      <c r="K1964" t="s">
        <v>10875</v>
      </c>
      <c r="L1964" t="s">
        <v>3380</v>
      </c>
      <c r="M1964" t="s">
        <v>11908</v>
      </c>
      <c r="N1964" t="s">
        <v>3364</v>
      </c>
      <c r="O1964" t="s">
        <v>15211</v>
      </c>
      <c r="P1964" t="s">
        <v>3360</v>
      </c>
      <c r="Q1964" t="s">
        <v>3359</v>
      </c>
      <c r="R1964" t="s">
        <v>3357</v>
      </c>
      <c r="S1964" t="s">
        <v>15211</v>
      </c>
      <c r="T1964" t="s">
        <v>3372</v>
      </c>
      <c r="U1964" t="s">
        <v>13848</v>
      </c>
      <c r="V1964" t="s">
        <v>15215</v>
      </c>
    </row>
    <row r="1965" spans="1:22" ht="17.399999999999999" hidden="1">
      <c r="A1965" t="s">
        <v>15355</v>
      </c>
      <c r="B1965" t="s">
        <v>15441</v>
      </c>
      <c r="C1965" t="s">
        <v>15448</v>
      </c>
      <c r="D1965" t="s">
        <v>1963</v>
      </c>
      <c r="E1965" t="s">
        <v>3435</v>
      </c>
      <c r="F1965" t="s">
        <v>3511</v>
      </c>
      <c r="G1965" s="3">
        <v>35.509055519747399</v>
      </c>
      <c r="H1965" s="3">
        <v>128.73048469515101</v>
      </c>
      <c r="I1965" t="s">
        <v>5730</v>
      </c>
      <c r="J1965" t="s">
        <v>9088</v>
      </c>
      <c r="K1965" t="s">
        <v>11534</v>
      </c>
      <c r="L1965" t="s">
        <v>3366</v>
      </c>
      <c r="M1965" t="s">
        <v>11888</v>
      </c>
      <c r="N1965" t="s">
        <v>3364</v>
      </c>
      <c r="O1965" t="s">
        <v>3357</v>
      </c>
      <c r="P1965" t="s">
        <v>3362</v>
      </c>
      <c r="Q1965" t="s">
        <v>3361</v>
      </c>
      <c r="R1965" t="s">
        <v>3358</v>
      </c>
      <c r="S1965" t="s">
        <v>15211</v>
      </c>
      <c r="T1965" t="s">
        <v>3378</v>
      </c>
      <c r="U1965" t="s">
        <v>13849</v>
      </c>
      <c r="V1965" t="s">
        <v>15215</v>
      </c>
    </row>
    <row r="1966" spans="1:22" ht="17.399999999999999" hidden="1">
      <c r="A1966" t="s">
        <v>15355</v>
      </c>
      <c r="B1966" t="s">
        <v>15441</v>
      </c>
      <c r="C1966" t="s">
        <v>15448</v>
      </c>
      <c r="D1966" t="s">
        <v>1964</v>
      </c>
      <c r="E1966" t="s">
        <v>3435</v>
      </c>
      <c r="F1966" t="s">
        <v>3511</v>
      </c>
      <c r="G1966" s="3">
        <v>35.509055516807898</v>
      </c>
      <c r="H1966" s="3">
        <v>128.730484650634</v>
      </c>
      <c r="I1966" t="s">
        <v>5731</v>
      </c>
      <c r="J1966" t="s">
        <v>9089</v>
      </c>
      <c r="K1966" t="s">
        <v>10609</v>
      </c>
      <c r="L1966" t="s">
        <v>3366</v>
      </c>
      <c r="M1966" t="s">
        <v>11896</v>
      </c>
      <c r="N1966" t="s">
        <v>3364</v>
      </c>
      <c r="O1966" t="s">
        <v>3359</v>
      </c>
      <c r="P1966" t="s">
        <v>3362</v>
      </c>
      <c r="Q1966" t="s">
        <v>3361</v>
      </c>
      <c r="R1966" t="s">
        <v>3358</v>
      </c>
      <c r="S1966" t="s">
        <v>15211</v>
      </c>
      <c r="T1966" t="s">
        <v>3380</v>
      </c>
      <c r="U1966" t="s">
        <v>13850</v>
      </c>
      <c r="V1966" t="s">
        <v>15215</v>
      </c>
    </row>
    <row r="1967" spans="1:22" ht="17.399999999999999" hidden="1">
      <c r="A1967" t="s">
        <v>15355</v>
      </c>
      <c r="B1967" t="s">
        <v>15441</v>
      </c>
      <c r="C1967" t="s">
        <v>15449</v>
      </c>
      <c r="D1967" t="s">
        <v>1965</v>
      </c>
      <c r="E1967" t="s">
        <v>3427</v>
      </c>
      <c r="F1967" t="s">
        <v>3429</v>
      </c>
      <c r="G1967" s="3">
        <v>35.509055565306902</v>
      </c>
      <c r="H1967" s="3">
        <v>128.73048464424099</v>
      </c>
      <c r="I1967" t="s">
        <v>5732</v>
      </c>
      <c r="J1967" t="s">
        <v>9090</v>
      </c>
      <c r="K1967" t="s">
        <v>3634</v>
      </c>
      <c r="L1967" t="s">
        <v>3376</v>
      </c>
      <c r="M1967" t="s">
        <v>11889</v>
      </c>
      <c r="N1967" t="s">
        <v>3363</v>
      </c>
      <c r="O1967" t="s">
        <v>15211</v>
      </c>
      <c r="P1967" t="s">
        <v>3362</v>
      </c>
      <c r="Q1967" t="s">
        <v>3361</v>
      </c>
      <c r="R1967" t="s">
        <v>3357</v>
      </c>
      <c r="S1967" t="s">
        <v>15211</v>
      </c>
      <c r="T1967" t="s">
        <v>3375</v>
      </c>
      <c r="U1967" t="s">
        <v>13851</v>
      </c>
      <c r="V1967" t="s">
        <v>15216</v>
      </c>
    </row>
    <row r="1968" spans="1:22" ht="17.399999999999999" hidden="1">
      <c r="A1968" t="s">
        <v>15355</v>
      </c>
      <c r="B1968" t="s">
        <v>15441</v>
      </c>
      <c r="C1968" t="s">
        <v>15449</v>
      </c>
      <c r="D1968" t="s">
        <v>1966</v>
      </c>
      <c r="E1968" t="s">
        <v>3428</v>
      </c>
      <c r="F1968" t="s">
        <v>3442</v>
      </c>
      <c r="G1968" s="3">
        <v>35.509055582438002</v>
      </c>
      <c r="H1968" s="3">
        <v>128.73048465945499</v>
      </c>
      <c r="I1968" t="s">
        <v>5733</v>
      </c>
      <c r="J1968" t="s">
        <v>9091</v>
      </c>
      <c r="K1968" t="s">
        <v>11131</v>
      </c>
      <c r="L1968" t="s">
        <v>3366</v>
      </c>
      <c r="M1968" t="s">
        <v>11889</v>
      </c>
      <c r="N1968" t="s">
        <v>3364</v>
      </c>
      <c r="O1968" t="s">
        <v>15211</v>
      </c>
      <c r="P1968" t="s">
        <v>3362</v>
      </c>
      <c r="Q1968" t="s">
        <v>3361</v>
      </c>
      <c r="R1968" t="s">
        <v>3358</v>
      </c>
      <c r="S1968" t="s">
        <v>15211</v>
      </c>
      <c r="T1968" t="s">
        <v>3377</v>
      </c>
      <c r="U1968" t="s">
        <v>13852</v>
      </c>
      <c r="V1968" t="s">
        <v>15216</v>
      </c>
    </row>
    <row r="1969" spans="1:22" ht="17.399999999999999" hidden="1">
      <c r="A1969" t="s">
        <v>15355</v>
      </c>
      <c r="B1969" t="s">
        <v>15441</v>
      </c>
      <c r="C1969" t="s">
        <v>15449</v>
      </c>
      <c r="D1969" t="s">
        <v>1967</v>
      </c>
      <c r="E1969" t="s">
        <v>3436</v>
      </c>
      <c r="F1969" t="s">
        <v>3453</v>
      </c>
      <c r="G1969" s="3">
        <v>35.509055590423301</v>
      </c>
      <c r="H1969" s="3">
        <v>128.73048468684701</v>
      </c>
      <c r="I1969" t="s">
        <v>5734</v>
      </c>
      <c r="J1969" t="s">
        <v>9092</v>
      </c>
      <c r="K1969" t="s">
        <v>10790</v>
      </c>
      <c r="L1969" t="s">
        <v>3366</v>
      </c>
      <c r="M1969" t="s">
        <v>11889</v>
      </c>
      <c r="N1969" t="s">
        <v>3364</v>
      </c>
      <c r="O1969" t="s">
        <v>15211</v>
      </c>
      <c r="P1969" t="s">
        <v>3362</v>
      </c>
      <c r="Q1969" t="s">
        <v>3361</v>
      </c>
      <c r="R1969" t="s">
        <v>3358</v>
      </c>
      <c r="S1969" t="s">
        <v>15211</v>
      </c>
      <c r="T1969" t="s">
        <v>3377</v>
      </c>
      <c r="U1969" t="s">
        <v>13853</v>
      </c>
      <c r="V1969" t="s">
        <v>15216</v>
      </c>
    </row>
    <row r="1970" spans="1:22" ht="17.399999999999999" hidden="1">
      <c r="A1970" t="s">
        <v>15355</v>
      </c>
      <c r="B1970" t="s">
        <v>15442</v>
      </c>
      <c r="C1970" t="s">
        <v>15450</v>
      </c>
      <c r="D1970" t="s">
        <v>1968</v>
      </c>
      <c r="E1970" t="s">
        <v>3427</v>
      </c>
      <c r="F1970" t="s">
        <v>3442</v>
      </c>
      <c r="G1970" s="3">
        <v>35.509055550317498</v>
      </c>
      <c r="H1970" s="3">
        <v>128.73048462452201</v>
      </c>
      <c r="I1970" t="s">
        <v>5735</v>
      </c>
      <c r="J1970" t="s">
        <v>9093</v>
      </c>
      <c r="K1970" t="s">
        <v>11108</v>
      </c>
      <c r="L1970" t="s">
        <v>3373</v>
      </c>
      <c r="M1970" t="s">
        <v>11886</v>
      </c>
      <c r="N1970" t="s">
        <v>3363</v>
      </c>
      <c r="O1970" t="s">
        <v>3359</v>
      </c>
      <c r="P1970" t="s">
        <v>3357</v>
      </c>
      <c r="Q1970" t="s">
        <v>3358</v>
      </c>
      <c r="R1970" t="s">
        <v>15211</v>
      </c>
      <c r="S1970" t="s">
        <v>15211</v>
      </c>
      <c r="T1970" t="s">
        <v>3369</v>
      </c>
      <c r="U1970" t="s">
        <v>13854</v>
      </c>
      <c r="V1970" t="s">
        <v>15217</v>
      </c>
    </row>
    <row r="1971" spans="1:22" ht="17.399999999999999" hidden="1">
      <c r="A1971" t="s">
        <v>15355</v>
      </c>
      <c r="B1971" t="s">
        <v>15442</v>
      </c>
      <c r="C1971" t="s">
        <v>15450</v>
      </c>
      <c r="D1971" t="s">
        <v>1969</v>
      </c>
      <c r="E1971" t="s">
        <v>3427</v>
      </c>
      <c r="F1971" t="s">
        <v>3430</v>
      </c>
      <c r="G1971" s="3">
        <v>35.509055590463198</v>
      </c>
      <c r="H1971" s="3">
        <v>128.730484647737</v>
      </c>
      <c r="I1971" t="s">
        <v>5736</v>
      </c>
      <c r="J1971" t="s">
        <v>9094</v>
      </c>
      <c r="K1971" t="s">
        <v>11535</v>
      </c>
      <c r="L1971" t="s">
        <v>3366</v>
      </c>
      <c r="M1971" t="s">
        <v>11886</v>
      </c>
      <c r="N1971" t="s">
        <v>3364</v>
      </c>
      <c r="O1971" t="s">
        <v>3360</v>
      </c>
      <c r="P1971" t="s">
        <v>15211</v>
      </c>
      <c r="Q1971" t="s">
        <v>15211</v>
      </c>
      <c r="R1971" t="s">
        <v>15211</v>
      </c>
      <c r="S1971" t="s">
        <v>15211</v>
      </c>
      <c r="T1971" t="s">
        <v>3368</v>
      </c>
      <c r="U1971" t="s">
        <v>13855</v>
      </c>
      <c r="V1971" t="s">
        <v>15217</v>
      </c>
    </row>
    <row r="1972" spans="1:22" ht="17.399999999999999" hidden="1">
      <c r="A1972" t="s">
        <v>15355</v>
      </c>
      <c r="B1972" t="s">
        <v>15442</v>
      </c>
      <c r="C1972" t="s">
        <v>15450</v>
      </c>
      <c r="D1972" t="s">
        <v>1970</v>
      </c>
      <c r="E1972" t="s">
        <v>3427</v>
      </c>
      <c r="F1972" t="s">
        <v>3442</v>
      </c>
      <c r="G1972" s="3">
        <v>35.509055594864698</v>
      </c>
      <c r="H1972" s="3">
        <v>128.730484671537</v>
      </c>
      <c r="I1972" t="s">
        <v>5737</v>
      </c>
      <c r="J1972" t="s">
        <v>9095</v>
      </c>
      <c r="K1972" t="s">
        <v>11536</v>
      </c>
      <c r="L1972" t="s">
        <v>3366</v>
      </c>
      <c r="M1972" t="s">
        <v>11886</v>
      </c>
      <c r="N1972" t="s">
        <v>3364</v>
      </c>
      <c r="O1972" t="s">
        <v>3360</v>
      </c>
      <c r="P1972" t="s">
        <v>15211</v>
      </c>
      <c r="Q1972" t="s">
        <v>15211</v>
      </c>
      <c r="R1972" t="s">
        <v>15211</v>
      </c>
      <c r="S1972" t="s">
        <v>15211</v>
      </c>
      <c r="T1972" t="s">
        <v>3368</v>
      </c>
      <c r="U1972" t="s">
        <v>13856</v>
      </c>
      <c r="V1972" t="s">
        <v>15217</v>
      </c>
    </row>
    <row r="1973" spans="1:22" ht="17.399999999999999" hidden="1">
      <c r="A1973" t="s">
        <v>15355</v>
      </c>
      <c r="B1973" t="s">
        <v>15442</v>
      </c>
      <c r="C1973" t="s">
        <v>15445</v>
      </c>
      <c r="D1973" t="s">
        <v>1971</v>
      </c>
      <c r="E1973" t="s">
        <v>3439</v>
      </c>
      <c r="F1973" t="s">
        <v>3428</v>
      </c>
      <c r="G1973" s="3">
        <v>35.509055551711199</v>
      </c>
      <c r="H1973" s="3">
        <v>128.730484609386</v>
      </c>
      <c r="I1973" t="s">
        <v>5738</v>
      </c>
      <c r="J1973" t="s">
        <v>6858</v>
      </c>
      <c r="K1973" t="s">
        <v>11537</v>
      </c>
      <c r="L1973" t="s">
        <v>3380</v>
      </c>
      <c r="M1973" t="s">
        <v>11886</v>
      </c>
      <c r="N1973" t="s">
        <v>3363</v>
      </c>
      <c r="O1973" t="s">
        <v>3359</v>
      </c>
      <c r="P1973" t="s">
        <v>15211</v>
      </c>
      <c r="Q1973" t="s">
        <v>15211</v>
      </c>
      <c r="R1973" t="s">
        <v>15211</v>
      </c>
      <c r="S1973" t="s">
        <v>15211</v>
      </c>
      <c r="T1973" t="s">
        <v>3366</v>
      </c>
      <c r="U1973" t="s">
        <v>13857</v>
      </c>
      <c r="V1973" t="s">
        <v>15218</v>
      </c>
    </row>
    <row r="1974" spans="1:22" ht="17.399999999999999" hidden="1">
      <c r="A1974" t="s">
        <v>15355</v>
      </c>
      <c r="B1974" t="s">
        <v>15442</v>
      </c>
      <c r="C1974" t="s">
        <v>15445</v>
      </c>
      <c r="D1974" t="s">
        <v>1972</v>
      </c>
      <c r="E1974" t="s">
        <v>3439</v>
      </c>
      <c r="F1974" t="s">
        <v>3436</v>
      </c>
      <c r="G1974" s="3">
        <v>35.509055564602797</v>
      </c>
      <c r="H1974" s="3">
        <v>128.730484620217</v>
      </c>
      <c r="I1974" t="s">
        <v>5739</v>
      </c>
      <c r="J1974" t="s">
        <v>6859</v>
      </c>
      <c r="K1974" t="s">
        <v>11354</v>
      </c>
      <c r="L1974" t="s">
        <v>3366</v>
      </c>
      <c r="M1974" t="s">
        <v>11886</v>
      </c>
      <c r="N1974" t="s">
        <v>3364</v>
      </c>
      <c r="O1974" t="s">
        <v>3359</v>
      </c>
      <c r="P1974" t="s">
        <v>15211</v>
      </c>
      <c r="Q1974" t="s">
        <v>15211</v>
      </c>
      <c r="R1974" t="s">
        <v>15211</v>
      </c>
      <c r="S1974" t="s">
        <v>15211</v>
      </c>
      <c r="T1974" t="s">
        <v>3367</v>
      </c>
      <c r="U1974" t="s">
        <v>13858</v>
      </c>
      <c r="V1974" t="s">
        <v>15218</v>
      </c>
    </row>
    <row r="1975" spans="1:22" ht="17.399999999999999" hidden="1">
      <c r="A1975" t="s">
        <v>15355</v>
      </c>
      <c r="B1975" t="s">
        <v>15442</v>
      </c>
      <c r="C1975" t="s">
        <v>15445</v>
      </c>
      <c r="D1975" t="s">
        <v>1973</v>
      </c>
      <c r="E1975" t="s">
        <v>3439</v>
      </c>
      <c r="F1975" t="s">
        <v>3436</v>
      </c>
      <c r="G1975" s="3">
        <v>35.509055591478898</v>
      </c>
      <c r="H1975" s="3">
        <v>128.73048461633701</v>
      </c>
      <c r="I1975" t="s">
        <v>5740</v>
      </c>
      <c r="J1975" t="s">
        <v>9096</v>
      </c>
      <c r="K1975" t="s">
        <v>11480</v>
      </c>
      <c r="L1975" t="s">
        <v>3366</v>
      </c>
      <c r="M1975" t="s">
        <v>11885</v>
      </c>
      <c r="N1975" t="s">
        <v>3364</v>
      </c>
      <c r="O1975" t="s">
        <v>3359</v>
      </c>
      <c r="P1975" t="s">
        <v>15211</v>
      </c>
      <c r="Q1975" t="s">
        <v>15211</v>
      </c>
      <c r="R1975" t="s">
        <v>15211</v>
      </c>
      <c r="S1975" t="s">
        <v>15211</v>
      </c>
      <c r="T1975" t="s">
        <v>3367</v>
      </c>
      <c r="U1975" t="s">
        <v>13859</v>
      </c>
      <c r="V1975" t="s">
        <v>15218</v>
      </c>
    </row>
    <row r="1976" spans="1:22" ht="17.399999999999999" hidden="1">
      <c r="A1976" t="s">
        <v>15355</v>
      </c>
      <c r="B1976" t="s">
        <v>15442</v>
      </c>
      <c r="C1976" t="s">
        <v>15451</v>
      </c>
      <c r="D1976" t="s">
        <v>1974</v>
      </c>
      <c r="E1976" t="s">
        <v>3457</v>
      </c>
      <c r="F1976" t="s">
        <v>3440</v>
      </c>
      <c r="G1976" s="3">
        <v>35.509055579079501</v>
      </c>
      <c r="H1976" s="3">
        <v>128.73048458630601</v>
      </c>
      <c r="I1976" t="s">
        <v>5741</v>
      </c>
      <c r="J1976" t="s">
        <v>9097</v>
      </c>
      <c r="K1976" t="s">
        <v>11519</v>
      </c>
      <c r="L1976" t="s">
        <v>3383</v>
      </c>
      <c r="M1976" t="s">
        <v>11888</v>
      </c>
      <c r="N1976" t="s">
        <v>3363</v>
      </c>
      <c r="O1976" t="s">
        <v>3359</v>
      </c>
      <c r="P1976" t="s">
        <v>3361</v>
      </c>
      <c r="Q1976" t="s">
        <v>3360</v>
      </c>
      <c r="R1976" t="s">
        <v>15211</v>
      </c>
      <c r="S1976" t="s">
        <v>15211</v>
      </c>
      <c r="T1976" t="s">
        <v>3375</v>
      </c>
      <c r="U1976" t="s">
        <v>13860</v>
      </c>
      <c r="V1976" t="s">
        <v>15219</v>
      </c>
    </row>
    <row r="1977" spans="1:22" ht="17.399999999999999" hidden="1">
      <c r="A1977" t="s">
        <v>15355</v>
      </c>
      <c r="B1977" t="s">
        <v>15442</v>
      </c>
      <c r="C1977" t="s">
        <v>15451</v>
      </c>
      <c r="D1977" t="s">
        <v>1975</v>
      </c>
      <c r="E1977" t="s">
        <v>3457</v>
      </c>
      <c r="F1977" t="s">
        <v>3438</v>
      </c>
      <c r="G1977" s="3">
        <v>35.509055562537398</v>
      </c>
      <c r="H1977" s="3">
        <v>128.73048457595499</v>
      </c>
      <c r="I1977" t="s">
        <v>5742</v>
      </c>
      <c r="J1977" t="s">
        <v>9098</v>
      </c>
      <c r="K1977" t="s">
        <v>10925</v>
      </c>
      <c r="L1977" t="s">
        <v>3366</v>
      </c>
      <c r="M1977" t="s">
        <v>11888</v>
      </c>
      <c r="N1977" t="s">
        <v>3364</v>
      </c>
      <c r="O1977" t="s">
        <v>3359</v>
      </c>
      <c r="P1977" t="s">
        <v>3362</v>
      </c>
      <c r="Q1977" t="s">
        <v>3360</v>
      </c>
      <c r="R1977" t="s">
        <v>15211</v>
      </c>
      <c r="S1977" t="s">
        <v>15211</v>
      </c>
      <c r="T1977" t="s">
        <v>3377</v>
      </c>
      <c r="U1977" t="s">
        <v>13861</v>
      </c>
      <c r="V1977" t="s">
        <v>15219</v>
      </c>
    </row>
    <row r="1978" spans="1:22" ht="17.399999999999999" hidden="1">
      <c r="A1978" t="s">
        <v>15355</v>
      </c>
      <c r="B1978" t="s">
        <v>15442</v>
      </c>
      <c r="C1978" t="s">
        <v>15451</v>
      </c>
      <c r="D1978" t="s">
        <v>1976</v>
      </c>
      <c r="E1978" t="s">
        <v>3443</v>
      </c>
      <c r="F1978" t="s">
        <v>3427</v>
      </c>
      <c r="G1978" s="3">
        <v>35.509055558914703</v>
      </c>
      <c r="H1978" s="3">
        <v>128.73048457946999</v>
      </c>
      <c r="I1978" t="s">
        <v>5743</v>
      </c>
      <c r="J1978" t="s">
        <v>9099</v>
      </c>
      <c r="K1978" t="s">
        <v>11538</v>
      </c>
      <c r="L1978" t="s">
        <v>3366</v>
      </c>
      <c r="M1978" t="s">
        <v>11888</v>
      </c>
      <c r="N1978" t="s">
        <v>3364</v>
      </c>
      <c r="O1978" t="s">
        <v>3360</v>
      </c>
      <c r="P1978" t="s">
        <v>3362</v>
      </c>
      <c r="Q1978" t="s">
        <v>3360</v>
      </c>
      <c r="R1978" t="s">
        <v>15211</v>
      </c>
      <c r="S1978" t="s">
        <v>15211</v>
      </c>
      <c r="T1978" t="s">
        <v>3378</v>
      </c>
      <c r="U1978" t="s">
        <v>13862</v>
      </c>
      <c r="V1978" t="s">
        <v>15219</v>
      </c>
    </row>
    <row r="1979" spans="1:22" ht="17.399999999999999">
      <c r="A1979" t="s">
        <v>15355</v>
      </c>
      <c r="B1979" t="s">
        <v>15443</v>
      </c>
      <c r="C1979" t="s">
        <v>15452</v>
      </c>
      <c r="D1979" t="s">
        <v>1977</v>
      </c>
      <c r="E1979" t="s">
        <v>3436</v>
      </c>
      <c r="F1979" t="s">
        <v>3461</v>
      </c>
      <c r="G1979" s="3">
        <v>35.509055525250702</v>
      </c>
      <c r="H1979" s="3">
        <v>128.730484611371</v>
      </c>
      <c r="I1979" t="s">
        <v>5744</v>
      </c>
      <c r="J1979" t="s">
        <v>9100</v>
      </c>
      <c r="K1979" t="s">
        <v>10856</v>
      </c>
      <c r="L1979" t="s">
        <v>3376</v>
      </c>
      <c r="M1979" t="s">
        <v>11902</v>
      </c>
      <c r="N1979" t="s">
        <v>3361</v>
      </c>
      <c r="O1979" t="s">
        <v>15211</v>
      </c>
      <c r="P1979" t="s">
        <v>3361</v>
      </c>
      <c r="Q1979" t="s">
        <v>15211</v>
      </c>
      <c r="R1979" t="s">
        <v>15211</v>
      </c>
      <c r="S1979" t="s">
        <v>15211</v>
      </c>
      <c r="T1979" t="s">
        <v>3366</v>
      </c>
      <c r="U1979" t="s">
        <v>13863</v>
      </c>
      <c r="V1979" t="s">
        <v>15220</v>
      </c>
    </row>
    <row r="1980" spans="1:22" ht="17.399999999999999">
      <c r="A1980" t="s">
        <v>15355</v>
      </c>
      <c r="B1980" t="s">
        <v>15443</v>
      </c>
      <c r="C1980" t="s">
        <v>15452</v>
      </c>
      <c r="D1980" t="s">
        <v>1978</v>
      </c>
      <c r="E1980" t="s">
        <v>3425</v>
      </c>
      <c r="F1980" t="s">
        <v>3426</v>
      </c>
      <c r="G1980" s="3">
        <v>35.509055534058902</v>
      </c>
      <c r="H1980" s="3">
        <v>128.730484616052</v>
      </c>
      <c r="I1980" t="s">
        <v>5745</v>
      </c>
      <c r="J1980" t="s">
        <v>9101</v>
      </c>
      <c r="K1980" t="s">
        <v>11054</v>
      </c>
      <c r="L1980" t="s">
        <v>3366</v>
      </c>
      <c r="M1980" t="s">
        <v>11902</v>
      </c>
      <c r="N1980" t="s">
        <v>3362</v>
      </c>
      <c r="O1980" t="s">
        <v>15211</v>
      </c>
      <c r="P1980" t="s">
        <v>3361</v>
      </c>
      <c r="Q1980" t="s">
        <v>15211</v>
      </c>
      <c r="R1980" t="s">
        <v>15211</v>
      </c>
      <c r="S1980" t="s">
        <v>15211</v>
      </c>
      <c r="T1980" t="s">
        <v>3367</v>
      </c>
      <c r="U1980" t="s">
        <v>13864</v>
      </c>
      <c r="V1980" t="s">
        <v>15220</v>
      </c>
    </row>
    <row r="1981" spans="1:22" ht="17.399999999999999">
      <c r="A1981" t="s">
        <v>15355</v>
      </c>
      <c r="B1981" t="s">
        <v>15443</v>
      </c>
      <c r="C1981" t="s">
        <v>15452</v>
      </c>
      <c r="D1981" t="s">
        <v>1979</v>
      </c>
      <c r="E1981" t="s">
        <v>3435</v>
      </c>
      <c r="F1981" t="s">
        <v>3478</v>
      </c>
      <c r="G1981" s="3">
        <v>35.509055541807697</v>
      </c>
      <c r="H1981" s="3">
        <v>128.73048461010799</v>
      </c>
      <c r="I1981" t="s">
        <v>5746</v>
      </c>
      <c r="J1981" t="s">
        <v>9102</v>
      </c>
      <c r="K1981" t="s">
        <v>11539</v>
      </c>
      <c r="L1981" t="s">
        <v>3366</v>
      </c>
      <c r="M1981" t="s">
        <v>11902</v>
      </c>
      <c r="N1981" t="s">
        <v>3361</v>
      </c>
      <c r="O1981" t="s">
        <v>15211</v>
      </c>
      <c r="P1981" t="s">
        <v>3361</v>
      </c>
      <c r="Q1981" t="s">
        <v>15211</v>
      </c>
      <c r="R1981" t="s">
        <v>15211</v>
      </c>
      <c r="S1981" t="s">
        <v>15211</v>
      </c>
      <c r="T1981" t="s">
        <v>3366</v>
      </c>
      <c r="U1981" t="s">
        <v>13865</v>
      </c>
      <c r="V1981" t="s">
        <v>15220</v>
      </c>
    </row>
    <row r="1982" spans="1:22" ht="17.399999999999999" hidden="1">
      <c r="A1982" t="s">
        <v>15355</v>
      </c>
      <c r="B1982" t="s">
        <v>15443</v>
      </c>
      <c r="C1982" t="s">
        <v>15483</v>
      </c>
      <c r="D1982" t="s">
        <v>1980</v>
      </c>
      <c r="E1982" t="s">
        <v>3441</v>
      </c>
      <c r="F1982" t="s">
        <v>3611</v>
      </c>
      <c r="G1982" s="3">
        <v>35.509055500951099</v>
      </c>
      <c r="H1982" s="3">
        <v>128.730484608578</v>
      </c>
      <c r="I1982" t="s">
        <v>5747</v>
      </c>
      <c r="J1982" t="s">
        <v>9103</v>
      </c>
      <c r="K1982" t="s">
        <v>11540</v>
      </c>
      <c r="L1982" t="s">
        <v>3384</v>
      </c>
      <c r="M1982" t="s">
        <v>11886</v>
      </c>
      <c r="N1982" t="s">
        <v>3362</v>
      </c>
      <c r="O1982" t="s">
        <v>15211</v>
      </c>
      <c r="P1982" t="s">
        <v>3361</v>
      </c>
      <c r="Q1982" t="s">
        <v>15211</v>
      </c>
      <c r="R1982" t="s">
        <v>15211</v>
      </c>
      <c r="S1982" t="s">
        <v>15211</v>
      </c>
      <c r="T1982" t="s">
        <v>3367</v>
      </c>
      <c r="U1982" t="s">
        <v>13866</v>
      </c>
      <c r="V1982" t="s">
        <v>15266</v>
      </c>
    </row>
    <row r="1983" spans="1:22" ht="17.399999999999999" hidden="1">
      <c r="A1983" t="s">
        <v>15355</v>
      </c>
      <c r="B1983" t="s">
        <v>15443</v>
      </c>
      <c r="C1983" t="s">
        <v>15483</v>
      </c>
      <c r="D1983" t="s">
        <v>1981</v>
      </c>
      <c r="E1983" t="s">
        <v>3453</v>
      </c>
      <c r="F1983" t="s">
        <v>3564</v>
      </c>
      <c r="G1983" s="3">
        <v>35.509055479304003</v>
      </c>
      <c r="H1983" s="3">
        <v>128.7304846051</v>
      </c>
      <c r="I1983" t="s">
        <v>5748</v>
      </c>
      <c r="J1983" t="s">
        <v>9104</v>
      </c>
      <c r="K1983" t="s">
        <v>10851</v>
      </c>
      <c r="L1983" t="s">
        <v>3366</v>
      </c>
      <c r="M1983" t="s">
        <v>11885</v>
      </c>
      <c r="N1983" t="s">
        <v>3363</v>
      </c>
      <c r="O1983" t="s">
        <v>15211</v>
      </c>
      <c r="P1983" t="s">
        <v>3361</v>
      </c>
      <c r="Q1983" t="s">
        <v>15211</v>
      </c>
      <c r="R1983" t="s">
        <v>15211</v>
      </c>
      <c r="S1983" t="s">
        <v>15211</v>
      </c>
      <c r="T1983" t="s">
        <v>3368</v>
      </c>
      <c r="U1983" t="s">
        <v>13867</v>
      </c>
      <c r="V1983" t="s">
        <v>15266</v>
      </c>
    </row>
    <row r="1984" spans="1:22" ht="17.399999999999999" hidden="1">
      <c r="A1984" t="s">
        <v>15355</v>
      </c>
      <c r="B1984" t="s">
        <v>15443</v>
      </c>
      <c r="C1984" t="s">
        <v>15483</v>
      </c>
      <c r="D1984" t="s">
        <v>1982</v>
      </c>
      <c r="E1984" t="s">
        <v>3433</v>
      </c>
      <c r="F1984" t="s">
        <v>3563</v>
      </c>
      <c r="G1984" s="3">
        <v>35.509055467553402</v>
      </c>
      <c r="H1984" s="3">
        <v>128.73048457744801</v>
      </c>
      <c r="I1984" t="s">
        <v>5749</v>
      </c>
      <c r="J1984" t="s">
        <v>9105</v>
      </c>
      <c r="K1984" t="s">
        <v>11525</v>
      </c>
      <c r="L1984" t="s">
        <v>3366</v>
      </c>
      <c r="M1984" t="s">
        <v>11890</v>
      </c>
      <c r="N1984" t="s">
        <v>3363</v>
      </c>
      <c r="O1984" t="s">
        <v>15211</v>
      </c>
      <c r="P1984" t="s">
        <v>3362</v>
      </c>
      <c r="Q1984" t="s">
        <v>15211</v>
      </c>
      <c r="R1984" t="s">
        <v>15211</v>
      </c>
      <c r="S1984" t="s">
        <v>15211</v>
      </c>
      <c r="T1984" t="s">
        <v>3369</v>
      </c>
      <c r="U1984" t="s">
        <v>13852</v>
      </c>
      <c r="V1984" t="s">
        <v>15266</v>
      </c>
    </row>
    <row r="1985" spans="1:22" ht="17.399999999999999" hidden="1">
      <c r="A1985" t="s">
        <v>15356</v>
      </c>
      <c r="B1985" t="s">
        <v>15441</v>
      </c>
      <c r="C1985" t="s">
        <v>15445</v>
      </c>
      <c r="D1985" t="s">
        <v>1983</v>
      </c>
      <c r="E1985" t="s">
        <v>3440</v>
      </c>
      <c r="F1985" t="s">
        <v>3435</v>
      </c>
      <c r="G1985" s="3">
        <v>35.5175079090534</v>
      </c>
      <c r="H1985" s="3">
        <v>128.649103157903</v>
      </c>
      <c r="I1985" t="s">
        <v>5750</v>
      </c>
      <c r="J1985" t="s">
        <v>9106</v>
      </c>
      <c r="K1985" t="s">
        <v>11297</v>
      </c>
      <c r="L1985" t="s">
        <v>3373</v>
      </c>
      <c r="M1985" t="s">
        <v>11886</v>
      </c>
      <c r="N1985" t="s">
        <v>3364</v>
      </c>
      <c r="O1985" t="s">
        <v>3358</v>
      </c>
      <c r="P1985" t="s">
        <v>15211</v>
      </c>
      <c r="Q1985" t="s">
        <v>15211</v>
      </c>
      <c r="R1985" t="s">
        <v>15211</v>
      </c>
      <c r="S1985" t="s">
        <v>15211</v>
      </c>
      <c r="T1985" t="s">
        <v>3366</v>
      </c>
      <c r="U1985" t="s">
        <v>13868</v>
      </c>
      <c r="V1985" t="s">
        <v>15212</v>
      </c>
    </row>
    <row r="1986" spans="1:22" ht="17.399999999999999" hidden="1">
      <c r="A1986" t="s">
        <v>15356</v>
      </c>
      <c r="B1986" t="s">
        <v>15441</v>
      </c>
      <c r="C1986" t="s">
        <v>15445</v>
      </c>
      <c r="D1986" t="s">
        <v>1984</v>
      </c>
      <c r="E1986" t="s">
        <v>3440</v>
      </c>
      <c r="F1986" t="s">
        <v>3434</v>
      </c>
      <c r="G1986" s="3">
        <v>35.517507924195499</v>
      </c>
      <c r="H1986" s="3">
        <v>128.649103151845</v>
      </c>
      <c r="I1986" t="s">
        <v>5751</v>
      </c>
      <c r="J1986" t="s">
        <v>9107</v>
      </c>
      <c r="K1986" t="s">
        <v>11334</v>
      </c>
      <c r="L1986" t="s">
        <v>3366</v>
      </c>
      <c r="M1986" t="s">
        <v>11885</v>
      </c>
      <c r="N1986" t="s">
        <v>3365</v>
      </c>
      <c r="O1986" t="s">
        <v>3359</v>
      </c>
      <c r="P1986" t="s">
        <v>15211</v>
      </c>
      <c r="Q1986" t="s">
        <v>15211</v>
      </c>
      <c r="R1986" t="s">
        <v>15211</v>
      </c>
      <c r="S1986" t="s">
        <v>15211</v>
      </c>
      <c r="T1986" t="s">
        <v>3368</v>
      </c>
      <c r="U1986" t="s">
        <v>13869</v>
      </c>
      <c r="V1986" t="s">
        <v>15212</v>
      </c>
    </row>
    <row r="1987" spans="1:22" ht="17.399999999999999" hidden="1">
      <c r="A1987" t="s">
        <v>15356</v>
      </c>
      <c r="B1987" t="s">
        <v>15441</v>
      </c>
      <c r="C1987" t="s">
        <v>15445</v>
      </c>
      <c r="D1987" t="s">
        <v>1985</v>
      </c>
      <c r="E1987" t="s">
        <v>3440</v>
      </c>
      <c r="F1987" t="s">
        <v>3435</v>
      </c>
      <c r="G1987" s="3">
        <v>35.517507938224099</v>
      </c>
      <c r="H1987" s="3">
        <v>128.649103089439</v>
      </c>
      <c r="I1987" t="s">
        <v>5752</v>
      </c>
      <c r="J1987" t="s">
        <v>9108</v>
      </c>
      <c r="K1987" t="s">
        <v>10578</v>
      </c>
      <c r="L1987" t="s">
        <v>3366</v>
      </c>
      <c r="M1987" t="s">
        <v>11886</v>
      </c>
      <c r="N1987" t="s">
        <v>3365</v>
      </c>
      <c r="O1987" t="s">
        <v>3359</v>
      </c>
      <c r="P1987" t="s">
        <v>15211</v>
      </c>
      <c r="Q1987" t="s">
        <v>15211</v>
      </c>
      <c r="R1987" t="s">
        <v>15211</v>
      </c>
      <c r="S1987" t="s">
        <v>15211</v>
      </c>
      <c r="T1987" t="s">
        <v>3368</v>
      </c>
      <c r="U1987" t="s">
        <v>13870</v>
      </c>
      <c r="V1987" t="s">
        <v>15212</v>
      </c>
    </row>
    <row r="1988" spans="1:22" ht="17.399999999999999" hidden="1">
      <c r="A1988" t="s">
        <v>15356</v>
      </c>
      <c r="B1988" t="s">
        <v>15441</v>
      </c>
      <c r="C1988" t="s">
        <v>15446</v>
      </c>
      <c r="D1988" t="s">
        <v>1986</v>
      </c>
      <c r="E1988" t="s">
        <v>3438</v>
      </c>
      <c r="F1988" t="s">
        <v>3442</v>
      </c>
      <c r="G1988" s="3">
        <v>35.517507884687099</v>
      </c>
      <c r="H1988" s="3">
        <v>128.649102973993</v>
      </c>
      <c r="I1988" t="s">
        <v>5753</v>
      </c>
      <c r="J1988" t="s">
        <v>9109</v>
      </c>
      <c r="K1988" t="s">
        <v>11541</v>
      </c>
      <c r="L1988" t="s">
        <v>3379</v>
      </c>
      <c r="M1988" t="s">
        <v>11886</v>
      </c>
      <c r="N1988" t="s">
        <v>3364</v>
      </c>
      <c r="O1988" t="s">
        <v>3359</v>
      </c>
      <c r="P1988" t="s">
        <v>15211</v>
      </c>
      <c r="Q1988" t="s">
        <v>15211</v>
      </c>
      <c r="R1988" t="s">
        <v>15211</v>
      </c>
      <c r="S1988" t="s">
        <v>15211</v>
      </c>
      <c r="T1988" t="s">
        <v>3367</v>
      </c>
      <c r="U1988" t="s">
        <v>13871</v>
      </c>
      <c r="V1988" t="s">
        <v>15213</v>
      </c>
    </row>
    <row r="1989" spans="1:22" ht="17.399999999999999" hidden="1">
      <c r="A1989" t="s">
        <v>15356</v>
      </c>
      <c r="B1989" t="s">
        <v>15441</v>
      </c>
      <c r="C1989" t="s">
        <v>15446</v>
      </c>
      <c r="D1989" t="s">
        <v>1987</v>
      </c>
      <c r="E1989" t="s">
        <v>3440</v>
      </c>
      <c r="F1989" t="s">
        <v>3429</v>
      </c>
      <c r="G1989" s="3">
        <v>35.517507883208602</v>
      </c>
      <c r="H1989" s="3">
        <v>128.64910293621901</v>
      </c>
      <c r="I1989" t="s">
        <v>5754</v>
      </c>
      <c r="J1989" t="s">
        <v>9110</v>
      </c>
      <c r="K1989" t="s">
        <v>10726</v>
      </c>
      <c r="L1989" t="s">
        <v>3366</v>
      </c>
      <c r="M1989" t="s">
        <v>11886</v>
      </c>
      <c r="N1989" t="s">
        <v>3364</v>
      </c>
      <c r="O1989" t="s">
        <v>3359</v>
      </c>
      <c r="P1989" t="s">
        <v>15211</v>
      </c>
      <c r="Q1989" t="s">
        <v>15211</v>
      </c>
      <c r="R1989" t="s">
        <v>15211</v>
      </c>
      <c r="S1989" t="s">
        <v>15211</v>
      </c>
      <c r="T1989" t="s">
        <v>3367</v>
      </c>
      <c r="U1989" t="s">
        <v>13872</v>
      </c>
      <c r="V1989" t="s">
        <v>15213</v>
      </c>
    </row>
    <row r="1990" spans="1:22" ht="17.399999999999999" hidden="1">
      <c r="A1990" t="s">
        <v>15356</v>
      </c>
      <c r="B1990" t="s">
        <v>15441</v>
      </c>
      <c r="C1990" t="s">
        <v>15446</v>
      </c>
      <c r="D1990" t="s">
        <v>1988</v>
      </c>
      <c r="E1990" t="s">
        <v>3438</v>
      </c>
      <c r="F1990" t="s">
        <v>3433</v>
      </c>
      <c r="G1990" s="3">
        <v>35.517507906330202</v>
      </c>
      <c r="H1990" s="3">
        <v>128.64910294978301</v>
      </c>
      <c r="I1990" t="s">
        <v>5755</v>
      </c>
      <c r="J1990" t="s">
        <v>9111</v>
      </c>
      <c r="K1990" t="s">
        <v>11262</v>
      </c>
      <c r="L1990" t="s">
        <v>3366</v>
      </c>
      <c r="M1990" t="s">
        <v>11886</v>
      </c>
      <c r="N1990" t="s">
        <v>3364</v>
      </c>
      <c r="O1990" t="s">
        <v>3359</v>
      </c>
      <c r="P1990" t="s">
        <v>15211</v>
      </c>
      <c r="Q1990" t="s">
        <v>15211</v>
      </c>
      <c r="R1990" t="s">
        <v>15211</v>
      </c>
      <c r="S1990" t="s">
        <v>15211</v>
      </c>
      <c r="T1990" t="s">
        <v>3367</v>
      </c>
      <c r="U1990" t="s">
        <v>13873</v>
      </c>
      <c r="V1990" t="s">
        <v>15213</v>
      </c>
    </row>
    <row r="1991" spans="1:22" ht="17.399999999999999" hidden="1">
      <c r="A1991" t="s">
        <v>15356</v>
      </c>
      <c r="B1991" t="s">
        <v>15441</v>
      </c>
      <c r="C1991" t="s">
        <v>15447</v>
      </c>
      <c r="D1991" t="s">
        <v>1989</v>
      </c>
      <c r="E1991" t="s">
        <v>3427</v>
      </c>
      <c r="F1991" t="s">
        <v>3465</v>
      </c>
      <c r="G1991" s="3">
        <v>35.517507831735799</v>
      </c>
      <c r="H1991" s="3">
        <v>128.649102970889</v>
      </c>
      <c r="I1991" t="s">
        <v>5756</v>
      </c>
      <c r="J1991" t="s">
        <v>9112</v>
      </c>
      <c r="K1991" t="s">
        <v>11411</v>
      </c>
      <c r="L1991" t="s">
        <v>3374</v>
      </c>
      <c r="M1991" t="s">
        <v>11892</v>
      </c>
      <c r="N1991" t="s">
        <v>3364</v>
      </c>
      <c r="O1991" t="s">
        <v>15211</v>
      </c>
      <c r="P1991" t="s">
        <v>15211</v>
      </c>
      <c r="Q1991" t="s">
        <v>15211</v>
      </c>
      <c r="R1991" t="s">
        <v>15211</v>
      </c>
      <c r="S1991" t="s">
        <v>15211</v>
      </c>
      <c r="T1991" t="s">
        <v>3364</v>
      </c>
      <c r="U1991" t="s">
        <v>13874</v>
      </c>
      <c r="V1991" t="s">
        <v>15214</v>
      </c>
    </row>
    <row r="1992" spans="1:22" ht="17.399999999999999" hidden="1">
      <c r="A1992" t="s">
        <v>15356</v>
      </c>
      <c r="B1992" t="s">
        <v>15441</v>
      </c>
      <c r="C1992" t="s">
        <v>15447</v>
      </c>
      <c r="D1992" t="s">
        <v>1990</v>
      </c>
      <c r="E1992" t="s">
        <v>3427</v>
      </c>
      <c r="F1992" t="s">
        <v>3450</v>
      </c>
      <c r="G1992" s="3">
        <v>35.517507819950303</v>
      </c>
      <c r="H1992" s="3">
        <v>128.64910302355301</v>
      </c>
      <c r="I1992" t="s">
        <v>5757</v>
      </c>
      <c r="J1992" t="s">
        <v>9113</v>
      </c>
      <c r="K1992" t="s">
        <v>11542</v>
      </c>
      <c r="L1992" t="s">
        <v>3366</v>
      </c>
      <c r="M1992" t="s">
        <v>11892</v>
      </c>
      <c r="N1992" t="s">
        <v>3364</v>
      </c>
      <c r="O1992" t="s">
        <v>15211</v>
      </c>
      <c r="P1992" t="s">
        <v>15211</v>
      </c>
      <c r="Q1992" t="s">
        <v>15211</v>
      </c>
      <c r="R1992" t="s">
        <v>15211</v>
      </c>
      <c r="S1992" t="s">
        <v>15211</v>
      </c>
      <c r="T1992" t="s">
        <v>3364</v>
      </c>
      <c r="U1992" t="s">
        <v>13875</v>
      </c>
      <c r="V1992" t="s">
        <v>15214</v>
      </c>
    </row>
    <row r="1993" spans="1:22" ht="17.399999999999999" hidden="1">
      <c r="A1993" t="s">
        <v>15356</v>
      </c>
      <c r="B1993" t="s">
        <v>15441</v>
      </c>
      <c r="C1993" t="s">
        <v>15447</v>
      </c>
      <c r="D1993" t="s">
        <v>1991</v>
      </c>
      <c r="E1993" t="s">
        <v>3427</v>
      </c>
      <c r="F1993" t="s">
        <v>3450</v>
      </c>
      <c r="G1993" s="3">
        <v>35.517507840434497</v>
      </c>
      <c r="H1993" s="3">
        <v>128.649103056125</v>
      </c>
      <c r="I1993" t="s">
        <v>5758</v>
      </c>
      <c r="J1993" t="s">
        <v>9114</v>
      </c>
      <c r="K1993" t="s">
        <v>11363</v>
      </c>
      <c r="L1993" t="s">
        <v>3366</v>
      </c>
      <c r="M1993" t="s">
        <v>11892</v>
      </c>
      <c r="N1993" t="s">
        <v>3364</v>
      </c>
      <c r="O1993" t="s">
        <v>15211</v>
      </c>
      <c r="P1993" t="s">
        <v>15211</v>
      </c>
      <c r="Q1993" t="s">
        <v>15211</v>
      </c>
      <c r="R1993" t="s">
        <v>15211</v>
      </c>
      <c r="S1993" t="s">
        <v>15211</v>
      </c>
      <c r="T1993" t="s">
        <v>3364</v>
      </c>
      <c r="U1993" t="s">
        <v>13876</v>
      </c>
      <c r="V1993" t="s">
        <v>15214</v>
      </c>
    </row>
    <row r="1994" spans="1:22" ht="17.399999999999999" hidden="1">
      <c r="A1994" t="s">
        <v>15356</v>
      </c>
      <c r="B1994" t="s">
        <v>15441</v>
      </c>
      <c r="C1994" t="s">
        <v>15448</v>
      </c>
      <c r="D1994" t="s">
        <v>1992</v>
      </c>
      <c r="E1994" t="s">
        <v>3429</v>
      </c>
      <c r="F1994" t="s">
        <v>3515</v>
      </c>
      <c r="G1994" s="3">
        <v>35.517507862241096</v>
      </c>
      <c r="H1994" s="3">
        <v>128.64910315204199</v>
      </c>
      <c r="I1994" t="s">
        <v>5759</v>
      </c>
      <c r="J1994" t="s">
        <v>9115</v>
      </c>
      <c r="K1994" t="s">
        <v>10989</v>
      </c>
      <c r="L1994" t="s">
        <v>3375</v>
      </c>
      <c r="M1994" t="s">
        <v>11893</v>
      </c>
      <c r="N1994" t="s">
        <v>3365</v>
      </c>
      <c r="O1994" t="s">
        <v>3359</v>
      </c>
      <c r="P1994" t="s">
        <v>3362</v>
      </c>
      <c r="Q1994" t="s">
        <v>3361</v>
      </c>
      <c r="R1994" t="s">
        <v>3358</v>
      </c>
      <c r="S1994" t="s">
        <v>15211</v>
      </c>
      <c r="T1994" t="s">
        <v>3381</v>
      </c>
      <c r="U1994" t="s">
        <v>13877</v>
      </c>
      <c r="V1994" t="s">
        <v>15215</v>
      </c>
    </row>
    <row r="1995" spans="1:22" ht="17.399999999999999" hidden="1">
      <c r="A1995" t="s">
        <v>15356</v>
      </c>
      <c r="B1995" t="s">
        <v>15441</v>
      </c>
      <c r="C1995" t="s">
        <v>15448</v>
      </c>
      <c r="D1995" t="s">
        <v>1993</v>
      </c>
      <c r="E1995" t="s">
        <v>3432</v>
      </c>
      <c r="F1995" t="s">
        <v>3543</v>
      </c>
      <c r="G1995" s="3">
        <v>35.517507870538502</v>
      </c>
      <c r="H1995" s="3">
        <v>128.64910319948299</v>
      </c>
      <c r="I1995" t="s">
        <v>5760</v>
      </c>
      <c r="J1995" t="s">
        <v>9116</v>
      </c>
      <c r="K1995" t="s">
        <v>10871</v>
      </c>
      <c r="L1995" t="s">
        <v>3366</v>
      </c>
      <c r="M1995" t="s">
        <v>11893</v>
      </c>
      <c r="N1995" t="s">
        <v>3364</v>
      </c>
      <c r="O1995" t="s">
        <v>3359</v>
      </c>
      <c r="P1995" t="s">
        <v>3363</v>
      </c>
      <c r="Q1995" t="s">
        <v>3361</v>
      </c>
      <c r="R1995" t="s">
        <v>3358</v>
      </c>
      <c r="S1995" t="s">
        <v>15211</v>
      </c>
      <c r="T1995" t="s">
        <v>3381</v>
      </c>
      <c r="U1995" t="s">
        <v>13878</v>
      </c>
      <c r="V1995" t="s">
        <v>15215</v>
      </c>
    </row>
    <row r="1996" spans="1:22" ht="17.399999999999999" hidden="1">
      <c r="A1996" t="s">
        <v>15356</v>
      </c>
      <c r="B1996" t="s">
        <v>15441</v>
      </c>
      <c r="C1996" t="s">
        <v>15448</v>
      </c>
      <c r="D1996" t="s">
        <v>1994</v>
      </c>
      <c r="E1996" t="s">
        <v>3452</v>
      </c>
      <c r="F1996" t="s">
        <v>3534</v>
      </c>
      <c r="G1996" s="3">
        <v>35.517507827310901</v>
      </c>
      <c r="H1996" s="3">
        <v>128.649103177466</v>
      </c>
      <c r="I1996" t="s">
        <v>5761</v>
      </c>
      <c r="J1996" t="s">
        <v>9117</v>
      </c>
      <c r="K1996" t="s">
        <v>10833</v>
      </c>
      <c r="L1996" t="s">
        <v>3366</v>
      </c>
      <c r="M1996" t="s">
        <v>11893</v>
      </c>
      <c r="N1996" t="s">
        <v>3364</v>
      </c>
      <c r="O1996" t="s">
        <v>3359</v>
      </c>
      <c r="P1996" t="s">
        <v>3363</v>
      </c>
      <c r="Q1996" t="s">
        <v>3361</v>
      </c>
      <c r="R1996" t="s">
        <v>3358</v>
      </c>
      <c r="S1996" t="s">
        <v>15211</v>
      </c>
      <c r="T1996" t="s">
        <v>3381</v>
      </c>
      <c r="U1996" t="s">
        <v>13879</v>
      </c>
      <c r="V1996" t="s">
        <v>15215</v>
      </c>
    </row>
    <row r="1997" spans="1:22" ht="17.399999999999999" hidden="1">
      <c r="A1997" t="s">
        <v>15356</v>
      </c>
      <c r="B1997" t="s">
        <v>15441</v>
      </c>
      <c r="C1997" t="s">
        <v>15449</v>
      </c>
      <c r="D1997" t="s">
        <v>1995</v>
      </c>
      <c r="E1997" t="s">
        <v>3441</v>
      </c>
      <c r="F1997" t="s">
        <v>3590</v>
      </c>
      <c r="G1997" s="3">
        <v>35.517507888976901</v>
      </c>
      <c r="H1997" s="3">
        <v>128.649103216085</v>
      </c>
      <c r="I1997" t="s">
        <v>5762</v>
      </c>
      <c r="J1997" t="s">
        <v>9118</v>
      </c>
      <c r="K1997" t="s">
        <v>11338</v>
      </c>
      <c r="L1997" t="s">
        <v>3377</v>
      </c>
      <c r="M1997" t="s">
        <v>11908</v>
      </c>
      <c r="N1997" t="s">
        <v>3363</v>
      </c>
      <c r="O1997" t="s">
        <v>15211</v>
      </c>
      <c r="P1997" t="s">
        <v>3362</v>
      </c>
      <c r="Q1997" t="s">
        <v>3361</v>
      </c>
      <c r="R1997" t="s">
        <v>3357</v>
      </c>
      <c r="S1997" t="s">
        <v>15211</v>
      </c>
      <c r="T1997" t="s">
        <v>3375</v>
      </c>
      <c r="U1997" t="s">
        <v>13880</v>
      </c>
      <c r="V1997" t="s">
        <v>15216</v>
      </c>
    </row>
    <row r="1998" spans="1:22" ht="17.399999999999999" hidden="1">
      <c r="A1998" t="s">
        <v>15356</v>
      </c>
      <c r="B1998" t="s">
        <v>15441</v>
      </c>
      <c r="C1998" t="s">
        <v>15449</v>
      </c>
      <c r="D1998" t="s">
        <v>1996</v>
      </c>
      <c r="E1998" t="s">
        <v>3433</v>
      </c>
      <c r="F1998" t="s">
        <v>3543</v>
      </c>
      <c r="G1998" s="3">
        <v>35.517507872048597</v>
      </c>
      <c r="H1998" s="3">
        <v>128.64910323072399</v>
      </c>
      <c r="I1998" t="s">
        <v>5763</v>
      </c>
      <c r="J1998" t="s">
        <v>9119</v>
      </c>
      <c r="K1998" t="s">
        <v>11147</v>
      </c>
      <c r="L1998" t="s">
        <v>3366</v>
      </c>
      <c r="M1998" t="s">
        <v>11888</v>
      </c>
      <c r="N1998" t="s">
        <v>3364</v>
      </c>
      <c r="O1998" t="s">
        <v>15211</v>
      </c>
      <c r="P1998" t="s">
        <v>3363</v>
      </c>
      <c r="Q1998" t="s">
        <v>3361</v>
      </c>
      <c r="R1998" t="s">
        <v>3358</v>
      </c>
      <c r="S1998" t="s">
        <v>15211</v>
      </c>
      <c r="T1998" t="s">
        <v>3378</v>
      </c>
      <c r="U1998" t="s">
        <v>13881</v>
      </c>
      <c r="V1998" t="s">
        <v>15216</v>
      </c>
    </row>
    <row r="1999" spans="1:22" ht="17.399999999999999" hidden="1">
      <c r="A1999" t="s">
        <v>15356</v>
      </c>
      <c r="B1999" t="s">
        <v>15441</v>
      </c>
      <c r="C1999" t="s">
        <v>15449</v>
      </c>
      <c r="D1999" t="s">
        <v>1997</v>
      </c>
      <c r="E1999" t="s">
        <v>3461</v>
      </c>
      <c r="F1999" t="s">
        <v>3694</v>
      </c>
      <c r="G1999" s="3">
        <v>35.517507886030501</v>
      </c>
      <c r="H1999" s="3">
        <v>128.64910318000099</v>
      </c>
      <c r="I1999" t="s">
        <v>5764</v>
      </c>
      <c r="J1999" t="s">
        <v>9120</v>
      </c>
      <c r="K1999" t="s">
        <v>10809</v>
      </c>
      <c r="L1999" t="s">
        <v>3366</v>
      </c>
      <c r="M1999" t="s">
        <v>11889</v>
      </c>
      <c r="N1999" t="s">
        <v>3364</v>
      </c>
      <c r="O1999" t="s">
        <v>15211</v>
      </c>
      <c r="P1999" t="s">
        <v>3363</v>
      </c>
      <c r="Q1999" t="s">
        <v>3361</v>
      </c>
      <c r="R1999" t="s">
        <v>3358</v>
      </c>
      <c r="S1999" t="s">
        <v>15211</v>
      </c>
      <c r="T1999" t="s">
        <v>3378</v>
      </c>
      <c r="U1999" t="s">
        <v>13882</v>
      </c>
      <c r="V1999" t="s">
        <v>15216</v>
      </c>
    </row>
    <row r="2000" spans="1:22" ht="17.399999999999999" hidden="1">
      <c r="A2000" t="s">
        <v>15356</v>
      </c>
      <c r="B2000" t="s">
        <v>15442</v>
      </c>
      <c r="C2000" t="s">
        <v>15450</v>
      </c>
      <c r="D2000" t="s">
        <v>1998</v>
      </c>
      <c r="E2000" t="s">
        <v>3428</v>
      </c>
      <c r="F2000" t="s">
        <v>3432</v>
      </c>
      <c r="G2000" s="3">
        <v>35.517507816868303</v>
      </c>
      <c r="H2000" s="3">
        <v>128.649103120013</v>
      </c>
      <c r="I2000" t="s">
        <v>5765</v>
      </c>
      <c r="J2000" t="s">
        <v>9121</v>
      </c>
      <c r="K2000" t="s">
        <v>11543</v>
      </c>
      <c r="L2000" t="s">
        <v>3374</v>
      </c>
      <c r="M2000" t="s">
        <v>11885</v>
      </c>
      <c r="N2000" t="s">
        <v>3365</v>
      </c>
      <c r="O2000" t="s">
        <v>3359</v>
      </c>
      <c r="P2000" t="s">
        <v>15211</v>
      </c>
      <c r="Q2000" t="s">
        <v>15211</v>
      </c>
      <c r="R2000" t="s">
        <v>15211</v>
      </c>
      <c r="S2000" t="s">
        <v>15211</v>
      </c>
      <c r="T2000" t="s">
        <v>3368</v>
      </c>
      <c r="U2000" t="s">
        <v>13883</v>
      </c>
      <c r="V2000" t="s">
        <v>15217</v>
      </c>
    </row>
    <row r="2001" spans="1:22" ht="17.399999999999999" hidden="1">
      <c r="A2001" t="s">
        <v>15356</v>
      </c>
      <c r="B2001" t="s">
        <v>15442</v>
      </c>
      <c r="C2001" t="s">
        <v>15450</v>
      </c>
      <c r="D2001" t="s">
        <v>1999</v>
      </c>
      <c r="E2001" t="s">
        <v>3428</v>
      </c>
      <c r="F2001" t="s">
        <v>3432</v>
      </c>
      <c r="G2001" s="3">
        <v>35.517507777610497</v>
      </c>
      <c r="H2001" s="3">
        <v>128.64910315335399</v>
      </c>
      <c r="I2001" t="s">
        <v>5766</v>
      </c>
      <c r="J2001" t="s">
        <v>9122</v>
      </c>
      <c r="K2001" t="s">
        <v>10716</v>
      </c>
      <c r="L2001" t="s">
        <v>3366</v>
      </c>
      <c r="M2001" t="s">
        <v>11885</v>
      </c>
      <c r="N2001" t="s">
        <v>3365</v>
      </c>
      <c r="O2001" t="s">
        <v>3359</v>
      </c>
      <c r="P2001" t="s">
        <v>15211</v>
      </c>
      <c r="Q2001" t="s">
        <v>15211</v>
      </c>
      <c r="R2001" t="s">
        <v>15211</v>
      </c>
      <c r="S2001" t="s">
        <v>15211</v>
      </c>
      <c r="T2001" t="s">
        <v>3368</v>
      </c>
      <c r="U2001" t="s">
        <v>13884</v>
      </c>
      <c r="V2001" t="s">
        <v>15217</v>
      </c>
    </row>
    <row r="2002" spans="1:22" ht="17.399999999999999" hidden="1">
      <c r="A2002" t="s">
        <v>15356</v>
      </c>
      <c r="B2002" t="s">
        <v>15442</v>
      </c>
      <c r="C2002" t="s">
        <v>15450</v>
      </c>
      <c r="D2002" t="s">
        <v>2000</v>
      </c>
      <c r="E2002" t="s">
        <v>3428</v>
      </c>
      <c r="F2002" t="s">
        <v>3432</v>
      </c>
      <c r="G2002" s="3">
        <v>35.517507763763703</v>
      </c>
      <c r="H2002" s="3">
        <v>128.64910317730099</v>
      </c>
      <c r="I2002" t="s">
        <v>5767</v>
      </c>
      <c r="J2002" t="s">
        <v>9123</v>
      </c>
      <c r="K2002" t="s">
        <v>3628</v>
      </c>
      <c r="L2002" t="s">
        <v>3366</v>
      </c>
      <c r="M2002" t="s">
        <v>11886</v>
      </c>
      <c r="N2002" t="s">
        <v>3365</v>
      </c>
      <c r="O2002" t="s">
        <v>3359</v>
      </c>
      <c r="P2002" t="s">
        <v>15211</v>
      </c>
      <c r="Q2002" t="s">
        <v>15211</v>
      </c>
      <c r="R2002" t="s">
        <v>15211</v>
      </c>
      <c r="S2002" t="s">
        <v>15211</v>
      </c>
      <c r="T2002" t="s">
        <v>3368</v>
      </c>
      <c r="U2002" t="s">
        <v>13885</v>
      </c>
      <c r="V2002" t="s">
        <v>15217</v>
      </c>
    </row>
    <row r="2003" spans="1:22" ht="17.399999999999999" hidden="1">
      <c r="A2003" t="s">
        <v>15356</v>
      </c>
      <c r="B2003" t="s">
        <v>15442</v>
      </c>
      <c r="C2003" t="s">
        <v>15445</v>
      </c>
      <c r="D2003" t="s">
        <v>2001</v>
      </c>
      <c r="E2003" t="s">
        <v>3438</v>
      </c>
      <c r="F2003" t="s">
        <v>3430</v>
      </c>
      <c r="G2003" s="3">
        <v>35.517507818726202</v>
      </c>
      <c r="H2003" s="3">
        <v>128.64910311478101</v>
      </c>
      <c r="I2003" t="s">
        <v>5768</v>
      </c>
      <c r="J2003" t="s">
        <v>9124</v>
      </c>
      <c r="K2003" t="s">
        <v>11544</v>
      </c>
      <c r="L2003" t="s">
        <v>3378</v>
      </c>
      <c r="M2003" t="s">
        <v>11886</v>
      </c>
      <c r="N2003" t="s">
        <v>3364</v>
      </c>
      <c r="O2003" t="s">
        <v>3359</v>
      </c>
      <c r="P2003" t="s">
        <v>15211</v>
      </c>
      <c r="Q2003" t="s">
        <v>15211</v>
      </c>
      <c r="R2003" t="s">
        <v>15211</v>
      </c>
      <c r="S2003" t="s">
        <v>15211</v>
      </c>
      <c r="T2003" t="s">
        <v>3367</v>
      </c>
      <c r="U2003" t="s">
        <v>13886</v>
      </c>
      <c r="V2003" t="s">
        <v>15218</v>
      </c>
    </row>
    <row r="2004" spans="1:22" ht="17.399999999999999" hidden="1">
      <c r="A2004" t="s">
        <v>15356</v>
      </c>
      <c r="B2004" t="s">
        <v>15442</v>
      </c>
      <c r="C2004" t="s">
        <v>15445</v>
      </c>
      <c r="D2004" t="s">
        <v>2002</v>
      </c>
      <c r="E2004" t="s">
        <v>3438</v>
      </c>
      <c r="F2004" t="s">
        <v>3430</v>
      </c>
      <c r="G2004" s="3">
        <v>35.517507844273602</v>
      </c>
      <c r="H2004" s="3">
        <v>128.64910308303101</v>
      </c>
      <c r="I2004" t="s">
        <v>5769</v>
      </c>
      <c r="J2004" t="s">
        <v>9125</v>
      </c>
      <c r="K2004" t="s">
        <v>10812</v>
      </c>
      <c r="L2004" t="s">
        <v>3366</v>
      </c>
      <c r="M2004" t="s">
        <v>11886</v>
      </c>
      <c r="N2004" t="s">
        <v>3364</v>
      </c>
      <c r="O2004" t="s">
        <v>3359</v>
      </c>
      <c r="P2004" t="s">
        <v>15211</v>
      </c>
      <c r="Q2004" t="s">
        <v>15211</v>
      </c>
      <c r="R2004" t="s">
        <v>15211</v>
      </c>
      <c r="S2004" t="s">
        <v>15211</v>
      </c>
      <c r="T2004" t="s">
        <v>3367</v>
      </c>
      <c r="U2004" t="s">
        <v>13887</v>
      </c>
      <c r="V2004" t="s">
        <v>15218</v>
      </c>
    </row>
    <row r="2005" spans="1:22" ht="17.399999999999999" hidden="1">
      <c r="A2005" t="s">
        <v>15356</v>
      </c>
      <c r="B2005" t="s">
        <v>15442</v>
      </c>
      <c r="C2005" t="s">
        <v>15445</v>
      </c>
      <c r="D2005" t="s">
        <v>2003</v>
      </c>
      <c r="E2005" t="s">
        <v>3440</v>
      </c>
      <c r="F2005" t="s">
        <v>3435</v>
      </c>
      <c r="G2005" s="3">
        <v>35.5175078267552</v>
      </c>
      <c r="H2005" s="3">
        <v>128.649103056011</v>
      </c>
      <c r="I2005" t="s">
        <v>5770</v>
      </c>
      <c r="J2005" t="s">
        <v>9126</v>
      </c>
      <c r="K2005" t="s">
        <v>10795</v>
      </c>
      <c r="L2005" t="s">
        <v>3366</v>
      </c>
      <c r="M2005" t="s">
        <v>11886</v>
      </c>
      <c r="N2005" t="s">
        <v>3364</v>
      </c>
      <c r="O2005" t="s">
        <v>3359</v>
      </c>
      <c r="P2005" t="s">
        <v>15211</v>
      </c>
      <c r="Q2005" t="s">
        <v>15211</v>
      </c>
      <c r="R2005" t="s">
        <v>15211</v>
      </c>
      <c r="S2005" t="s">
        <v>15211</v>
      </c>
      <c r="T2005" t="s">
        <v>3367</v>
      </c>
      <c r="U2005" t="s">
        <v>13888</v>
      </c>
      <c r="V2005" t="s">
        <v>15218</v>
      </c>
    </row>
    <row r="2006" spans="1:22" ht="17.399999999999999" hidden="1">
      <c r="A2006" t="s">
        <v>15356</v>
      </c>
      <c r="B2006" t="s">
        <v>15442</v>
      </c>
      <c r="C2006" t="s">
        <v>15451</v>
      </c>
      <c r="D2006" t="s">
        <v>2004</v>
      </c>
      <c r="E2006" t="s">
        <v>3439</v>
      </c>
      <c r="F2006" t="s">
        <v>3436</v>
      </c>
      <c r="G2006" s="3">
        <v>35.517507848389599</v>
      </c>
      <c r="H2006" s="3">
        <v>128.64910308928501</v>
      </c>
      <c r="I2006" t="s">
        <v>5771</v>
      </c>
      <c r="J2006" t="s">
        <v>9127</v>
      </c>
      <c r="K2006" t="s">
        <v>10543</v>
      </c>
      <c r="L2006" t="s">
        <v>3383</v>
      </c>
      <c r="M2006" t="s">
        <v>11891</v>
      </c>
      <c r="N2006" t="s">
        <v>3365</v>
      </c>
      <c r="O2006" t="s">
        <v>3359</v>
      </c>
      <c r="P2006" t="s">
        <v>3363</v>
      </c>
      <c r="Q2006" t="s">
        <v>3361</v>
      </c>
      <c r="R2006" t="s">
        <v>15211</v>
      </c>
      <c r="S2006" t="s">
        <v>15211</v>
      </c>
      <c r="T2006" t="s">
        <v>3380</v>
      </c>
      <c r="U2006" t="s">
        <v>13889</v>
      </c>
      <c r="V2006" t="s">
        <v>15219</v>
      </c>
    </row>
    <row r="2007" spans="1:22" ht="17.399999999999999" hidden="1">
      <c r="A2007" t="s">
        <v>15356</v>
      </c>
      <c r="B2007" t="s">
        <v>15442</v>
      </c>
      <c r="C2007" t="s">
        <v>15451</v>
      </c>
      <c r="D2007" t="s">
        <v>2005</v>
      </c>
      <c r="E2007" t="s">
        <v>3439</v>
      </c>
      <c r="F2007" t="s">
        <v>3436</v>
      </c>
      <c r="G2007" s="3">
        <v>35.517507853957703</v>
      </c>
      <c r="H2007" s="3">
        <v>128.649103122067</v>
      </c>
      <c r="I2007" t="s">
        <v>5772</v>
      </c>
      <c r="J2007" t="s">
        <v>9128</v>
      </c>
      <c r="K2007" t="s">
        <v>11486</v>
      </c>
      <c r="L2007" t="s">
        <v>3366</v>
      </c>
      <c r="M2007" t="s">
        <v>11891</v>
      </c>
      <c r="N2007" t="s">
        <v>3365</v>
      </c>
      <c r="O2007" t="s">
        <v>3359</v>
      </c>
      <c r="P2007" t="s">
        <v>3363</v>
      </c>
      <c r="Q2007" t="s">
        <v>3361</v>
      </c>
      <c r="R2007" t="s">
        <v>15211</v>
      </c>
      <c r="S2007" t="s">
        <v>15211</v>
      </c>
      <c r="T2007" t="s">
        <v>3380</v>
      </c>
      <c r="U2007" t="s">
        <v>13890</v>
      </c>
      <c r="V2007" t="s">
        <v>15219</v>
      </c>
    </row>
    <row r="2008" spans="1:22" ht="17.399999999999999" hidden="1">
      <c r="A2008" t="s">
        <v>15356</v>
      </c>
      <c r="B2008" t="s">
        <v>15442</v>
      </c>
      <c r="C2008" t="s">
        <v>15451</v>
      </c>
      <c r="D2008" t="s">
        <v>2006</v>
      </c>
      <c r="E2008" t="s">
        <v>3439</v>
      </c>
      <c r="F2008" t="s">
        <v>3436</v>
      </c>
      <c r="G2008" s="3">
        <v>35.517507855850099</v>
      </c>
      <c r="H2008" s="3">
        <v>128.649103128322</v>
      </c>
      <c r="I2008" t="s">
        <v>5773</v>
      </c>
      <c r="J2008" t="s">
        <v>9129</v>
      </c>
      <c r="K2008" t="s">
        <v>10785</v>
      </c>
      <c r="L2008" t="s">
        <v>3366</v>
      </c>
      <c r="M2008" t="s">
        <v>11891</v>
      </c>
      <c r="N2008" t="s">
        <v>3365</v>
      </c>
      <c r="O2008" t="s">
        <v>3359</v>
      </c>
      <c r="P2008" t="s">
        <v>3363</v>
      </c>
      <c r="Q2008" t="s">
        <v>3361</v>
      </c>
      <c r="R2008" t="s">
        <v>15211</v>
      </c>
      <c r="S2008" t="s">
        <v>15211</v>
      </c>
      <c r="T2008" t="s">
        <v>3380</v>
      </c>
      <c r="U2008" t="s">
        <v>13891</v>
      </c>
      <c r="V2008" t="s">
        <v>15219</v>
      </c>
    </row>
    <row r="2009" spans="1:22" ht="17.399999999999999">
      <c r="A2009" t="s">
        <v>15356</v>
      </c>
      <c r="B2009" t="s">
        <v>15443</v>
      </c>
      <c r="C2009" t="s">
        <v>15452</v>
      </c>
      <c r="D2009" t="s">
        <v>2007</v>
      </c>
      <c r="E2009" t="s">
        <v>3436</v>
      </c>
      <c r="F2009" t="s">
        <v>3461</v>
      </c>
      <c r="G2009" s="3">
        <v>35.517508307957399</v>
      </c>
      <c r="H2009" s="3">
        <v>128.64910225276199</v>
      </c>
      <c r="I2009" t="s">
        <v>5774</v>
      </c>
      <c r="J2009" t="s">
        <v>9130</v>
      </c>
      <c r="K2009" t="s">
        <v>11545</v>
      </c>
      <c r="L2009" t="s">
        <v>3375</v>
      </c>
      <c r="M2009" t="s">
        <v>11885</v>
      </c>
      <c r="N2009" t="s">
        <v>3363</v>
      </c>
      <c r="O2009" t="s">
        <v>15211</v>
      </c>
      <c r="P2009" t="s">
        <v>3361</v>
      </c>
      <c r="Q2009" t="s">
        <v>15211</v>
      </c>
      <c r="R2009" t="s">
        <v>15211</v>
      </c>
      <c r="S2009" t="s">
        <v>15211</v>
      </c>
      <c r="T2009" t="s">
        <v>3368</v>
      </c>
      <c r="U2009" t="s">
        <v>13892</v>
      </c>
      <c r="V2009" t="s">
        <v>15220</v>
      </c>
    </row>
    <row r="2010" spans="1:22" ht="17.399999999999999">
      <c r="A2010" t="s">
        <v>15356</v>
      </c>
      <c r="B2010" t="s">
        <v>15443</v>
      </c>
      <c r="C2010" t="s">
        <v>15452</v>
      </c>
      <c r="D2010" t="s">
        <v>2008</v>
      </c>
      <c r="E2010" t="s">
        <v>3429</v>
      </c>
      <c r="F2010" t="s">
        <v>3466</v>
      </c>
      <c r="G2010" s="3">
        <v>35.517508315298102</v>
      </c>
      <c r="H2010" s="3">
        <v>128.64910227581601</v>
      </c>
      <c r="I2010" t="s">
        <v>5775</v>
      </c>
      <c r="J2010" t="s">
        <v>9131</v>
      </c>
      <c r="K2010" t="s">
        <v>10786</v>
      </c>
      <c r="L2010" t="s">
        <v>3366</v>
      </c>
      <c r="M2010" t="s">
        <v>11890</v>
      </c>
      <c r="N2010" t="s">
        <v>3363</v>
      </c>
      <c r="O2010" t="s">
        <v>15211</v>
      </c>
      <c r="P2010" t="s">
        <v>3362</v>
      </c>
      <c r="Q2010" t="s">
        <v>15211</v>
      </c>
      <c r="R2010" t="s">
        <v>15211</v>
      </c>
      <c r="S2010" t="s">
        <v>15211</v>
      </c>
      <c r="T2010" t="s">
        <v>3369</v>
      </c>
      <c r="U2010" t="s">
        <v>13893</v>
      </c>
      <c r="V2010" t="s">
        <v>15220</v>
      </c>
    </row>
    <row r="2011" spans="1:22" ht="17.399999999999999">
      <c r="A2011" t="s">
        <v>15356</v>
      </c>
      <c r="B2011" t="s">
        <v>15443</v>
      </c>
      <c r="C2011" t="s">
        <v>15452</v>
      </c>
      <c r="D2011" t="s">
        <v>2009</v>
      </c>
      <c r="E2011" t="s">
        <v>3431</v>
      </c>
      <c r="F2011" t="s">
        <v>3579</v>
      </c>
      <c r="G2011" s="3">
        <v>35.5175083242464</v>
      </c>
      <c r="H2011" s="3">
        <v>128.64910228123</v>
      </c>
      <c r="I2011" t="s">
        <v>5776</v>
      </c>
      <c r="J2011" t="s">
        <v>9132</v>
      </c>
      <c r="K2011" t="s">
        <v>11546</v>
      </c>
      <c r="L2011" t="s">
        <v>3366</v>
      </c>
      <c r="M2011" t="s">
        <v>11894</v>
      </c>
      <c r="N2011" t="s">
        <v>3364</v>
      </c>
      <c r="O2011" t="s">
        <v>15211</v>
      </c>
      <c r="P2011" t="s">
        <v>3362</v>
      </c>
      <c r="Q2011" t="s">
        <v>15211</v>
      </c>
      <c r="R2011" t="s">
        <v>15211</v>
      </c>
      <c r="S2011" t="s">
        <v>15211</v>
      </c>
      <c r="T2011" t="s">
        <v>3370</v>
      </c>
      <c r="U2011" t="s">
        <v>13894</v>
      </c>
      <c r="V2011" t="s">
        <v>15220</v>
      </c>
    </row>
    <row r="2012" spans="1:22" ht="17.399999999999999" hidden="1">
      <c r="A2012" t="s">
        <v>15356</v>
      </c>
      <c r="B2012" t="s">
        <v>15443</v>
      </c>
      <c r="C2012" t="s">
        <v>15484</v>
      </c>
      <c r="D2012" t="s">
        <v>2010</v>
      </c>
      <c r="E2012" t="s">
        <v>3434</v>
      </c>
      <c r="F2012" t="s">
        <v>3463</v>
      </c>
      <c r="G2012" s="3">
        <v>35.517508211745401</v>
      </c>
      <c r="H2012" s="3">
        <v>128.64910221171999</v>
      </c>
      <c r="I2012" t="s">
        <v>5777</v>
      </c>
      <c r="J2012" t="s">
        <v>9133</v>
      </c>
      <c r="K2012" t="s">
        <v>11509</v>
      </c>
      <c r="L2012" t="s">
        <v>3385</v>
      </c>
      <c r="M2012" t="s">
        <v>11886</v>
      </c>
      <c r="N2012" t="s">
        <v>3361</v>
      </c>
      <c r="O2012" t="s">
        <v>15211</v>
      </c>
      <c r="P2012" t="s">
        <v>3362</v>
      </c>
      <c r="Q2012" t="s">
        <v>15211</v>
      </c>
      <c r="R2012" t="s">
        <v>15211</v>
      </c>
      <c r="S2012" t="s">
        <v>15211</v>
      </c>
      <c r="T2012" t="s">
        <v>3367</v>
      </c>
      <c r="U2012" t="s">
        <v>13895</v>
      </c>
      <c r="V2012" t="s">
        <v>15267</v>
      </c>
    </row>
    <row r="2013" spans="1:22" ht="17.399999999999999" hidden="1">
      <c r="A2013" t="s">
        <v>15356</v>
      </c>
      <c r="B2013" t="s">
        <v>15443</v>
      </c>
      <c r="C2013" t="s">
        <v>15484</v>
      </c>
      <c r="D2013" t="s">
        <v>2011</v>
      </c>
      <c r="E2013" t="s">
        <v>3434</v>
      </c>
      <c r="F2013" t="s">
        <v>3463</v>
      </c>
      <c r="G2013" s="3">
        <v>35.517508229644903</v>
      </c>
      <c r="H2013" s="3">
        <v>128.64910220584301</v>
      </c>
      <c r="I2013" t="s">
        <v>5778</v>
      </c>
      <c r="J2013" t="s">
        <v>9134</v>
      </c>
      <c r="K2013" t="s">
        <v>11303</v>
      </c>
      <c r="L2013" t="s">
        <v>3366</v>
      </c>
      <c r="M2013" t="s">
        <v>11886</v>
      </c>
      <c r="N2013" t="s">
        <v>3361</v>
      </c>
      <c r="O2013" t="s">
        <v>15211</v>
      </c>
      <c r="P2013" t="s">
        <v>3362</v>
      </c>
      <c r="Q2013" t="s">
        <v>15211</v>
      </c>
      <c r="R2013" t="s">
        <v>15211</v>
      </c>
      <c r="S2013" t="s">
        <v>15211</v>
      </c>
      <c r="T2013" t="s">
        <v>3367</v>
      </c>
      <c r="U2013" t="s">
        <v>13896</v>
      </c>
      <c r="V2013" t="s">
        <v>15267</v>
      </c>
    </row>
    <row r="2014" spans="1:22" ht="17.399999999999999" hidden="1">
      <c r="A2014" t="s">
        <v>15356</v>
      </c>
      <c r="B2014" t="s">
        <v>15443</v>
      </c>
      <c r="C2014" t="s">
        <v>15484</v>
      </c>
      <c r="D2014" t="s">
        <v>2012</v>
      </c>
      <c r="E2014" t="s">
        <v>3429</v>
      </c>
      <c r="F2014" t="s">
        <v>3579</v>
      </c>
      <c r="G2014" s="3">
        <v>35.517508253042202</v>
      </c>
      <c r="H2014" s="3">
        <v>128.64910222182101</v>
      </c>
      <c r="I2014" t="s">
        <v>5779</v>
      </c>
      <c r="J2014" t="s">
        <v>9135</v>
      </c>
      <c r="K2014" t="s">
        <v>10807</v>
      </c>
      <c r="L2014" t="s">
        <v>3366</v>
      </c>
      <c r="M2014" t="s">
        <v>11886</v>
      </c>
      <c r="N2014" t="s">
        <v>3361</v>
      </c>
      <c r="O2014" t="s">
        <v>15211</v>
      </c>
      <c r="P2014" t="s">
        <v>3362</v>
      </c>
      <c r="Q2014" t="s">
        <v>15211</v>
      </c>
      <c r="R2014" t="s">
        <v>15211</v>
      </c>
      <c r="S2014" t="s">
        <v>15211</v>
      </c>
      <c r="T2014" t="s">
        <v>3367</v>
      </c>
      <c r="U2014" t="s">
        <v>13897</v>
      </c>
      <c r="V2014" t="s">
        <v>15267</v>
      </c>
    </row>
    <row r="2015" spans="1:22" ht="17.399999999999999" hidden="1">
      <c r="A2015" t="s">
        <v>15357</v>
      </c>
      <c r="B2015" t="s">
        <v>15441</v>
      </c>
      <c r="C2015" t="s">
        <v>15445</v>
      </c>
      <c r="D2015" t="s">
        <v>2013</v>
      </c>
      <c r="E2015" t="s">
        <v>3438</v>
      </c>
      <c r="F2015" t="s">
        <v>3435</v>
      </c>
      <c r="G2015" s="3">
        <v>35.497802656735601</v>
      </c>
      <c r="H2015" s="3">
        <v>128.604404417616</v>
      </c>
      <c r="I2015" t="s">
        <v>5780</v>
      </c>
      <c r="J2015" t="s">
        <v>9136</v>
      </c>
      <c r="K2015" t="s">
        <v>11547</v>
      </c>
      <c r="L2015" t="s">
        <v>3366</v>
      </c>
      <c r="M2015" t="s">
        <v>11902</v>
      </c>
      <c r="N2015" t="s">
        <v>3363</v>
      </c>
      <c r="O2015" t="s">
        <v>3359</v>
      </c>
      <c r="P2015" t="s">
        <v>15211</v>
      </c>
      <c r="Q2015" t="s">
        <v>15211</v>
      </c>
      <c r="R2015" t="s">
        <v>15211</v>
      </c>
      <c r="S2015" t="s">
        <v>15211</v>
      </c>
      <c r="T2015" t="s">
        <v>3366</v>
      </c>
      <c r="U2015" t="s">
        <v>13898</v>
      </c>
      <c r="V2015" t="s">
        <v>15212</v>
      </c>
    </row>
    <row r="2016" spans="1:22" ht="17.399999999999999" hidden="1">
      <c r="A2016" t="s">
        <v>15357</v>
      </c>
      <c r="B2016" t="s">
        <v>15441</v>
      </c>
      <c r="C2016" t="s">
        <v>15445</v>
      </c>
      <c r="D2016" t="s">
        <v>2014</v>
      </c>
      <c r="E2016" t="s">
        <v>3438</v>
      </c>
      <c r="F2016" t="s">
        <v>3429</v>
      </c>
      <c r="G2016" s="3">
        <v>35.497802594519001</v>
      </c>
      <c r="H2016" s="3">
        <v>128.60440439495599</v>
      </c>
      <c r="I2016" t="s">
        <v>5781</v>
      </c>
      <c r="J2016" t="s">
        <v>9137</v>
      </c>
      <c r="K2016" t="s">
        <v>11548</v>
      </c>
      <c r="L2016" t="s">
        <v>3366</v>
      </c>
      <c r="M2016" t="s">
        <v>11902</v>
      </c>
      <c r="N2016" t="s">
        <v>3363</v>
      </c>
      <c r="O2016" t="s">
        <v>3359</v>
      </c>
      <c r="P2016" t="s">
        <v>15211</v>
      </c>
      <c r="Q2016" t="s">
        <v>15211</v>
      </c>
      <c r="R2016" t="s">
        <v>15211</v>
      </c>
      <c r="S2016" t="s">
        <v>15211</v>
      </c>
      <c r="T2016" t="s">
        <v>3366</v>
      </c>
      <c r="U2016" t="s">
        <v>13899</v>
      </c>
      <c r="V2016" t="s">
        <v>15212</v>
      </c>
    </row>
    <row r="2017" spans="1:22" ht="17.399999999999999" hidden="1">
      <c r="A2017" t="s">
        <v>15357</v>
      </c>
      <c r="B2017" t="s">
        <v>15441</v>
      </c>
      <c r="C2017" t="s">
        <v>15445</v>
      </c>
      <c r="D2017" t="s">
        <v>2015</v>
      </c>
      <c r="E2017" t="s">
        <v>3438</v>
      </c>
      <c r="F2017" t="s">
        <v>3429</v>
      </c>
      <c r="G2017" s="3">
        <v>35.497802551514397</v>
      </c>
      <c r="H2017" s="3">
        <v>128.60440437770399</v>
      </c>
      <c r="I2017" t="s">
        <v>5782</v>
      </c>
      <c r="J2017" t="s">
        <v>9138</v>
      </c>
      <c r="K2017" t="s">
        <v>11234</v>
      </c>
      <c r="L2017" t="s">
        <v>3366</v>
      </c>
      <c r="M2017" t="s">
        <v>11902</v>
      </c>
      <c r="N2017" t="s">
        <v>3363</v>
      </c>
      <c r="O2017" t="s">
        <v>3359</v>
      </c>
      <c r="P2017" t="s">
        <v>15211</v>
      </c>
      <c r="Q2017" t="s">
        <v>15211</v>
      </c>
      <c r="R2017" t="s">
        <v>15211</v>
      </c>
      <c r="S2017" t="s">
        <v>15211</v>
      </c>
      <c r="T2017" t="s">
        <v>3366</v>
      </c>
      <c r="U2017" t="s">
        <v>13900</v>
      </c>
      <c r="V2017" t="s">
        <v>15212</v>
      </c>
    </row>
    <row r="2018" spans="1:22" ht="17.399999999999999" hidden="1">
      <c r="A2018" t="s">
        <v>15357</v>
      </c>
      <c r="B2018" t="s">
        <v>15441</v>
      </c>
      <c r="C2018" t="s">
        <v>15446</v>
      </c>
      <c r="D2018" t="s">
        <v>2016</v>
      </c>
      <c r="E2018" t="s">
        <v>3436</v>
      </c>
      <c r="F2018" t="s">
        <v>3433</v>
      </c>
      <c r="G2018" s="3">
        <v>35.497802507959001</v>
      </c>
      <c r="H2018" s="3">
        <v>128.604404395091</v>
      </c>
      <c r="I2018" t="s">
        <v>5783</v>
      </c>
      <c r="J2018" t="s">
        <v>9139</v>
      </c>
      <c r="K2018" t="s">
        <v>11549</v>
      </c>
      <c r="L2018" t="s">
        <v>3378</v>
      </c>
      <c r="M2018" t="s">
        <v>11902</v>
      </c>
      <c r="N2018" t="s">
        <v>3363</v>
      </c>
      <c r="O2018" t="s">
        <v>3359</v>
      </c>
      <c r="P2018" t="s">
        <v>15211</v>
      </c>
      <c r="Q2018" t="s">
        <v>15211</v>
      </c>
      <c r="R2018" t="s">
        <v>15211</v>
      </c>
      <c r="S2018" t="s">
        <v>15211</v>
      </c>
      <c r="T2018" t="s">
        <v>3366</v>
      </c>
      <c r="U2018" t="s">
        <v>13901</v>
      </c>
      <c r="V2018" t="s">
        <v>15213</v>
      </c>
    </row>
    <row r="2019" spans="1:22" ht="17.399999999999999" hidden="1">
      <c r="A2019" t="s">
        <v>15357</v>
      </c>
      <c r="B2019" t="s">
        <v>15441</v>
      </c>
      <c r="C2019" t="s">
        <v>15446</v>
      </c>
      <c r="D2019" t="s">
        <v>2017</v>
      </c>
      <c r="E2019" t="s">
        <v>3436</v>
      </c>
      <c r="F2019" t="s">
        <v>3433</v>
      </c>
      <c r="G2019" s="3">
        <v>35.497802470499302</v>
      </c>
      <c r="H2019" s="3">
        <v>128.604404415917</v>
      </c>
      <c r="I2019" t="s">
        <v>5784</v>
      </c>
      <c r="J2019" t="s">
        <v>9140</v>
      </c>
      <c r="K2019" t="s">
        <v>11550</v>
      </c>
      <c r="L2019" t="s">
        <v>3366</v>
      </c>
      <c r="M2019" t="s">
        <v>11902</v>
      </c>
      <c r="N2019" t="s">
        <v>3363</v>
      </c>
      <c r="O2019" t="s">
        <v>3359</v>
      </c>
      <c r="P2019" t="s">
        <v>15211</v>
      </c>
      <c r="Q2019" t="s">
        <v>15211</v>
      </c>
      <c r="R2019" t="s">
        <v>15211</v>
      </c>
      <c r="S2019" t="s">
        <v>15211</v>
      </c>
      <c r="T2019" t="s">
        <v>3366</v>
      </c>
      <c r="U2019" t="s">
        <v>13902</v>
      </c>
      <c r="V2019" t="s">
        <v>15213</v>
      </c>
    </row>
    <row r="2020" spans="1:22" ht="17.399999999999999" hidden="1">
      <c r="A2020" t="s">
        <v>15357</v>
      </c>
      <c r="B2020" t="s">
        <v>15441</v>
      </c>
      <c r="C2020" t="s">
        <v>15446</v>
      </c>
      <c r="D2020" t="s">
        <v>2018</v>
      </c>
      <c r="E2020" t="s">
        <v>3436</v>
      </c>
      <c r="F2020" t="s">
        <v>3433</v>
      </c>
      <c r="G2020" s="3">
        <v>35.497802437831801</v>
      </c>
      <c r="H2020" s="3">
        <v>128.60440439905801</v>
      </c>
      <c r="I2020" t="s">
        <v>5785</v>
      </c>
      <c r="J2020" t="s">
        <v>9141</v>
      </c>
      <c r="K2020" t="s">
        <v>11547</v>
      </c>
      <c r="L2020" t="s">
        <v>3366</v>
      </c>
      <c r="M2020" t="s">
        <v>11900</v>
      </c>
      <c r="N2020" t="s">
        <v>3363</v>
      </c>
      <c r="O2020" t="s">
        <v>3359</v>
      </c>
      <c r="P2020" t="s">
        <v>15211</v>
      </c>
      <c r="Q2020" t="s">
        <v>15211</v>
      </c>
      <c r="R2020" t="s">
        <v>15211</v>
      </c>
      <c r="S2020" t="s">
        <v>15211</v>
      </c>
      <c r="T2020" t="s">
        <v>3366</v>
      </c>
      <c r="U2020" t="s">
        <v>13903</v>
      </c>
      <c r="V2020" t="s">
        <v>15213</v>
      </c>
    </row>
    <row r="2021" spans="1:22" ht="17.399999999999999" hidden="1">
      <c r="A2021" t="s">
        <v>15357</v>
      </c>
      <c r="B2021" t="s">
        <v>15441</v>
      </c>
      <c r="C2021" t="s">
        <v>15447</v>
      </c>
      <c r="D2021" t="s">
        <v>2019</v>
      </c>
      <c r="E2021" t="s">
        <v>3428</v>
      </c>
      <c r="F2021" t="s">
        <v>3432</v>
      </c>
      <c r="G2021" s="3">
        <v>35.497802376653802</v>
      </c>
      <c r="H2021" s="3">
        <v>128.604404451281</v>
      </c>
      <c r="I2021" t="s">
        <v>5786</v>
      </c>
      <c r="J2021" t="s">
        <v>9142</v>
      </c>
      <c r="K2021" t="s">
        <v>11551</v>
      </c>
      <c r="L2021" t="s">
        <v>3379</v>
      </c>
      <c r="M2021" t="s">
        <v>11909</v>
      </c>
      <c r="N2021" t="s">
        <v>3362</v>
      </c>
      <c r="O2021" t="s">
        <v>15211</v>
      </c>
      <c r="P2021" t="s">
        <v>15211</v>
      </c>
      <c r="Q2021" t="s">
        <v>15211</v>
      </c>
      <c r="R2021" t="s">
        <v>15211</v>
      </c>
      <c r="S2021" t="s">
        <v>15211</v>
      </c>
      <c r="T2021" t="s">
        <v>3362</v>
      </c>
      <c r="U2021" t="s">
        <v>13904</v>
      </c>
      <c r="V2021" t="s">
        <v>15214</v>
      </c>
    </row>
    <row r="2022" spans="1:22" ht="17.399999999999999" hidden="1">
      <c r="A2022" t="s">
        <v>15357</v>
      </c>
      <c r="B2022" t="s">
        <v>15441</v>
      </c>
      <c r="C2022" t="s">
        <v>15447</v>
      </c>
      <c r="D2022" t="s">
        <v>2020</v>
      </c>
      <c r="E2022" t="s">
        <v>3436</v>
      </c>
      <c r="F2022" t="s">
        <v>3432</v>
      </c>
      <c r="G2022" s="3">
        <v>35.497802376310403</v>
      </c>
      <c r="H2022" s="3">
        <v>128.604404503392</v>
      </c>
      <c r="I2022" t="s">
        <v>5787</v>
      </c>
      <c r="J2022" t="s">
        <v>9143</v>
      </c>
      <c r="K2022" t="s">
        <v>11552</v>
      </c>
      <c r="L2022" t="s">
        <v>3366</v>
      </c>
      <c r="M2022" t="s">
        <v>11909</v>
      </c>
      <c r="N2022" t="s">
        <v>3363</v>
      </c>
      <c r="O2022" t="s">
        <v>15211</v>
      </c>
      <c r="P2022" t="s">
        <v>15211</v>
      </c>
      <c r="Q2022" t="s">
        <v>15211</v>
      </c>
      <c r="R2022" t="s">
        <v>15211</v>
      </c>
      <c r="S2022" t="s">
        <v>15211</v>
      </c>
      <c r="T2022" t="s">
        <v>3363</v>
      </c>
      <c r="U2022" t="s">
        <v>13905</v>
      </c>
      <c r="V2022" t="s">
        <v>15214</v>
      </c>
    </row>
    <row r="2023" spans="1:22" ht="17.399999999999999" hidden="1">
      <c r="A2023" t="s">
        <v>15357</v>
      </c>
      <c r="B2023" t="s">
        <v>15441</v>
      </c>
      <c r="C2023" t="s">
        <v>15447</v>
      </c>
      <c r="D2023" t="s">
        <v>2021</v>
      </c>
      <c r="E2023" t="s">
        <v>3436</v>
      </c>
      <c r="F2023" t="s">
        <v>3433</v>
      </c>
      <c r="G2023" s="3">
        <v>35.497802336995498</v>
      </c>
      <c r="H2023" s="3">
        <v>128.604404463219</v>
      </c>
      <c r="I2023" t="s">
        <v>5788</v>
      </c>
      <c r="J2023" t="s">
        <v>9144</v>
      </c>
      <c r="K2023" t="s">
        <v>11553</v>
      </c>
      <c r="L2023" t="s">
        <v>3366</v>
      </c>
      <c r="M2023" t="s">
        <v>11909</v>
      </c>
      <c r="N2023" t="s">
        <v>3362</v>
      </c>
      <c r="O2023" t="s">
        <v>15211</v>
      </c>
      <c r="P2023" t="s">
        <v>15211</v>
      </c>
      <c r="Q2023" t="s">
        <v>15211</v>
      </c>
      <c r="R2023" t="s">
        <v>15211</v>
      </c>
      <c r="S2023" t="s">
        <v>15211</v>
      </c>
      <c r="T2023" t="s">
        <v>3362</v>
      </c>
      <c r="U2023" t="s">
        <v>13906</v>
      </c>
      <c r="V2023" t="s">
        <v>15214</v>
      </c>
    </row>
    <row r="2024" spans="1:22" ht="17.399999999999999" hidden="1">
      <c r="A2024" t="s">
        <v>15357</v>
      </c>
      <c r="B2024" t="s">
        <v>15441</v>
      </c>
      <c r="C2024" t="s">
        <v>15448</v>
      </c>
      <c r="D2024" t="s">
        <v>2022</v>
      </c>
      <c r="E2024" t="s">
        <v>3441</v>
      </c>
      <c r="F2024" t="s">
        <v>3477</v>
      </c>
      <c r="G2024" s="3">
        <v>35.4978024760007</v>
      </c>
      <c r="H2024" s="3">
        <v>128.60440435874</v>
      </c>
      <c r="I2024" t="s">
        <v>5789</v>
      </c>
      <c r="J2024" t="s">
        <v>9145</v>
      </c>
      <c r="K2024" t="s">
        <v>11433</v>
      </c>
      <c r="L2024" t="s">
        <v>3379</v>
      </c>
      <c r="M2024" t="s">
        <v>11889</v>
      </c>
      <c r="N2024" t="s">
        <v>3363</v>
      </c>
      <c r="O2024" t="s">
        <v>3358</v>
      </c>
      <c r="P2024" t="s">
        <v>3360</v>
      </c>
      <c r="Q2024" t="s">
        <v>3359</v>
      </c>
      <c r="R2024" t="s">
        <v>15211</v>
      </c>
      <c r="S2024" t="s">
        <v>15211</v>
      </c>
      <c r="T2024" t="s">
        <v>3372</v>
      </c>
      <c r="U2024" t="s">
        <v>13907</v>
      </c>
      <c r="V2024" t="s">
        <v>15215</v>
      </c>
    </row>
    <row r="2025" spans="1:22" ht="17.399999999999999" hidden="1">
      <c r="A2025" t="s">
        <v>15357</v>
      </c>
      <c r="B2025" t="s">
        <v>15441</v>
      </c>
      <c r="C2025" t="s">
        <v>15448</v>
      </c>
      <c r="D2025" t="s">
        <v>2023</v>
      </c>
      <c r="E2025" t="s">
        <v>3441</v>
      </c>
      <c r="F2025" t="s">
        <v>3611</v>
      </c>
      <c r="G2025" s="3">
        <v>35.497802502731297</v>
      </c>
      <c r="H2025" s="3">
        <v>128.60440437486099</v>
      </c>
      <c r="I2025" t="s">
        <v>5790</v>
      </c>
      <c r="J2025" t="s">
        <v>9146</v>
      </c>
      <c r="K2025" t="s">
        <v>10939</v>
      </c>
      <c r="L2025" t="s">
        <v>3366</v>
      </c>
      <c r="M2025" t="s">
        <v>11899</v>
      </c>
      <c r="N2025" t="s">
        <v>3363</v>
      </c>
      <c r="O2025" t="s">
        <v>3359</v>
      </c>
      <c r="P2025" t="s">
        <v>3362</v>
      </c>
      <c r="Q2025" t="s">
        <v>3358</v>
      </c>
      <c r="R2025" t="s">
        <v>3357</v>
      </c>
      <c r="S2025" t="s">
        <v>15211</v>
      </c>
      <c r="T2025" t="s">
        <v>3375</v>
      </c>
      <c r="U2025" t="s">
        <v>13908</v>
      </c>
      <c r="V2025" t="s">
        <v>15215</v>
      </c>
    </row>
    <row r="2026" spans="1:22" ht="17.399999999999999" hidden="1">
      <c r="A2026" t="s">
        <v>15357</v>
      </c>
      <c r="B2026" t="s">
        <v>15441</v>
      </c>
      <c r="C2026" t="s">
        <v>15448</v>
      </c>
      <c r="D2026" t="s">
        <v>2024</v>
      </c>
      <c r="E2026" t="s">
        <v>3441</v>
      </c>
      <c r="F2026" t="s">
        <v>3611</v>
      </c>
      <c r="G2026" s="3">
        <v>35.4978024984432</v>
      </c>
      <c r="H2026" s="3">
        <v>128.60440437497101</v>
      </c>
      <c r="I2026" t="s">
        <v>5791</v>
      </c>
      <c r="J2026" t="s">
        <v>9147</v>
      </c>
      <c r="K2026" t="s">
        <v>10897</v>
      </c>
      <c r="L2026" t="s">
        <v>3366</v>
      </c>
      <c r="M2026" t="s">
        <v>11888</v>
      </c>
      <c r="N2026" t="s">
        <v>3364</v>
      </c>
      <c r="O2026" t="s">
        <v>3359</v>
      </c>
      <c r="P2026" t="s">
        <v>3362</v>
      </c>
      <c r="Q2026" t="s">
        <v>3360</v>
      </c>
      <c r="R2026" t="s">
        <v>3357</v>
      </c>
      <c r="S2026" t="s">
        <v>15211</v>
      </c>
      <c r="T2026" t="s">
        <v>3378</v>
      </c>
      <c r="U2026" t="s">
        <v>13909</v>
      </c>
      <c r="V2026" t="s">
        <v>15215</v>
      </c>
    </row>
    <row r="2027" spans="1:22" ht="17.399999999999999" hidden="1">
      <c r="A2027" t="s">
        <v>15357</v>
      </c>
      <c r="B2027" t="s">
        <v>15441</v>
      </c>
      <c r="C2027" t="s">
        <v>15449</v>
      </c>
      <c r="D2027" t="s">
        <v>2025</v>
      </c>
      <c r="E2027" t="s">
        <v>3429</v>
      </c>
      <c r="F2027" t="s">
        <v>3484</v>
      </c>
      <c r="G2027" s="3">
        <v>35.497802586134</v>
      </c>
      <c r="H2027" s="3">
        <v>128.60440441649999</v>
      </c>
      <c r="I2027" t="s">
        <v>5792</v>
      </c>
      <c r="J2027" t="s">
        <v>9148</v>
      </c>
      <c r="K2027" t="s">
        <v>11554</v>
      </c>
      <c r="L2027" t="s">
        <v>3368</v>
      </c>
      <c r="M2027" t="s">
        <v>11903</v>
      </c>
      <c r="N2027" t="s">
        <v>3362</v>
      </c>
      <c r="O2027" t="s">
        <v>15211</v>
      </c>
      <c r="P2027" t="s">
        <v>3361</v>
      </c>
      <c r="Q2027" t="s">
        <v>3360</v>
      </c>
      <c r="R2027" t="s">
        <v>3357</v>
      </c>
      <c r="S2027" t="s">
        <v>15211</v>
      </c>
      <c r="T2027" t="s">
        <v>3372</v>
      </c>
      <c r="U2027" t="s">
        <v>13910</v>
      </c>
      <c r="V2027" t="s">
        <v>15216</v>
      </c>
    </row>
    <row r="2028" spans="1:22" ht="17.399999999999999" hidden="1">
      <c r="A2028" t="s">
        <v>15357</v>
      </c>
      <c r="B2028" t="s">
        <v>15441</v>
      </c>
      <c r="C2028" t="s">
        <v>15449</v>
      </c>
      <c r="D2028" t="s">
        <v>2026</v>
      </c>
      <c r="E2028" t="s">
        <v>3435</v>
      </c>
      <c r="F2028" t="s">
        <v>3484</v>
      </c>
      <c r="G2028" s="3">
        <v>35.497802594756003</v>
      </c>
      <c r="H2028" s="3">
        <v>128.60440437563901</v>
      </c>
      <c r="I2028" t="s">
        <v>5793</v>
      </c>
      <c r="J2028" t="s">
        <v>9149</v>
      </c>
      <c r="K2028" t="s">
        <v>11555</v>
      </c>
      <c r="L2028" t="s">
        <v>3366</v>
      </c>
      <c r="M2028" t="s">
        <v>11895</v>
      </c>
      <c r="N2028" t="s">
        <v>3362</v>
      </c>
      <c r="O2028" t="s">
        <v>15211</v>
      </c>
      <c r="P2028" t="s">
        <v>3361</v>
      </c>
      <c r="Q2028" t="s">
        <v>3360</v>
      </c>
      <c r="R2028" t="s">
        <v>3357</v>
      </c>
      <c r="S2028" t="s">
        <v>15211</v>
      </c>
      <c r="T2028" t="s">
        <v>3372</v>
      </c>
      <c r="U2028" t="s">
        <v>13911</v>
      </c>
      <c r="V2028" t="s">
        <v>15216</v>
      </c>
    </row>
    <row r="2029" spans="1:22" ht="17.399999999999999" hidden="1">
      <c r="A2029" t="s">
        <v>15357</v>
      </c>
      <c r="B2029" t="s">
        <v>15441</v>
      </c>
      <c r="C2029" t="s">
        <v>15449</v>
      </c>
      <c r="D2029" t="s">
        <v>2027</v>
      </c>
      <c r="E2029" t="s">
        <v>3435</v>
      </c>
      <c r="F2029" t="s">
        <v>3511</v>
      </c>
      <c r="G2029" s="3">
        <v>35.4978025908474</v>
      </c>
      <c r="H2029" s="3">
        <v>128.60440436974301</v>
      </c>
      <c r="I2029" t="s">
        <v>5794</v>
      </c>
      <c r="J2029" t="s">
        <v>9150</v>
      </c>
      <c r="K2029" t="s">
        <v>10970</v>
      </c>
      <c r="L2029" t="s">
        <v>3366</v>
      </c>
      <c r="M2029" t="s">
        <v>11895</v>
      </c>
      <c r="N2029" t="s">
        <v>3362</v>
      </c>
      <c r="O2029" t="s">
        <v>15211</v>
      </c>
      <c r="P2029" t="s">
        <v>3361</v>
      </c>
      <c r="Q2029" t="s">
        <v>3359</v>
      </c>
      <c r="R2029" t="s">
        <v>3357</v>
      </c>
      <c r="S2029" t="s">
        <v>15211</v>
      </c>
      <c r="T2029" t="s">
        <v>3371</v>
      </c>
      <c r="U2029" t="s">
        <v>13912</v>
      </c>
      <c r="V2029" t="s">
        <v>15216</v>
      </c>
    </row>
    <row r="2030" spans="1:22" ht="17.399999999999999" hidden="1">
      <c r="A2030" t="s">
        <v>15357</v>
      </c>
      <c r="B2030" t="s">
        <v>15442</v>
      </c>
      <c r="C2030" t="s">
        <v>15450</v>
      </c>
      <c r="D2030" t="s">
        <v>2028</v>
      </c>
      <c r="E2030" t="s">
        <v>3425</v>
      </c>
      <c r="F2030" t="s">
        <v>3452</v>
      </c>
      <c r="G2030" s="3">
        <v>35.497802434675599</v>
      </c>
      <c r="H2030" s="3">
        <v>128.60440425636699</v>
      </c>
      <c r="I2030" t="s">
        <v>5795</v>
      </c>
      <c r="J2030" t="s">
        <v>9151</v>
      </c>
      <c r="K2030" t="s">
        <v>11257</v>
      </c>
      <c r="L2030" t="s">
        <v>3368</v>
      </c>
      <c r="M2030" t="s">
        <v>11902</v>
      </c>
      <c r="N2030" t="s">
        <v>3362</v>
      </c>
      <c r="O2030" t="s">
        <v>3359</v>
      </c>
      <c r="P2030" t="s">
        <v>15211</v>
      </c>
      <c r="Q2030" t="s">
        <v>15211</v>
      </c>
      <c r="R2030" t="s">
        <v>15211</v>
      </c>
      <c r="S2030" t="s">
        <v>15211</v>
      </c>
      <c r="T2030" t="s">
        <v>3365</v>
      </c>
      <c r="U2030" t="s">
        <v>13913</v>
      </c>
      <c r="V2030" t="s">
        <v>15217</v>
      </c>
    </row>
    <row r="2031" spans="1:22" ht="17.399999999999999" hidden="1">
      <c r="A2031" t="s">
        <v>15357</v>
      </c>
      <c r="B2031" t="s">
        <v>15442</v>
      </c>
      <c r="C2031" t="s">
        <v>15450</v>
      </c>
      <c r="D2031" t="s">
        <v>2029</v>
      </c>
      <c r="E2031" t="s">
        <v>3431</v>
      </c>
      <c r="F2031" t="s">
        <v>3461</v>
      </c>
      <c r="G2031" s="3">
        <v>35.497802423024098</v>
      </c>
      <c r="H2031" s="3">
        <v>128.60440417300501</v>
      </c>
      <c r="I2031" t="s">
        <v>5796</v>
      </c>
      <c r="J2031" t="s">
        <v>9152</v>
      </c>
      <c r="K2031" t="s">
        <v>11419</v>
      </c>
      <c r="L2031" t="s">
        <v>3366</v>
      </c>
      <c r="M2031" t="s">
        <v>11900</v>
      </c>
      <c r="N2031" t="s">
        <v>3362</v>
      </c>
      <c r="O2031" t="s">
        <v>3359</v>
      </c>
      <c r="P2031" t="s">
        <v>15211</v>
      </c>
      <c r="Q2031" t="s">
        <v>15211</v>
      </c>
      <c r="R2031" t="s">
        <v>15211</v>
      </c>
      <c r="S2031" t="s">
        <v>15211</v>
      </c>
      <c r="T2031" t="s">
        <v>3365</v>
      </c>
      <c r="U2031" t="s">
        <v>13914</v>
      </c>
      <c r="V2031" t="s">
        <v>15217</v>
      </c>
    </row>
    <row r="2032" spans="1:22" ht="17.399999999999999" hidden="1">
      <c r="A2032" t="s">
        <v>15357</v>
      </c>
      <c r="B2032" t="s">
        <v>15442</v>
      </c>
      <c r="C2032" t="s">
        <v>15450</v>
      </c>
      <c r="D2032" t="s">
        <v>2030</v>
      </c>
      <c r="E2032" t="s">
        <v>3431</v>
      </c>
      <c r="F2032" t="s">
        <v>3426</v>
      </c>
      <c r="G2032" s="3">
        <v>35.4978024141029</v>
      </c>
      <c r="H2032" s="3">
        <v>128.604404172751</v>
      </c>
      <c r="I2032" t="s">
        <v>5797</v>
      </c>
      <c r="J2032" t="s">
        <v>9153</v>
      </c>
      <c r="K2032" t="s">
        <v>10742</v>
      </c>
      <c r="L2032" t="s">
        <v>3366</v>
      </c>
      <c r="M2032" t="s">
        <v>11900</v>
      </c>
      <c r="N2032" t="s">
        <v>3362</v>
      </c>
      <c r="O2032" t="s">
        <v>3359</v>
      </c>
      <c r="P2032" t="s">
        <v>15211</v>
      </c>
      <c r="Q2032" t="s">
        <v>15211</v>
      </c>
      <c r="R2032" t="s">
        <v>15211</v>
      </c>
      <c r="S2032" t="s">
        <v>15211</v>
      </c>
      <c r="T2032" t="s">
        <v>3365</v>
      </c>
      <c r="U2032" t="s">
        <v>13915</v>
      </c>
      <c r="V2032" t="s">
        <v>15217</v>
      </c>
    </row>
    <row r="2033" spans="1:22" ht="17.399999999999999" hidden="1">
      <c r="A2033" t="s">
        <v>15357</v>
      </c>
      <c r="B2033" t="s">
        <v>15442</v>
      </c>
      <c r="C2033" t="s">
        <v>15445</v>
      </c>
      <c r="D2033" t="s">
        <v>2031</v>
      </c>
      <c r="E2033" t="s">
        <v>3427</v>
      </c>
      <c r="F2033" t="s">
        <v>3429</v>
      </c>
      <c r="G2033" s="3">
        <v>35.497802431059597</v>
      </c>
      <c r="H2033" s="3">
        <v>128.60440427342499</v>
      </c>
      <c r="I2033" t="s">
        <v>5798</v>
      </c>
      <c r="J2033" t="s">
        <v>9154</v>
      </c>
      <c r="K2033" t="s">
        <v>11555</v>
      </c>
      <c r="L2033" t="s">
        <v>3380</v>
      </c>
      <c r="M2033" t="s">
        <v>11900</v>
      </c>
      <c r="N2033" t="s">
        <v>3362</v>
      </c>
      <c r="O2033" t="s">
        <v>3359</v>
      </c>
      <c r="P2033" t="s">
        <v>15211</v>
      </c>
      <c r="Q2033" t="s">
        <v>15211</v>
      </c>
      <c r="R2033" t="s">
        <v>15211</v>
      </c>
      <c r="S2033" t="s">
        <v>15211</v>
      </c>
      <c r="T2033" t="s">
        <v>3365</v>
      </c>
      <c r="U2033" t="s">
        <v>13916</v>
      </c>
      <c r="V2033" t="s">
        <v>15218</v>
      </c>
    </row>
    <row r="2034" spans="1:22" ht="17.399999999999999" hidden="1">
      <c r="A2034" t="s">
        <v>15357</v>
      </c>
      <c r="B2034" t="s">
        <v>15442</v>
      </c>
      <c r="C2034" t="s">
        <v>15445</v>
      </c>
      <c r="D2034" t="s">
        <v>2032</v>
      </c>
      <c r="E2034" t="s">
        <v>3438</v>
      </c>
      <c r="F2034" t="s">
        <v>3435</v>
      </c>
      <c r="G2034" s="3">
        <v>35.497802413012003</v>
      </c>
      <c r="H2034" s="3">
        <v>128.604404275077</v>
      </c>
      <c r="I2034" t="s">
        <v>5799</v>
      </c>
      <c r="J2034" t="s">
        <v>9155</v>
      </c>
      <c r="K2034" t="s">
        <v>11556</v>
      </c>
      <c r="L2034" t="s">
        <v>3366</v>
      </c>
      <c r="M2034" t="s">
        <v>11900</v>
      </c>
      <c r="N2034" t="s">
        <v>3362</v>
      </c>
      <c r="O2034" t="s">
        <v>3359</v>
      </c>
      <c r="P2034" t="s">
        <v>15211</v>
      </c>
      <c r="Q2034" t="s">
        <v>15211</v>
      </c>
      <c r="R2034" t="s">
        <v>15211</v>
      </c>
      <c r="S2034" t="s">
        <v>15211</v>
      </c>
      <c r="T2034" t="s">
        <v>3365</v>
      </c>
      <c r="U2034" t="s">
        <v>13917</v>
      </c>
      <c r="V2034" t="s">
        <v>15218</v>
      </c>
    </row>
    <row r="2035" spans="1:22" ht="17.399999999999999" hidden="1">
      <c r="A2035" t="s">
        <v>15357</v>
      </c>
      <c r="B2035" t="s">
        <v>15442</v>
      </c>
      <c r="C2035" t="s">
        <v>15445</v>
      </c>
      <c r="D2035" t="s">
        <v>2033</v>
      </c>
      <c r="E2035" t="s">
        <v>3440</v>
      </c>
      <c r="F2035" t="s">
        <v>3434</v>
      </c>
      <c r="G2035" s="3">
        <v>35.497802463361303</v>
      </c>
      <c r="H2035" s="3">
        <v>128.60440429297</v>
      </c>
      <c r="I2035" t="s">
        <v>5800</v>
      </c>
      <c r="J2035" t="s">
        <v>9156</v>
      </c>
      <c r="K2035" t="s">
        <v>10625</v>
      </c>
      <c r="L2035" t="s">
        <v>3366</v>
      </c>
      <c r="M2035" t="s">
        <v>11900</v>
      </c>
      <c r="N2035" t="s">
        <v>3362</v>
      </c>
      <c r="O2035" t="s">
        <v>3359</v>
      </c>
      <c r="P2035" t="s">
        <v>15211</v>
      </c>
      <c r="Q2035" t="s">
        <v>15211</v>
      </c>
      <c r="R2035" t="s">
        <v>15211</v>
      </c>
      <c r="S2035" t="s">
        <v>15211</v>
      </c>
      <c r="T2035" t="s">
        <v>3365</v>
      </c>
      <c r="U2035" t="s">
        <v>13918</v>
      </c>
      <c r="V2035" t="s">
        <v>15218</v>
      </c>
    </row>
    <row r="2036" spans="1:22" ht="17.399999999999999" hidden="1">
      <c r="A2036" t="s">
        <v>15357</v>
      </c>
      <c r="B2036" t="s">
        <v>15442</v>
      </c>
      <c r="C2036" t="s">
        <v>15451</v>
      </c>
      <c r="D2036" t="s">
        <v>2034</v>
      </c>
      <c r="E2036" t="s">
        <v>3440</v>
      </c>
      <c r="F2036" t="s">
        <v>3429</v>
      </c>
      <c r="G2036" s="3">
        <v>35.497802524995897</v>
      </c>
      <c r="H2036" s="3">
        <v>128.604404339989</v>
      </c>
      <c r="I2036" t="s">
        <v>5801</v>
      </c>
      <c r="J2036" t="s">
        <v>9157</v>
      </c>
      <c r="K2036" t="s">
        <v>11557</v>
      </c>
      <c r="L2036" t="s">
        <v>3383</v>
      </c>
      <c r="M2036" t="s">
        <v>11899</v>
      </c>
      <c r="N2036" t="s">
        <v>3362</v>
      </c>
      <c r="O2036" t="s">
        <v>3359</v>
      </c>
      <c r="P2036" t="s">
        <v>3361</v>
      </c>
      <c r="Q2036" t="s">
        <v>3359</v>
      </c>
      <c r="R2036" t="s">
        <v>15211</v>
      </c>
      <c r="S2036" t="s">
        <v>15211</v>
      </c>
      <c r="T2036" t="s">
        <v>3373</v>
      </c>
      <c r="U2036" t="s">
        <v>13919</v>
      </c>
      <c r="V2036" t="s">
        <v>15219</v>
      </c>
    </row>
    <row r="2037" spans="1:22" ht="17.399999999999999" hidden="1">
      <c r="A2037" t="s">
        <v>15357</v>
      </c>
      <c r="B2037" t="s">
        <v>15442</v>
      </c>
      <c r="C2037" t="s">
        <v>15451</v>
      </c>
      <c r="D2037" t="s">
        <v>2035</v>
      </c>
      <c r="E2037" t="s">
        <v>3438</v>
      </c>
      <c r="F2037" t="s">
        <v>3430</v>
      </c>
      <c r="G2037" s="3">
        <v>35.497802495539297</v>
      </c>
      <c r="H2037" s="3">
        <v>128.604404338834</v>
      </c>
      <c r="I2037" t="s">
        <v>5802</v>
      </c>
      <c r="J2037" t="s">
        <v>9158</v>
      </c>
      <c r="K2037" t="s">
        <v>10982</v>
      </c>
      <c r="L2037" t="s">
        <v>3366</v>
      </c>
      <c r="M2037" t="s">
        <v>11898</v>
      </c>
      <c r="N2037" t="s">
        <v>3362</v>
      </c>
      <c r="O2037" t="s">
        <v>3359</v>
      </c>
      <c r="P2037" t="s">
        <v>3362</v>
      </c>
      <c r="Q2037" t="s">
        <v>3359</v>
      </c>
      <c r="R2037" t="s">
        <v>15211</v>
      </c>
      <c r="S2037" t="s">
        <v>15211</v>
      </c>
      <c r="T2037" t="s">
        <v>3374</v>
      </c>
      <c r="U2037" t="s">
        <v>13920</v>
      </c>
      <c r="V2037" t="s">
        <v>15219</v>
      </c>
    </row>
    <row r="2038" spans="1:22" ht="17.399999999999999" hidden="1">
      <c r="A2038" t="s">
        <v>15357</v>
      </c>
      <c r="B2038" t="s">
        <v>15442</v>
      </c>
      <c r="C2038" t="s">
        <v>15451</v>
      </c>
      <c r="D2038" t="s">
        <v>2036</v>
      </c>
      <c r="E2038" t="s">
        <v>3438</v>
      </c>
      <c r="F2038" t="s">
        <v>3442</v>
      </c>
      <c r="G2038" s="3">
        <v>35.497802512174196</v>
      </c>
      <c r="H2038" s="3">
        <v>128.604404364521</v>
      </c>
      <c r="I2038" t="s">
        <v>5803</v>
      </c>
      <c r="J2038" t="s">
        <v>9159</v>
      </c>
      <c r="K2038" t="s">
        <v>10949</v>
      </c>
      <c r="L2038" t="s">
        <v>3366</v>
      </c>
      <c r="M2038" t="s">
        <v>11898</v>
      </c>
      <c r="N2038" t="s">
        <v>3362</v>
      </c>
      <c r="O2038" t="s">
        <v>3359</v>
      </c>
      <c r="P2038" t="s">
        <v>3362</v>
      </c>
      <c r="Q2038" t="s">
        <v>3359</v>
      </c>
      <c r="R2038" t="s">
        <v>15211</v>
      </c>
      <c r="S2038" t="s">
        <v>15211</v>
      </c>
      <c r="T2038" t="s">
        <v>3374</v>
      </c>
      <c r="U2038" t="s">
        <v>13921</v>
      </c>
      <c r="V2038" t="s">
        <v>15219</v>
      </c>
    </row>
    <row r="2039" spans="1:22" ht="17.399999999999999">
      <c r="A2039" t="s">
        <v>15357</v>
      </c>
      <c r="B2039" t="s">
        <v>15443</v>
      </c>
      <c r="C2039" t="s">
        <v>15452</v>
      </c>
      <c r="D2039" t="s">
        <v>2037</v>
      </c>
      <c r="E2039" t="s">
        <v>3534</v>
      </c>
      <c r="F2039" t="s">
        <v>3580</v>
      </c>
      <c r="G2039" s="3">
        <v>35.497802952528403</v>
      </c>
      <c r="H2039" s="3">
        <v>128.60440309734099</v>
      </c>
      <c r="I2039" t="s">
        <v>5804</v>
      </c>
      <c r="J2039" t="s">
        <v>9160</v>
      </c>
      <c r="K2039" t="s">
        <v>11558</v>
      </c>
      <c r="L2039" t="s">
        <v>3379</v>
      </c>
      <c r="M2039" t="s">
        <v>11902</v>
      </c>
      <c r="N2039" t="s">
        <v>3362</v>
      </c>
      <c r="O2039" t="s">
        <v>15211</v>
      </c>
      <c r="P2039" t="s">
        <v>3360</v>
      </c>
      <c r="Q2039" t="s">
        <v>15211</v>
      </c>
      <c r="R2039" t="s">
        <v>15211</v>
      </c>
      <c r="S2039" t="s">
        <v>15211</v>
      </c>
      <c r="T2039" t="s">
        <v>3366</v>
      </c>
      <c r="U2039" t="s">
        <v>13922</v>
      </c>
      <c r="V2039" t="s">
        <v>15220</v>
      </c>
    </row>
    <row r="2040" spans="1:22" ht="17.399999999999999">
      <c r="A2040" t="s">
        <v>15357</v>
      </c>
      <c r="B2040" t="s">
        <v>15443</v>
      </c>
      <c r="C2040" t="s">
        <v>15452</v>
      </c>
      <c r="D2040" t="s">
        <v>2038</v>
      </c>
      <c r="E2040" t="s">
        <v>3535</v>
      </c>
      <c r="F2040" t="s">
        <v>3695</v>
      </c>
      <c r="G2040" s="3">
        <v>35.497803090150001</v>
      </c>
      <c r="H2040" s="3">
        <v>128.60440311336899</v>
      </c>
      <c r="I2040" t="s">
        <v>5805</v>
      </c>
      <c r="J2040" t="s">
        <v>9161</v>
      </c>
      <c r="K2040" t="s">
        <v>10600</v>
      </c>
      <c r="L2040" t="s">
        <v>3366</v>
      </c>
      <c r="M2040" t="s">
        <v>11902</v>
      </c>
      <c r="N2040" t="s">
        <v>3362</v>
      </c>
      <c r="O2040" t="s">
        <v>15211</v>
      </c>
      <c r="P2040" t="s">
        <v>3360</v>
      </c>
      <c r="Q2040" t="s">
        <v>15211</v>
      </c>
      <c r="R2040" t="s">
        <v>15211</v>
      </c>
      <c r="S2040" t="s">
        <v>15211</v>
      </c>
      <c r="T2040" t="s">
        <v>3366</v>
      </c>
      <c r="U2040" t="s">
        <v>13923</v>
      </c>
      <c r="V2040" t="s">
        <v>15220</v>
      </c>
    </row>
    <row r="2041" spans="1:22" ht="17.399999999999999">
      <c r="A2041" t="s">
        <v>15357</v>
      </c>
      <c r="B2041" t="s">
        <v>15443</v>
      </c>
      <c r="C2041" t="s">
        <v>15452</v>
      </c>
      <c r="D2041" t="s">
        <v>2039</v>
      </c>
      <c r="E2041" t="s">
        <v>3536</v>
      </c>
      <c r="F2041" t="s">
        <v>3690</v>
      </c>
      <c r="G2041" s="3">
        <v>35.497803166115297</v>
      </c>
      <c r="H2041" s="3">
        <v>128.604403098446</v>
      </c>
      <c r="I2041" t="s">
        <v>5806</v>
      </c>
      <c r="J2041" t="s">
        <v>9162</v>
      </c>
      <c r="K2041" t="s">
        <v>11559</v>
      </c>
      <c r="L2041" t="s">
        <v>3366</v>
      </c>
      <c r="M2041" t="s">
        <v>11902</v>
      </c>
      <c r="N2041" t="s">
        <v>3362</v>
      </c>
      <c r="O2041" t="s">
        <v>15211</v>
      </c>
      <c r="P2041" t="s">
        <v>3360</v>
      </c>
      <c r="Q2041" t="s">
        <v>15211</v>
      </c>
      <c r="R2041" t="s">
        <v>15211</v>
      </c>
      <c r="S2041" t="s">
        <v>15211</v>
      </c>
      <c r="T2041" t="s">
        <v>3366</v>
      </c>
      <c r="U2041" t="s">
        <v>13924</v>
      </c>
      <c r="V2041" t="s">
        <v>15220</v>
      </c>
    </row>
    <row r="2042" spans="1:22" ht="17.399999999999999" hidden="1">
      <c r="A2042" t="s">
        <v>15357</v>
      </c>
      <c r="B2042" t="s">
        <v>15443</v>
      </c>
      <c r="C2042" t="s">
        <v>15485</v>
      </c>
      <c r="D2042" t="s">
        <v>2040</v>
      </c>
      <c r="E2042" t="s">
        <v>3532</v>
      </c>
      <c r="F2042" t="s">
        <v>3696</v>
      </c>
      <c r="G2042" s="3">
        <v>35.497803923163701</v>
      </c>
      <c r="H2042" s="3">
        <v>128.60440323173799</v>
      </c>
      <c r="I2042" t="s">
        <v>5807</v>
      </c>
      <c r="J2042" t="s">
        <v>9163</v>
      </c>
      <c r="K2042" t="s">
        <v>10761</v>
      </c>
      <c r="L2042" t="s">
        <v>3384</v>
      </c>
      <c r="M2042" t="s">
        <v>11900</v>
      </c>
      <c r="N2042" t="s">
        <v>3362</v>
      </c>
      <c r="O2042" t="s">
        <v>15211</v>
      </c>
      <c r="P2042" t="s">
        <v>3359</v>
      </c>
      <c r="Q2042" t="s">
        <v>15211</v>
      </c>
      <c r="R2042" t="s">
        <v>15211</v>
      </c>
      <c r="S2042" t="s">
        <v>15211</v>
      </c>
      <c r="T2042" t="s">
        <v>3365</v>
      </c>
      <c r="U2042" t="s">
        <v>13925</v>
      </c>
      <c r="V2042" t="s">
        <v>15268</v>
      </c>
    </row>
    <row r="2043" spans="1:22" ht="17.399999999999999" hidden="1">
      <c r="A2043" t="s">
        <v>15357</v>
      </c>
      <c r="B2043" t="s">
        <v>15443</v>
      </c>
      <c r="C2043" t="s">
        <v>15485</v>
      </c>
      <c r="D2043" t="s">
        <v>2041</v>
      </c>
      <c r="E2043" t="s">
        <v>3537</v>
      </c>
      <c r="F2043" t="s">
        <v>3697</v>
      </c>
      <c r="G2043" s="3">
        <v>35.497803901180902</v>
      </c>
      <c r="H2043" s="3">
        <v>128.60440322217499</v>
      </c>
      <c r="I2043" t="s">
        <v>5808</v>
      </c>
      <c r="J2043" t="s">
        <v>9164</v>
      </c>
      <c r="K2043" t="s">
        <v>11560</v>
      </c>
      <c r="L2043" t="s">
        <v>3366</v>
      </c>
      <c r="M2043" t="s">
        <v>11892</v>
      </c>
      <c r="N2043" t="s">
        <v>3361</v>
      </c>
      <c r="O2043" t="s">
        <v>15211</v>
      </c>
      <c r="P2043" t="s">
        <v>3359</v>
      </c>
      <c r="Q2043" t="s">
        <v>15211</v>
      </c>
      <c r="R2043" t="s">
        <v>15211</v>
      </c>
      <c r="S2043" t="s">
        <v>15211</v>
      </c>
      <c r="T2043" t="s">
        <v>3364</v>
      </c>
      <c r="U2043" t="s">
        <v>13926</v>
      </c>
      <c r="V2043" t="s">
        <v>15268</v>
      </c>
    </row>
    <row r="2044" spans="1:22" ht="17.399999999999999" hidden="1">
      <c r="A2044" t="s">
        <v>15357</v>
      </c>
      <c r="B2044" t="s">
        <v>15443</v>
      </c>
      <c r="C2044" t="s">
        <v>15485</v>
      </c>
      <c r="D2044" t="s">
        <v>2042</v>
      </c>
      <c r="E2044" t="s">
        <v>3538</v>
      </c>
      <c r="F2044" t="s">
        <v>3698</v>
      </c>
      <c r="G2044" s="3">
        <v>35.497803901136599</v>
      </c>
      <c r="H2044" s="3">
        <v>128.60440326425001</v>
      </c>
      <c r="I2044" t="s">
        <v>5809</v>
      </c>
      <c r="J2044" t="s">
        <v>9165</v>
      </c>
      <c r="K2044" t="s">
        <v>11561</v>
      </c>
      <c r="L2044" t="s">
        <v>3366</v>
      </c>
      <c r="M2044" t="s">
        <v>11892</v>
      </c>
      <c r="N2044" t="s">
        <v>3361</v>
      </c>
      <c r="O2044" t="s">
        <v>15211</v>
      </c>
      <c r="P2044" t="s">
        <v>3359</v>
      </c>
      <c r="Q2044" t="s">
        <v>15211</v>
      </c>
      <c r="R2044" t="s">
        <v>15211</v>
      </c>
      <c r="S2044" t="s">
        <v>15211</v>
      </c>
      <c r="T2044" t="s">
        <v>3364</v>
      </c>
      <c r="U2044" t="s">
        <v>13927</v>
      </c>
      <c r="V2044" t="s">
        <v>15268</v>
      </c>
    </row>
    <row r="2045" spans="1:22" ht="17.399999999999999" hidden="1">
      <c r="A2045" t="s">
        <v>15358</v>
      </c>
      <c r="B2045" t="s">
        <v>15441</v>
      </c>
      <c r="C2045" t="s">
        <v>15445</v>
      </c>
      <c r="D2045" t="s">
        <v>2043</v>
      </c>
      <c r="E2045" t="s">
        <v>3443</v>
      </c>
      <c r="F2045" t="s">
        <v>3440</v>
      </c>
      <c r="G2045" s="3">
        <v>36.125869442859702</v>
      </c>
      <c r="H2045" s="3">
        <v>128.12840036781901</v>
      </c>
      <c r="I2045" t="s">
        <v>5810</v>
      </c>
      <c r="J2045" t="s">
        <v>9166</v>
      </c>
      <c r="K2045" t="s">
        <v>11327</v>
      </c>
      <c r="L2045" t="s">
        <v>3368</v>
      </c>
      <c r="M2045" t="s">
        <v>11885</v>
      </c>
      <c r="N2045" t="s">
        <v>3363</v>
      </c>
      <c r="O2045" t="s">
        <v>3361</v>
      </c>
      <c r="P2045" t="s">
        <v>15211</v>
      </c>
      <c r="Q2045" t="s">
        <v>15211</v>
      </c>
      <c r="R2045" t="s">
        <v>15211</v>
      </c>
      <c r="S2045" t="s">
        <v>15211</v>
      </c>
      <c r="T2045" t="s">
        <v>3368</v>
      </c>
      <c r="U2045" t="s">
        <v>13928</v>
      </c>
      <c r="V2045" t="s">
        <v>15212</v>
      </c>
    </row>
    <row r="2046" spans="1:22" ht="17.399999999999999" hidden="1">
      <c r="A2046" t="s">
        <v>15358</v>
      </c>
      <c r="B2046" t="s">
        <v>15441</v>
      </c>
      <c r="C2046" t="s">
        <v>15445</v>
      </c>
      <c r="D2046" t="s">
        <v>2044</v>
      </c>
      <c r="E2046" t="s">
        <v>3443</v>
      </c>
      <c r="F2046" t="s">
        <v>3440</v>
      </c>
      <c r="G2046" s="3">
        <v>36.1258694542285</v>
      </c>
      <c r="H2046" s="3">
        <v>128.12840035755499</v>
      </c>
      <c r="I2046" t="s">
        <v>5811</v>
      </c>
      <c r="J2046" t="s">
        <v>9167</v>
      </c>
      <c r="K2046" t="s">
        <v>11175</v>
      </c>
      <c r="L2046" t="s">
        <v>3366</v>
      </c>
      <c r="M2046" t="s">
        <v>11890</v>
      </c>
      <c r="N2046" t="s">
        <v>3363</v>
      </c>
      <c r="O2046" t="s">
        <v>3362</v>
      </c>
      <c r="P2046" t="s">
        <v>15211</v>
      </c>
      <c r="Q2046" t="s">
        <v>15211</v>
      </c>
      <c r="R2046" t="s">
        <v>15211</v>
      </c>
      <c r="S2046" t="s">
        <v>15211</v>
      </c>
      <c r="T2046" t="s">
        <v>3369</v>
      </c>
      <c r="U2046" t="s">
        <v>13929</v>
      </c>
      <c r="V2046" t="s">
        <v>15212</v>
      </c>
    </row>
    <row r="2047" spans="1:22" ht="17.399999999999999" hidden="1">
      <c r="A2047" t="s">
        <v>15358</v>
      </c>
      <c r="B2047" t="s">
        <v>15441</v>
      </c>
      <c r="C2047" t="s">
        <v>15445</v>
      </c>
      <c r="D2047" t="s">
        <v>2045</v>
      </c>
      <c r="E2047" t="s">
        <v>3443</v>
      </c>
      <c r="F2047" t="s">
        <v>3440</v>
      </c>
      <c r="G2047" s="3">
        <v>36.1258694735915</v>
      </c>
      <c r="H2047" s="3">
        <v>128.12840034726301</v>
      </c>
      <c r="I2047" t="s">
        <v>5812</v>
      </c>
      <c r="J2047" t="s">
        <v>9168</v>
      </c>
      <c r="K2047" t="s">
        <v>11562</v>
      </c>
      <c r="L2047" t="s">
        <v>3366</v>
      </c>
      <c r="M2047" t="s">
        <v>11890</v>
      </c>
      <c r="N2047" t="s">
        <v>3363</v>
      </c>
      <c r="O2047" t="s">
        <v>3362</v>
      </c>
      <c r="P2047" t="s">
        <v>15211</v>
      </c>
      <c r="Q2047" t="s">
        <v>15211</v>
      </c>
      <c r="R2047" t="s">
        <v>15211</v>
      </c>
      <c r="S2047" t="s">
        <v>15211</v>
      </c>
      <c r="T2047" t="s">
        <v>3369</v>
      </c>
      <c r="U2047" t="s">
        <v>13930</v>
      </c>
      <c r="V2047" t="s">
        <v>15212</v>
      </c>
    </row>
    <row r="2048" spans="1:22" ht="17.399999999999999" hidden="1">
      <c r="A2048" t="s">
        <v>15358</v>
      </c>
      <c r="B2048" t="s">
        <v>15441</v>
      </c>
      <c r="C2048" t="s">
        <v>15446</v>
      </c>
      <c r="D2048" t="s">
        <v>2046</v>
      </c>
      <c r="E2048" t="s">
        <v>3457</v>
      </c>
      <c r="F2048" t="s">
        <v>3439</v>
      </c>
      <c r="G2048" s="3">
        <v>36.1258694673637</v>
      </c>
      <c r="H2048" s="3">
        <v>128.12840033351301</v>
      </c>
      <c r="I2048" t="s">
        <v>5813</v>
      </c>
      <c r="J2048" t="s">
        <v>9169</v>
      </c>
      <c r="K2048" t="s">
        <v>11563</v>
      </c>
      <c r="L2048" t="s">
        <v>3381</v>
      </c>
      <c r="M2048" t="s">
        <v>11885</v>
      </c>
      <c r="N2048" t="s">
        <v>3363</v>
      </c>
      <c r="O2048" t="s">
        <v>3361</v>
      </c>
      <c r="P2048" t="s">
        <v>15211</v>
      </c>
      <c r="Q2048" t="s">
        <v>15211</v>
      </c>
      <c r="R2048" t="s">
        <v>15211</v>
      </c>
      <c r="S2048" t="s">
        <v>15211</v>
      </c>
      <c r="T2048" t="s">
        <v>3368</v>
      </c>
      <c r="U2048" t="s">
        <v>13931</v>
      </c>
      <c r="V2048" t="s">
        <v>15213</v>
      </c>
    </row>
    <row r="2049" spans="1:22" ht="17.399999999999999" hidden="1">
      <c r="A2049" t="s">
        <v>15358</v>
      </c>
      <c r="B2049" t="s">
        <v>15441</v>
      </c>
      <c r="C2049" t="s">
        <v>15446</v>
      </c>
      <c r="D2049" t="s">
        <v>2047</v>
      </c>
      <c r="E2049" t="s">
        <v>3457</v>
      </c>
      <c r="F2049" t="s">
        <v>3439</v>
      </c>
      <c r="G2049" s="3">
        <v>36.125869464471798</v>
      </c>
      <c r="H2049" s="3">
        <v>128.12840033105101</v>
      </c>
      <c r="I2049" t="s">
        <v>5814</v>
      </c>
      <c r="J2049" t="s">
        <v>9170</v>
      </c>
      <c r="K2049" t="s">
        <v>11564</v>
      </c>
      <c r="L2049" t="s">
        <v>3366</v>
      </c>
      <c r="M2049" t="s">
        <v>11885</v>
      </c>
      <c r="N2049" t="s">
        <v>3363</v>
      </c>
      <c r="O2049" t="s">
        <v>3361</v>
      </c>
      <c r="P2049" t="s">
        <v>15211</v>
      </c>
      <c r="Q2049" t="s">
        <v>15211</v>
      </c>
      <c r="R2049" t="s">
        <v>15211</v>
      </c>
      <c r="S2049" t="s">
        <v>15211</v>
      </c>
      <c r="T2049" t="s">
        <v>3368</v>
      </c>
      <c r="U2049" t="s">
        <v>13932</v>
      </c>
      <c r="V2049" t="s">
        <v>15213</v>
      </c>
    </row>
    <row r="2050" spans="1:22" ht="17.399999999999999" hidden="1">
      <c r="A2050" t="s">
        <v>15358</v>
      </c>
      <c r="B2050" t="s">
        <v>15441</v>
      </c>
      <c r="C2050" t="s">
        <v>15446</v>
      </c>
      <c r="D2050" t="s">
        <v>2048</v>
      </c>
      <c r="E2050" t="s">
        <v>3457</v>
      </c>
      <c r="F2050" t="s">
        <v>3439</v>
      </c>
      <c r="G2050" s="3">
        <v>36.125869482737002</v>
      </c>
      <c r="H2050" s="3">
        <v>128.12840031771401</v>
      </c>
      <c r="I2050" t="s">
        <v>5815</v>
      </c>
      <c r="J2050" t="s">
        <v>9171</v>
      </c>
      <c r="K2050" t="s">
        <v>11565</v>
      </c>
      <c r="L2050" t="s">
        <v>3366</v>
      </c>
      <c r="M2050" t="s">
        <v>11890</v>
      </c>
      <c r="N2050" t="s">
        <v>3363</v>
      </c>
      <c r="O2050" t="s">
        <v>3362</v>
      </c>
      <c r="P2050" t="s">
        <v>15211</v>
      </c>
      <c r="Q2050" t="s">
        <v>15211</v>
      </c>
      <c r="R2050" t="s">
        <v>15211</v>
      </c>
      <c r="S2050" t="s">
        <v>15211</v>
      </c>
      <c r="T2050" t="s">
        <v>3369</v>
      </c>
      <c r="U2050" t="s">
        <v>13933</v>
      </c>
      <c r="V2050" t="s">
        <v>15213</v>
      </c>
    </row>
    <row r="2051" spans="1:22" ht="17.399999999999999" hidden="1">
      <c r="A2051" t="s">
        <v>15358</v>
      </c>
      <c r="B2051" t="s">
        <v>15441</v>
      </c>
      <c r="C2051" t="s">
        <v>15447</v>
      </c>
      <c r="D2051" t="s">
        <v>2049</v>
      </c>
      <c r="E2051" t="s">
        <v>3439</v>
      </c>
      <c r="F2051" t="s">
        <v>3427</v>
      </c>
      <c r="G2051" s="3">
        <v>36.125869502334602</v>
      </c>
      <c r="H2051" s="3">
        <v>128.128400320092</v>
      </c>
      <c r="I2051" t="s">
        <v>5816</v>
      </c>
      <c r="J2051" t="s">
        <v>9172</v>
      </c>
      <c r="K2051" t="s">
        <v>10862</v>
      </c>
      <c r="L2051" t="s">
        <v>3371</v>
      </c>
      <c r="M2051" t="s">
        <v>11887</v>
      </c>
      <c r="N2051" t="s">
        <v>3363</v>
      </c>
      <c r="O2051" t="s">
        <v>15211</v>
      </c>
      <c r="P2051" t="s">
        <v>15211</v>
      </c>
      <c r="Q2051" t="s">
        <v>15211</v>
      </c>
      <c r="R2051" t="s">
        <v>15211</v>
      </c>
      <c r="S2051" t="s">
        <v>15211</v>
      </c>
      <c r="T2051" t="s">
        <v>3363</v>
      </c>
      <c r="U2051" t="s">
        <v>13934</v>
      </c>
      <c r="V2051" t="s">
        <v>15214</v>
      </c>
    </row>
    <row r="2052" spans="1:22" ht="17.399999999999999" hidden="1">
      <c r="A2052" t="s">
        <v>15358</v>
      </c>
      <c r="B2052" t="s">
        <v>15441</v>
      </c>
      <c r="C2052" t="s">
        <v>15447</v>
      </c>
      <c r="D2052" t="s">
        <v>2050</v>
      </c>
      <c r="E2052" t="s">
        <v>3437</v>
      </c>
      <c r="F2052" t="s">
        <v>3428</v>
      </c>
      <c r="G2052" s="3">
        <v>36.125869512596097</v>
      </c>
      <c r="H2052" s="3">
        <v>128.128400301293</v>
      </c>
      <c r="I2052" t="s">
        <v>5817</v>
      </c>
      <c r="J2052" t="s">
        <v>9173</v>
      </c>
      <c r="K2052" t="s">
        <v>10863</v>
      </c>
      <c r="L2052" t="s">
        <v>3366</v>
      </c>
      <c r="M2052" t="s">
        <v>11887</v>
      </c>
      <c r="N2052" t="s">
        <v>3363</v>
      </c>
      <c r="O2052" t="s">
        <v>15211</v>
      </c>
      <c r="P2052" t="s">
        <v>15211</v>
      </c>
      <c r="Q2052" t="s">
        <v>15211</v>
      </c>
      <c r="R2052" t="s">
        <v>15211</v>
      </c>
      <c r="S2052" t="s">
        <v>15211</v>
      </c>
      <c r="T2052" t="s">
        <v>3363</v>
      </c>
      <c r="U2052" t="s">
        <v>13935</v>
      </c>
      <c r="V2052" t="s">
        <v>15214</v>
      </c>
    </row>
    <row r="2053" spans="1:22" ht="17.399999999999999" hidden="1">
      <c r="A2053" t="s">
        <v>15358</v>
      </c>
      <c r="B2053" t="s">
        <v>15441</v>
      </c>
      <c r="C2053" t="s">
        <v>15447</v>
      </c>
      <c r="D2053" t="s">
        <v>2051</v>
      </c>
      <c r="E2053" t="s">
        <v>3440</v>
      </c>
      <c r="F2053" t="s">
        <v>3425</v>
      </c>
      <c r="G2053" s="3">
        <v>36.125869484652199</v>
      </c>
      <c r="H2053" s="3">
        <v>128.128400310323</v>
      </c>
      <c r="I2053" t="s">
        <v>5818</v>
      </c>
      <c r="J2053" t="s">
        <v>9174</v>
      </c>
      <c r="K2053" t="s">
        <v>11566</v>
      </c>
      <c r="L2053" t="s">
        <v>3366</v>
      </c>
      <c r="M2053" t="s">
        <v>11887</v>
      </c>
      <c r="N2053" t="s">
        <v>3363</v>
      </c>
      <c r="O2053" t="s">
        <v>15211</v>
      </c>
      <c r="P2053" t="s">
        <v>15211</v>
      </c>
      <c r="Q2053" t="s">
        <v>15211</v>
      </c>
      <c r="R2053" t="s">
        <v>15211</v>
      </c>
      <c r="S2053" t="s">
        <v>15211</v>
      </c>
      <c r="T2053" t="s">
        <v>3363</v>
      </c>
      <c r="U2053" t="s">
        <v>13936</v>
      </c>
      <c r="V2053" t="s">
        <v>15214</v>
      </c>
    </row>
    <row r="2054" spans="1:22" ht="17.399999999999999" hidden="1">
      <c r="A2054" t="s">
        <v>15358</v>
      </c>
      <c r="B2054" t="s">
        <v>15441</v>
      </c>
      <c r="C2054" t="s">
        <v>15448</v>
      </c>
      <c r="D2054" t="s">
        <v>2052</v>
      </c>
      <c r="E2054" t="s">
        <v>3439</v>
      </c>
      <c r="F2054" t="s">
        <v>3427</v>
      </c>
      <c r="G2054" s="3">
        <v>36.125869592951801</v>
      </c>
      <c r="H2054" s="3">
        <v>128.128400346391</v>
      </c>
      <c r="I2054" t="s">
        <v>5819</v>
      </c>
      <c r="J2054" t="s">
        <v>9175</v>
      </c>
      <c r="K2054" t="s">
        <v>10750</v>
      </c>
      <c r="L2054" t="s">
        <v>3368</v>
      </c>
      <c r="M2054" t="s">
        <v>11912</v>
      </c>
      <c r="N2054" t="s">
        <v>3363</v>
      </c>
      <c r="O2054" t="s">
        <v>3361</v>
      </c>
      <c r="P2054" t="s">
        <v>3362</v>
      </c>
      <c r="Q2054" t="s">
        <v>3363</v>
      </c>
      <c r="R2054" t="s">
        <v>3357</v>
      </c>
      <c r="S2054" t="s">
        <v>15211</v>
      </c>
      <c r="T2054" t="s">
        <v>3382</v>
      </c>
      <c r="U2054" t="s">
        <v>13937</v>
      </c>
      <c r="V2054" t="s">
        <v>15215</v>
      </c>
    </row>
    <row r="2055" spans="1:22" ht="17.399999999999999" hidden="1">
      <c r="A2055" t="s">
        <v>15358</v>
      </c>
      <c r="B2055" t="s">
        <v>15441</v>
      </c>
      <c r="C2055" t="s">
        <v>15448</v>
      </c>
      <c r="D2055" t="s">
        <v>2053</v>
      </c>
      <c r="E2055" t="s">
        <v>3439</v>
      </c>
      <c r="F2055" t="s">
        <v>3428</v>
      </c>
      <c r="G2055" s="3">
        <v>36.125869578000199</v>
      </c>
      <c r="H2055" s="3">
        <v>128.128400320992</v>
      </c>
      <c r="I2055" t="s">
        <v>5820</v>
      </c>
      <c r="J2055" t="s">
        <v>9176</v>
      </c>
      <c r="K2055" t="s">
        <v>11567</v>
      </c>
      <c r="L2055" t="s">
        <v>3366</v>
      </c>
      <c r="M2055" t="s">
        <v>11912</v>
      </c>
      <c r="N2055" t="s">
        <v>3363</v>
      </c>
      <c r="O2055" t="s">
        <v>3362</v>
      </c>
      <c r="P2055" t="s">
        <v>3362</v>
      </c>
      <c r="Q2055" t="s">
        <v>3363</v>
      </c>
      <c r="R2055" t="s">
        <v>3357</v>
      </c>
      <c r="S2055" t="s">
        <v>15211</v>
      </c>
      <c r="T2055" t="s">
        <v>3383</v>
      </c>
      <c r="U2055" t="s">
        <v>13938</v>
      </c>
      <c r="V2055" t="s">
        <v>15215</v>
      </c>
    </row>
    <row r="2056" spans="1:22" ht="17.399999999999999" hidden="1">
      <c r="A2056" t="s">
        <v>15358</v>
      </c>
      <c r="B2056" t="s">
        <v>15441</v>
      </c>
      <c r="C2056" t="s">
        <v>15448</v>
      </c>
      <c r="D2056" t="s">
        <v>2054</v>
      </c>
      <c r="E2056" t="s">
        <v>3437</v>
      </c>
      <c r="F2056" t="s">
        <v>3436</v>
      </c>
      <c r="G2056" s="3">
        <v>36.1258695744352</v>
      </c>
      <c r="H2056" s="3">
        <v>128.12840032569</v>
      </c>
      <c r="I2056" t="s">
        <v>5821</v>
      </c>
      <c r="J2056" t="s">
        <v>9177</v>
      </c>
      <c r="K2056" t="s">
        <v>11568</v>
      </c>
      <c r="L2056" t="s">
        <v>3366</v>
      </c>
      <c r="M2056" t="s">
        <v>11914</v>
      </c>
      <c r="N2056" t="s">
        <v>3363</v>
      </c>
      <c r="O2056" t="s">
        <v>3362</v>
      </c>
      <c r="P2056" t="s">
        <v>3362</v>
      </c>
      <c r="Q2056" t="s">
        <v>3363</v>
      </c>
      <c r="R2056" t="s">
        <v>3357</v>
      </c>
      <c r="S2056" t="s">
        <v>15211</v>
      </c>
      <c r="T2056" t="s">
        <v>3383</v>
      </c>
      <c r="U2056" t="s">
        <v>13930</v>
      </c>
      <c r="V2056" t="s">
        <v>15215</v>
      </c>
    </row>
    <row r="2057" spans="1:22" ht="17.399999999999999" hidden="1">
      <c r="A2057" t="s">
        <v>15358</v>
      </c>
      <c r="B2057" t="s">
        <v>15441</v>
      </c>
      <c r="C2057" t="s">
        <v>15449</v>
      </c>
      <c r="D2057" t="s">
        <v>2055</v>
      </c>
      <c r="E2057" t="s">
        <v>3443</v>
      </c>
      <c r="F2057" t="s">
        <v>3438</v>
      </c>
      <c r="G2057" s="3">
        <v>36.125869564952303</v>
      </c>
      <c r="H2057" s="3">
        <v>128.12840030527701</v>
      </c>
      <c r="I2057" t="s">
        <v>5822</v>
      </c>
      <c r="J2057" t="s">
        <v>9178</v>
      </c>
      <c r="K2057" t="s">
        <v>11568</v>
      </c>
      <c r="L2057" t="s">
        <v>3368</v>
      </c>
      <c r="M2057" t="s">
        <v>11914</v>
      </c>
      <c r="N2057" t="s">
        <v>3363</v>
      </c>
      <c r="O2057" t="s">
        <v>3362</v>
      </c>
      <c r="P2057" t="s">
        <v>3362</v>
      </c>
      <c r="Q2057" t="s">
        <v>3363</v>
      </c>
      <c r="R2057" t="s">
        <v>3357</v>
      </c>
      <c r="S2057" t="s">
        <v>15211</v>
      </c>
      <c r="T2057" t="s">
        <v>3383</v>
      </c>
      <c r="U2057" t="s">
        <v>13939</v>
      </c>
      <c r="V2057" t="s">
        <v>15216</v>
      </c>
    </row>
    <row r="2058" spans="1:22" ht="17.399999999999999" hidden="1">
      <c r="A2058" t="s">
        <v>15358</v>
      </c>
      <c r="B2058" t="s">
        <v>15441</v>
      </c>
      <c r="C2058" t="s">
        <v>15449</v>
      </c>
      <c r="D2058" t="s">
        <v>2056</v>
      </c>
      <c r="E2058" t="s">
        <v>3443</v>
      </c>
      <c r="F2058" t="s">
        <v>3427</v>
      </c>
      <c r="G2058" s="3">
        <v>36.125869565006901</v>
      </c>
      <c r="H2058" s="3">
        <v>128.128400306282</v>
      </c>
      <c r="I2058" t="s">
        <v>5823</v>
      </c>
      <c r="J2058" t="s">
        <v>9179</v>
      </c>
      <c r="K2058" t="s">
        <v>11568</v>
      </c>
      <c r="L2058" t="s">
        <v>3366</v>
      </c>
      <c r="M2058" t="s">
        <v>11914</v>
      </c>
      <c r="N2058" t="s">
        <v>3363</v>
      </c>
      <c r="O2058" t="s">
        <v>3362</v>
      </c>
      <c r="P2058" t="s">
        <v>3362</v>
      </c>
      <c r="Q2058" t="s">
        <v>3363</v>
      </c>
      <c r="R2058" t="s">
        <v>3357</v>
      </c>
      <c r="S2058" t="s">
        <v>15211</v>
      </c>
      <c r="T2058" t="s">
        <v>3383</v>
      </c>
      <c r="U2058" t="s">
        <v>13940</v>
      </c>
      <c r="V2058" t="s">
        <v>15216</v>
      </c>
    </row>
    <row r="2059" spans="1:22" ht="17.399999999999999" hidden="1">
      <c r="A2059" t="s">
        <v>15358</v>
      </c>
      <c r="B2059" t="s">
        <v>15441</v>
      </c>
      <c r="C2059" t="s">
        <v>15449</v>
      </c>
      <c r="D2059" t="s">
        <v>2057</v>
      </c>
      <c r="E2059" t="s">
        <v>3439</v>
      </c>
      <c r="F2059" t="s">
        <v>3427</v>
      </c>
      <c r="G2059" s="3">
        <v>36.125869543598803</v>
      </c>
      <c r="H2059" s="3">
        <v>128.128400311501</v>
      </c>
      <c r="I2059" t="s">
        <v>5824</v>
      </c>
      <c r="J2059" t="s">
        <v>9180</v>
      </c>
      <c r="K2059" t="s">
        <v>11568</v>
      </c>
      <c r="L2059" t="s">
        <v>3366</v>
      </c>
      <c r="M2059" t="s">
        <v>11914</v>
      </c>
      <c r="N2059" t="s">
        <v>3363</v>
      </c>
      <c r="O2059" t="s">
        <v>3362</v>
      </c>
      <c r="P2059" t="s">
        <v>3362</v>
      </c>
      <c r="Q2059" t="s">
        <v>3363</v>
      </c>
      <c r="R2059" t="s">
        <v>3357</v>
      </c>
      <c r="S2059" t="s">
        <v>15211</v>
      </c>
      <c r="T2059" t="s">
        <v>3383</v>
      </c>
      <c r="U2059" t="s">
        <v>13941</v>
      </c>
      <c r="V2059" t="s">
        <v>15216</v>
      </c>
    </row>
    <row r="2060" spans="1:22" ht="17.399999999999999" hidden="1">
      <c r="A2060" t="s">
        <v>15358</v>
      </c>
      <c r="B2060" t="s">
        <v>15442</v>
      </c>
      <c r="C2060" t="s">
        <v>15450</v>
      </c>
      <c r="D2060" t="s">
        <v>2058</v>
      </c>
      <c r="E2060" t="s">
        <v>3439</v>
      </c>
      <c r="F2060" t="s">
        <v>3438</v>
      </c>
      <c r="G2060" s="3">
        <v>36.125869502810303</v>
      </c>
      <c r="H2060" s="3">
        <v>128.128400364942</v>
      </c>
      <c r="I2060" t="s">
        <v>5825</v>
      </c>
      <c r="J2060" t="s">
        <v>9181</v>
      </c>
      <c r="K2060" t="s">
        <v>11175</v>
      </c>
      <c r="L2060" t="s">
        <v>3373</v>
      </c>
      <c r="M2060" t="s">
        <v>11885</v>
      </c>
      <c r="N2060" t="s">
        <v>3363</v>
      </c>
      <c r="O2060" t="s">
        <v>3361</v>
      </c>
      <c r="P2060" t="s">
        <v>15211</v>
      </c>
      <c r="Q2060" t="s">
        <v>15211</v>
      </c>
      <c r="R2060" t="s">
        <v>15211</v>
      </c>
      <c r="S2060" t="s">
        <v>15211</v>
      </c>
      <c r="T2060" t="s">
        <v>3368</v>
      </c>
      <c r="U2060" t="s">
        <v>13942</v>
      </c>
      <c r="V2060" t="s">
        <v>15217</v>
      </c>
    </row>
    <row r="2061" spans="1:22" ht="17.399999999999999" hidden="1">
      <c r="A2061" t="s">
        <v>15358</v>
      </c>
      <c r="B2061" t="s">
        <v>15442</v>
      </c>
      <c r="C2061" t="s">
        <v>15450</v>
      </c>
      <c r="D2061" t="s">
        <v>2059</v>
      </c>
      <c r="E2061" t="s">
        <v>3443</v>
      </c>
      <c r="F2061" t="s">
        <v>3440</v>
      </c>
      <c r="G2061" s="3">
        <v>36.1258695032368</v>
      </c>
      <c r="H2061" s="3">
        <v>128.128400352336</v>
      </c>
      <c r="I2061" t="s">
        <v>5826</v>
      </c>
      <c r="J2061" t="s">
        <v>9182</v>
      </c>
      <c r="K2061" t="s">
        <v>10815</v>
      </c>
      <c r="L2061" t="s">
        <v>3366</v>
      </c>
      <c r="M2061" t="s">
        <v>11890</v>
      </c>
      <c r="N2061" t="s">
        <v>3363</v>
      </c>
      <c r="O2061" t="s">
        <v>3362</v>
      </c>
      <c r="P2061" t="s">
        <v>15211</v>
      </c>
      <c r="Q2061" t="s">
        <v>15211</v>
      </c>
      <c r="R2061" t="s">
        <v>15211</v>
      </c>
      <c r="S2061" t="s">
        <v>15211</v>
      </c>
      <c r="T2061" t="s">
        <v>3369</v>
      </c>
      <c r="U2061" t="s">
        <v>13943</v>
      </c>
      <c r="V2061" t="s">
        <v>15217</v>
      </c>
    </row>
    <row r="2062" spans="1:22" ht="17.399999999999999" hidden="1">
      <c r="A2062" t="s">
        <v>15358</v>
      </c>
      <c r="B2062" t="s">
        <v>15442</v>
      </c>
      <c r="C2062" t="s">
        <v>15450</v>
      </c>
      <c r="D2062" t="s">
        <v>2060</v>
      </c>
      <c r="E2062" t="s">
        <v>3443</v>
      </c>
      <c r="F2062" t="s">
        <v>3440</v>
      </c>
      <c r="G2062" s="3">
        <v>36.125869512282598</v>
      </c>
      <c r="H2062" s="3">
        <v>128.12840035612101</v>
      </c>
      <c r="I2062" t="s">
        <v>5827</v>
      </c>
      <c r="J2062" t="s">
        <v>9183</v>
      </c>
      <c r="K2062" t="s">
        <v>10815</v>
      </c>
      <c r="L2062" t="s">
        <v>3366</v>
      </c>
      <c r="M2062" t="s">
        <v>11890</v>
      </c>
      <c r="N2062" t="s">
        <v>3363</v>
      </c>
      <c r="O2062" t="s">
        <v>3362</v>
      </c>
      <c r="P2062" t="s">
        <v>15211</v>
      </c>
      <c r="Q2062" t="s">
        <v>15211</v>
      </c>
      <c r="R2062" t="s">
        <v>15211</v>
      </c>
      <c r="S2062" t="s">
        <v>15211</v>
      </c>
      <c r="T2062" t="s">
        <v>3369</v>
      </c>
      <c r="U2062" t="s">
        <v>13944</v>
      </c>
      <c r="V2062" t="s">
        <v>15217</v>
      </c>
    </row>
    <row r="2063" spans="1:22" ht="17.399999999999999" hidden="1">
      <c r="A2063" t="s">
        <v>15358</v>
      </c>
      <c r="B2063" t="s">
        <v>15442</v>
      </c>
      <c r="C2063" t="s">
        <v>15445</v>
      </c>
      <c r="D2063" t="s">
        <v>2061</v>
      </c>
      <c r="E2063" t="s">
        <v>3457</v>
      </c>
      <c r="F2063" t="s">
        <v>3439</v>
      </c>
      <c r="G2063" s="3">
        <v>36.125869494818602</v>
      </c>
      <c r="H2063" s="3">
        <v>128.12840037661999</v>
      </c>
      <c r="I2063" t="s">
        <v>5828</v>
      </c>
      <c r="J2063" t="s">
        <v>9184</v>
      </c>
      <c r="K2063" t="s">
        <v>11569</v>
      </c>
      <c r="L2063" t="s">
        <v>3382</v>
      </c>
      <c r="M2063" t="s">
        <v>11885</v>
      </c>
      <c r="N2063" t="s">
        <v>3363</v>
      </c>
      <c r="O2063" t="s">
        <v>3361</v>
      </c>
      <c r="P2063" t="s">
        <v>15211</v>
      </c>
      <c r="Q2063" t="s">
        <v>15211</v>
      </c>
      <c r="R2063" t="s">
        <v>15211</v>
      </c>
      <c r="S2063" t="s">
        <v>15211</v>
      </c>
      <c r="T2063" t="s">
        <v>3368</v>
      </c>
      <c r="U2063" t="s">
        <v>13945</v>
      </c>
      <c r="V2063" t="s">
        <v>15218</v>
      </c>
    </row>
    <row r="2064" spans="1:22" ht="17.399999999999999" hidden="1">
      <c r="A2064" t="s">
        <v>15358</v>
      </c>
      <c r="B2064" t="s">
        <v>15442</v>
      </c>
      <c r="C2064" t="s">
        <v>15445</v>
      </c>
      <c r="D2064" t="s">
        <v>2062</v>
      </c>
      <c r="E2064" t="s">
        <v>3457</v>
      </c>
      <c r="F2064" t="s">
        <v>3437</v>
      </c>
      <c r="G2064" s="3">
        <v>36.125869515398698</v>
      </c>
      <c r="H2064" s="3">
        <v>128.12840036989999</v>
      </c>
      <c r="I2064" t="s">
        <v>5829</v>
      </c>
      <c r="J2064" t="s">
        <v>9185</v>
      </c>
      <c r="K2064" t="s">
        <v>11569</v>
      </c>
      <c r="L2064" t="s">
        <v>3366</v>
      </c>
      <c r="M2064" t="s">
        <v>11885</v>
      </c>
      <c r="N2064" t="s">
        <v>3363</v>
      </c>
      <c r="O2064" t="s">
        <v>3361</v>
      </c>
      <c r="P2064" t="s">
        <v>15211</v>
      </c>
      <c r="Q2064" t="s">
        <v>15211</v>
      </c>
      <c r="R2064" t="s">
        <v>15211</v>
      </c>
      <c r="S2064" t="s">
        <v>15211</v>
      </c>
      <c r="T2064" t="s">
        <v>3368</v>
      </c>
      <c r="U2064" t="s">
        <v>13946</v>
      </c>
      <c r="V2064" t="s">
        <v>15218</v>
      </c>
    </row>
    <row r="2065" spans="1:22" ht="17.399999999999999" hidden="1">
      <c r="A2065" t="s">
        <v>15358</v>
      </c>
      <c r="B2065" t="s">
        <v>15442</v>
      </c>
      <c r="C2065" t="s">
        <v>15445</v>
      </c>
      <c r="D2065" t="s">
        <v>2063</v>
      </c>
      <c r="E2065" t="s">
        <v>3443</v>
      </c>
      <c r="F2065" t="s">
        <v>3437</v>
      </c>
      <c r="G2065" s="3">
        <v>36.125869527124202</v>
      </c>
      <c r="H2065" s="3">
        <v>128.128400368895</v>
      </c>
      <c r="I2065" t="s">
        <v>5830</v>
      </c>
      <c r="J2065" t="s">
        <v>9186</v>
      </c>
      <c r="K2065" t="s">
        <v>11191</v>
      </c>
      <c r="L2065" t="s">
        <v>3366</v>
      </c>
      <c r="M2065" t="s">
        <v>11885</v>
      </c>
      <c r="N2065" t="s">
        <v>3363</v>
      </c>
      <c r="O2065" t="s">
        <v>3361</v>
      </c>
      <c r="P2065" t="s">
        <v>15211</v>
      </c>
      <c r="Q2065" t="s">
        <v>15211</v>
      </c>
      <c r="R2065" t="s">
        <v>15211</v>
      </c>
      <c r="S2065" t="s">
        <v>15211</v>
      </c>
      <c r="T2065" t="s">
        <v>3368</v>
      </c>
      <c r="U2065" t="s">
        <v>13947</v>
      </c>
      <c r="V2065" t="s">
        <v>15218</v>
      </c>
    </row>
    <row r="2066" spans="1:22" ht="17.399999999999999" hidden="1">
      <c r="A2066" t="s">
        <v>15358</v>
      </c>
      <c r="B2066" t="s">
        <v>15442</v>
      </c>
      <c r="C2066" t="s">
        <v>15451</v>
      </c>
      <c r="D2066" t="s">
        <v>2064</v>
      </c>
      <c r="E2066" t="s">
        <v>3457</v>
      </c>
      <c r="F2066" t="s">
        <v>3439</v>
      </c>
      <c r="G2066" s="3">
        <v>36.125869574627202</v>
      </c>
      <c r="H2066" s="3">
        <v>128.128400337415</v>
      </c>
      <c r="I2066" t="s">
        <v>5831</v>
      </c>
      <c r="J2066" t="s">
        <v>9187</v>
      </c>
      <c r="K2066" t="s">
        <v>10758</v>
      </c>
      <c r="L2066" t="s">
        <v>3379</v>
      </c>
      <c r="M2066" t="s">
        <v>11893</v>
      </c>
      <c r="N2066" t="s">
        <v>3363</v>
      </c>
      <c r="O2066" t="s">
        <v>3361</v>
      </c>
      <c r="P2066" t="s">
        <v>3362</v>
      </c>
      <c r="Q2066" t="s">
        <v>3363</v>
      </c>
      <c r="R2066" t="s">
        <v>15211</v>
      </c>
      <c r="S2066" t="s">
        <v>15211</v>
      </c>
      <c r="T2066" t="s">
        <v>3381</v>
      </c>
      <c r="U2066" t="s">
        <v>13948</v>
      </c>
      <c r="V2066" t="s">
        <v>15219</v>
      </c>
    </row>
    <row r="2067" spans="1:22" ht="17.399999999999999" hidden="1">
      <c r="A2067" t="s">
        <v>15358</v>
      </c>
      <c r="B2067" t="s">
        <v>15442</v>
      </c>
      <c r="C2067" t="s">
        <v>15451</v>
      </c>
      <c r="D2067" t="s">
        <v>2065</v>
      </c>
      <c r="E2067" t="s">
        <v>3457</v>
      </c>
      <c r="F2067" t="s">
        <v>3437</v>
      </c>
      <c r="G2067" s="3">
        <v>36.125869578755101</v>
      </c>
      <c r="H2067" s="3">
        <v>128.12840033296999</v>
      </c>
      <c r="I2067" t="s">
        <v>5832</v>
      </c>
      <c r="J2067" t="s">
        <v>9188</v>
      </c>
      <c r="K2067" t="s">
        <v>10806</v>
      </c>
      <c r="L2067" t="s">
        <v>3366</v>
      </c>
      <c r="M2067" t="s">
        <v>11893</v>
      </c>
      <c r="N2067" t="s">
        <v>3363</v>
      </c>
      <c r="O2067" t="s">
        <v>3361</v>
      </c>
      <c r="P2067" t="s">
        <v>3362</v>
      </c>
      <c r="Q2067" t="s">
        <v>3363</v>
      </c>
      <c r="R2067" t="s">
        <v>15211</v>
      </c>
      <c r="S2067" t="s">
        <v>15211</v>
      </c>
      <c r="T2067" t="s">
        <v>3381</v>
      </c>
      <c r="U2067" t="s">
        <v>13949</v>
      </c>
      <c r="V2067" t="s">
        <v>15219</v>
      </c>
    </row>
    <row r="2068" spans="1:22" ht="17.399999999999999" hidden="1">
      <c r="A2068" t="s">
        <v>15358</v>
      </c>
      <c r="B2068" t="s">
        <v>15442</v>
      </c>
      <c r="C2068" t="s">
        <v>15451</v>
      </c>
      <c r="D2068" t="s">
        <v>2066</v>
      </c>
      <c r="E2068" t="s">
        <v>3457</v>
      </c>
      <c r="F2068" t="s">
        <v>3437</v>
      </c>
      <c r="G2068" s="3">
        <v>36.125869562014103</v>
      </c>
      <c r="H2068" s="3">
        <v>128.12840032883801</v>
      </c>
      <c r="I2068" t="s">
        <v>5833</v>
      </c>
      <c r="J2068" t="s">
        <v>9189</v>
      </c>
      <c r="K2068" t="s">
        <v>10806</v>
      </c>
      <c r="L2068" t="s">
        <v>3366</v>
      </c>
      <c r="M2068" t="s">
        <v>11893</v>
      </c>
      <c r="N2068" t="s">
        <v>3363</v>
      </c>
      <c r="O2068" t="s">
        <v>3361</v>
      </c>
      <c r="P2068" t="s">
        <v>3362</v>
      </c>
      <c r="Q2068" t="s">
        <v>3363</v>
      </c>
      <c r="R2068" t="s">
        <v>15211</v>
      </c>
      <c r="S2068" t="s">
        <v>15211</v>
      </c>
      <c r="T2068" t="s">
        <v>3381</v>
      </c>
      <c r="U2068" t="s">
        <v>13950</v>
      </c>
      <c r="V2068" t="s">
        <v>15219</v>
      </c>
    </row>
    <row r="2069" spans="1:22" ht="17.399999999999999">
      <c r="A2069" t="s">
        <v>15358</v>
      </c>
      <c r="B2069" t="s">
        <v>15443</v>
      </c>
      <c r="C2069" t="s">
        <v>15452</v>
      </c>
      <c r="D2069" t="s">
        <v>2067</v>
      </c>
      <c r="E2069" t="s">
        <v>3438</v>
      </c>
      <c r="F2069" t="s">
        <v>3431</v>
      </c>
      <c r="G2069" s="3">
        <v>36.125869562389198</v>
      </c>
      <c r="H2069" s="3">
        <v>128.128400360451</v>
      </c>
      <c r="I2069" t="s">
        <v>5834</v>
      </c>
      <c r="J2069" t="s">
        <v>9190</v>
      </c>
      <c r="K2069" t="s">
        <v>11114</v>
      </c>
      <c r="L2069" t="s">
        <v>3373</v>
      </c>
      <c r="M2069" t="s">
        <v>11895</v>
      </c>
      <c r="N2069" t="s">
        <v>3363</v>
      </c>
      <c r="O2069" t="s">
        <v>15211</v>
      </c>
      <c r="P2069" t="s">
        <v>3362</v>
      </c>
      <c r="Q2069" t="s">
        <v>3358</v>
      </c>
      <c r="R2069" t="s">
        <v>15211</v>
      </c>
      <c r="S2069" t="s">
        <v>15211</v>
      </c>
      <c r="T2069" t="s">
        <v>3371</v>
      </c>
      <c r="U2069" t="s">
        <v>13930</v>
      </c>
      <c r="V2069" t="s">
        <v>15220</v>
      </c>
    </row>
    <row r="2070" spans="1:22" ht="17.399999999999999">
      <c r="A2070" t="s">
        <v>15358</v>
      </c>
      <c r="B2070" t="s">
        <v>15443</v>
      </c>
      <c r="C2070" t="s">
        <v>15452</v>
      </c>
      <c r="D2070" t="s">
        <v>2068</v>
      </c>
      <c r="E2070" t="s">
        <v>3428</v>
      </c>
      <c r="F2070" t="s">
        <v>3430</v>
      </c>
      <c r="G2070" s="3">
        <v>36.125869573158802</v>
      </c>
      <c r="H2070" s="3">
        <v>128.12840032989999</v>
      </c>
      <c r="I2070" t="s">
        <v>5835</v>
      </c>
      <c r="J2070" t="s">
        <v>9191</v>
      </c>
      <c r="K2070" t="s">
        <v>3628</v>
      </c>
      <c r="L2070" t="s">
        <v>3366</v>
      </c>
      <c r="M2070" t="s">
        <v>11895</v>
      </c>
      <c r="N2070" t="s">
        <v>3363</v>
      </c>
      <c r="O2070" t="s">
        <v>15211</v>
      </c>
      <c r="P2070" t="s">
        <v>3362</v>
      </c>
      <c r="Q2070" t="s">
        <v>3358</v>
      </c>
      <c r="R2070" t="s">
        <v>15211</v>
      </c>
      <c r="S2070" t="s">
        <v>15211</v>
      </c>
      <c r="T2070" t="s">
        <v>3371</v>
      </c>
      <c r="U2070" t="s">
        <v>13951</v>
      </c>
      <c r="V2070" t="s">
        <v>15220</v>
      </c>
    </row>
    <row r="2071" spans="1:22" ht="17.399999999999999">
      <c r="A2071" t="s">
        <v>15358</v>
      </c>
      <c r="B2071" t="s">
        <v>15443</v>
      </c>
      <c r="C2071" t="s">
        <v>15452</v>
      </c>
      <c r="D2071" t="s">
        <v>2069</v>
      </c>
      <c r="E2071" t="s">
        <v>3436</v>
      </c>
      <c r="F2071" t="s">
        <v>3442</v>
      </c>
      <c r="G2071" s="3">
        <v>36.1258695421661</v>
      </c>
      <c r="H2071" s="3">
        <v>128.128400351773</v>
      </c>
      <c r="I2071" t="s">
        <v>5836</v>
      </c>
      <c r="J2071" t="s">
        <v>9192</v>
      </c>
      <c r="K2071" t="s">
        <v>11570</v>
      </c>
      <c r="L2071" t="s">
        <v>3366</v>
      </c>
      <c r="M2071" t="s">
        <v>11895</v>
      </c>
      <c r="N2071" t="s">
        <v>3363</v>
      </c>
      <c r="O2071" t="s">
        <v>15211</v>
      </c>
      <c r="P2071" t="s">
        <v>3361</v>
      </c>
      <c r="Q2071" t="s">
        <v>3359</v>
      </c>
      <c r="R2071" t="s">
        <v>15211</v>
      </c>
      <c r="S2071" t="s">
        <v>15211</v>
      </c>
      <c r="T2071" t="s">
        <v>3371</v>
      </c>
      <c r="U2071" t="s">
        <v>13940</v>
      </c>
      <c r="V2071" t="s">
        <v>15220</v>
      </c>
    </row>
    <row r="2072" spans="1:22" ht="17.399999999999999" hidden="1">
      <c r="A2072" t="s">
        <v>15358</v>
      </c>
      <c r="B2072" t="s">
        <v>15443</v>
      </c>
      <c r="C2072" t="s">
        <v>15486</v>
      </c>
      <c r="D2072" t="s">
        <v>2070</v>
      </c>
      <c r="E2072" t="s">
        <v>3425</v>
      </c>
      <c r="F2072" t="s">
        <v>3432</v>
      </c>
      <c r="G2072" s="3">
        <v>36.125869535677602</v>
      </c>
      <c r="H2072" s="3">
        <v>128.128400354798</v>
      </c>
      <c r="I2072" t="s">
        <v>5837</v>
      </c>
      <c r="J2072" t="s">
        <v>9193</v>
      </c>
      <c r="K2072" t="s">
        <v>11479</v>
      </c>
      <c r="L2072" t="s">
        <v>3374</v>
      </c>
      <c r="M2072" t="s">
        <v>11895</v>
      </c>
      <c r="N2072" t="s">
        <v>3363</v>
      </c>
      <c r="O2072" t="s">
        <v>15211</v>
      </c>
      <c r="P2072" t="s">
        <v>3361</v>
      </c>
      <c r="Q2072" t="s">
        <v>3359</v>
      </c>
      <c r="R2072" t="s">
        <v>15211</v>
      </c>
      <c r="S2072" t="s">
        <v>15211</v>
      </c>
      <c r="T2072" t="s">
        <v>3371</v>
      </c>
      <c r="U2072" t="s">
        <v>13952</v>
      </c>
      <c r="V2072" t="s">
        <v>15269</v>
      </c>
    </row>
    <row r="2073" spans="1:22" ht="17.399999999999999" hidden="1">
      <c r="A2073" t="s">
        <v>15358</v>
      </c>
      <c r="B2073" t="s">
        <v>15443</v>
      </c>
      <c r="C2073" t="s">
        <v>15486</v>
      </c>
      <c r="D2073" t="s">
        <v>2071</v>
      </c>
      <c r="E2073" t="s">
        <v>3435</v>
      </c>
      <c r="F2073" t="s">
        <v>3462</v>
      </c>
      <c r="G2073" s="3">
        <v>36.125869553690301</v>
      </c>
      <c r="H2073" s="3">
        <v>128.128400311126</v>
      </c>
      <c r="I2073" t="s">
        <v>5838</v>
      </c>
      <c r="J2073" t="s">
        <v>9194</v>
      </c>
      <c r="K2073" t="s">
        <v>10895</v>
      </c>
      <c r="L2073" t="s">
        <v>3366</v>
      </c>
      <c r="M2073" t="s">
        <v>11895</v>
      </c>
      <c r="N2073" t="s">
        <v>3363</v>
      </c>
      <c r="O2073" t="s">
        <v>15211</v>
      </c>
      <c r="P2073" t="s">
        <v>3361</v>
      </c>
      <c r="Q2073" t="s">
        <v>3359</v>
      </c>
      <c r="R2073" t="s">
        <v>15211</v>
      </c>
      <c r="S2073" t="s">
        <v>15211</v>
      </c>
      <c r="T2073" t="s">
        <v>3371</v>
      </c>
      <c r="U2073" t="s">
        <v>13953</v>
      </c>
      <c r="V2073" t="s">
        <v>15269</v>
      </c>
    </row>
    <row r="2074" spans="1:22" ht="17.399999999999999" hidden="1">
      <c r="A2074" t="s">
        <v>15358</v>
      </c>
      <c r="B2074" t="s">
        <v>15443</v>
      </c>
      <c r="C2074" t="s">
        <v>15486</v>
      </c>
      <c r="D2074" t="s">
        <v>2072</v>
      </c>
      <c r="E2074" t="s">
        <v>3430</v>
      </c>
      <c r="F2074" t="s">
        <v>3460</v>
      </c>
      <c r="G2074" s="3">
        <v>36.125869558850503</v>
      </c>
      <c r="H2074" s="3">
        <v>128.128400326041</v>
      </c>
      <c r="I2074" t="s">
        <v>5839</v>
      </c>
      <c r="J2074" t="s">
        <v>9195</v>
      </c>
      <c r="K2074" t="s">
        <v>10895</v>
      </c>
      <c r="L2074" t="s">
        <v>3366</v>
      </c>
      <c r="M2074" t="s">
        <v>11895</v>
      </c>
      <c r="N2074" t="s">
        <v>3363</v>
      </c>
      <c r="O2074" t="s">
        <v>15211</v>
      </c>
      <c r="P2074" t="s">
        <v>3361</v>
      </c>
      <c r="Q2074" t="s">
        <v>3359</v>
      </c>
      <c r="R2074" t="s">
        <v>15211</v>
      </c>
      <c r="S2074" t="s">
        <v>15211</v>
      </c>
      <c r="T2074" t="s">
        <v>3371</v>
      </c>
      <c r="U2074" t="s">
        <v>13954</v>
      </c>
      <c r="V2074" t="s">
        <v>15269</v>
      </c>
    </row>
    <row r="2075" spans="1:22" hidden="1">
      <c r="A2075" t="s">
        <v>15396</v>
      </c>
      <c r="B2075" t="s">
        <v>15441</v>
      </c>
      <c r="C2075" t="s">
        <v>15449</v>
      </c>
      <c r="D2075" t="s">
        <v>2073</v>
      </c>
      <c r="E2075" t="s">
        <v>3431</v>
      </c>
      <c r="F2075" t="s">
        <v>3453</v>
      </c>
      <c r="G2075" s="3">
        <v>36.990859595591097</v>
      </c>
      <c r="H2075" s="3">
        <v>127.11331594943201</v>
      </c>
      <c r="I2075" t="s">
        <v>5840</v>
      </c>
      <c r="J2075" t="s">
        <v>9196</v>
      </c>
      <c r="K2075" t="s">
        <v>10914</v>
      </c>
      <c r="L2075" t="s">
        <v>3366</v>
      </c>
      <c r="M2075" t="s">
        <v>11908</v>
      </c>
      <c r="N2075" t="s">
        <v>3362</v>
      </c>
      <c r="O2075" t="s">
        <v>15211</v>
      </c>
      <c r="P2075" t="s">
        <v>3364</v>
      </c>
      <c r="Q2075" t="s">
        <v>3361</v>
      </c>
      <c r="R2075" t="s">
        <v>3357</v>
      </c>
      <c r="S2075" t="s">
        <v>15211</v>
      </c>
      <c r="T2075" t="s">
        <v>3376</v>
      </c>
      <c r="U2075" t="s">
        <v>13955</v>
      </c>
      <c r="V2075" t="s">
        <v>15231</v>
      </c>
    </row>
    <row r="2076" spans="1:22" hidden="1">
      <c r="A2076" t="s">
        <v>15396</v>
      </c>
      <c r="B2076" t="s">
        <v>15441</v>
      </c>
      <c r="C2076" t="s">
        <v>15449</v>
      </c>
      <c r="D2076" t="s">
        <v>2074</v>
      </c>
      <c r="E2076" t="s">
        <v>3431</v>
      </c>
      <c r="F2076" t="s">
        <v>3453</v>
      </c>
      <c r="G2076" s="3">
        <v>36.9908596176599</v>
      </c>
      <c r="H2076" s="3">
        <v>127.113315956126</v>
      </c>
      <c r="I2076" t="s">
        <v>5841</v>
      </c>
      <c r="J2076" t="s">
        <v>9197</v>
      </c>
      <c r="K2076" t="s">
        <v>11315</v>
      </c>
      <c r="L2076" t="s">
        <v>3366</v>
      </c>
      <c r="M2076" t="s">
        <v>11889</v>
      </c>
      <c r="N2076" t="s">
        <v>3363</v>
      </c>
      <c r="O2076" t="s">
        <v>15211</v>
      </c>
      <c r="P2076" t="s">
        <v>3364</v>
      </c>
      <c r="Q2076" t="s">
        <v>3361</v>
      </c>
      <c r="R2076" t="s">
        <v>3357</v>
      </c>
      <c r="S2076" t="s">
        <v>15211</v>
      </c>
      <c r="T2076" t="s">
        <v>3377</v>
      </c>
      <c r="U2076" t="s">
        <v>13956</v>
      </c>
      <c r="V2076" t="s">
        <v>15231</v>
      </c>
    </row>
    <row r="2077" spans="1:22" hidden="1">
      <c r="A2077" t="s">
        <v>15396</v>
      </c>
      <c r="B2077" t="s">
        <v>15441</v>
      </c>
      <c r="C2077" t="s">
        <v>15449</v>
      </c>
      <c r="D2077" t="s">
        <v>2075</v>
      </c>
      <c r="E2077" t="s">
        <v>3431</v>
      </c>
      <c r="F2077" t="s">
        <v>3441</v>
      </c>
      <c r="G2077" s="3">
        <v>36.990859645451799</v>
      </c>
      <c r="H2077" s="3">
        <v>127.113315979104</v>
      </c>
      <c r="I2077" t="s">
        <v>5842</v>
      </c>
      <c r="J2077" t="s">
        <v>9198</v>
      </c>
      <c r="K2077" t="s">
        <v>11146</v>
      </c>
      <c r="L2077" t="s">
        <v>3366</v>
      </c>
      <c r="M2077" t="s">
        <v>11889</v>
      </c>
      <c r="N2077" t="s">
        <v>3363</v>
      </c>
      <c r="O2077" t="s">
        <v>15211</v>
      </c>
      <c r="P2077" t="s">
        <v>3364</v>
      </c>
      <c r="Q2077" t="s">
        <v>3361</v>
      </c>
      <c r="R2077" t="s">
        <v>3357</v>
      </c>
      <c r="S2077" t="s">
        <v>15211</v>
      </c>
      <c r="T2077" t="s">
        <v>3377</v>
      </c>
      <c r="U2077" t="s">
        <v>13957</v>
      </c>
      <c r="V2077" t="s">
        <v>15231</v>
      </c>
    </row>
    <row r="2078" spans="1:22" hidden="1">
      <c r="A2078" t="s">
        <v>15396</v>
      </c>
      <c r="B2078" t="s">
        <v>15441</v>
      </c>
      <c r="C2078" t="s">
        <v>15445</v>
      </c>
      <c r="D2078" t="s">
        <v>2076</v>
      </c>
      <c r="E2078" t="s">
        <v>3433</v>
      </c>
      <c r="F2078" t="s">
        <v>3430</v>
      </c>
      <c r="G2078" s="3">
        <v>36.9908595821109</v>
      </c>
      <c r="H2078" s="3">
        <v>127.11331588792299</v>
      </c>
      <c r="I2078" t="s">
        <v>5843</v>
      </c>
      <c r="J2078" t="s">
        <v>9199</v>
      </c>
      <c r="K2078" t="s">
        <v>10551</v>
      </c>
      <c r="L2078" t="s">
        <v>3366</v>
      </c>
      <c r="M2078" t="s">
        <v>11886</v>
      </c>
      <c r="N2078" t="s">
        <v>3363</v>
      </c>
      <c r="O2078" t="s">
        <v>3360</v>
      </c>
      <c r="P2078" t="s">
        <v>15211</v>
      </c>
      <c r="Q2078" t="s">
        <v>15211</v>
      </c>
      <c r="R2078" t="s">
        <v>15211</v>
      </c>
      <c r="S2078" t="s">
        <v>15211</v>
      </c>
      <c r="T2078" t="s">
        <v>3367</v>
      </c>
      <c r="U2078" t="s">
        <v>13958</v>
      </c>
      <c r="V2078" t="s">
        <v>15228</v>
      </c>
    </row>
    <row r="2079" spans="1:22" hidden="1">
      <c r="A2079" t="s">
        <v>15396</v>
      </c>
      <c r="B2079" t="s">
        <v>15441</v>
      </c>
      <c r="C2079" t="s">
        <v>15445</v>
      </c>
      <c r="D2079" t="s">
        <v>2077</v>
      </c>
      <c r="E2079" t="s">
        <v>3426</v>
      </c>
      <c r="F2079" t="s">
        <v>3453</v>
      </c>
      <c r="G2079" s="3">
        <v>36.990859412692899</v>
      </c>
      <c r="H2079" s="3">
        <v>127.11331581919301</v>
      </c>
      <c r="I2079" t="s">
        <v>5844</v>
      </c>
      <c r="J2079" t="s">
        <v>9200</v>
      </c>
      <c r="K2079" t="s">
        <v>11353</v>
      </c>
      <c r="L2079" t="s">
        <v>3411</v>
      </c>
      <c r="M2079" t="s">
        <v>11886</v>
      </c>
      <c r="N2079" t="s">
        <v>3363</v>
      </c>
      <c r="O2079" t="s">
        <v>3360</v>
      </c>
      <c r="P2079" t="s">
        <v>15211</v>
      </c>
      <c r="Q2079" t="s">
        <v>15211</v>
      </c>
      <c r="R2079" t="s">
        <v>15211</v>
      </c>
      <c r="S2079" t="s">
        <v>15211</v>
      </c>
      <c r="T2079" t="s">
        <v>3367</v>
      </c>
      <c r="U2079" t="s">
        <v>13959</v>
      </c>
      <c r="V2079" t="s">
        <v>15228</v>
      </c>
    </row>
    <row r="2080" spans="1:22" hidden="1">
      <c r="A2080" t="s">
        <v>15396</v>
      </c>
      <c r="B2080" t="s">
        <v>15441</v>
      </c>
      <c r="C2080" t="s">
        <v>15445</v>
      </c>
      <c r="D2080" t="s">
        <v>2078</v>
      </c>
      <c r="E2080" t="s">
        <v>3452</v>
      </c>
      <c r="F2080" t="s">
        <v>3426</v>
      </c>
      <c r="G2080" s="3">
        <v>36.990859466631299</v>
      </c>
      <c r="H2080" s="3">
        <v>127.113315878766</v>
      </c>
      <c r="I2080" t="s">
        <v>5845</v>
      </c>
      <c r="J2080" t="s">
        <v>9201</v>
      </c>
      <c r="K2080" t="s">
        <v>10902</v>
      </c>
      <c r="L2080" t="s">
        <v>3396</v>
      </c>
      <c r="M2080" t="s">
        <v>11886</v>
      </c>
      <c r="N2080" t="s">
        <v>3363</v>
      </c>
      <c r="O2080" t="s">
        <v>3360</v>
      </c>
      <c r="P2080" t="s">
        <v>15211</v>
      </c>
      <c r="Q2080" t="s">
        <v>15211</v>
      </c>
      <c r="R2080" t="s">
        <v>15211</v>
      </c>
      <c r="S2080" t="s">
        <v>15211</v>
      </c>
      <c r="T2080" t="s">
        <v>3367</v>
      </c>
      <c r="U2080" t="s">
        <v>13960</v>
      </c>
      <c r="V2080" t="s">
        <v>15228</v>
      </c>
    </row>
    <row r="2081" spans="1:22" hidden="1">
      <c r="A2081" t="s">
        <v>15396</v>
      </c>
      <c r="B2081" t="s">
        <v>15441</v>
      </c>
      <c r="C2081" t="s">
        <v>15448</v>
      </c>
      <c r="D2081" t="s">
        <v>2079</v>
      </c>
      <c r="E2081" t="s">
        <v>3441</v>
      </c>
      <c r="F2081" t="s">
        <v>3460</v>
      </c>
      <c r="G2081" s="3">
        <v>36.990859820591403</v>
      </c>
      <c r="H2081" s="3">
        <v>127.113316033822</v>
      </c>
      <c r="I2081" t="s">
        <v>5846</v>
      </c>
      <c r="J2081" t="s">
        <v>9202</v>
      </c>
      <c r="K2081" t="s">
        <v>11571</v>
      </c>
      <c r="L2081" t="s">
        <v>3366</v>
      </c>
      <c r="M2081" t="s">
        <v>11893</v>
      </c>
      <c r="N2081" t="s">
        <v>3365</v>
      </c>
      <c r="O2081" t="s">
        <v>3360</v>
      </c>
      <c r="P2081" t="s">
        <v>3363</v>
      </c>
      <c r="Q2081" t="s">
        <v>3361</v>
      </c>
      <c r="R2081" t="s">
        <v>3357</v>
      </c>
      <c r="S2081" t="s">
        <v>15211</v>
      </c>
      <c r="T2081" t="s">
        <v>3382</v>
      </c>
      <c r="U2081" t="s">
        <v>13961</v>
      </c>
      <c r="V2081" t="s">
        <v>15230</v>
      </c>
    </row>
    <row r="2082" spans="1:22" hidden="1">
      <c r="A2082" t="s">
        <v>15396</v>
      </c>
      <c r="B2082" t="s">
        <v>15441</v>
      </c>
      <c r="C2082" t="s">
        <v>15448</v>
      </c>
      <c r="D2082" t="s">
        <v>2080</v>
      </c>
      <c r="E2082" t="s">
        <v>3441</v>
      </c>
      <c r="F2082" t="s">
        <v>3449</v>
      </c>
      <c r="G2082" s="3">
        <v>36.990859833589603</v>
      </c>
      <c r="H2082" s="3">
        <v>127.113316017206</v>
      </c>
      <c r="I2082" t="s">
        <v>5847</v>
      </c>
      <c r="J2082" t="s">
        <v>9203</v>
      </c>
      <c r="K2082" t="s">
        <v>11400</v>
      </c>
      <c r="L2082" t="s">
        <v>3366</v>
      </c>
      <c r="M2082" t="s">
        <v>11893</v>
      </c>
      <c r="N2082" t="s">
        <v>3364</v>
      </c>
      <c r="O2082" t="s">
        <v>3360</v>
      </c>
      <c r="P2082" t="s">
        <v>3363</v>
      </c>
      <c r="Q2082" t="s">
        <v>3360</v>
      </c>
      <c r="R2082" t="s">
        <v>3357</v>
      </c>
      <c r="S2082" t="s">
        <v>15211</v>
      </c>
      <c r="T2082" t="s">
        <v>3380</v>
      </c>
      <c r="U2082" t="s">
        <v>13962</v>
      </c>
      <c r="V2082" t="s">
        <v>15230</v>
      </c>
    </row>
    <row r="2083" spans="1:22" hidden="1">
      <c r="A2083" t="s">
        <v>15396</v>
      </c>
      <c r="B2083" t="s">
        <v>15441</v>
      </c>
      <c r="C2083" t="s">
        <v>15448</v>
      </c>
      <c r="D2083" t="s">
        <v>2081</v>
      </c>
      <c r="E2083" t="s">
        <v>3441</v>
      </c>
      <c r="F2083" t="s">
        <v>3449</v>
      </c>
      <c r="G2083" s="3">
        <v>36.990859863733299</v>
      </c>
      <c r="H2083" s="3">
        <v>127.113316048459</v>
      </c>
      <c r="I2083" t="s">
        <v>5848</v>
      </c>
      <c r="J2083" t="s">
        <v>9204</v>
      </c>
      <c r="K2083" t="s">
        <v>11275</v>
      </c>
      <c r="L2083" t="s">
        <v>3366</v>
      </c>
      <c r="M2083" t="s">
        <v>11891</v>
      </c>
      <c r="N2083" t="s">
        <v>3364</v>
      </c>
      <c r="O2083" t="s">
        <v>3360</v>
      </c>
      <c r="P2083" t="s">
        <v>3363</v>
      </c>
      <c r="Q2083" t="s">
        <v>3360</v>
      </c>
      <c r="R2083" t="s">
        <v>3357</v>
      </c>
      <c r="S2083" t="s">
        <v>15211</v>
      </c>
      <c r="T2083" t="s">
        <v>3380</v>
      </c>
      <c r="U2083" t="s">
        <v>13963</v>
      </c>
      <c r="V2083" t="s">
        <v>15230</v>
      </c>
    </row>
    <row r="2084" spans="1:22" hidden="1">
      <c r="A2084" t="s">
        <v>15396</v>
      </c>
      <c r="B2084" t="s">
        <v>15441</v>
      </c>
      <c r="C2084" t="s">
        <v>15447</v>
      </c>
      <c r="D2084" t="s">
        <v>2082</v>
      </c>
      <c r="E2084" t="s">
        <v>3442</v>
      </c>
      <c r="F2084" t="s">
        <v>3452</v>
      </c>
      <c r="G2084" s="3">
        <v>36.990859637983299</v>
      </c>
      <c r="H2084" s="3">
        <v>127.113316015141</v>
      </c>
      <c r="I2084" t="s">
        <v>5849</v>
      </c>
      <c r="J2084" t="s">
        <v>9205</v>
      </c>
      <c r="K2084" t="s">
        <v>11572</v>
      </c>
      <c r="L2084" t="s">
        <v>3405</v>
      </c>
      <c r="M2084" t="s">
        <v>11892</v>
      </c>
      <c r="N2084" t="s">
        <v>3364</v>
      </c>
      <c r="O2084" t="s">
        <v>15211</v>
      </c>
      <c r="P2084" t="s">
        <v>15211</v>
      </c>
      <c r="Q2084" t="s">
        <v>15211</v>
      </c>
      <c r="R2084" t="s">
        <v>15211</v>
      </c>
      <c r="S2084" t="s">
        <v>15211</v>
      </c>
      <c r="T2084" t="s">
        <v>3364</v>
      </c>
      <c r="U2084" t="s">
        <v>13964</v>
      </c>
      <c r="V2084" t="s">
        <v>15235</v>
      </c>
    </row>
    <row r="2085" spans="1:22" hidden="1">
      <c r="A2085" t="s">
        <v>15396</v>
      </c>
      <c r="B2085" t="s">
        <v>15441</v>
      </c>
      <c r="C2085" t="s">
        <v>15447</v>
      </c>
      <c r="D2085" t="s">
        <v>2083</v>
      </c>
      <c r="E2085" t="s">
        <v>3442</v>
      </c>
      <c r="F2085" t="s">
        <v>3462</v>
      </c>
      <c r="G2085" s="3">
        <v>36.990859622769598</v>
      </c>
      <c r="H2085" s="3">
        <v>127.11331596555399</v>
      </c>
      <c r="I2085" t="s">
        <v>5850</v>
      </c>
      <c r="J2085" t="s">
        <v>9206</v>
      </c>
      <c r="K2085" t="s">
        <v>10579</v>
      </c>
      <c r="L2085" t="s">
        <v>3366</v>
      </c>
      <c r="M2085" t="s">
        <v>11892</v>
      </c>
      <c r="N2085" t="s">
        <v>3364</v>
      </c>
      <c r="O2085" t="s">
        <v>15211</v>
      </c>
      <c r="P2085" t="s">
        <v>15211</v>
      </c>
      <c r="Q2085" t="s">
        <v>15211</v>
      </c>
      <c r="R2085" t="s">
        <v>15211</v>
      </c>
      <c r="S2085" t="s">
        <v>15211</v>
      </c>
      <c r="T2085" t="s">
        <v>3364</v>
      </c>
      <c r="U2085" t="s">
        <v>13965</v>
      </c>
      <c r="V2085" t="s">
        <v>15235</v>
      </c>
    </row>
    <row r="2086" spans="1:22" hidden="1">
      <c r="A2086" t="s">
        <v>15396</v>
      </c>
      <c r="B2086" t="s">
        <v>15441</v>
      </c>
      <c r="C2086" t="s">
        <v>15447</v>
      </c>
      <c r="D2086" t="s">
        <v>2084</v>
      </c>
      <c r="E2086" t="s">
        <v>3453</v>
      </c>
      <c r="F2086" t="s">
        <v>3450</v>
      </c>
      <c r="G2086" s="3">
        <v>36.990859650338997</v>
      </c>
      <c r="H2086" s="3">
        <v>127.113315958279</v>
      </c>
      <c r="I2086" t="s">
        <v>5851</v>
      </c>
      <c r="J2086" t="s">
        <v>9207</v>
      </c>
      <c r="K2086" t="s">
        <v>10773</v>
      </c>
      <c r="L2086" t="s">
        <v>3366</v>
      </c>
      <c r="M2086" t="s">
        <v>11892</v>
      </c>
      <c r="N2086" t="s">
        <v>3364</v>
      </c>
      <c r="O2086" t="s">
        <v>15211</v>
      </c>
      <c r="P2086" t="s">
        <v>15211</v>
      </c>
      <c r="Q2086" t="s">
        <v>15211</v>
      </c>
      <c r="R2086" t="s">
        <v>15211</v>
      </c>
      <c r="S2086" t="s">
        <v>15211</v>
      </c>
      <c r="T2086" t="s">
        <v>3364</v>
      </c>
      <c r="U2086" t="s">
        <v>13966</v>
      </c>
      <c r="V2086" t="s">
        <v>15235</v>
      </c>
    </row>
    <row r="2087" spans="1:22" hidden="1">
      <c r="A2087" t="s">
        <v>15396</v>
      </c>
      <c r="B2087" t="s">
        <v>15441</v>
      </c>
      <c r="C2087" t="s">
        <v>15446</v>
      </c>
      <c r="D2087" t="s">
        <v>2085</v>
      </c>
      <c r="E2087" t="s">
        <v>3431</v>
      </c>
      <c r="F2087" t="s">
        <v>3433</v>
      </c>
      <c r="G2087" s="3">
        <v>36.990859649496201</v>
      </c>
      <c r="H2087" s="3">
        <v>127.11331591003901</v>
      </c>
      <c r="I2087" t="s">
        <v>5852</v>
      </c>
      <c r="J2087" t="s">
        <v>9208</v>
      </c>
      <c r="K2087" t="s">
        <v>10663</v>
      </c>
      <c r="L2087" t="s">
        <v>3366</v>
      </c>
      <c r="M2087" t="s">
        <v>11885</v>
      </c>
      <c r="N2087" t="s">
        <v>3364</v>
      </c>
      <c r="O2087" t="s">
        <v>3360</v>
      </c>
      <c r="P2087" t="s">
        <v>15211</v>
      </c>
      <c r="Q2087" t="s">
        <v>15211</v>
      </c>
      <c r="R2087" t="s">
        <v>15211</v>
      </c>
      <c r="S2087" t="s">
        <v>15211</v>
      </c>
      <c r="T2087" t="s">
        <v>3368</v>
      </c>
      <c r="U2087" t="s">
        <v>13967</v>
      </c>
      <c r="V2087" t="s">
        <v>15229</v>
      </c>
    </row>
    <row r="2088" spans="1:22" hidden="1">
      <c r="A2088" t="s">
        <v>15396</v>
      </c>
      <c r="B2088" t="s">
        <v>15441</v>
      </c>
      <c r="C2088" t="s">
        <v>15446</v>
      </c>
      <c r="D2088" t="s">
        <v>2086</v>
      </c>
      <c r="E2088" t="s">
        <v>3435</v>
      </c>
      <c r="F2088" t="s">
        <v>3452</v>
      </c>
      <c r="G2088" s="3">
        <v>36.990859603736297</v>
      </c>
      <c r="H2088" s="3">
        <v>127.113315918826</v>
      </c>
      <c r="I2088" t="s">
        <v>5853</v>
      </c>
      <c r="J2088" t="s">
        <v>9209</v>
      </c>
      <c r="K2088" t="s">
        <v>10661</v>
      </c>
      <c r="L2088" t="s">
        <v>3366</v>
      </c>
      <c r="M2088" t="s">
        <v>11885</v>
      </c>
      <c r="N2088" t="s">
        <v>3364</v>
      </c>
      <c r="O2088" t="s">
        <v>3360</v>
      </c>
      <c r="P2088" t="s">
        <v>15211</v>
      </c>
      <c r="Q2088" t="s">
        <v>15211</v>
      </c>
      <c r="R2088" t="s">
        <v>15211</v>
      </c>
      <c r="S2088" t="s">
        <v>15211</v>
      </c>
      <c r="T2088" t="s">
        <v>3368</v>
      </c>
      <c r="U2088" t="s">
        <v>13968</v>
      </c>
      <c r="V2088" t="s">
        <v>15229</v>
      </c>
    </row>
    <row r="2089" spans="1:22" hidden="1">
      <c r="A2089" t="s">
        <v>15396</v>
      </c>
      <c r="B2089" t="s">
        <v>15441</v>
      </c>
      <c r="C2089" t="s">
        <v>15446</v>
      </c>
      <c r="D2089" t="s">
        <v>2087</v>
      </c>
      <c r="E2089" t="s">
        <v>3430</v>
      </c>
      <c r="F2089" t="s">
        <v>3462</v>
      </c>
      <c r="G2089" s="3">
        <v>36.990859589019301</v>
      </c>
      <c r="H2089" s="3">
        <v>127.113315917243</v>
      </c>
      <c r="I2089" t="s">
        <v>5854</v>
      </c>
      <c r="J2089" t="s">
        <v>9210</v>
      </c>
      <c r="K2089" t="s">
        <v>11361</v>
      </c>
      <c r="L2089" t="s">
        <v>3366</v>
      </c>
      <c r="M2089" t="s">
        <v>11885</v>
      </c>
      <c r="N2089" t="s">
        <v>3364</v>
      </c>
      <c r="O2089" t="s">
        <v>3360</v>
      </c>
      <c r="P2089" t="s">
        <v>15211</v>
      </c>
      <c r="Q2089" t="s">
        <v>15211</v>
      </c>
      <c r="R2089" t="s">
        <v>15211</v>
      </c>
      <c r="S2089" t="s">
        <v>15211</v>
      </c>
      <c r="T2089" t="s">
        <v>3368</v>
      </c>
      <c r="U2089" t="s">
        <v>13969</v>
      </c>
      <c r="V2089" t="s">
        <v>15229</v>
      </c>
    </row>
    <row r="2090" spans="1:22" hidden="1">
      <c r="A2090" t="s">
        <v>15396</v>
      </c>
      <c r="B2090" t="s">
        <v>15442</v>
      </c>
      <c r="C2090" t="s">
        <v>15450</v>
      </c>
      <c r="D2090" t="s">
        <v>2088</v>
      </c>
      <c r="E2090" t="s">
        <v>3430</v>
      </c>
      <c r="F2090" t="s">
        <v>3461</v>
      </c>
      <c r="G2090" s="3">
        <v>36.990859533183503</v>
      </c>
      <c r="H2090" s="3">
        <v>127.11331575528099</v>
      </c>
      <c r="I2090" t="s">
        <v>5855</v>
      </c>
      <c r="J2090" t="s">
        <v>9211</v>
      </c>
      <c r="K2090" t="s">
        <v>10545</v>
      </c>
      <c r="L2090" t="s">
        <v>3366</v>
      </c>
      <c r="M2090" t="s">
        <v>11886</v>
      </c>
      <c r="N2090" t="s">
        <v>3363</v>
      </c>
      <c r="O2090" t="s">
        <v>3360</v>
      </c>
      <c r="P2090" t="s">
        <v>15211</v>
      </c>
      <c r="Q2090" t="s">
        <v>15211</v>
      </c>
      <c r="R2090" t="s">
        <v>15211</v>
      </c>
      <c r="S2090" t="s">
        <v>15211</v>
      </c>
      <c r="T2090" t="s">
        <v>3367</v>
      </c>
      <c r="U2090" t="s">
        <v>13970</v>
      </c>
      <c r="V2090" t="s">
        <v>15232</v>
      </c>
    </row>
    <row r="2091" spans="1:22" hidden="1">
      <c r="A2091" t="s">
        <v>15396</v>
      </c>
      <c r="B2091" t="s">
        <v>15442</v>
      </c>
      <c r="C2091" t="s">
        <v>15450</v>
      </c>
      <c r="D2091" t="s">
        <v>2089</v>
      </c>
      <c r="E2091" t="s">
        <v>3453</v>
      </c>
      <c r="F2091" t="s">
        <v>3465</v>
      </c>
      <c r="G2091" s="3">
        <v>36.990859692339598</v>
      </c>
      <c r="H2091" s="3">
        <v>127.113315804423</v>
      </c>
      <c r="I2091" t="s">
        <v>5856</v>
      </c>
      <c r="J2091" t="s">
        <v>9212</v>
      </c>
      <c r="K2091" t="s">
        <v>11098</v>
      </c>
      <c r="L2091" t="s">
        <v>3366</v>
      </c>
      <c r="M2091" t="s">
        <v>11886</v>
      </c>
      <c r="N2091" t="s">
        <v>3363</v>
      </c>
      <c r="O2091" t="s">
        <v>3360</v>
      </c>
      <c r="P2091" t="s">
        <v>15211</v>
      </c>
      <c r="Q2091" t="s">
        <v>15211</v>
      </c>
      <c r="R2091" t="s">
        <v>15211</v>
      </c>
      <c r="S2091" t="s">
        <v>15211</v>
      </c>
      <c r="T2091" t="s">
        <v>3367</v>
      </c>
      <c r="U2091" t="s">
        <v>13971</v>
      </c>
      <c r="V2091" t="s">
        <v>15232</v>
      </c>
    </row>
    <row r="2092" spans="1:22" hidden="1">
      <c r="A2092" t="s">
        <v>15396</v>
      </c>
      <c r="B2092" t="s">
        <v>15442</v>
      </c>
      <c r="C2092" t="s">
        <v>15450</v>
      </c>
      <c r="D2092" t="s">
        <v>2090</v>
      </c>
      <c r="E2092" t="s">
        <v>3461</v>
      </c>
      <c r="F2092" t="s">
        <v>3463</v>
      </c>
      <c r="G2092" s="3">
        <v>36.990859707052302</v>
      </c>
      <c r="H2092" s="3">
        <v>127.113315822798</v>
      </c>
      <c r="I2092" t="s">
        <v>5857</v>
      </c>
      <c r="J2092" t="s">
        <v>9213</v>
      </c>
      <c r="K2092" t="s">
        <v>10770</v>
      </c>
      <c r="L2092" t="s">
        <v>3366</v>
      </c>
      <c r="M2092" t="s">
        <v>11886</v>
      </c>
      <c r="N2092" t="s">
        <v>3363</v>
      </c>
      <c r="O2092" t="s">
        <v>3360</v>
      </c>
      <c r="P2092" t="s">
        <v>15211</v>
      </c>
      <c r="Q2092" t="s">
        <v>15211</v>
      </c>
      <c r="R2092" t="s">
        <v>15211</v>
      </c>
      <c r="S2092" t="s">
        <v>15211</v>
      </c>
      <c r="T2092" t="s">
        <v>3367</v>
      </c>
      <c r="U2092" t="s">
        <v>13972</v>
      </c>
      <c r="V2092" t="s">
        <v>15232</v>
      </c>
    </row>
    <row r="2093" spans="1:22" hidden="1">
      <c r="A2093" t="s">
        <v>15396</v>
      </c>
      <c r="B2093" t="s">
        <v>15442</v>
      </c>
      <c r="C2093" t="s">
        <v>15445</v>
      </c>
      <c r="D2093" t="s">
        <v>2091</v>
      </c>
      <c r="E2093" t="s">
        <v>3432</v>
      </c>
      <c r="F2093" t="s">
        <v>3540</v>
      </c>
      <c r="G2093" s="3">
        <v>36.990859919174902</v>
      </c>
      <c r="H2093" s="3">
        <v>127.113316103895</v>
      </c>
      <c r="I2093" t="s">
        <v>5858</v>
      </c>
      <c r="J2093" t="s">
        <v>9214</v>
      </c>
      <c r="K2093" t="s">
        <v>10595</v>
      </c>
      <c r="L2093" t="s">
        <v>3419</v>
      </c>
      <c r="M2093" t="s">
        <v>11885</v>
      </c>
      <c r="N2093" t="s">
        <v>3364</v>
      </c>
      <c r="O2093" t="s">
        <v>3360</v>
      </c>
      <c r="P2093" t="s">
        <v>15211</v>
      </c>
      <c r="Q2093" t="s">
        <v>15211</v>
      </c>
      <c r="R2093" t="s">
        <v>15211</v>
      </c>
      <c r="S2093" t="s">
        <v>15211</v>
      </c>
      <c r="T2093" t="s">
        <v>3368</v>
      </c>
      <c r="U2093" t="s">
        <v>13973</v>
      </c>
      <c r="V2093" t="s">
        <v>15233</v>
      </c>
    </row>
    <row r="2094" spans="1:22" hidden="1">
      <c r="A2094" t="s">
        <v>15396</v>
      </c>
      <c r="B2094" t="s">
        <v>15442</v>
      </c>
      <c r="C2094" t="s">
        <v>15445</v>
      </c>
      <c r="D2094" t="s">
        <v>2092</v>
      </c>
      <c r="E2094" t="s">
        <v>3432</v>
      </c>
      <c r="F2094" t="s">
        <v>3563</v>
      </c>
      <c r="G2094" s="3">
        <v>36.9908598293922</v>
      </c>
      <c r="H2094" s="3">
        <v>127.11331608615799</v>
      </c>
      <c r="I2094" t="s">
        <v>5859</v>
      </c>
      <c r="J2094" t="s">
        <v>9215</v>
      </c>
      <c r="K2094" t="s">
        <v>11094</v>
      </c>
      <c r="L2094" t="s">
        <v>3374</v>
      </c>
      <c r="M2094" t="s">
        <v>11885</v>
      </c>
      <c r="N2094" t="s">
        <v>3364</v>
      </c>
      <c r="O2094" t="s">
        <v>3360</v>
      </c>
      <c r="P2094" t="s">
        <v>15211</v>
      </c>
      <c r="Q2094" t="s">
        <v>15211</v>
      </c>
      <c r="R2094" t="s">
        <v>15211</v>
      </c>
      <c r="S2094" t="s">
        <v>15211</v>
      </c>
      <c r="T2094" t="s">
        <v>3368</v>
      </c>
      <c r="U2094" t="s">
        <v>13974</v>
      </c>
      <c r="V2094" t="s">
        <v>15233</v>
      </c>
    </row>
    <row r="2095" spans="1:22" hidden="1">
      <c r="A2095" t="s">
        <v>15396</v>
      </c>
      <c r="B2095" t="s">
        <v>15442</v>
      </c>
      <c r="C2095" t="s">
        <v>15445</v>
      </c>
      <c r="D2095" t="s">
        <v>2093</v>
      </c>
      <c r="E2095" t="s">
        <v>3453</v>
      </c>
      <c r="F2095" t="s">
        <v>3467</v>
      </c>
      <c r="G2095" s="3">
        <v>36.990859814248502</v>
      </c>
      <c r="H2095" s="3">
        <v>127.113316132742</v>
      </c>
      <c r="I2095" t="s">
        <v>5860</v>
      </c>
      <c r="J2095" t="s">
        <v>9216</v>
      </c>
      <c r="K2095" t="s">
        <v>10594</v>
      </c>
      <c r="L2095" t="s">
        <v>3366</v>
      </c>
      <c r="M2095" t="s">
        <v>11885</v>
      </c>
      <c r="N2095" t="s">
        <v>3364</v>
      </c>
      <c r="O2095" t="s">
        <v>3360</v>
      </c>
      <c r="P2095" t="s">
        <v>15211</v>
      </c>
      <c r="Q2095" t="s">
        <v>15211</v>
      </c>
      <c r="R2095" t="s">
        <v>15211</v>
      </c>
      <c r="S2095" t="s">
        <v>15211</v>
      </c>
      <c r="T2095" t="s">
        <v>3368</v>
      </c>
      <c r="U2095" t="s">
        <v>13975</v>
      </c>
      <c r="V2095" t="s">
        <v>15233</v>
      </c>
    </row>
    <row r="2096" spans="1:22" hidden="1">
      <c r="A2096" t="s">
        <v>15396</v>
      </c>
      <c r="B2096" t="s">
        <v>15442</v>
      </c>
      <c r="C2096" t="s">
        <v>15451</v>
      </c>
      <c r="D2096" t="s">
        <v>2094</v>
      </c>
      <c r="E2096" t="s">
        <v>3427</v>
      </c>
      <c r="F2096" t="s">
        <v>3434</v>
      </c>
      <c r="G2096" s="3">
        <v>36.990859697904597</v>
      </c>
      <c r="H2096" s="3">
        <v>127.11331607519099</v>
      </c>
      <c r="I2096" t="s">
        <v>5861</v>
      </c>
      <c r="J2096" t="s">
        <v>9217</v>
      </c>
      <c r="K2096" t="s">
        <v>11524</v>
      </c>
      <c r="L2096" t="s">
        <v>3366</v>
      </c>
      <c r="M2096" t="s">
        <v>11896</v>
      </c>
      <c r="N2096" t="s">
        <v>3364</v>
      </c>
      <c r="O2096" t="s">
        <v>3360</v>
      </c>
      <c r="P2096" t="s">
        <v>3364</v>
      </c>
      <c r="Q2096" t="s">
        <v>3359</v>
      </c>
      <c r="R2096" t="s">
        <v>15211</v>
      </c>
      <c r="S2096" t="s">
        <v>15211</v>
      </c>
      <c r="T2096" t="s">
        <v>3379</v>
      </c>
      <c r="U2096" t="s">
        <v>13976</v>
      </c>
      <c r="V2096" t="s">
        <v>15234</v>
      </c>
    </row>
    <row r="2097" spans="1:22" hidden="1">
      <c r="A2097" t="s">
        <v>15396</v>
      </c>
      <c r="B2097" t="s">
        <v>15442</v>
      </c>
      <c r="C2097" t="s">
        <v>15451</v>
      </c>
      <c r="D2097" t="s">
        <v>2095</v>
      </c>
      <c r="E2097" t="s">
        <v>3427</v>
      </c>
      <c r="F2097" t="s">
        <v>3435</v>
      </c>
      <c r="G2097" s="3">
        <v>36.990859678484298</v>
      </c>
      <c r="H2097" s="3">
        <v>127.113316075944</v>
      </c>
      <c r="I2097" t="s">
        <v>5862</v>
      </c>
      <c r="J2097" t="s">
        <v>9218</v>
      </c>
      <c r="K2097" t="s">
        <v>11573</v>
      </c>
      <c r="L2097" t="s">
        <v>3366</v>
      </c>
      <c r="M2097" t="s">
        <v>11888</v>
      </c>
      <c r="N2097" t="s">
        <v>3364</v>
      </c>
      <c r="O2097" t="s">
        <v>3360</v>
      </c>
      <c r="P2097" t="s">
        <v>3364</v>
      </c>
      <c r="Q2097" t="s">
        <v>3359</v>
      </c>
      <c r="R2097" t="s">
        <v>15211</v>
      </c>
      <c r="S2097" t="s">
        <v>15211</v>
      </c>
      <c r="T2097" t="s">
        <v>3379</v>
      </c>
      <c r="U2097" t="s">
        <v>13793</v>
      </c>
      <c r="V2097" t="s">
        <v>15234</v>
      </c>
    </row>
    <row r="2098" spans="1:22">
      <c r="A2098" t="s">
        <v>15396</v>
      </c>
      <c r="B2098" t="s">
        <v>15443</v>
      </c>
      <c r="C2098" t="s">
        <v>15452</v>
      </c>
      <c r="D2098" t="s">
        <v>2096</v>
      </c>
      <c r="E2098" t="s">
        <v>3428</v>
      </c>
      <c r="F2098" t="s">
        <v>3430</v>
      </c>
      <c r="G2098" s="3">
        <v>36.990859632354798</v>
      </c>
      <c r="H2098" s="3">
        <v>127.11331619401</v>
      </c>
      <c r="I2098" t="s">
        <v>5863</v>
      </c>
      <c r="J2098" t="s">
        <v>9219</v>
      </c>
      <c r="K2098" t="s">
        <v>11461</v>
      </c>
      <c r="L2098" t="s">
        <v>3366</v>
      </c>
      <c r="M2098" t="s">
        <v>11901</v>
      </c>
      <c r="N2098" t="s">
        <v>3362</v>
      </c>
      <c r="O2098" t="s">
        <v>15211</v>
      </c>
      <c r="P2098" t="s">
        <v>3363</v>
      </c>
      <c r="Q2098" t="s">
        <v>3360</v>
      </c>
      <c r="R2098" t="s">
        <v>15211</v>
      </c>
      <c r="S2098" t="s">
        <v>15211</v>
      </c>
      <c r="T2098" t="s">
        <v>3373</v>
      </c>
      <c r="U2098" t="s">
        <v>13977</v>
      </c>
      <c r="V2098" t="s">
        <v>15220</v>
      </c>
    </row>
    <row r="2099" spans="1:22">
      <c r="A2099" t="s">
        <v>15396</v>
      </c>
      <c r="B2099" t="s">
        <v>15443</v>
      </c>
      <c r="C2099" t="s">
        <v>15452</v>
      </c>
      <c r="D2099" t="s">
        <v>2097</v>
      </c>
      <c r="E2099" t="s">
        <v>3428</v>
      </c>
      <c r="F2099" t="s">
        <v>3442</v>
      </c>
      <c r="G2099" s="3">
        <v>36.990859643918697</v>
      </c>
      <c r="H2099" s="3">
        <v>127.113316209871</v>
      </c>
      <c r="I2099" t="s">
        <v>5864</v>
      </c>
      <c r="J2099" t="s">
        <v>9220</v>
      </c>
      <c r="K2099" t="s">
        <v>10557</v>
      </c>
      <c r="L2099" t="s">
        <v>3366</v>
      </c>
      <c r="M2099" t="s">
        <v>11901</v>
      </c>
      <c r="N2099" t="s">
        <v>3362</v>
      </c>
      <c r="O2099" t="s">
        <v>15211</v>
      </c>
      <c r="P2099" t="s">
        <v>3363</v>
      </c>
      <c r="Q2099" t="s">
        <v>3360</v>
      </c>
      <c r="R2099" t="s">
        <v>15211</v>
      </c>
      <c r="S2099" t="s">
        <v>15211</v>
      </c>
      <c r="T2099" t="s">
        <v>3373</v>
      </c>
      <c r="U2099" t="s">
        <v>13978</v>
      </c>
      <c r="V2099" t="s">
        <v>15220</v>
      </c>
    </row>
    <row r="2100" spans="1:22">
      <c r="A2100" t="s">
        <v>15396</v>
      </c>
      <c r="B2100" t="s">
        <v>15443</v>
      </c>
      <c r="C2100" t="s">
        <v>15452</v>
      </c>
      <c r="D2100" t="s">
        <v>2098</v>
      </c>
      <c r="E2100" t="s">
        <v>3436</v>
      </c>
      <c r="F2100" t="s">
        <v>3453</v>
      </c>
      <c r="G2100" s="3">
        <v>36.990859618508402</v>
      </c>
      <c r="H2100" s="3">
        <v>127.113316212641</v>
      </c>
      <c r="I2100" t="s">
        <v>5865</v>
      </c>
      <c r="J2100" t="s">
        <v>9221</v>
      </c>
      <c r="K2100" t="s">
        <v>10895</v>
      </c>
      <c r="L2100" t="s">
        <v>3366</v>
      </c>
      <c r="M2100" t="s">
        <v>11903</v>
      </c>
      <c r="N2100" t="s">
        <v>3362</v>
      </c>
      <c r="O2100" t="s">
        <v>15211</v>
      </c>
      <c r="P2100" t="s">
        <v>3363</v>
      </c>
      <c r="Q2100" t="s">
        <v>3359</v>
      </c>
      <c r="R2100" t="s">
        <v>15211</v>
      </c>
      <c r="S2100" t="s">
        <v>15211</v>
      </c>
      <c r="T2100" t="s">
        <v>3372</v>
      </c>
      <c r="U2100" t="s">
        <v>13979</v>
      </c>
      <c r="V2100" t="s">
        <v>15220</v>
      </c>
    </row>
    <row r="2101" spans="1:22" hidden="1">
      <c r="A2101" t="s">
        <v>15396</v>
      </c>
      <c r="B2101" t="s">
        <v>15443</v>
      </c>
      <c r="C2101" t="s">
        <v>15487</v>
      </c>
      <c r="D2101" t="s">
        <v>2099</v>
      </c>
      <c r="E2101" t="s">
        <v>3453</v>
      </c>
      <c r="F2101" t="s">
        <v>3515</v>
      </c>
      <c r="G2101" s="3">
        <v>36.990859612849199</v>
      </c>
      <c r="H2101" s="3">
        <v>127.113316143872</v>
      </c>
      <c r="I2101" t="s">
        <v>5866</v>
      </c>
      <c r="J2101" t="s">
        <v>9222</v>
      </c>
      <c r="K2101" t="s">
        <v>11087</v>
      </c>
      <c r="L2101" t="s">
        <v>3366</v>
      </c>
      <c r="M2101" t="s">
        <v>11901</v>
      </c>
      <c r="N2101" t="s">
        <v>3363</v>
      </c>
      <c r="O2101" t="s">
        <v>15211</v>
      </c>
      <c r="P2101" t="s">
        <v>3363</v>
      </c>
      <c r="Q2101" t="s">
        <v>3359</v>
      </c>
      <c r="R2101" t="s">
        <v>15211</v>
      </c>
      <c r="S2101" t="s">
        <v>15211</v>
      </c>
      <c r="T2101" t="s">
        <v>3373</v>
      </c>
      <c r="U2101" t="s">
        <v>13980</v>
      </c>
      <c r="V2101" t="s">
        <v>15270</v>
      </c>
    </row>
    <row r="2102" spans="1:22" hidden="1">
      <c r="A2102" t="s">
        <v>15396</v>
      </c>
      <c r="B2102" t="s">
        <v>15443</v>
      </c>
      <c r="C2102" t="s">
        <v>15487</v>
      </c>
      <c r="D2102" t="s">
        <v>2100</v>
      </c>
      <c r="E2102" t="s">
        <v>3432</v>
      </c>
      <c r="F2102" t="s">
        <v>3579</v>
      </c>
      <c r="G2102" s="3">
        <v>36.990859569943503</v>
      </c>
      <c r="H2102" s="3">
        <v>127.113316077867</v>
      </c>
      <c r="I2102" t="s">
        <v>5867</v>
      </c>
      <c r="J2102" t="s">
        <v>9223</v>
      </c>
      <c r="K2102" t="s">
        <v>11319</v>
      </c>
      <c r="L2102" t="s">
        <v>3366</v>
      </c>
      <c r="M2102" t="s">
        <v>11899</v>
      </c>
      <c r="N2102" t="s">
        <v>3364</v>
      </c>
      <c r="O2102" t="s">
        <v>15211</v>
      </c>
      <c r="P2102" t="s">
        <v>3364</v>
      </c>
      <c r="Q2102" t="s">
        <v>3359</v>
      </c>
      <c r="R2102" t="s">
        <v>15211</v>
      </c>
      <c r="S2102" t="s">
        <v>15211</v>
      </c>
      <c r="T2102" t="s">
        <v>3375</v>
      </c>
      <c r="U2102" t="s">
        <v>13981</v>
      </c>
      <c r="V2102" t="s">
        <v>15270</v>
      </c>
    </row>
    <row r="2103" spans="1:22" hidden="1">
      <c r="A2103" t="s">
        <v>15396</v>
      </c>
      <c r="B2103" t="s">
        <v>15443</v>
      </c>
      <c r="C2103" t="s">
        <v>15487</v>
      </c>
      <c r="D2103" t="s">
        <v>2101</v>
      </c>
      <c r="E2103" t="s">
        <v>3462</v>
      </c>
      <c r="F2103" t="s">
        <v>3467</v>
      </c>
      <c r="G2103" s="3">
        <v>36.990859573038897</v>
      </c>
      <c r="H2103" s="3">
        <v>127.113316075405</v>
      </c>
      <c r="I2103" t="s">
        <v>5868</v>
      </c>
      <c r="J2103" t="s">
        <v>9224</v>
      </c>
      <c r="K2103" t="s">
        <v>3658</v>
      </c>
      <c r="L2103" t="s">
        <v>3366</v>
      </c>
      <c r="M2103" t="s">
        <v>11898</v>
      </c>
      <c r="N2103" t="s">
        <v>3363</v>
      </c>
      <c r="O2103" t="s">
        <v>15211</v>
      </c>
      <c r="P2103" t="s">
        <v>3364</v>
      </c>
      <c r="Q2103" t="s">
        <v>3359</v>
      </c>
      <c r="R2103" t="s">
        <v>15211</v>
      </c>
      <c r="S2103" t="s">
        <v>15211</v>
      </c>
      <c r="T2103" t="s">
        <v>3374</v>
      </c>
      <c r="U2103" t="s">
        <v>13982</v>
      </c>
      <c r="V2103" t="s">
        <v>15270</v>
      </c>
    </row>
    <row r="2104" spans="1:22" ht="17.399999999999999" hidden="1">
      <c r="A2104" t="s">
        <v>15395</v>
      </c>
      <c r="B2104" t="s">
        <v>15441</v>
      </c>
      <c r="C2104" t="s">
        <v>15445</v>
      </c>
      <c r="D2104" t="s">
        <v>2102</v>
      </c>
      <c r="E2104" t="s">
        <v>3435</v>
      </c>
      <c r="F2104" t="s">
        <v>3442</v>
      </c>
      <c r="G2104" s="3">
        <v>37.018030978174501</v>
      </c>
      <c r="H2104" s="3">
        <v>126.87001104661</v>
      </c>
      <c r="I2104" t="s">
        <v>5869</v>
      </c>
      <c r="J2104" t="s">
        <v>9225</v>
      </c>
      <c r="K2104" t="s">
        <v>11574</v>
      </c>
      <c r="L2104" t="s">
        <v>3366</v>
      </c>
      <c r="M2104" t="s">
        <v>11886</v>
      </c>
      <c r="N2104" t="s">
        <v>3363</v>
      </c>
      <c r="O2104" t="s">
        <v>3360</v>
      </c>
      <c r="P2104" t="s">
        <v>15211</v>
      </c>
      <c r="Q2104" t="s">
        <v>15211</v>
      </c>
      <c r="R2104" t="s">
        <v>15211</v>
      </c>
      <c r="S2104" t="s">
        <v>15211</v>
      </c>
      <c r="T2104" t="s">
        <v>3367</v>
      </c>
      <c r="U2104" t="s">
        <v>13983</v>
      </c>
      <c r="V2104" t="s">
        <v>15228</v>
      </c>
    </row>
    <row r="2105" spans="1:22" ht="17.399999999999999" hidden="1">
      <c r="A2105" t="s">
        <v>15395</v>
      </c>
      <c r="B2105" t="s">
        <v>15441</v>
      </c>
      <c r="C2105" t="s">
        <v>15445</v>
      </c>
      <c r="D2105" t="s">
        <v>2103</v>
      </c>
      <c r="E2105" t="s">
        <v>3429</v>
      </c>
      <c r="F2105" t="s">
        <v>3441</v>
      </c>
      <c r="G2105" s="3">
        <v>37.018031013982501</v>
      </c>
      <c r="H2105" s="3">
        <v>126.870011046622</v>
      </c>
      <c r="I2105" t="s">
        <v>5870</v>
      </c>
      <c r="J2105" t="s">
        <v>9226</v>
      </c>
      <c r="K2105" t="s">
        <v>11575</v>
      </c>
      <c r="L2105" t="s">
        <v>3366</v>
      </c>
      <c r="M2105" t="s">
        <v>11886</v>
      </c>
      <c r="N2105" t="s">
        <v>3363</v>
      </c>
      <c r="O2105" t="s">
        <v>3360</v>
      </c>
      <c r="P2105" t="s">
        <v>15211</v>
      </c>
      <c r="Q2105" t="s">
        <v>15211</v>
      </c>
      <c r="R2105" t="s">
        <v>15211</v>
      </c>
      <c r="S2105" t="s">
        <v>15211</v>
      </c>
      <c r="T2105" t="s">
        <v>3367</v>
      </c>
      <c r="U2105" t="s">
        <v>13984</v>
      </c>
      <c r="V2105" t="s">
        <v>15228</v>
      </c>
    </row>
    <row r="2106" spans="1:22" ht="17.399999999999999" hidden="1">
      <c r="A2106" t="s">
        <v>15395</v>
      </c>
      <c r="B2106" t="s">
        <v>15441</v>
      </c>
      <c r="C2106" t="s">
        <v>15445</v>
      </c>
      <c r="D2106" t="s">
        <v>2104</v>
      </c>
      <c r="E2106" t="s">
        <v>3435</v>
      </c>
      <c r="F2106" t="s">
        <v>3441</v>
      </c>
      <c r="G2106" s="3">
        <v>37.018030948409297</v>
      </c>
      <c r="H2106" s="3">
        <v>126.87001109735</v>
      </c>
      <c r="I2106" t="s">
        <v>5871</v>
      </c>
      <c r="J2106" t="s">
        <v>9227</v>
      </c>
      <c r="K2106" t="s">
        <v>10660</v>
      </c>
      <c r="L2106" t="s">
        <v>3366</v>
      </c>
      <c r="M2106" t="s">
        <v>11885</v>
      </c>
      <c r="N2106" t="s">
        <v>3363</v>
      </c>
      <c r="O2106" t="s">
        <v>3361</v>
      </c>
      <c r="P2106" t="s">
        <v>15211</v>
      </c>
      <c r="Q2106" t="s">
        <v>15211</v>
      </c>
      <c r="R2106" t="s">
        <v>15211</v>
      </c>
      <c r="S2106" t="s">
        <v>15211</v>
      </c>
      <c r="T2106" t="s">
        <v>3368</v>
      </c>
      <c r="U2106" t="s">
        <v>13985</v>
      </c>
      <c r="V2106" t="s">
        <v>15228</v>
      </c>
    </row>
    <row r="2107" spans="1:22" ht="17.399999999999999" hidden="1">
      <c r="A2107" t="s">
        <v>15395</v>
      </c>
      <c r="B2107" t="s">
        <v>15441</v>
      </c>
      <c r="C2107" t="s">
        <v>15446</v>
      </c>
      <c r="D2107" t="s">
        <v>2105</v>
      </c>
      <c r="E2107" t="s">
        <v>3430</v>
      </c>
      <c r="F2107" t="s">
        <v>3432</v>
      </c>
      <c r="G2107" s="3">
        <v>37.018030884196499</v>
      </c>
      <c r="H2107" s="3">
        <v>126.87001110659899</v>
      </c>
      <c r="I2107" t="s">
        <v>5872</v>
      </c>
      <c r="J2107" t="s">
        <v>9228</v>
      </c>
      <c r="K2107" t="s">
        <v>11142</v>
      </c>
      <c r="L2107" t="s">
        <v>3366</v>
      </c>
      <c r="M2107" t="s">
        <v>11885</v>
      </c>
      <c r="N2107" t="s">
        <v>3363</v>
      </c>
      <c r="O2107" t="s">
        <v>3361</v>
      </c>
      <c r="P2107" t="s">
        <v>15211</v>
      </c>
      <c r="Q2107" t="s">
        <v>15211</v>
      </c>
      <c r="R2107" t="s">
        <v>15211</v>
      </c>
      <c r="S2107" t="s">
        <v>15211</v>
      </c>
      <c r="T2107" t="s">
        <v>3368</v>
      </c>
      <c r="U2107" t="s">
        <v>13986</v>
      </c>
      <c r="V2107" t="s">
        <v>15229</v>
      </c>
    </row>
    <row r="2108" spans="1:22" ht="17.399999999999999" hidden="1">
      <c r="A2108" t="s">
        <v>15395</v>
      </c>
      <c r="B2108" t="s">
        <v>15441</v>
      </c>
      <c r="C2108" t="s">
        <v>15446</v>
      </c>
      <c r="D2108" t="s">
        <v>2106</v>
      </c>
      <c r="E2108" t="s">
        <v>3431</v>
      </c>
      <c r="F2108" t="s">
        <v>3429</v>
      </c>
      <c r="G2108" s="3">
        <v>37.018030890905997</v>
      </c>
      <c r="H2108" s="3">
        <v>126.87001112143901</v>
      </c>
      <c r="I2108" t="s">
        <v>5873</v>
      </c>
      <c r="J2108" t="s">
        <v>9229</v>
      </c>
      <c r="K2108" t="s">
        <v>11142</v>
      </c>
      <c r="L2108" t="s">
        <v>3366</v>
      </c>
      <c r="M2108" t="s">
        <v>11885</v>
      </c>
      <c r="N2108" t="s">
        <v>3363</v>
      </c>
      <c r="O2108" t="s">
        <v>3361</v>
      </c>
      <c r="P2108" t="s">
        <v>15211</v>
      </c>
      <c r="Q2108" t="s">
        <v>15211</v>
      </c>
      <c r="R2108" t="s">
        <v>15211</v>
      </c>
      <c r="S2108" t="s">
        <v>15211</v>
      </c>
      <c r="T2108" t="s">
        <v>3368</v>
      </c>
      <c r="U2108" t="s">
        <v>13987</v>
      </c>
      <c r="V2108" t="s">
        <v>15229</v>
      </c>
    </row>
    <row r="2109" spans="1:22" ht="17.399999999999999" hidden="1">
      <c r="A2109" t="s">
        <v>15395</v>
      </c>
      <c r="B2109" t="s">
        <v>15441</v>
      </c>
      <c r="C2109" t="s">
        <v>15446</v>
      </c>
      <c r="D2109" t="s">
        <v>2107</v>
      </c>
      <c r="E2109" t="s">
        <v>3431</v>
      </c>
      <c r="F2109" t="s">
        <v>3429</v>
      </c>
      <c r="G2109" s="3">
        <v>37.018030939797697</v>
      </c>
      <c r="H2109" s="3">
        <v>126.870011201602</v>
      </c>
      <c r="I2109" t="s">
        <v>5874</v>
      </c>
      <c r="J2109" t="s">
        <v>9230</v>
      </c>
      <c r="K2109" t="s">
        <v>11142</v>
      </c>
      <c r="L2109" t="s">
        <v>3366</v>
      </c>
      <c r="M2109" t="s">
        <v>11885</v>
      </c>
      <c r="N2109" t="s">
        <v>3363</v>
      </c>
      <c r="O2109" t="s">
        <v>3361</v>
      </c>
      <c r="P2109" t="s">
        <v>15211</v>
      </c>
      <c r="Q2109" t="s">
        <v>15211</v>
      </c>
      <c r="R2109" t="s">
        <v>15211</v>
      </c>
      <c r="S2109" t="s">
        <v>15211</v>
      </c>
      <c r="T2109" t="s">
        <v>3368</v>
      </c>
      <c r="U2109" t="s">
        <v>13988</v>
      </c>
      <c r="V2109" t="s">
        <v>15229</v>
      </c>
    </row>
    <row r="2110" spans="1:22" ht="17.399999999999999" hidden="1">
      <c r="A2110" t="s">
        <v>15395</v>
      </c>
      <c r="B2110" t="s">
        <v>15441</v>
      </c>
      <c r="C2110" t="s">
        <v>15448</v>
      </c>
      <c r="D2110" t="s">
        <v>2108</v>
      </c>
      <c r="E2110" t="s">
        <v>3449</v>
      </c>
      <c r="F2110" t="s">
        <v>3445</v>
      </c>
      <c r="G2110" s="3">
        <v>37.018030377377102</v>
      </c>
      <c r="H2110" s="3">
        <v>126.870011338807</v>
      </c>
      <c r="I2110" t="s">
        <v>5875</v>
      </c>
      <c r="J2110" t="s">
        <v>9231</v>
      </c>
      <c r="K2110" t="s">
        <v>11350</v>
      </c>
      <c r="L2110" t="s">
        <v>3366</v>
      </c>
      <c r="M2110" t="s">
        <v>11912</v>
      </c>
      <c r="N2110" t="s">
        <v>3364</v>
      </c>
      <c r="O2110" t="s">
        <v>3361</v>
      </c>
      <c r="P2110" t="s">
        <v>3363</v>
      </c>
      <c r="Q2110" t="s">
        <v>3361</v>
      </c>
      <c r="R2110" t="s">
        <v>3357</v>
      </c>
      <c r="S2110" t="s">
        <v>15211</v>
      </c>
      <c r="T2110" t="s">
        <v>3382</v>
      </c>
      <c r="U2110" t="s">
        <v>13989</v>
      </c>
      <c r="V2110" t="s">
        <v>15230</v>
      </c>
    </row>
    <row r="2111" spans="1:22" ht="17.399999999999999" hidden="1">
      <c r="A2111" t="s">
        <v>15395</v>
      </c>
      <c r="B2111" t="s">
        <v>15441</v>
      </c>
      <c r="C2111" t="s">
        <v>15448</v>
      </c>
      <c r="D2111" t="s">
        <v>2109</v>
      </c>
      <c r="E2111" t="s">
        <v>3463</v>
      </c>
      <c r="F2111" t="s">
        <v>3445</v>
      </c>
      <c r="G2111" s="3">
        <v>37.018030335287101</v>
      </c>
      <c r="H2111" s="3">
        <v>126.870011410511</v>
      </c>
      <c r="I2111" t="s">
        <v>5876</v>
      </c>
      <c r="J2111" t="s">
        <v>9232</v>
      </c>
      <c r="K2111" t="s">
        <v>11359</v>
      </c>
      <c r="L2111" t="s">
        <v>3366</v>
      </c>
      <c r="M2111" t="s">
        <v>11914</v>
      </c>
      <c r="N2111" t="s">
        <v>3364</v>
      </c>
      <c r="O2111" t="s">
        <v>3361</v>
      </c>
      <c r="P2111" t="s">
        <v>3363</v>
      </c>
      <c r="Q2111" t="s">
        <v>3362</v>
      </c>
      <c r="R2111" t="s">
        <v>3357</v>
      </c>
      <c r="S2111" t="s">
        <v>15211</v>
      </c>
      <c r="T2111" t="s">
        <v>3383</v>
      </c>
      <c r="U2111" t="s">
        <v>13990</v>
      </c>
      <c r="V2111" t="s">
        <v>15230</v>
      </c>
    </row>
    <row r="2112" spans="1:22" ht="17.399999999999999" hidden="1">
      <c r="A2112" t="s">
        <v>15395</v>
      </c>
      <c r="B2112" t="s">
        <v>15441</v>
      </c>
      <c r="C2112" t="s">
        <v>15448</v>
      </c>
      <c r="D2112" t="s">
        <v>2110</v>
      </c>
      <c r="E2112" t="s">
        <v>3463</v>
      </c>
      <c r="F2112" t="s">
        <v>3445</v>
      </c>
      <c r="G2112" s="3">
        <v>37.018030337094402</v>
      </c>
      <c r="H2112" s="3">
        <v>126.870011412268</v>
      </c>
      <c r="I2112" t="s">
        <v>5877</v>
      </c>
      <c r="J2112" t="s">
        <v>9233</v>
      </c>
      <c r="K2112" t="s">
        <v>11350</v>
      </c>
      <c r="L2112" t="s">
        <v>3366</v>
      </c>
      <c r="M2112" t="s">
        <v>11912</v>
      </c>
      <c r="N2112" t="s">
        <v>3364</v>
      </c>
      <c r="O2112" t="s">
        <v>3361</v>
      </c>
      <c r="P2112" t="s">
        <v>3363</v>
      </c>
      <c r="Q2112" t="s">
        <v>3362</v>
      </c>
      <c r="R2112" t="s">
        <v>3357</v>
      </c>
      <c r="S2112" t="s">
        <v>15211</v>
      </c>
      <c r="T2112" t="s">
        <v>3383</v>
      </c>
      <c r="U2112" t="s">
        <v>13991</v>
      </c>
      <c r="V2112" t="s">
        <v>15230</v>
      </c>
    </row>
    <row r="2113" spans="1:22" ht="17.399999999999999" hidden="1">
      <c r="A2113" t="s">
        <v>15395</v>
      </c>
      <c r="B2113" t="s">
        <v>15441</v>
      </c>
      <c r="C2113" t="s">
        <v>15448</v>
      </c>
      <c r="D2113" t="s">
        <v>2111</v>
      </c>
      <c r="E2113" t="s">
        <v>3463</v>
      </c>
      <c r="F2113" t="s">
        <v>3445</v>
      </c>
      <c r="G2113" s="3">
        <v>37.018030343418097</v>
      </c>
      <c r="H2113" s="3">
        <v>126.870011399962</v>
      </c>
      <c r="I2113" t="s">
        <v>5878</v>
      </c>
      <c r="J2113" t="s">
        <v>9234</v>
      </c>
      <c r="K2113" t="s">
        <v>10819</v>
      </c>
      <c r="L2113" t="s">
        <v>3366</v>
      </c>
      <c r="M2113" t="s">
        <v>11912</v>
      </c>
      <c r="N2113" t="s">
        <v>3363</v>
      </c>
      <c r="O2113" t="s">
        <v>3361</v>
      </c>
      <c r="P2113" t="s">
        <v>3363</v>
      </c>
      <c r="Q2113" t="s">
        <v>3361</v>
      </c>
      <c r="R2113" t="s">
        <v>3357</v>
      </c>
      <c r="S2113" t="s">
        <v>15211</v>
      </c>
      <c r="T2113" t="s">
        <v>3381</v>
      </c>
      <c r="U2113" t="s">
        <v>13992</v>
      </c>
      <c r="V2113" t="s">
        <v>15230</v>
      </c>
    </row>
    <row r="2114" spans="1:22" ht="17.399999999999999" hidden="1">
      <c r="A2114" t="s">
        <v>15395</v>
      </c>
      <c r="B2114" t="s">
        <v>15441</v>
      </c>
      <c r="C2114" t="s">
        <v>15448</v>
      </c>
      <c r="D2114" t="s">
        <v>2112</v>
      </c>
      <c r="E2114" t="s">
        <v>3511</v>
      </c>
      <c r="F2114" t="s">
        <v>3565</v>
      </c>
      <c r="G2114" s="3">
        <v>37.018030438398696</v>
      </c>
      <c r="H2114" s="3">
        <v>126.870011415897</v>
      </c>
      <c r="I2114" t="s">
        <v>5879</v>
      </c>
      <c r="J2114" t="s">
        <v>9235</v>
      </c>
      <c r="K2114" t="s">
        <v>10782</v>
      </c>
      <c r="L2114" t="s">
        <v>3366</v>
      </c>
      <c r="M2114" t="s">
        <v>11912</v>
      </c>
      <c r="N2114" t="s">
        <v>3364</v>
      </c>
      <c r="O2114" t="s">
        <v>3361</v>
      </c>
      <c r="P2114" t="s">
        <v>3363</v>
      </c>
      <c r="Q2114" t="s">
        <v>3362</v>
      </c>
      <c r="R2114" t="s">
        <v>3357</v>
      </c>
      <c r="S2114" t="s">
        <v>15211</v>
      </c>
      <c r="T2114" t="s">
        <v>3383</v>
      </c>
      <c r="U2114" t="s">
        <v>13993</v>
      </c>
      <c r="V2114" t="s">
        <v>15230</v>
      </c>
    </row>
    <row r="2115" spans="1:22" ht="17.399999999999999" hidden="1">
      <c r="A2115" t="s">
        <v>15395</v>
      </c>
      <c r="B2115" t="s">
        <v>15441</v>
      </c>
      <c r="C2115" t="s">
        <v>15449</v>
      </c>
      <c r="D2115" t="s">
        <v>2113</v>
      </c>
      <c r="E2115" t="s">
        <v>3453</v>
      </c>
      <c r="F2115" t="s">
        <v>3476</v>
      </c>
      <c r="G2115" s="3">
        <v>37.018030351228603</v>
      </c>
      <c r="H2115" s="3">
        <v>126.87001110231201</v>
      </c>
      <c r="I2115" t="s">
        <v>5880</v>
      </c>
      <c r="J2115" t="s">
        <v>9236</v>
      </c>
      <c r="K2115" t="s">
        <v>11008</v>
      </c>
      <c r="L2115" t="s">
        <v>3368</v>
      </c>
      <c r="M2115" t="s">
        <v>11889</v>
      </c>
      <c r="N2115" t="s">
        <v>3363</v>
      </c>
      <c r="O2115" t="s">
        <v>15211</v>
      </c>
      <c r="P2115" t="s">
        <v>3363</v>
      </c>
      <c r="Q2115" t="s">
        <v>3362</v>
      </c>
      <c r="R2115" t="s">
        <v>15211</v>
      </c>
      <c r="S2115" t="s">
        <v>15211</v>
      </c>
      <c r="T2115" t="s">
        <v>3376</v>
      </c>
      <c r="U2115" t="s">
        <v>13994</v>
      </c>
      <c r="V2115" t="s">
        <v>15231</v>
      </c>
    </row>
    <row r="2116" spans="1:22" ht="17.399999999999999" hidden="1">
      <c r="A2116" t="s">
        <v>15395</v>
      </c>
      <c r="B2116" t="s">
        <v>15441</v>
      </c>
      <c r="C2116" t="s">
        <v>15449</v>
      </c>
      <c r="D2116" t="s">
        <v>2114</v>
      </c>
      <c r="E2116" t="s">
        <v>3429</v>
      </c>
      <c r="F2116" t="s">
        <v>3449</v>
      </c>
      <c r="G2116" s="3">
        <v>37.0180302945097</v>
      </c>
      <c r="H2116" s="3">
        <v>126.87001111923</v>
      </c>
      <c r="I2116" t="s">
        <v>5881</v>
      </c>
      <c r="J2116" t="s">
        <v>9237</v>
      </c>
      <c r="K2116" t="s">
        <v>3719</v>
      </c>
      <c r="L2116" t="s">
        <v>3366</v>
      </c>
      <c r="M2116" t="s">
        <v>11908</v>
      </c>
      <c r="N2116" t="s">
        <v>3363</v>
      </c>
      <c r="O2116" t="s">
        <v>15211</v>
      </c>
      <c r="P2116" t="s">
        <v>3363</v>
      </c>
      <c r="Q2116" t="s">
        <v>3362</v>
      </c>
      <c r="R2116" t="s">
        <v>15211</v>
      </c>
      <c r="S2116" t="s">
        <v>15211</v>
      </c>
      <c r="T2116" t="s">
        <v>3376</v>
      </c>
      <c r="U2116" t="s">
        <v>13995</v>
      </c>
      <c r="V2116" t="s">
        <v>15231</v>
      </c>
    </row>
    <row r="2117" spans="1:22" ht="17.399999999999999" hidden="1">
      <c r="A2117" t="s">
        <v>15395</v>
      </c>
      <c r="B2117" t="s">
        <v>15441</v>
      </c>
      <c r="C2117" t="s">
        <v>15449</v>
      </c>
      <c r="D2117" t="s">
        <v>2115</v>
      </c>
      <c r="E2117" t="s">
        <v>3435</v>
      </c>
      <c r="F2117" t="s">
        <v>3511</v>
      </c>
      <c r="G2117" s="3">
        <v>37.018030308578702</v>
      </c>
      <c r="H2117" s="3">
        <v>126.870011130639</v>
      </c>
      <c r="I2117" t="s">
        <v>5882</v>
      </c>
      <c r="J2117" t="s">
        <v>9238</v>
      </c>
      <c r="K2117" t="s">
        <v>10553</v>
      </c>
      <c r="L2117" t="s">
        <v>3366</v>
      </c>
      <c r="M2117" t="s">
        <v>11908</v>
      </c>
      <c r="N2117" t="s">
        <v>3363</v>
      </c>
      <c r="O2117" t="s">
        <v>15211</v>
      </c>
      <c r="P2117" t="s">
        <v>3363</v>
      </c>
      <c r="Q2117" t="s">
        <v>3362</v>
      </c>
      <c r="R2117" t="s">
        <v>15211</v>
      </c>
      <c r="S2117" t="s">
        <v>15211</v>
      </c>
      <c r="T2117" t="s">
        <v>3376</v>
      </c>
      <c r="U2117" t="s">
        <v>13996</v>
      </c>
      <c r="V2117" t="s">
        <v>15231</v>
      </c>
    </row>
    <row r="2118" spans="1:22" ht="17.399999999999999" hidden="1">
      <c r="A2118" t="s">
        <v>15395</v>
      </c>
      <c r="B2118" t="s">
        <v>15441</v>
      </c>
      <c r="C2118" t="s">
        <v>15448</v>
      </c>
      <c r="D2118" t="s">
        <v>2116</v>
      </c>
      <c r="E2118" t="s">
        <v>3426</v>
      </c>
      <c r="F2118" t="s">
        <v>3564</v>
      </c>
      <c r="G2118" s="3">
        <v>37.018030595545802</v>
      </c>
      <c r="H2118" s="3">
        <v>126.870010957792</v>
      </c>
      <c r="I2118" t="s">
        <v>5883</v>
      </c>
      <c r="J2118" t="s">
        <v>9239</v>
      </c>
      <c r="K2118" t="s">
        <v>11149</v>
      </c>
      <c r="L2118" t="s">
        <v>3412</v>
      </c>
      <c r="M2118" t="s">
        <v>11912</v>
      </c>
      <c r="N2118" t="s">
        <v>3363</v>
      </c>
      <c r="O2118" t="s">
        <v>3361</v>
      </c>
      <c r="P2118" t="s">
        <v>3363</v>
      </c>
      <c r="Q2118" t="s">
        <v>3362</v>
      </c>
      <c r="R2118" t="s">
        <v>3357</v>
      </c>
      <c r="S2118" t="s">
        <v>15211</v>
      </c>
      <c r="T2118" t="s">
        <v>3382</v>
      </c>
      <c r="U2118" t="s">
        <v>13997</v>
      </c>
      <c r="V2118" t="s">
        <v>15230</v>
      </c>
    </row>
    <row r="2119" spans="1:22" ht="17.399999999999999" hidden="1">
      <c r="A2119" t="s">
        <v>15395</v>
      </c>
      <c r="B2119" t="s">
        <v>15441</v>
      </c>
      <c r="C2119" t="s">
        <v>15447</v>
      </c>
      <c r="D2119" t="s">
        <v>2117</v>
      </c>
      <c r="E2119" t="s">
        <v>3539</v>
      </c>
      <c r="F2119" t="s">
        <v>3699</v>
      </c>
      <c r="G2119" s="3">
        <v>37.018030659422699</v>
      </c>
      <c r="H2119" s="3">
        <v>126.870011040271</v>
      </c>
      <c r="I2119" t="s">
        <v>5884</v>
      </c>
      <c r="J2119" t="s">
        <v>9240</v>
      </c>
      <c r="K2119" t="s">
        <v>11576</v>
      </c>
      <c r="L2119" t="s">
        <v>3366</v>
      </c>
      <c r="M2119" t="s">
        <v>11909</v>
      </c>
      <c r="N2119" t="s">
        <v>3363</v>
      </c>
      <c r="O2119" t="s">
        <v>15211</v>
      </c>
      <c r="P2119" t="s">
        <v>15211</v>
      </c>
      <c r="Q2119" t="s">
        <v>15211</v>
      </c>
      <c r="R2119" t="s">
        <v>15211</v>
      </c>
      <c r="S2119" t="s">
        <v>15211</v>
      </c>
      <c r="T2119" t="s">
        <v>3363</v>
      </c>
      <c r="U2119" t="s">
        <v>13998</v>
      </c>
      <c r="V2119" t="s">
        <v>15235</v>
      </c>
    </row>
    <row r="2120" spans="1:22" ht="17.399999999999999" hidden="1">
      <c r="A2120" t="s">
        <v>15395</v>
      </c>
      <c r="B2120" t="s">
        <v>15441</v>
      </c>
      <c r="C2120" t="s">
        <v>15447</v>
      </c>
      <c r="D2120" t="s">
        <v>2118</v>
      </c>
      <c r="E2120" t="s">
        <v>3540</v>
      </c>
      <c r="F2120" t="s">
        <v>3700</v>
      </c>
      <c r="G2120" s="3">
        <v>37.018030642721698</v>
      </c>
      <c r="H2120" s="3">
        <v>126.87001095296201</v>
      </c>
      <c r="I2120" t="s">
        <v>5885</v>
      </c>
      <c r="J2120" t="s">
        <v>9241</v>
      </c>
      <c r="K2120" t="s">
        <v>11577</v>
      </c>
      <c r="L2120" t="s">
        <v>3366</v>
      </c>
      <c r="M2120" t="s">
        <v>11909</v>
      </c>
      <c r="N2120" t="s">
        <v>3363</v>
      </c>
      <c r="O2120" t="s">
        <v>15211</v>
      </c>
      <c r="P2120" t="s">
        <v>15211</v>
      </c>
      <c r="Q2120" t="s">
        <v>15211</v>
      </c>
      <c r="R2120" t="s">
        <v>15211</v>
      </c>
      <c r="S2120" t="s">
        <v>15211</v>
      </c>
      <c r="T2120" t="s">
        <v>3363</v>
      </c>
      <c r="U2120" t="s">
        <v>13999</v>
      </c>
      <c r="V2120" t="s">
        <v>15235</v>
      </c>
    </row>
    <row r="2121" spans="1:22" ht="17.399999999999999" hidden="1">
      <c r="A2121" t="s">
        <v>15395</v>
      </c>
      <c r="B2121" t="s">
        <v>15441</v>
      </c>
      <c r="C2121" t="s">
        <v>15447</v>
      </c>
      <c r="D2121" t="s">
        <v>2119</v>
      </c>
      <c r="E2121" t="s">
        <v>3515</v>
      </c>
      <c r="F2121" t="s">
        <v>3458</v>
      </c>
      <c r="G2121" s="3">
        <v>37.018030627999302</v>
      </c>
      <c r="H2121" s="3">
        <v>126.870010961581</v>
      </c>
      <c r="I2121" t="s">
        <v>5886</v>
      </c>
      <c r="J2121" t="s">
        <v>9242</v>
      </c>
      <c r="K2121" t="s">
        <v>11578</v>
      </c>
      <c r="L2121" t="s">
        <v>3366</v>
      </c>
      <c r="M2121" t="s">
        <v>11909</v>
      </c>
      <c r="N2121" t="s">
        <v>3363</v>
      </c>
      <c r="O2121" t="s">
        <v>15211</v>
      </c>
      <c r="P2121" t="s">
        <v>15211</v>
      </c>
      <c r="Q2121" t="s">
        <v>15211</v>
      </c>
      <c r="R2121" t="s">
        <v>15211</v>
      </c>
      <c r="S2121" t="s">
        <v>15211</v>
      </c>
      <c r="T2121" t="s">
        <v>3363</v>
      </c>
      <c r="U2121" t="s">
        <v>14000</v>
      </c>
      <c r="V2121" t="s">
        <v>15235</v>
      </c>
    </row>
    <row r="2122" spans="1:22" ht="17.399999999999999" hidden="1">
      <c r="A2122" t="s">
        <v>15395</v>
      </c>
      <c r="B2122" t="s">
        <v>15441</v>
      </c>
      <c r="C2122" t="s">
        <v>15447</v>
      </c>
      <c r="D2122" t="s">
        <v>2120</v>
      </c>
      <c r="E2122" t="s">
        <v>3426</v>
      </c>
      <c r="F2122" t="s">
        <v>3484</v>
      </c>
      <c r="G2122" s="3">
        <v>37.018030599070997</v>
      </c>
      <c r="H2122" s="3">
        <v>126.87001091936899</v>
      </c>
      <c r="I2122" t="s">
        <v>5887</v>
      </c>
      <c r="J2122" t="s">
        <v>9243</v>
      </c>
      <c r="K2122" t="s">
        <v>11268</v>
      </c>
      <c r="L2122" t="s">
        <v>3366</v>
      </c>
      <c r="M2122" t="s">
        <v>11887</v>
      </c>
      <c r="N2122" t="s">
        <v>3363</v>
      </c>
      <c r="O2122" t="s">
        <v>15211</v>
      </c>
      <c r="P2122" t="s">
        <v>15211</v>
      </c>
      <c r="Q2122" t="s">
        <v>15211</v>
      </c>
      <c r="R2122" t="s">
        <v>15211</v>
      </c>
      <c r="S2122" t="s">
        <v>15211</v>
      </c>
      <c r="T2122" t="s">
        <v>3363</v>
      </c>
      <c r="U2122" t="s">
        <v>14001</v>
      </c>
      <c r="V2122" t="s">
        <v>15235</v>
      </c>
    </row>
    <row r="2123" spans="1:22" ht="17.399999999999999" hidden="1">
      <c r="A2123" t="s">
        <v>15395</v>
      </c>
      <c r="B2123" t="s">
        <v>15441</v>
      </c>
      <c r="C2123" t="s">
        <v>15447</v>
      </c>
      <c r="D2123" t="s">
        <v>2121</v>
      </c>
      <c r="E2123" t="s">
        <v>3462</v>
      </c>
      <c r="F2123" t="s">
        <v>3463</v>
      </c>
      <c r="G2123" s="3">
        <v>37.018030609327802</v>
      </c>
      <c r="H2123" s="3">
        <v>126.870010974262</v>
      </c>
      <c r="I2123" t="s">
        <v>5888</v>
      </c>
      <c r="J2123" t="s">
        <v>9244</v>
      </c>
      <c r="K2123" t="s">
        <v>11579</v>
      </c>
      <c r="L2123" t="s">
        <v>3366</v>
      </c>
      <c r="M2123" t="s">
        <v>11909</v>
      </c>
      <c r="N2123" t="s">
        <v>3363</v>
      </c>
      <c r="O2123" t="s">
        <v>15211</v>
      </c>
      <c r="P2123" t="s">
        <v>15211</v>
      </c>
      <c r="Q2123" t="s">
        <v>15211</v>
      </c>
      <c r="R2123" t="s">
        <v>15211</v>
      </c>
      <c r="S2123" t="s">
        <v>15211</v>
      </c>
      <c r="T2123" t="s">
        <v>3363</v>
      </c>
      <c r="U2123" t="s">
        <v>14002</v>
      </c>
      <c r="V2123" t="s">
        <v>15235</v>
      </c>
    </row>
    <row r="2124" spans="1:22" ht="17.399999999999999" hidden="1">
      <c r="A2124" t="s">
        <v>15395</v>
      </c>
      <c r="B2124" t="s">
        <v>15442</v>
      </c>
      <c r="C2124" t="s">
        <v>15450</v>
      </c>
      <c r="D2124" t="s">
        <v>2122</v>
      </c>
      <c r="E2124" t="s">
        <v>3450</v>
      </c>
      <c r="F2124" t="s">
        <v>3464</v>
      </c>
      <c r="G2124" s="3">
        <v>37.018031531886301</v>
      </c>
      <c r="H2124" s="3">
        <v>126.87001095719501</v>
      </c>
      <c r="I2124" t="s">
        <v>5889</v>
      </c>
      <c r="J2124" t="s">
        <v>9245</v>
      </c>
      <c r="K2124" t="s">
        <v>3630</v>
      </c>
      <c r="L2124" t="s">
        <v>3423</v>
      </c>
      <c r="M2124" t="s">
        <v>11886</v>
      </c>
      <c r="N2124" t="s">
        <v>3363</v>
      </c>
      <c r="O2124" t="s">
        <v>3360</v>
      </c>
      <c r="P2124" t="s">
        <v>15211</v>
      </c>
      <c r="Q2124" t="s">
        <v>15211</v>
      </c>
      <c r="R2124" t="s">
        <v>15211</v>
      </c>
      <c r="S2124" t="s">
        <v>15211</v>
      </c>
      <c r="T2124" t="s">
        <v>3367</v>
      </c>
      <c r="U2124" t="s">
        <v>14003</v>
      </c>
      <c r="V2124" t="s">
        <v>15232</v>
      </c>
    </row>
    <row r="2125" spans="1:22" ht="17.399999999999999" hidden="1">
      <c r="A2125" t="s">
        <v>15395</v>
      </c>
      <c r="B2125" t="s">
        <v>15442</v>
      </c>
      <c r="C2125" t="s">
        <v>15450</v>
      </c>
      <c r="D2125" t="s">
        <v>2123</v>
      </c>
      <c r="E2125" t="s">
        <v>3541</v>
      </c>
      <c r="F2125" t="s">
        <v>3533</v>
      </c>
      <c r="G2125" s="3">
        <v>37.018030906350297</v>
      </c>
      <c r="H2125" s="3">
        <v>126.870011180894</v>
      </c>
      <c r="I2125" t="s">
        <v>5890</v>
      </c>
      <c r="J2125" t="s">
        <v>9246</v>
      </c>
      <c r="K2125" t="s">
        <v>11348</v>
      </c>
      <c r="L2125" t="s">
        <v>3366</v>
      </c>
      <c r="M2125" t="s">
        <v>11885</v>
      </c>
      <c r="N2125" t="s">
        <v>3364</v>
      </c>
      <c r="O2125" t="s">
        <v>3360</v>
      </c>
      <c r="P2125" t="s">
        <v>15211</v>
      </c>
      <c r="Q2125" t="s">
        <v>15211</v>
      </c>
      <c r="R2125" t="s">
        <v>15211</v>
      </c>
      <c r="S2125" t="s">
        <v>15211</v>
      </c>
      <c r="T2125" t="s">
        <v>3368</v>
      </c>
      <c r="U2125" t="s">
        <v>14004</v>
      </c>
      <c r="V2125" t="s">
        <v>15232</v>
      </c>
    </row>
    <row r="2126" spans="1:22" ht="17.399999999999999" hidden="1">
      <c r="A2126" t="s">
        <v>15395</v>
      </c>
      <c r="B2126" t="s">
        <v>15442</v>
      </c>
      <c r="C2126" t="s">
        <v>15450</v>
      </c>
      <c r="D2126" t="s">
        <v>2124</v>
      </c>
      <c r="E2126" t="s">
        <v>3458</v>
      </c>
      <c r="F2126" t="s">
        <v>3535</v>
      </c>
      <c r="G2126" s="3">
        <v>37.018031079929898</v>
      </c>
      <c r="H2126" s="3">
        <v>126.87001096367401</v>
      </c>
      <c r="I2126" t="s">
        <v>5891</v>
      </c>
      <c r="J2126" t="s">
        <v>9247</v>
      </c>
      <c r="K2126" t="s">
        <v>11179</v>
      </c>
      <c r="L2126" t="s">
        <v>3366</v>
      </c>
      <c r="M2126" t="s">
        <v>11886</v>
      </c>
      <c r="N2126" t="s">
        <v>3363</v>
      </c>
      <c r="O2126" t="s">
        <v>3360</v>
      </c>
      <c r="P2126" t="s">
        <v>15211</v>
      </c>
      <c r="Q2126" t="s">
        <v>15211</v>
      </c>
      <c r="R2126" t="s">
        <v>15211</v>
      </c>
      <c r="S2126" t="s">
        <v>15211</v>
      </c>
      <c r="T2126" t="s">
        <v>3367</v>
      </c>
      <c r="U2126" t="s">
        <v>14005</v>
      </c>
      <c r="V2126" t="s">
        <v>15232</v>
      </c>
    </row>
    <row r="2127" spans="1:22" ht="17.399999999999999" hidden="1">
      <c r="A2127" t="s">
        <v>15395</v>
      </c>
      <c r="B2127" t="s">
        <v>15442</v>
      </c>
      <c r="C2127" t="s">
        <v>15450</v>
      </c>
      <c r="D2127" t="s">
        <v>2125</v>
      </c>
      <c r="E2127" t="s">
        <v>3542</v>
      </c>
      <c r="F2127" t="s">
        <v>3581</v>
      </c>
      <c r="G2127" s="3">
        <v>37.018031049032501</v>
      </c>
      <c r="H2127" s="3">
        <v>126.870010912314</v>
      </c>
      <c r="I2127" t="s">
        <v>5892</v>
      </c>
      <c r="J2127" t="s">
        <v>9248</v>
      </c>
      <c r="K2127" t="s">
        <v>11179</v>
      </c>
      <c r="L2127" t="s">
        <v>3366</v>
      </c>
      <c r="M2127" t="s">
        <v>11886</v>
      </c>
      <c r="N2127" t="s">
        <v>3364</v>
      </c>
      <c r="O2127" t="s">
        <v>3360</v>
      </c>
      <c r="P2127" t="s">
        <v>15211</v>
      </c>
      <c r="Q2127" t="s">
        <v>15211</v>
      </c>
      <c r="R2127" t="s">
        <v>15211</v>
      </c>
      <c r="S2127" t="s">
        <v>15211</v>
      </c>
      <c r="T2127" t="s">
        <v>3368</v>
      </c>
      <c r="U2127" t="s">
        <v>14006</v>
      </c>
      <c r="V2127" t="s">
        <v>15232</v>
      </c>
    </row>
    <row r="2128" spans="1:22" ht="17.399999999999999" hidden="1">
      <c r="A2128" t="s">
        <v>15395</v>
      </c>
      <c r="B2128" t="s">
        <v>15442</v>
      </c>
      <c r="C2128" t="s">
        <v>15450</v>
      </c>
      <c r="D2128" t="s">
        <v>2126</v>
      </c>
      <c r="E2128" t="s">
        <v>3543</v>
      </c>
      <c r="F2128" t="s">
        <v>3539</v>
      </c>
      <c r="G2128" s="3">
        <v>37.018030880002598</v>
      </c>
      <c r="H2128" s="3">
        <v>126.87001101788</v>
      </c>
      <c r="I2128" t="s">
        <v>5893</v>
      </c>
      <c r="J2128" t="s">
        <v>9249</v>
      </c>
      <c r="K2128" t="s">
        <v>10569</v>
      </c>
      <c r="L2128" t="s">
        <v>3366</v>
      </c>
      <c r="M2128" t="s">
        <v>11886</v>
      </c>
      <c r="N2128" t="s">
        <v>3364</v>
      </c>
      <c r="O2128" t="s">
        <v>3360</v>
      </c>
      <c r="P2128" t="s">
        <v>15211</v>
      </c>
      <c r="Q2128" t="s">
        <v>15211</v>
      </c>
      <c r="R2128" t="s">
        <v>15211</v>
      </c>
      <c r="S2128" t="s">
        <v>15211</v>
      </c>
      <c r="T2128" t="s">
        <v>3368</v>
      </c>
      <c r="U2128" t="s">
        <v>14007</v>
      </c>
      <c r="V2128" t="s">
        <v>15232</v>
      </c>
    </row>
    <row r="2129" spans="1:22" ht="17.399999999999999" hidden="1">
      <c r="A2129" t="s">
        <v>15395</v>
      </c>
      <c r="B2129" t="s">
        <v>15442</v>
      </c>
      <c r="C2129" t="s">
        <v>15450</v>
      </c>
      <c r="D2129" t="s">
        <v>2127</v>
      </c>
      <c r="E2129" t="s">
        <v>3544</v>
      </c>
      <c r="F2129" t="s">
        <v>3492</v>
      </c>
      <c r="G2129" s="3">
        <v>37.018031516608403</v>
      </c>
      <c r="H2129" s="3">
        <v>126.870010698288</v>
      </c>
      <c r="I2129" t="s">
        <v>5894</v>
      </c>
      <c r="J2129" t="s">
        <v>9250</v>
      </c>
      <c r="K2129" t="s">
        <v>11580</v>
      </c>
      <c r="L2129" t="s">
        <v>3366</v>
      </c>
      <c r="M2129" t="s">
        <v>11902</v>
      </c>
      <c r="N2129" t="s">
        <v>3362</v>
      </c>
      <c r="O2129" t="s">
        <v>3360</v>
      </c>
      <c r="P2129" t="s">
        <v>15211</v>
      </c>
      <c r="Q2129" t="s">
        <v>15211</v>
      </c>
      <c r="R2129" t="s">
        <v>15211</v>
      </c>
      <c r="S2129" t="s">
        <v>15211</v>
      </c>
      <c r="T2129" t="s">
        <v>3366</v>
      </c>
      <c r="U2129" t="s">
        <v>14008</v>
      </c>
      <c r="V2129" t="s">
        <v>15232</v>
      </c>
    </row>
    <row r="2130" spans="1:22" ht="17.399999999999999" hidden="1">
      <c r="A2130" t="s">
        <v>15395</v>
      </c>
      <c r="B2130" t="s">
        <v>15442</v>
      </c>
      <c r="C2130" t="s">
        <v>15445</v>
      </c>
      <c r="D2130" t="s">
        <v>2128</v>
      </c>
      <c r="E2130" t="s">
        <v>3453</v>
      </c>
      <c r="F2130" t="s">
        <v>3450</v>
      </c>
      <c r="G2130" s="3">
        <v>37.018030090342698</v>
      </c>
      <c r="H2130" s="3">
        <v>126.87001120933</v>
      </c>
      <c r="I2130" t="s">
        <v>5895</v>
      </c>
      <c r="J2130" t="s">
        <v>9251</v>
      </c>
      <c r="K2130" t="s">
        <v>11581</v>
      </c>
      <c r="L2130" t="s">
        <v>3401</v>
      </c>
      <c r="M2130" t="s">
        <v>11886</v>
      </c>
      <c r="N2130" t="s">
        <v>3364</v>
      </c>
      <c r="O2130" t="s">
        <v>3362</v>
      </c>
      <c r="P2130" t="s">
        <v>15211</v>
      </c>
      <c r="Q2130" t="s">
        <v>15211</v>
      </c>
      <c r="R2130" t="s">
        <v>15211</v>
      </c>
      <c r="S2130" t="s">
        <v>15211</v>
      </c>
      <c r="T2130" t="s">
        <v>3370</v>
      </c>
      <c r="U2130" t="s">
        <v>14009</v>
      </c>
      <c r="V2130" t="s">
        <v>15233</v>
      </c>
    </row>
    <row r="2131" spans="1:22" ht="17.399999999999999" hidden="1">
      <c r="A2131" t="s">
        <v>15395</v>
      </c>
      <c r="B2131" t="s">
        <v>15442</v>
      </c>
      <c r="C2131" t="s">
        <v>15445</v>
      </c>
      <c r="D2131" t="s">
        <v>2129</v>
      </c>
      <c r="E2131" t="s">
        <v>3442</v>
      </c>
      <c r="F2131" t="s">
        <v>3465</v>
      </c>
      <c r="G2131" s="3">
        <v>37.018030145330201</v>
      </c>
      <c r="H2131" s="3">
        <v>126.87001122525901</v>
      </c>
      <c r="I2131" t="s">
        <v>5896</v>
      </c>
      <c r="J2131" t="s">
        <v>9252</v>
      </c>
      <c r="K2131" t="s">
        <v>11582</v>
      </c>
      <c r="L2131" t="s">
        <v>3366</v>
      </c>
      <c r="M2131" t="s">
        <v>11885</v>
      </c>
      <c r="N2131" t="s">
        <v>3362</v>
      </c>
      <c r="O2131" t="s">
        <v>3360</v>
      </c>
      <c r="P2131" t="s">
        <v>15211</v>
      </c>
      <c r="Q2131" t="s">
        <v>15211</v>
      </c>
      <c r="R2131" t="s">
        <v>15211</v>
      </c>
      <c r="S2131" t="s">
        <v>15211</v>
      </c>
      <c r="T2131" t="s">
        <v>3366</v>
      </c>
      <c r="U2131" t="s">
        <v>14010</v>
      </c>
      <c r="V2131" t="s">
        <v>15233</v>
      </c>
    </row>
    <row r="2132" spans="1:22" ht="17.399999999999999" hidden="1">
      <c r="A2132" t="s">
        <v>15395</v>
      </c>
      <c r="B2132" t="s">
        <v>15442</v>
      </c>
      <c r="C2132" t="s">
        <v>15445</v>
      </c>
      <c r="D2132" t="s">
        <v>2130</v>
      </c>
      <c r="E2132" t="s">
        <v>3453</v>
      </c>
      <c r="F2132" t="s">
        <v>3511</v>
      </c>
      <c r="G2132" s="3">
        <v>37.018030221281798</v>
      </c>
      <c r="H2132" s="3">
        <v>126.870011207864</v>
      </c>
      <c r="I2132" t="s">
        <v>5897</v>
      </c>
      <c r="J2132" t="s">
        <v>9253</v>
      </c>
      <c r="K2132" t="s">
        <v>11197</v>
      </c>
      <c r="L2132" t="s">
        <v>3366</v>
      </c>
      <c r="M2132" t="s">
        <v>11885</v>
      </c>
      <c r="N2132" t="s">
        <v>3363</v>
      </c>
      <c r="O2132" t="s">
        <v>3361</v>
      </c>
      <c r="P2132" t="s">
        <v>15211</v>
      </c>
      <c r="Q2132" t="s">
        <v>15211</v>
      </c>
      <c r="R2132" t="s">
        <v>15211</v>
      </c>
      <c r="S2132" t="s">
        <v>15211</v>
      </c>
      <c r="T2132" t="s">
        <v>3368</v>
      </c>
      <c r="U2132" t="s">
        <v>14011</v>
      </c>
      <c r="V2132" t="s">
        <v>15233</v>
      </c>
    </row>
    <row r="2133" spans="1:22" ht="17.399999999999999" hidden="1">
      <c r="A2133" t="s">
        <v>15395</v>
      </c>
      <c r="B2133" t="s">
        <v>15442</v>
      </c>
      <c r="C2133" t="s">
        <v>15451</v>
      </c>
      <c r="D2133" t="s">
        <v>2131</v>
      </c>
      <c r="E2133" t="s">
        <v>3436</v>
      </c>
      <c r="F2133" t="s">
        <v>3432</v>
      </c>
      <c r="G2133" s="3">
        <v>37.0180302750083</v>
      </c>
      <c r="H2133" s="3">
        <v>126.87001138858299</v>
      </c>
      <c r="I2133" t="s">
        <v>5898</v>
      </c>
      <c r="J2133" t="s">
        <v>9254</v>
      </c>
      <c r="K2133" t="s">
        <v>11583</v>
      </c>
      <c r="L2133" t="s">
        <v>3366</v>
      </c>
      <c r="M2133" t="s">
        <v>11893</v>
      </c>
      <c r="N2133" t="s">
        <v>3363</v>
      </c>
      <c r="O2133" t="s">
        <v>3361</v>
      </c>
      <c r="P2133" t="s">
        <v>3358</v>
      </c>
      <c r="Q2133" t="s">
        <v>3357</v>
      </c>
      <c r="R2133" t="s">
        <v>15211</v>
      </c>
      <c r="S2133" t="s">
        <v>15211</v>
      </c>
      <c r="T2133" t="s">
        <v>3371</v>
      </c>
      <c r="U2133" t="s">
        <v>14012</v>
      </c>
      <c r="V2133" t="s">
        <v>15234</v>
      </c>
    </row>
    <row r="2134" spans="1:22" ht="17.399999999999999" hidden="1">
      <c r="A2134" t="s">
        <v>15395</v>
      </c>
      <c r="B2134" t="s">
        <v>15442</v>
      </c>
      <c r="C2134" t="s">
        <v>15451</v>
      </c>
      <c r="D2134" t="s">
        <v>2132</v>
      </c>
      <c r="E2134" t="s">
        <v>3434</v>
      </c>
      <c r="F2134" t="s">
        <v>3462</v>
      </c>
      <c r="G2134" s="3">
        <v>37.018030259388098</v>
      </c>
      <c r="H2134" s="3">
        <v>126.87001140229999</v>
      </c>
      <c r="I2134" t="s">
        <v>5899</v>
      </c>
      <c r="J2134" t="s">
        <v>9255</v>
      </c>
      <c r="K2134" t="s">
        <v>10907</v>
      </c>
      <c r="L2134" t="s">
        <v>3366</v>
      </c>
      <c r="M2134" t="s">
        <v>11912</v>
      </c>
      <c r="N2134" t="s">
        <v>3363</v>
      </c>
      <c r="O2134" t="s">
        <v>3361</v>
      </c>
      <c r="P2134" t="s">
        <v>3364</v>
      </c>
      <c r="Q2134" t="s">
        <v>3362</v>
      </c>
      <c r="R2134" t="s">
        <v>15211</v>
      </c>
      <c r="S2134" t="s">
        <v>15211</v>
      </c>
      <c r="T2134" t="s">
        <v>3382</v>
      </c>
      <c r="U2134" t="s">
        <v>14013</v>
      </c>
      <c r="V2134" t="s">
        <v>15234</v>
      </c>
    </row>
    <row r="2135" spans="1:22" ht="17.399999999999999" hidden="1">
      <c r="A2135" t="s">
        <v>15395</v>
      </c>
      <c r="B2135" t="s">
        <v>15442</v>
      </c>
      <c r="C2135" t="s">
        <v>15451</v>
      </c>
      <c r="D2135" t="s">
        <v>2133</v>
      </c>
      <c r="E2135" t="s">
        <v>3434</v>
      </c>
      <c r="F2135" t="s">
        <v>3426</v>
      </c>
      <c r="G2135" s="3">
        <v>37.018030225173497</v>
      </c>
      <c r="H2135" s="3">
        <v>126.87001140452099</v>
      </c>
      <c r="I2135" t="s">
        <v>5900</v>
      </c>
      <c r="J2135" t="s">
        <v>9256</v>
      </c>
      <c r="K2135" t="s">
        <v>10666</v>
      </c>
      <c r="L2135" t="s">
        <v>3366</v>
      </c>
      <c r="M2135" t="s">
        <v>11893</v>
      </c>
      <c r="N2135" t="s">
        <v>3362</v>
      </c>
      <c r="O2135" t="s">
        <v>3361</v>
      </c>
      <c r="P2135" t="s">
        <v>3364</v>
      </c>
      <c r="Q2135" t="s">
        <v>3362</v>
      </c>
      <c r="R2135" t="s">
        <v>15211</v>
      </c>
      <c r="S2135" t="s">
        <v>15211</v>
      </c>
      <c r="T2135" t="s">
        <v>3381</v>
      </c>
      <c r="U2135" t="s">
        <v>14012</v>
      </c>
      <c r="V2135" t="s">
        <v>15234</v>
      </c>
    </row>
    <row r="2136" spans="1:22" ht="17.399999999999999">
      <c r="A2136" t="s">
        <v>15395</v>
      </c>
      <c r="B2136" t="s">
        <v>15443</v>
      </c>
      <c r="C2136" t="s">
        <v>15452</v>
      </c>
      <c r="D2136" t="s">
        <v>2134</v>
      </c>
      <c r="E2136" t="s">
        <v>3434</v>
      </c>
      <c r="F2136" t="s">
        <v>3426</v>
      </c>
      <c r="G2136" s="3">
        <v>37.018030232491803</v>
      </c>
      <c r="H2136" s="3">
        <v>126.870011359239</v>
      </c>
      <c r="I2136" t="s">
        <v>5901</v>
      </c>
      <c r="J2136" t="s">
        <v>9257</v>
      </c>
      <c r="K2136" t="s">
        <v>11176</v>
      </c>
      <c r="L2136" t="s">
        <v>3366</v>
      </c>
      <c r="M2136" t="s">
        <v>11890</v>
      </c>
      <c r="N2136" t="s">
        <v>3361</v>
      </c>
      <c r="O2136" t="s">
        <v>3358</v>
      </c>
      <c r="P2136" t="s">
        <v>3362</v>
      </c>
      <c r="Q2136" t="s">
        <v>3360</v>
      </c>
      <c r="R2136" t="s">
        <v>15211</v>
      </c>
      <c r="S2136" t="s">
        <v>15211</v>
      </c>
      <c r="T2136" t="s">
        <v>3373</v>
      </c>
      <c r="U2136" t="s">
        <v>14014</v>
      </c>
      <c r="V2136" t="s">
        <v>15220</v>
      </c>
    </row>
    <row r="2137" spans="1:22" ht="17.399999999999999">
      <c r="A2137" t="s">
        <v>15395</v>
      </c>
      <c r="B2137" t="s">
        <v>15443</v>
      </c>
      <c r="C2137" t="s">
        <v>15452</v>
      </c>
      <c r="D2137" t="s">
        <v>2135</v>
      </c>
      <c r="E2137" t="s">
        <v>3435</v>
      </c>
      <c r="F2137" t="s">
        <v>3450</v>
      </c>
      <c r="G2137" s="3">
        <v>37.018030266709602</v>
      </c>
      <c r="H2137" s="3">
        <v>126.87001133336599</v>
      </c>
      <c r="I2137" t="s">
        <v>5902</v>
      </c>
      <c r="J2137" t="s">
        <v>9258</v>
      </c>
      <c r="K2137" t="s">
        <v>11511</v>
      </c>
      <c r="L2137" t="s">
        <v>3366</v>
      </c>
      <c r="M2137" t="s">
        <v>11894</v>
      </c>
      <c r="N2137" t="s">
        <v>3361</v>
      </c>
      <c r="O2137" t="s">
        <v>15211</v>
      </c>
      <c r="P2137" t="s">
        <v>3362</v>
      </c>
      <c r="Q2137" t="s">
        <v>3359</v>
      </c>
      <c r="R2137" t="s">
        <v>15211</v>
      </c>
      <c r="S2137" t="s">
        <v>15211</v>
      </c>
      <c r="T2137" t="s">
        <v>3370</v>
      </c>
      <c r="U2137" t="s">
        <v>14015</v>
      </c>
      <c r="V2137" t="s">
        <v>15220</v>
      </c>
    </row>
    <row r="2138" spans="1:22" ht="17.399999999999999">
      <c r="A2138" t="s">
        <v>15395</v>
      </c>
      <c r="B2138" t="s">
        <v>15443</v>
      </c>
      <c r="C2138" t="s">
        <v>15452</v>
      </c>
      <c r="D2138" t="s">
        <v>2136</v>
      </c>
      <c r="E2138" t="s">
        <v>3435</v>
      </c>
      <c r="F2138" t="s">
        <v>3450</v>
      </c>
      <c r="G2138" s="3">
        <v>37.018030323085704</v>
      </c>
      <c r="H2138" s="3">
        <v>126.87001129292101</v>
      </c>
      <c r="I2138" t="s">
        <v>5903</v>
      </c>
      <c r="J2138" t="s">
        <v>9259</v>
      </c>
      <c r="K2138" t="s">
        <v>11511</v>
      </c>
      <c r="L2138" t="s">
        <v>3366</v>
      </c>
      <c r="M2138" t="s">
        <v>11894</v>
      </c>
      <c r="N2138" t="s">
        <v>3361</v>
      </c>
      <c r="O2138" t="s">
        <v>15211</v>
      </c>
      <c r="P2138" t="s">
        <v>3362</v>
      </c>
      <c r="Q2138" t="s">
        <v>3359</v>
      </c>
      <c r="R2138" t="s">
        <v>15211</v>
      </c>
      <c r="S2138" t="s">
        <v>15211</v>
      </c>
      <c r="T2138" t="s">
        <v>3370</v>
      </c>
      <c r="U2138" t="s">
        <v>14016</v>
      </c>
      <c r="V2138" t="s">
        <v>15220</v>
      </c>
    </row>
    <row r="2139" spans="1:22" ht="17.399999999999999" hidden="1">
      <c r="A2139" t="s">
        <v>15395</v>
      </c>
      <c r="B2139" t="s">
        <v>15443</v>
      </c>
      <c r="C2139" t="s">
        <v>15462</v>
      </c>
      <c r="D2139" t="s">
        <v>2137</v>
      </c>
      <c r="E2139" t="s">
        <v>3453</v>
      </c>
      <c r="F2139" t="s">
        <v>3466</v>
      </c>
      <c r="G2139" s="3">
        <v>37.018030160746697</v>
      </c>
      <c r="H2139" s="3">
        <v>126.870011299296</v>
      </c>
      <c r="I2139" t="s">
        <v>5904</v>
      </c>
      <c r="J2139" t="s">
        <v>9260</v>
      </c>
      <c r="K2139" t="s">
        <v>11584</v>
      </c>
      <c r="L2139" t="s">
        <v>3366</v>
      </c>
      <c r="M2139" t="s">
        <v>11890</v>
      </c>
      <c r="N2139" t="s">
        <v>3360</v>
      </c>
      <c r="O2139" t="s">
        <v>15211</v>
      </c>
      <c r="P2139" t="s">
        <v>3362</v>
      </c>
      <c r="Q2139" t="s">
        <v>3359</v>
      </c>
      <c r="R2139" t="s">
        <v>15211</v>
      </c>
      <c r="S2139" t="s">
        <v>15211</v>
      </c>
      <c r="T2139" t="s">
        <v>3369</v>
      </c>
      <c r="U2139" t="s">
        <v>14017</v>
      </c>
      <c r="V2139" t="s">
        <v>15238</v>
      </c>
    </row>
    <row r="2140" spans="1:22" ht="17.399999999999999" hidden="1">
      <c r="A2140" t="s">
        <v>15395</v>
      </c>
      <c r="B2140" t="s">
        <v>15443</v>
      </c>
      <c r="C2140" t="s">
        <v>15462</v>
      </c>
      <c r="D2140" t="s">
        <v>2138</v>
      </c>
      <c r="E2140" t="s">
        <v>3461</v>
      </c>
      <c r="F2140" t="s">
        <v>3563</v>
      </c>
      <c r="G2140" s="3">
        <v>37.018030057092901</v>
      </c>
      <c r="H2140" s="3">
        <v>126.870011499629</v>
      </c>
      <c r="I2140" t="s">
        <v>5905</v>
      </c>
      <c r="J2140" t="s">
        <v>9261</v>
      </c>
      <c r="K2140" t="s">
        <v>10991</v>
      </c>
      <c r="L2140" t="s">
        <v>3377</v>
      </c>
      <c r="M2140" t="s">
        <v>11890</v>
      </c>
      <c r="N2140" t="s">
        <v>3360</v>
      </c>
      <c r="O2140" t="s">
        <v>15211</v>
      </c>
      <c r="P2140" t="s">
        <v>3362</v>
      </c>
      <c r="Q2140" t="s">
        <v>3359</v>
      </c>
      <c r="R2140" t="s">
        <v>15211</v>
      </c>
      <c r="S2140" t="s">
        <v>15211</v>
      </c>
      <c r="T2140" t="s">
        <v>3369</v>
      </c>
      <c r="U2140" t="s">
        <v>14018</v>
      </c>
      <c r="V2140" t="s">
        <v>15238</v>
      </c>
    </row>
    <row r="2141" spans="1:22" ht="17.399999999999999" hidden="1">
      <c r="A2141" t="s">
        <v>15395</v>
      </c>
      <c r="B2141" t="s">
        <v>15443</v>
      </c>
      <c r="C2141" t="s">
        <v>15462</v>
      </c>
      <c r="D2141" t="s">
        <v>2139</v>
      </c>
      <c r="E2141" t="s">
        <v>3452</v>
      </c>
      <c r="F2141" t="s">
        <v>3611</v>
      </c>
      <c r="G2141" s="3">
        <v>37.018030031189902</v>
      </c>
      <c r="H2141" s="3">
        <v>126.870011437521</v>
      </c>
      <c r="I2141" t="s">
        <v>5906</v>
      </c>
      <c r="J2141" t="s">
        <v>9262</v>
      </c>
      <c r="K2141" t="s">
        <v>10807</v>
      </c>
      <c r="L2141" t="s">
        <v>3366</v>
      </c>
      <c r="M2141" t="s">
        <v>11894</v>
      </c>
      <c r="N2141" t="s">
        <v>3360</v>
      </c>
      <c r="O2141" t="s">
        <v>15211</v>
      </c>
      <c r="P2141" t="s">
        <v>3363</v>
      </c>
      <c r="Q2141" t="s">
        <v>3359</v>
      </c>
      <c r="R2141" t="s">
        <v>15211</v>
      </c>
      <c r="S2141" t="s">
        <v>15211</v>
      </c>
      <c r="T2141" t="s">
        <v>3370</v>
      </c>
      <c r="U2141" t="s">
        <v>14019</v>
      </c>
      <c r="V2141" t="s">
        <v>15238</v>
      </c>
    </row>
    <row r="2142" spans="1:22" ht="17.399999999999999" hidden="1">
      <c r="A2142" t="s">
        <v>15398</v>
      </c>
      <c r="B2142" t="s">
        <v>15441</v>
      </c>
      <c r="C2142" t="s">
        <v>15445</v>
      </c>
      <c r="D2142" t="s">
        <v>2140</v>
      </c>
      <c r="E2142" t="s">
        <v>3438</v>
      </c>
      <c r="F2142" t="s">
        <v>3425</v>
      </c>
      <c r="G2142" s="3">
        <v>37.134890034270697</v>
      </c>
      <c r="H2142" s="3">
        <v>127.30748118587999</v>
      </c>
      <c r="I2142" t="s">
        <v>5907</v>
      </c>
      <c r="J2142" t="s">
        <v>9263</v>
      </c>
      <c r="K2142" t="s">
        <v>11019</v>
      </c>
      <c r="L2142" t="s">
        <v>3366</v>
      </c>
      <c r="M2142" t="s">
        <v>11903</v>
      </c>
      <c r="N2142" t="s">
        <v>3366</v>
      </c>
      <c r="O2142" t="s">
        <v>3362</v>
      </c>
      <c r="P2142" t="s">
        <v>15211</v>
      </c>
      <c r="Q2142" t="s">
        <v>15211</v>
      </c>
      <c r="R2142" t="s">
        <v>15211</v>
      </c>
      <c r="S2142" t="s">
        <v>15211</v>
      </c>
      <c r="T2142" t="s">
        <v>3372</v>
      </c>
      <c r="U2142" t="s">
        <v>14020</v>
      </c>
      <c r="V2142" t="s">
        <v>15228</v>
      </c>
    </row>
    <row r="2143" spans="1:22" ht="17.399999999999999" hidden="1">
      <c r="A2143" t="s">
        <v>15398</v>
      </c>
      <c r="B2143" t="s">
        <v>15441</v>
      </c>
      <c r="C2143" t="s">
        <v>15445</v>
      </c>
      <c r="D2143" t="s">
        <v>2141</v>
      </c>
      <c r="E2143" t="s">
        <v>3427</v>
      </c>
      <c r="F2143" t="s">
        <v>3425</v>
      </c>
      <c r="G2143" s="3">
        <v>37.134890030223502</v>
      </c>
      <c r="H2143" s="3">
        <v>127.307481175071</v>
      </c>
      <c r="I2143" t="s">
        <v>5908</v>
      </c>
      <c r="J2143" t="s">
        <v>9264</v>
      </c>
      <c r="K2143" t="s">
        <v>10816</v>
      </c>
      <c r="L2143" t="s">
        <v>3366</v>
      </c>
      <c r="M2143" t="s">
        <v>11903</v>
      </c>
      <c r="N2143" t="s">
        <v>3366</v>
      </c>
      <c r="O2143" t="s">
        <v>3362</v>
      </c>
      <c r="P2143" t="s">
        <v>15211</v>
      </c>
      <c r="Q2143" t="s">
        <v>15211</v>
      </c>
      <c r="R2143" t="s">
        <v>15211</v>
      </c>
      <c r="S2143" t="s">
        <v>15211</v>
      </c>
      <c r="T2143" t="s">
        <v>3372</v>
      </c>
      <c r="U2143" t="s">
        <v>14021</v>
      </c>
      <c r="V2143" t="s">
        <v>15228</v>
      </c>
    </row>
    <row r="2144" spans="1:22" ht="17.399999999999999" hidden="1">
      <c r="A2144" t="s">
        <v>15398</v>
      </c>
      <c r="B2144" t="s">
        <v>15441</v>
      </c>
      <c r="C2144" t="s">
        <v>15445</v>
      </c>
      <c r="D2144" t="s">
        <v>2142</v>
      </c>
      <c r="E2144" t="s">
        <v>3427</v>
      </c>
      <c r="F2144" t="s">
        <v>3425</v>
      </c>
      <c r="G2144" s="3">
        <v>37.134890080719302</v>
      </c>
      <c r="H2144" s="3">
        <v>127.307481136471</v>
      </c>
      <c r="I2144" t="s">
        <v>5909</v>
      </c>
      <c r="J2144" t="s">
        <v>9265</v>
      </c>
      <c r="K2144" t="s">
        <v>11208</v>
      </c>
      <c r="L2144" t="s">
        <v>3366</v>
      </c>
      <c r="M2144" t="s">
        <v>11903</v>
      </c>
      <c r="N2144" t="s">
        <v>3366</v>
      </c>
      <c r="O2144" t="s">
        <v>3362</v>
      </c>
      <c r="P2144" t="s">
        <v>15211</v>
      </c>
      <c r="Q2144" t="s">
        <v>15211</v>
      </c>
      <c r="R2144" t="s">
        <v>15211</v>
      </c>
      <c r="S2144" t="s">
        <v>15211</v>
      </c>
      <c r="T2144" t="s">
        <v>3372</v>
      </c>
      <c r="U2144" t="s">
        <v>14022</v>
      </c>
      <c r="V2144" t="s">
        <v>15228</v>
      </c>
    </row>
    <row r="2145" spans="1:22" ht="17.399999999999999" hidden="1">
      <c r="A2145" t="s">
        <v>15398</v>
      </c>
      <c r="B2145" t="s">
        <v>15441</v>
      </c>
      <c r="C2145" t="s">
        <v>15446</v>
      </c>
      <c r="D2145" t="s">
        <v>2143</v>
      </c>
      <c r="E2145" t="s">
        <v>3428</v>
      </c>
      <c r="F2145" t="s">
        <v>3434</v>
      </c>
      <c r="G2145" s="3">
        <v>37.134890052197903</v>
      </c>
      <c r="H2145" s="3">
        <v>127.30748114815</v>
      </c>
      <c r="I2145" t="s">
        <v>5910</v>
      </c>
      <c r="J2145" t="s">
        <v>9266</v>
      </c>
      <c r="K2145" t="s">
        <v>10866</v>
      </c>
      <c r="L2145" t="s">
        <v>3366</v>
      </c>
      <c r="M2145" t="s">
        <v>11903</v>
      </c>
      <c r="N2145" t="s">
        <v>3367</v>
      </c>
      <c r="O2145" t="s">
        <v>3362</v>
      </c>
      <c r="P2145" t="s">
        <v>15211</v>
      </c>
      <c r="Q2145" t="s">
        <v>15211</v>
      </c>
      <c r="R2145" t="s">
        <v>15211</v>
      </c>
      <c r="S2145" t="s">
        <v>15211</v>
      </c>
      <c r="T2145" t="s">
        <v>3373</v>
      </c>
      <c r="U2145" t="s">
        <v>14023</v>
      </c>
      <c r="V2145" t="s">
        <v>15229</v>
      </c>
    </row>
    <row r="2146" spans="1:22" ht="17.399999999999999" hidden="1">
      <c r="A2146" t="s">
        <v>15398</v>
      </c>
      <c r="B2146" t="s">
        <v>15441</v>
      </c>
      <c r="C2146" t="s">
        <v>15446</v>
      </c>
      <c r="D2146" t="s">
        <v>2144</v>
      </c>
      <c r="E2146" t="s">
        <v>3436</v>
      </c>
      <c r="F2146" t="s">
        <v>3435</v>
      </c>
      <c r="G2146" s="3">
        <v>37.134890097257099</v>
      </c>
      <c r="H2146" s="3">
        <v>127.307481179517</v>
      </c>
      <c r="I2146" t="s">
        <v>5911</v>
      </c>
      <c r="J2146" t="s">
        <v>9267</v>
      </c>
      <c r="K2146" t="s">
        <v>3685</v>
      </c>
      <c r="L2146" t="s">
        <v>3366</v>
      </c>
      <c r="M2146" t="s">
        <v>11901</v>
      </c>
      <c r="N2146" t="s">
        <v>3367</v>
      </c>
      <c r="O2146" t="s">
        <v>3362</v>
      </c>
      <c r="P2146" t="s">
        <v>15211</v>
      </c>
      <c r="Q2146" t="s">
        <v>15211</v>
      </c>
      <c r="R2146" t="s">
        <v>15211</v>
      </c>
      <c r="S2146" t="s">
        <v>15211</v>
      </c>
      <c r="T2146" t="s">
        <v>3373</v>
      </c>
      <c r="U2146" t="s">
        <v>14024</v>
      </c>
      <c r="V2146" t="s">
        <v>15229</v>
      </c>
    </row>
    <row r="2147" spans="1:22" ht="17.399999999999999" hidden="1">
      <c r="A2147" t="s">
        <v>15398</v>
      </c>
      <c r="B2147" t="s">
        <v>15441</v>
      </c>
      <c r="C2147" t="s">
        <v>15446</v>
      </c>
      <c r="D2147" t="s">
        <v>2145</v>
      </c>
      <c r="E2147" t="s">
        <v>3436</v>
      </c>
      <c r="F2147" t="s">
        <v>3429</v>
      </c>
      <c r="G2147" s="3">
        <v>37.134890099433001</v>
      </c>
      <c r="H2147" s="3">
        <v>127.307481139918</v>
      </c>
      <c r="I2147" t="s">
        <v>5912</v>
      </c>
      <c r="J2147" t="s">
        <v>9268</v>
      </c>
      <c r="K2147" t="s">
        <v>11042</v>
      </c>
      <c r="L2147" t="s">
        <v>3366</v>
      </c>
      <c r="M2147" t="s">
        <v>11903</v>
      </c>
      <c r="N2147" t="s">
        <v>3367</v>
      </c>
      <c r="O2147" t="s">
        <v>3362</v>
      </c>
      <c r="P2147" t="s">
        <v>15211</v>
      </c>
      <c r="Q2147" t="s">
        <v>15211</v>
      </c>
      <c r="R2147" t="s">
        <v>15211</v>
      </c>
      <c r="S2147" t="s">
        <v>15211</v>
      </c>
      <c r="T2147" t="s">
        <v>3373</v>
      </c>
      <c r="U2147" t="s">
        <v>14025</v>
      </c>
      <c r="V2147" t="s">
        <v>15229</v>
      </c>
    </row>
    <row r="2148" spans="1:22" ht="17.399999999999999" hidden="1">
      <c r="A2148" t="s">
        <v>15398</v>
      </c>
      <c r="B2148" t="s">
        <v>15441</v>
      </c>
      <c r="C2148" t="s">
        <v>15447</v>
      </c>
      <c r="D2148" t="s">
        <v>2146</v>
      </c>
      <c r="E2148" t="s">
        <v>3427</v>
      </c>
      <c r="F2148" t="s">
        <v>3431</v>
      </c>
      <c r="G2148" s="3">
        <v>37.134890013544101</v>
      </c>
      <c r="H2148" s="3">
        <v>127.30748118483901</v>
      </c>
      <c r="I2148" t="s">
        <v>5913</v>
      </c>
      <c r="J2148" t="s">
        <v>9269</v>
      </c>
      <c r="K2148" t="s">
        <v>11585</v>
      </c>
      <c r="L2148" t="s">
        <v>3366</v>
      </c>
      <c r="M2148" t="s">
        <v>11886</v>
      </c>
      <c r="N2148" t="s">
        <v>3367</v>
      </c>
      <c r="O2148" t="s">
        <v>15211</v>
      </c>
      <c r="P2148" t="s">
        <v>15211</v>
      </c>
      <c r="Q2148" t="s">
        <v>15211</v>
      </c>
      <c r="R2148" t="s">
        <v>15211</v>
      </c>
      <c r="S2148" t="s">
        <v>15211</v>
      </c>
      <c r="T2148" t="s">
        <v>3367</v>
      </c>
      <c r="U2148" t="s">
        <v>14026</v>
      </c>
      <c r="V2148" t="s">
        <v>15235</v>
      </c>
    </row>
    <row r="2149" spans="1:22" ht="17.399999999999999" hidden="1">
      <c r="A2149" t="s">
        <v>15398</v>
      </c>
      <c r="B2149" t="s">
        <v>15441</v>
      </c>
      <c r="C2149" t="s">
        <v>15447</v>
      </c>
      <c r="D2149" t="s">
        <v>2147</v>
      </c>
      <c r="E2149" t="s">
        <v>3427</v>
      </c>
      <c r="F2149" t="s">
        <v>3425</v>
      </c>
      <c r="G2149" s="3">
        <v>37.134890047196599</v>
      </c>
      <c r="H2149" s="3">
        <v>127.30748119646501</v>
      </c>
      <c r="I2149" t="s">
        <v>5914</v>
      </c>
      <c r="J2149" t="s">
        <v>9270</v>
      </c>
      <c r="K2149" t="s">
        <v>11585</v>
      </c>
      <c r="L2149" t="s">
        <v>3366</v>
      </c>
      <c r="M2149" t="s">
        <v>11886</v>
      </c>
      <c r="N2149" t="s">
        <v>3367</v>
      </c>
      <c r="O2149" t="s">
        <v>15211</v>
      </c>
      <c r="P2149" t="s">
        <v>15211</v>
      </c>
      <c r="Q2149" t="s">
        <v>15211</v>
      </c>
      <c r="R2149" t="s">
        <v>15211</v>
      </c>
      <c r="S2149" t="s">
        <v>15211</v>
      </c>
      <c r="T2149" t="s">
        <v>3367</v>
      </c>
      <c r="U2149" t="s">
        <v>14027</v>
      </c>
      <c r="V2149" t="s">
        <v>15235</v>
      </c>
    </row>
    <row r="2150" spans="1:22" ht="17.399999999999999" hidden="1">
      <c r="A2150" t="s">
        <v>15398</v>
      </c>
      <c r="B2150" t="s">
        <v>15441</v>
      </c>
      <c r="C2150" t="s">
        <v>15447</v>
      </c>
      <c r="D2150" t="s">
        <v>2148</v>
      </c>
      <c r="E2150" t="s">
        <v>3428</v>
      </c>
      <c r="F2150" t="s">
        <v>3431</v>
      </c>
      <c r="G2150" s="3">
        <v>37.134890043609303</v>
      </c>
      <c r="H2150" s="3">
        <v>127.307481159313</v>
      </c>
      <c r="I2150" t="s">
        <v>5915</v>
      </c>
      <c r="J2150" t="s">
        <v>9271</v>
      </c>
      <c r="K2150" t="s">
        <v>11585</v>
      </c>
      <c r="L2150" t="s">
        <v>3366</v>
      </c>
      <c r="M2150" t="s">
        <v>11886</v>
      </c>
      <c r="N2150" t="s">
        <v>3367</v>
      </c>
      <c r="O2150" t="s">
        <v>15211</v>
      </c>
      <c r="P2150" t="s">
        <v>15211</v>
      </c>
      <c r="Q2150" t="s">
        <v>15211</v>
      </c>
      <c r="R2150" t="s">
        <v>15211</v>
      </c>
      <c r="S2150" t="s">
        <v>15211</v>
      </c>
      <c r="T2150" t="s">
        <v>3367</v>
      </c>
      <c r="U2150" t="s">
        <v>14028</v>
      </c>
      <c r="V2150" t="s">
        <v>15235</v>
      </c>
    </row>
    <row r="2151" spans="1:22" ht="17.399999999999999" hidden="1">
      <c r="A2151" t="s">
        <v>15398</v>
      </c>
      <c r="B2151" t="s">
        <v>15441</v>
      </c>
      <c r="C2151" t="s">
        <v>15448</v>
      </c>
      <c r="D2151" t="s">
        <v>2149</v>
      </c>
      <c r="E2151" t="s">
        <v>3453</v>
      </c>
      <c r="F2151" t="s">
        <v>3478</v>
      </c>
      <c r="G2151" s="3">
        <v>37.134890063853</v>
      </c>
      <c r="H2151" s="3">
        <v>127.307481352135</v>
      </c>
      <c r="I2151" t="s">
        <v>5916</v>
      </c>
      <c r="J2151" t="s">
        <v>9272</v>
      </c>
      <c r="K2151" t="s">
        <v>11506</v>
      </c>
      <c r="L2151" t="s">
        <v>3366</v>
      </c>
      <c r="M2151" t="s">
        <v>11906</v>
      </c>
      <c r="N2151" t="s">
        <v>3367</v>
      </c>
      <c r="O2151" t="s">
        <v>3361</v>
      </c>
      <c r="P2151" t="s">
        <v>3365</v>
      </c>
      <c r="Q2151" t="s">
        <v>3359</v>
      </c>
      <c r="R2151" t="s">
        <v>3357</v>
      </c>
      <c r="S2151" t="s">
        <v>15211</v>
      </c>
      <c r="T2151" t="s">
        <v>3385</v>
      </c>
      <c r="U2151" t="s">
        <v>14029</v>
      </c>
      <c r="V2151" t="s">
        <v>15230</v>
      </c>
    </row>
    <row r="2152" spans="1:22" ht="17.399999999999999" hidden="1">
      <c r="A2152" t="s">
        <v>15398</v>
      </c>
      <c r="B2152" t="s">
        <v>15441</v>
      </c>
      <c r="C2152" t="s">
        <v>15448</v>
      </c>
      <c r="D2152" t="s">
        <v>2150</v>
      </c>
      <c r="E2152" t="s">
        <v>3432</v>
      </c>
      <c r="F2152" t="s">
        <v>3464</v>
      </c>
      <c r="G2152" s="3">
        <v>37.134890096628098</v>
      </c>
      <c r="H2152" s="3">
        <v>127.30748136848599</v>
      </c>
      <c r="I2152" t="s">
        <v>5917</v>
      </c>
      <c r="J2152" t="s">
        <v>9273</v>
      </c>
      <c r="K2152" t="s">
        <v>11284</v>
      </c>
      <c r="L2152" t="s">
        <v>3366</v>
      </c>
      <c r="M2152" t="s">
        <v>11904</v>
      </c>
      <c r="N2152" t="s">
        <v>3367</v>
      </c>
      <c r="O2152" t="s">
        <v>3362</v>
      </c>
      <c r="P2152" t="s">
        <v>3366</v>
      </c>
      <c r="Q2152" t="s">
        <v>3360</v>
      </c>
      <c r="R2152" t="s">
        <v>3358</v>
      </c>
      <c r="S2152" t="s">
        <v>15211</v>
      </c>
      <c r="T2152" t="s">
        <v>3389</v>
      </c>
      <c r="U2152" t="s">
        <v>14030</v>
      </c>
      <c r="V2152" t="s">
        <v>15230</v>
      </c>
    </row>
    <row r="2153" spans="1:22" ht="17.399999999999999" hidden="1">
      <c r="A2153" t="s">
        <v>15398</v>
      </c>
      <c r="B2153" t="s">
        <v>15441</v>
      </c>
      <c r="C2153" t="s">
        <v>15448</v>
      </c>
      <c r="D2153" t="s">
        <v>2151</v>
      </c>
      <c r="E2153" t="s">
        <v>3432</v>
      </c>
      <c r="F2153" t="s">
        <v>3515</v>
      </c>
      <c r="G2153" s="3">
        <v>37.134890082403203</v>
      </c>
      <c r="H2153" s="3">
        <v>127.307481351356</v>
      </c>
      <c r="I2153" t="s">
        <v>5918</v>
      </c>
      <c r="J2153" t="s">
        <v>9274</v>
      </c>
      <c r="K2153" t="s">
        <v>11284</v>
      </c>
      <c r="L2153" t="s">
        <v>3366</v>
      </c>
      <c r="M2153" t="s">
        <v>11904</v>
      </c>
      <c r="N2153" t="s">
        <v>3367</v>
      </c>
      <c r="O2153" t="s">
        <v>3362</v>
      </c>
      <c r="P2153" t="s">
        <v>3366</v>
      </c>
      <c r="Q2153" t="s">
        <v>3360</v>
      </c>
      <c r="R2153" t="s">
        <v>3358</v>
      </c>
      <c r="S2153" t="s">
        <v>15211</v>
      </c>
      <c r="T2153" t="s">
        <v>3389</v>
      </c>
      <c r="U2153" t="s">
        <v>14031</v>
      </c>
      <c r="V2153" t="s">
        <v>15230</v>
      </c>
    </row>
    <row r="2154" spans="1:22" ht="17.399999999999999" hidden="1">
      <c r="A2154" t="s">
        <v>15398</v>
      </c>
      <c r="B2154" t="s">
        <v>15441</v>
      </c>
      <c r="C2154" t="s">
        <v>15449</v>
      </c>
      <c r="D2154" t="s">
        <v>2152</v>
      </c>
      <c r="E2154" t="s">
        <v>3425</v>
      </c>
      <c r="F2154" t="s">
        <v>3433</v>
      </c>
      <c r="G2154" s="3">
        <v>37.134890000756997</v>
      </c>
      <c r="H2154" s="3">
        <v>127.307481231796</v>
      </c>
      <c r="I2154" t="s">
        <v>5919</v>
      </c>
      <c r="J2154" t="s">
        <v>9275</v>
      </c>
      <c r="K2154" t="s">
        <v>3528</v>
      </c>
      <c r="L2154" t="s">
        <v>3366</v>
      </c>
      <c r="M2154" t="s">
        <v>11914</v>
      </c>
      <c r="N2154" t="s">
        <v>3367</v>
      </c>
      <c r="O2154" t="s">
        <v>15211</v>
      </c>
      <c r="P2154" t="s">
        <v>3366</v>
      </c>
      <c r="Q2154" t="s">
        <v>3360</v>
      </c>
      <c r="R2154" t="s">
        <v>3358</v>
      </c>
      <c r="S2154" t="s">
        <v>15211</v>
      </c>
      <c r="T2154" t="s">
        <v>3383</v>
      </c>
      <c r="U2154" t="s">
        <v>14032</v>
      </c>
      <c r="V2154" t="s">
        <v>15231</v>
      </c>
    </row>
    <row r="2155" spans="1:22" ht="17.399999999999999" hidden="1">
      <c r="A2155" t="s">
        <v>15398</v>
      </c>
      <c r="B2155" t="s">
        <v>15441</v>
      </c>
      <c r="C2155" t="s">
        <v>15449</v>
      </c>
      <c r="D2155" t="s">
        <v>2153</v>
      </c>
      <c r="E2155" t="s">
        <v>3434</v>
      </c>
      <c r="F2155" t="s">
        <v>3461</v>
      </c>
      <c r="G2155" s="3">
        <v>37.134889970980502</v>
      </c>
      <c r="H2155" s="3">
        <v>127.307481234557</v>
      </c>
      <c r="I2155" t="s">
        <v>5920</v>
      </c>
      <c r="J2155" t="s">
        <v>9276</v>
      </c>
      <c r="K2155" t="s">
        <v>11586</v>
      </c>
      <c r="L2155" t="s">
        <v>3366</v>
      </c>
      <c r="M2155" t="s">
        <v>11912</v>
      </c>
      <c r="N2155" t="s">
        <v>3367</v>
      </c>
      <c r="O2155" t="s">
        <v>15211</v>
      </c>
      <c r="P2155" t="s">
        <v>3366</v>
      </c>
      <c r="Q2155" t="s">
        <v>3360</v>
      </c>
      <c r="R2155" t="s">
        <v>3358</v>
      </c>
      <c r="S2155" t="s">
        <v>15211</v>
      </c>
      <c r="T2155" t="s">
        <v>3383</v>
      </c>
      <c r="U2155" t="s">
        <v>14033</v>
      </c>
      <c r="V2155" t="s">
        <v>15231</v>
      </c>
    </row>
    <row r="2156" spans="1:22" ht="17.399999999999999" hidden="1">
      <c r="A2156" t="s">
        <v>15398</v>
      </c>
      <c r="B2156" t="s">
        <v>15441</v>
      </c>
      <c r="C2156" t="s">
        <v>15449</v>
      </c>
      <c r="D2156" t="s">
        <v>2154</v>
      </c>
      <c r="E2156" t="s">
        <v>3434</v>
      </c>
      <c r="F2156" t="s">
        <v>3461</v>
      </c>
      <c r="G2156" s="3">
        <v>37.134889973667001</v>
      </c>
      <c r="H2156" s="3">
        <v>127.307481236255</v>
      </c>
      <c r="I2156" t="s">
        <v>5921</v>
      </c>
      <c r="J2156" t="s">
        <v>9277</v>
      </c>
      <c r="K2156" t="s">
        <v>11587</v>
      </c>
      <c r="L2156" t="s">
        <v>3366</v>
      </c>
      <c r="M2156" t="s">
        <v>11912</v>
      </c>
      <c r="N2156" t="s">
        <v>3367</v>
      </c>
      <c r="O2156" t="s">
        <v>15211</v>
      </c>
      <c r="P2156" t="s">
        <v>3366</v>
      </c>
      <c r="Q2156" t="s">
        <v>3359</v>
      </c>
      <c r="R2156" t="s">
        <v>3358</v>
      </c>
      <c r="S2156" t="s">
        <v>15211</v>
      </c>
      <c r="T2156" t="s">
        <v>3382</v>
      </c>
      <c r="U2156" t="s">
        <v>14034</v>
      </c>
      <c r="V2156" t="s">
        <v>15231</v>
      </c>
    </row>
    <row r="2157" spans="1:22" ht="17.399999999999999" hidden="1">
      <c r="A2157" t="s">
        <v>15398</v>
      </c>
      <c r="B2157" t="s">
        <v>15442</v>
      </c>
      <c r="C2157" t="s">
        <v>15450</v>
      </c>
      <c r="D2157" t="s">
        <v>2155</v>
      </c>
      <c r="E2157" t="s">
        <v>3432</v>
      </c>
      <c r="F2157" t="s">
        <v>3450</v>
      </c>
      <c r="G2157" s="3">
        <v>37.134889137893801</v>
      </c>
      <c r="H2157" s="3">
        <v>127.30748019765601</v>
      </c>
      <c r="I2157" t="s">
        <v>5922</v>
      </c>
      <c r="J2157" t="s">
        <v>9278</v>
      </c>
      <c r="K2157" t="s">
        <v>10634</v>
      </c>
      <c r="L2157" t="s">
        <v>3366</v>
      </c>
      <c r="M2157" t="s">
        <v>11903</v>
      </c>
      <c r="N2157" t="s">
        <v>3367</v>
      </c>
      <c r="O2157" t="s">
        <v>3361</v>
      </c>
      <c r="P2157" t="s">
        <v>15211</v>
      </c>
      <c r="Q2157" t="s">
        <v>15211</v>
      </c>
      <c r="R2157" t="s">
        <v>15211</v>
      </c>
      <c r="S2157" t="s">
        <v>15211</v>
      </c>
      <c r="T2157" t="s">
        <v>3372</v>
      </c>
      <c r="U2157" t="s">
        <v>14035</v>
      </c>
      <c r="V2157" t="s">
        <v>15232</v>
      </c>
    </row>
    <row r="2158" spans="1:22" ht="17.399999999999999" hidden="1">
      <c r="A2158" t="s">
        <v>15398</v>
      </c>
      <c r="B2158" t="s">
        <v>15442</v>
      </c>
      <c r="C2158" t="s">
        <v>15450</v>
      </c>
      <c r="D2158" t="s">
        <v>2156</v>
      </c>
      <c r="E2158" t="s">
        <v>3453</v>
      </c>
      <c r="F2158" t="s">
        <v>3450</v>
      </c>
      <c r="G2158" s="3">
        <v>37.134889132605103</v>
      </c>
      <c r="H2158" s="3">
        <v>127.30748009858399</v>
      </c>
      <c r="I2158" t="s">
        <v>5923</v>
      </c>
      <c r="J2158" t="s">
        <v>9279</v>
      </c>
      <c r="K2158" t="s">
        <v>11588</v>
      </c>
      <c r="L2158" t="s">
        <v>3366</v>
      </c>
      <c r="M2158" t="s">
        <v>11903</v>
      </c>
      <c r="N2158" t="s">
        <v>3367</v>
      </c>
      <c r="O2158" t="s">
        <v>3361</v>
      </c>
      <c r="P2158" t="s">
        <v>15211</v>
      </c>
      <c r="Q2158" t="s">
        <v>15211</v>
      </c>
      <c r="R2158" t="s">
        <v>15211</v>
      </c>
      <c r="S2158" t="s">
        <v>15211</v>
      </c>
      <c r="T2158" t="s">
        <v>3372</v>
      </c>
      <c r="U2158" t="s">
        <v>14036</v>
      </c>
      <c r="V2158" t="s">
        <v>15232</v>
      </c>
    </row>
    <row r="2159" spans="1:22" ht="17.399999999999999" hidden="1">
      <c r="A2159" t="s">
        <v>15398</v>
      </c>
      <c r="B2159" t="s">
        <v>15442</v>
      </c>
      <c r="C2159" t="s">
        <v>15450</v>
      </c>
      <c r="D2159" t="s">
        <v>2157</v>
      </c>
      <c r="E2159" t="s">
        <v>3432</v>
      </c>
      <c r="F2159" t="s">
        <v>3460</v>
      </c>
      <c r="G2159" s="3">
        <v>37.134889133016699</v>
      </c>
      <c r="H2159" s="3">
        <v>127.307480089655</v>
      </c>
      <c r="I2159" t="s">
        <v>5924</v>
      </c>
      <c r="J2159" t="s">
        <v>9280</v>
      </c>
      <c r="K2159" t="s">
        <v>11589</v>
      </c>
      <c r="L2159" t="s">
        <v>3366</v>
      </c>
      <c r="M2159" t="s">
        <v>11901</v>
      </c>
      <c r="N2159" t="s">
        <v>3367</v>
      </c>
      <c r="O2159" t="s">
        <v>3362</v>
      </c>
      <c r="P2159" t="s">
        <v>15211</v>
      </c>
      <c r="Q2159" t="s">
        <v>15211</v>
      </c>
      <c r="R2159" t="s">
        <v>15211</v>
      </c>
      <c r="S2159" t="s">
        <v>15211</v>
      </c>
      <c r="T2159" t="s">
        <v>3373</v>
      </c>
      <c r="U2159" t="s">
        <v>14037</v>
      </c>
      <c r="V2159" t="s">
        <v>15232</v>
      </c>
    </row>
    <row r="2160" spans="1:22" ht="17.399999999999999" hidden="1">
      <c r="A2160" t="s">
        <v>15398</v>
      </c>
      <c r="B2160" t="s">
        <v>15442</v>
      </c>
      <c r="C2160" t="s">
        <v>15445</v>
      </c>
      <c r="D2160" t="s">
        <v>2158</v>
      </c>
      <c r="E2160" t="s">
        <v>3436</v>
      </c>
      <c r="F2160" t="s">
        <v>3435</v>
      </c>
      <c r="G2160" s="3">
        <v>37.134889996493499</v>
      </c>
      <c r="H2160" s="3">
        <v>127.307481185428</v>
      </c>
      <c r="I2160" t="s">
        <v>5925</v>
      </c>
      <c r="J2160" t="s">
        <v>9281</v>
      </c>
      <c r="K2160" t="s">
        <v>11344</v>
      </c>
      <c r="L2160" t="s">
        <v>3366</v>
      </c>
      <c r="M2160" t="s">
        <v>11903</v>
      </c>
      <c r="N2160" t="s">
        <v>3367</v>
      </c>
      <c r="O2160" t="s">
        <v>3361</v>
      </c>
      <c r="P2160" t="s">
        <v>15211</v>
      </c>
      <c r="Q2160" t="s">
        <v>15211</v>
      </c>
      <c r="R2160" t="s">
        <v>15211</v>
      </c>
      <c r="S2160" t="s">
        <v>15211</v>
      </c>
      <c r="T2160" t="s">
        <v>3372</v>
      </c>
      <c r="U2160" t="s">
        <v>14038</v>
      </c>
      <c r="V2160" t="s">
        <v>15233</v>
      </c>
    </row>
    <row r="2161" spans="1:22" ht="17.399999999999999" hidden="1">
      <c r="A2161" t="s">
        <v>15398</v>
      </c>
      <c r="B2161" t="s">
        <v>15442</v>
      </c>
      <c r="C2161" t="s">
        <v>15445</v>
      </c>
      <c r="D2161" t="s">
        <v>2159</v>
      </c>
      <c r="E2161" t="s">
        <v>3434</v>
      </c>
      <c r="F2161" t="s">
        <v>3441</v>
      </c>
      <c r="G2161" s="3">
        <v>37.134890025386703</v>
      </c>
      <c r="H2161" s="3">
        <v>127.307481224104</v>
      </c>
      <c r="I2161" t="s">
        <v>5926</v>
      </c>
      <c r="J2161" t="s">
        <v>9282</v>
      </c>
      <c r="K2161" t="s">
        <v>11344</v>
      </c>
      <c r="L2161" t="s">
        <v>3366</v>
      </c>
      <c r="M2161" t="s">
        <v>11903</v>
      </c>
      <c r="N2161" t="s">
        <v>3367</v>
      </c>
      <c r="O2161" t="s">
        <v>3361</v>
      </c>
      <c r="P2161" t="s">
        <v>15211</v>
      </c>
      <c r="Q2161" t="s">
        <v>15211</v>
      </c>
      <c r="R2161" t="s">
        <v>15211</v>
      </c>
      <c r="S2161" t="s">
        <v>15211</v>
      </c>
      <c r="T2161" t="s">
        <v>3372</v>
      </c>
      <c r="U2161" t="s">
        <v>14039</v>
      </c>
      <c r="V2161" t="s">
        <v>15233</v>
      </c>
    </row>
    <row r="2162" spans="1:22" ht="17.399999999999999" hidden="1">
      <c r="A2162" t="s">
        <v>15398</v>
      </c>
      <c r="B2162" t="s">
        <v>15442</v>
      </c>
      <c r="C2162" t="s">
        <v>15445</v>
      </c>
      <c r="D2162" t="s">
        <v>2160</v>
      </c>
      <c r="E2162" t="s">
        <v>3431</v>
      </c>
      <c r="F2162" t="s">
        <v>3442</v>
      </c>
      <c r="G2162" s="3">
        <v>37.134889973973003</v>
      </c>
      <c r="H2162" s="3">
        <v>127.307481182202</v>
      </c>
      <c r="I2162" t="s">
        <v>5927</v>
      </c>
      <c r="J2162" t="s">
        <v>9283</v>
      </c>
      <c r="K2162" t="s">
        <v>11344</v>
      </c>
      <c r="L2162" t="s">
        <v>3366</v>
      </c>
      <c r="M2162" t="s">
        <v>11903</v>
      </c>
      <c r="N2162" t="s">
        <v>3367</v>
      </c>
      <c r="O2162" t="s">
        <v>3361</v>
      </c>
      <c r="P2162" t="s">
        <v>15211</v>
      </c>
      <c r="Q2162" t="s">
        <v>15211</v>
      </c>
      <c r="R2162" t="s">
        <v>15211</v>
      </c>
      <c r="S2162" t="s">
        <v>15211</v>
      </c>
      <c r="T2162" t="s">
        <v>3372</v>
      </c>
      <c r="U2162" t="s">
        <v>14040</v>
      </c>
      <c r="V2162" t="s">
        <v>15233</v>
      </c>
    </row>
    <row r="2163" spans="1:22" ht="17.399999999999999" hidden="1">
      <c r="A2163" t="s">
        <v>15398</v>
      </c>
      <c r="B2163" t="s">
        <v>15442</v>
      </c>
      <c r="C2163" t="s">
        <v>15451</v>
      </c>
      <c r="D2163" t="s">
        <v>2161</v>
      </c>
      <c r="E2163" t="s">
        <v>3439</v>
      </c>
      <c r="F2163" t="s">
        <v>3427</v>
      </c>
      <c r="G2163" s="3">
        <v>37.134890088394599</v>
      </c>
      <c r="H2163" s="3">
        <v>127.307481163308</v>
      </c>
      <c r="I2163" t="s">
        <v>5928</v>
      </c>
      <c r="J2163" t="s">
        <v>9284</v>
      </c>
      <c r="K2163" t="s">
        <v>10848</v>
      </c>
      <c r="L2163" t="s">
        <v>3371</v>
      </c>
      <c r="M2163" t="s">
        <v>11911</v>
      </c>
      <c r="N2163" t="s">
        <v>3367</v>
      </c>
      <c r="O2163" t="s">
        <v>3361</v>
      </c>
      <c r="P2163" t="s">
        <v>3364</v>
      </c>
      <c r="Q2163" t="s">
        <v>3358</v>
      </c>
      <c r="R2163" t="s">
        <v>15211</v>
      </c>
      <c r="S2163" t="s">
        <v>15211</v>
      </c>
      <c r="T2163" t="s">
        <v>3382</v>
      </c>
      <c r="U2163" t="s">
        <v>14041</v>
      </c>
      <c r="V2163" t="s">
        <v>15234</v>
      </c>
    </row>
    <row r="2164" spans="1:22" ht="17.399999999999999" hidden="1">
      <c r="A2164" t="s">
        <v>15398</v>
      </c>
      <c r="B2164" t="s">
        <v>15442</v>
      </c>
      <c r="C2164" t="s">
        <v>15451</v>
      </c>
      <c r="D2164" t="s">
        <v>2162</v>
      </c>
      <c r="E2164" t="s">
        <v>3437</v>
      </c>
      <c r="F2164" t="s">
        <v>3428</v>
      </c>
      <c r="G2164" s="3">
        <v>37.134890093575301</v>
      </c>
      <c r="H2164" s="3">
        <v>127.30748112698301</v>
      </c>
      <c r="I2164" t="s">
        <v>5929</v>
      </c>
      <c r="J2164" t="s">
        <v>9285</v>
      </c>
      <c r="K2164" t="s">
        <v>10848</v>
      </c>
      <c r="L2164" t="s">
        <v>3366</v>
      </c>
      <c r="M2164" t="s">
        <v>11911</v>
      </c>
      <c r="N2164" t="s">
        <v>3367</v>
      </c>
      <c r="O2164" t="s">
        <v>3361</v>
      </c>
      <c r="P2164" t="s">
        <v>3366</v>
      </c>
      <c r="Q2164" t="s">
        <v>3359</v>
      </c>
      <c r="R2164" t="s">
        <v>15211</v>
      </c>
      <c r="S2164" t="s">
        <v>15211</v>
      </c>
      <c r="T2164" t="s">
        <v>3385</v>
      </c>
      <c r="U2164" t="s">
        <v>14042</v>
      </c>
      <c r="V2164" t="s">
        <v>15234</v>
      </c>
    </row>
    <row r="2165" spans="1:22" ht="17.399999999999999" hidden="1">
      <c r="A2165" t="s">
        <v>15398</v>
      </c>
      <c r="B2165" t="s">
        <v>15442</v>
      </c>
      <c r="C2165" t="s">
        <v>15451</v>
      </c>
      <c r="D2165" t="s">
        <v>2163</v>
      </c>
      <c r="E2165" t="s">
        <v>3437</v>
      </c>
      <c r="F2165" t="s">
        <v>3428</v>
      </c>
      <c r="G2165" s="3">
        <v>37.1348901096666</v>
      </c>
      <c r="H2165" s="3">
        <v>127.307481137266</v>
      </c>
      <c r="I2165" t="s">
        <v>5930</v>
      </c>
      <c r="J2165" t="s">
        <v>9286</v>
      </c>
      <c r="K2165" t="s">
        <v>10848</v>
      </c>
      <c r="L2165" t="s">
        <v>3366</v>
      </c>
      <c r="M2165" t="s">
        <v>11911</v>
      </c>
      <c r="N2165" t="s">
        <v>3367</v>
      </c>
      <c r="O2165" t="s">
        <v>3361</v>
      </c>
      <c r="P2165" t="s">
        <v>3366</v>
      </c>
      <c r="Q2165" t="s">
        <v>3359</v>
      </c>
      <c r="R2165" t="s">
        <v>15211</v>
      </c>
      <c r="S2165" t="s">
        <v>15211</v>
      </c>
      <c r="T2165" t="s">
        <v>3385</v>
      </c>
      <c r="U2165" t="s">
        <v>14043</v>
      </c>
      <c r="V2165" t="s">
        <v>15234</v>
      </c>
    </row>
    <row r="2166" spans="1:22" ht="17.399999999999999">
      <c r="A2166" t="s">
        <v>15398</v>
      </c>
      <c r="B2166" t="s">
        <v>15443</v>
      </c>
      <c r="C2166" t="s">
        <v>15452</v>
      </c>
      <c r="D2166" t="s">
        <v>2164</v>
      </c>
      <c r="E2166" t="s">
        <v>3450</v>
      </c>
      <c r="F2166" t="s">
        <v>3476</v>
      </c>
      <c r="G2166" s="3">
        <v>37.134890091721303</v>
      </c>
      <c r="H2166" s="3">
        <v>127.30748111454101</v>
      </c>
      <c r="I2166" t="s">
        <v>5931</v>
      </c>
      <c r="J2166" t="s">
        <v>9287</v>
      </c>
      <c r="K2166" t="s">
        <v>11428</v>
      </c>
      <c r="L2166" t="s">
        <v>3404</v>
      </c>
      <c r="M2166" t="s">
        <v>11903</v>
      </c>
      <c r="N2166" t="s">
        <v>3364</v>
      </c>
      <c r="O2166" t="s">
        <v>15211</v>
      </c>
      <c r="P2166" t="s">
        <v>3364</v>
      </c>
      <c r="Q2166" t="s">
        <v>15211</v>
      </c>
      <c r="R2166" t="s">
        <v>15211</v>
      </c>
      <c r="S2166" t="s">
        <v>15211</v>
      </c>
      <c r="T2166" t="s">
        <v>3372</v>
      </c>
      <c r="U2166" t="s">
        <v>14044</v>
      </c>
      <c r="V2166" t="s">
        <v>15220</v>
      </c>
    </row>
    <row r="2167" spans="1:22" ht="17.399999999999999">
      <c r="A2167" t="s">
        <v>15398</v>
      </c>
      <c r="B2167" t="s">
        <v>15443</v>
      </c>
      <c r="C2167" t="s">
        <v>15452</v>
      </c>
      <c r="D2167" t="s">
        <v>2165</v>
      </c>
      <c r="E2167" t="s">
        <v>3452</v>
      </c>
      <c r="F2167" t="s">
        <v>3511</v>
      </c>
      <c r="G2167" s="3">
        <v>37.134890098591299</v>
      </c>
      <c r="H2167" s="3">
        <v>127.307481070965</v>
      </c>
      <c r="I2167" t="s">
        <v>5932</v>
      </c>
      <c r="J2167" t="s">
        <v>9288</v>
      </c>
      <c r="K2167" t="s">
        <v>3638</v>
      </c>
      <c r="L2167" t="s">
        <v>3366</v>
      </c>
      <c r="M2167" t="s">
        <v>11903</v>
      </c>
      <c r="N2167" t="s">
        <v>3364</v>
      </c>
      <c r="O2167" t="s">
        <v>15211</v>
      </c>
      <c r="P2167" t="s">
        <v>3364</v>
      </c>
      <c r="Q2167" t="s">
        <v>15211</v>
      </c>
      <c r="R2167" t="s">
        <v>15211</v>
      </c>
      <c r="S2167" t="s">
        <v>15211</v>
      </c>
      <c r="T2167" t="s">
        <v>3372</v>
      </c>
      <c r="U2167" t="s">
        <v>14045</v>
      </c>
      <c r="V2167" t="s">
        <v>15220</v>
      </c>
    </row>
    <row r="2168" spans="1:22" ht="17.399999999999999">
      <c r="A2168" t="s">
        <v>15398</v>
      </c>
      <c r="B2168" t="s">
        <v>15443</v>
      </c>
      <c r="C2168" t="s">
        <v>15452</v>
      </c>
      <c r="D2168" t="s">
        <v>2166</v>
      </c>
      <c r="E2168" t="s">
        <v>3453</v>
      </c>
      <c r="F2168" t="s">
        <v>3465</v>
      </c>
      <c r="G2168" s="3">
        <v>37.134890054674699</v>
      </c>
      <c r="H2168" s="3">
        <v>127.307481029331</v>
      </c>
      <c r="I2168" t="s">
        <v>5933</v>
      </c>
      <c r="J2168" t="s">
        <v>9289</v>
      </c>
      <c r="K2168" t="s">
        <v>10564</v>
      </c>
      <c r="L2168" t="s">
        <v>3366</v>
      </c>
      <c r="M2168" t="s">
        <v>11895</v>
      </c>
      <c r="N2168" t="s">
        <v>3363</v>
      </c>
      <c r="O2168" t="s">
        <v>15211</v>
      </c>
      <c r="P2168" t="s">
        <v>3364</v>
      </c>
      <c r="Q2168" t="s">
        <v>15211</v>
      </c>
      <c r="R2168" t="s">
        <v>15211</v>
      </c>
      <c r="S2168" t="s">
        <v>15211</v>
      </c>
      <c r="T2168" t="s">
        <v>3371</v>
      </c>
      <c r="U2168" t="s">
        <v>14046</v>
      </c>
      <c r="V2168" t="s">
        <v>15220</v>
      </c>
    </row>
    <row r="2169" spans="1:22" ht="17.399999999999999" hidden="1">
      <c r="A2169" t="s">
        <v>15398</v>
      </c>
      <c r="B2169" t="s">
        <v>15443</v>
      </c>
      <c r="C2169" t="s">
        <v>15488</v>
      </c>
      <c r="D2169" t="s">
        <v>2167</v>
      </c>
      <c r="E2169" t="s">
        <v>3536</v>
      </c>
      <c r="F2169" t="s">
        <v>3695</v>
      </c>
      <c r="G2169" s="3">
        <v>37.134890463142497</v>
      </c>
      <c r="H2169" s="3">
        <v>127.307481816741</v>
      </c>
      <c r="I2169" t="s">
        <v>5934</v>
      </c>
      <c r="J2169" t="s">
        <v>9290</v>
      </c>
      <c r="K2169" t="s">
        <v>11590</v>
      </c>
      <c r="L2169" t="s">
        <v>3366</v>
      </c>
      <c r="M2169" t="s">
        <v>11895</v>
      </c>
      <c r="N2169" t="s">
        <v>3361</v>
      </c>
      <c r="O2169" t="s">
        <v>15211</v>
      </c>
      <c r="P2169" t="s">
        <v>3364</v>
      </c>
      <c r="Q2169" t="s">
        <v>3358</v>
      </c>
      <c r="R2169" t="s">
        <v>15211</v>
      </c>
      <c r="S2169" t="s">
        <v>15211</v>
      </c>
      <c r="T2169" t="s">
        <v>3371</v>
      </c>
      <c r="U2169" t="s">
        <v>14047</v>
      </c>
      <c r="V2169" t="s">
        <v>15271</v>
      </c>
    </row>
    <row r="2170" spans="1:22" ht="17.399999999999999" hidden="1">
      <c r="A2170" t="s">
        <v>15398</v>
      </c>
      <c r="B2170" t="s">
        <v>15443</v>
      </c>
      <c r="C2170" t="s">
        <v>15488</v>
      </c>
      <c r="D2170" t="s">
        <v>2168</v>
      </c>
      <c r="E2170" t="s">
        <v>3539</v>
      </c>
      <c r="F2170" t="s">
        <v>3699</v>
      </c>
      <c r="G2170" s="3">
        <v>37.134890436556802</v>
      </c>
      <c r="H2170" s="3">
        <v>127.307481727932</v>
      </c>
      <c r="I2170" t="s">
        <v>5935</v>
      </c>
      <c r="J2170" t="s">
        <v>9291</v>
      </c>
      <c r="K2170" t="s">
        <v>10536</v>
      </c>
      <c r="L2170" t="s">
        <v>3366</v>
      </c>
      <c r="M2170" t="s">
        <v>11895</v>
      </c>
      <c r="N2170" t="s">
        <v>3362</v>
      </c>
      <c r="O2170" t="s">
        <v>15211</v>
      </c>
      <c r="P2170" t="s">
        <v>3364</v>
      </c>
      <c r="Q2170" t="s">
        <v>3358</v>
      </c>
      <c r="R2170" t="s">
        <v>15211</v>
      </c>
      <c r="S2170" t="s">
        <v>15211</v>
      </c>
      <c r="T2170" t="s">
        <v>3372</v>
      </c>
      <c r="U2170" t="s">
        <v>14048</v>
      </c>
      <c r="V2170" t="s">
        <v>15271</v>
      </c>
    </row>
    <row r="2171" spans="1:22" ht="17.399999999999999" hidden="1">
      <c r="A2171" t="s">
        <v>15398</v>
      </c>
      <c r="B2171" t="s">
        <v>15443</v>
      </c>
      <c r="C2171" t="s">
        <v>15488</v>
      </c>
      <c r="D2171" t="s">
        <v>2169</v>
      </c>
      <c r="E2171" t="s">
        <v>3545</v>
      </c>
      <c r="F2171" t="s">
        <v>3701</v>
      </c>
      <c r="G2171" s="3">
        <v>37.1348903778634</v>
      </c>
      <c r="H2171" s="3">
        <v>127.307481672194</v>
      </c>
      <c r="I2171" t="s">
        <v>5936</v>
      </c>
      <c r="J2171" t="s">
        <v>9292</v>
      </c>
      <c r="K2171" t="s">
        <v>10536</v>
      </c>
      <c r="L2171" t="s">
        <v>3366</v>
      </c>
      <c r="M2171" t="s">
        <v>11895</v>
      </c>
      <c r="N2171" t="s">
        <v>3362</v>
      </c>
      <c r="O2171" t="s">
        <v>15211</v>
      </c>
      <c r="P2171" t="s">
        <v>3364</v>
      </c>
      <c r="Q2171" t="s">
        <v>3358</v>
      </c>
      <c r="R2171" t="s">
        <v>15211</v>
      </c>
      <c r="S2171" t="s">
        <v>15211</v>
      </c>
      <c r="T2171" t="s">
        <v>3372</v>
      </c>
      <c r="U2171" t="s">
        <v>14049</v>
      </c>
      <c r="V2171" t="s">
        <v>15271</v>
      </c>
    </row>
    <row r="2172" spans="1:22" ht="17.399999999999999" hidden="1">
      <c r="A2172" t="s">
        <v>15398</v>
      </c>
      <c r="B2172" t="s">
        <v>15443</v>
      </c>
      <c r="C2172" t="s">
        <v>15489</v>
      </c>
      <c r="D2172" t="s">
        <v>2170</v>
      </c>
      <c r="E2172" t="s">
        <v>3427</v>
      </c>
      <c r="F2172" t="s">
        <v>3435</v>
      </c>
      <c r="G2172" s="3">
        <v>37.134890108539402</v>
      </c>
      <c r="H2172" s="3">
        <v>127.307481239425</v>
      </c>
      <c r="I2172" t="s">
        <v>5937</v>
      </c>
      <c r="J2172" t="s">
        <v>9293</v>
      </c>
      <c r="K2172" t="s">
        <v>10535</v>
      </c>
      <c r="L2172" t="s">
        <v>3366</v>
      </c>
      <c r="M2172" t="s">
        <v>11895</v>
      </c>
      <c r="N2172" t="s">
        <v>3361</v>
      </c>
      <c r="O2172" t="s">
        <v>15211</v>
      </c>
      <c r="P2172" t="s">
        <v>3364</v>
      </c>
      <c r="Q2172" t="s">
        <v>3358</v>
      </c>
      <c r="R2172" t="s">
        <v>15211</v>
      </c>
      <c r="S2172" t="s">
        <v>15211</v>
      </c>
      <c r="T2172" t="s">
        <v>3371</v>
      </c>
      <c r="U2172" t="s">
        <v>14050</v>
      </c>
      <c r="V2172" t="s">
        <v>15272</v>
      </c>
    </row>
    <row r="2173" spans="1:22" ht="17.399999999999999" hidden="1">
      <c r="A2173" t="s">
        <v>15398</v>
      </c>
      <c r="B2173" t="s">
        <v>15443</v>
      </c>
      <c r="C2173" t="s">
        <v>15489</v>
      </c>
      <c r="D2173" t="s">
        <v>2171</v>
      </c>
      <c r="E2173" t="s">
        <v>3427</v>
      </c>
      <c r="F2173" t="s">
        <v>3435</v>
      </c>
      <c r="G2173" s="3">
        <v>37.134890114594597</v>
      </c>
      <c r="H2173" s="3">
        <v>127.30748125384601</v>
      </c>
      <c r="I2173" t="s">
        <v>5938</v>
      </c>
      <c r="J2173" t="s">
        <v>9294</v>
      </c>
      <c r="K2173" t="s">
        <v>11541</v>
      </c>
      <c r="L2173" t="s">
        <v>3366</v>
      </c>
      <c r="M2173" t="s">
        <v>11895</v>
      </c>
      <c r="N2173" t="s">
        <v>3361</v>
      </c>
      <c r="O2173" t="s">
        <v>15211</v>
      </c>
      <c r="P2173" t="s">
        <v>3364</v>
      </c>
      <c r="Q2173" t="s">
        <v>3358</v>
      </c>
      <c r="R2173" t="s">
        <v>15211</v>
      </c>
      <c r="S2173" t="s">
        <v>15211</v>
      </c>
      <c r="T2173" t="s">
        <v>3371</v>
      </c>
      <c r="U2173" t="s">
        <v>14051</v>
      </c>
      <c r="V2173" t="s">
        <v>15272</v>
      </c>
    </row>
    <row r="2174" spans="1:22" ht="17.399999999999999" hidden="1">
      <c r="A2174" t="s">
        <v>15398</v>
      </c>
      <c r="B2174" t="s">
        <v>15443</v>
      </c>
      <c r="C2174" t="s">
        <v>15489</v>
      </c>
      <c r="D2174" t="s">
        <v>2172</v>
      </c>
      <c r="E2174" t="s">
        <v>3428</v>
      </c>
      <c r="F2174" t="s">
        <v>3429</v>
      </c>
      <c r="G2174" s="3">
        <v>37.134890142811898</v>
      </c>
      <c r="H2174" s="3">
        <v>127.307481255759</v>
      </c>
      <c r="I2174" t="s">
        <v>5939</v>
      </c>
      <c r="J2174" t="s">
        <v>9295</v>
      </c>
      <c r="K2174" t="s">
        <v>11054</v>
      </c>
      <c r="L2174" t="s">
        <v>3366</v>
      </c>
      <c r="M2174" t="s">
        <v>11894</v>
      </c>
      <c r="N2174" t="s">
        <v>3360</v>
      </c>
      <c r="O2174" t="s">
        <v>15211</v>
      </c>
      <c r="P2174" t="s">
        <v>3364</v>
      </c>
      <c r="Q2174" t="s">
        <v>3358</v>
      </c>
      <c r="R2174" t="s">
        <v>15211</v>
      </c>
      <c r="S2174" t="s">
        <v>15211</v>
      </c>
      <c r="T2174" t="s">
        <v>3370</v>
      </c>
      <c r="U2174" t="s">
        <v>14052</v>
      </c>
      <c r="V2174" t="s">
        <v>15272</v>
      </c>
    </row>
    <row r="2175" spans="1:22" hidden="1">
      <c r="A2175" t="s">
        <v>15370</v>
      </c>
      <c r="B2175" t="s">
        <v>15441</v>
      </c>
      <c r="C2175" t="s">
        <v>15447</v>
      </c>
      <c r="D2175" t="s">
        <v>433</v>
      </c>
      <c r="E2175" t="s">
        <v>3438</v>
      </c>
      <c r="F2175" t="s">
        <v>3430</v>
      </c>
      <c r="G2175" s="3">
        <v>35.550114742696799</v>
      </c>
      <c r="H2175" s="3">
        <v>127.29328202553801</v>
      </c>
      <c r="I2175" t="s">
        <v>4200</v>
      </c>
      <c r="J2175" t="s">
        <v>7559</v>
      </c>
      <c r="K2175" t="s">
        <v>10808</v>
      </c>
      <c r="L2175" t="s">
        <v>3366</v>
      </c>
      <c r="M2175" t="s">
        <v>11892</v>
      </c>
      <c r="N2175" t="s">
        <v>3364</v>
      </c>
      <c r="O2175" t="s">
        <v>15211</v>
      </c>
      <c r="P2175" t="s">
        <v>15211</v>
      </c>
      <c r="Q2175" t="s">
        <v>15211</v>
      </c>
      <c r="R2175" t="s">
        <v>15211</v>
      </c>
      <c r="S2175" t="s">
        <v>15211</v>
      </c>
      <c r="T2175" t="s">
        <v>3364</v>
      </c>
      <c r="U2175" t="s">
        <v>12343</v>
      </c>
      <c r="V2175" t="s">
        <v>15235</v>
      </c>
    </row>
    <row r="2176" spans="1:22" hidden="1">
      <c r="A2176" t="s">
        <v>15370</v>
      </c>
      <c r="B2176" t="s">
        <v>15441</v>
      </c>
      <c r="C2176" t="s">
        <v>15448</v>
      </c>
      <c r="D2176" t="s">
        <v>434</v>
      </c>
      <c r="E2176" t="s">
        <v>3429</v>
      </c>
      <c r="F2176" t="s">
        <v>3478</v>
      </c>
      <c r="G2176" s="3">
        <v>35.550114621685097</v>
      </c>
      <c r="H2176" s="3">
        <v>127.29328204385401</v>
      </c>
      <c r="I2176" t="s">
        <v>4201</v>
      </c>
      <c r="J2176" t="s">
        <v>7560</v>
      </c>
      <c r="K2176" t="s">
        <v>10809</v>
      </c>
      <c r="L2176" t="s">
        <v>3366</v>
      </c>
      <c r="M2176" t="s">
        <v>11914</v>
      </c>
      <c r="N2176" t="s">
        <v>3364</v>
      </c>
      <c r="O2176" t="s">
        <v>3361</v>
      </c>
      <c r="P2176" t="s">
        <v>3365</v>
      </c>
      <c r="Q2176" t="s">
        <v>3359</v>
      </c>
      <c r="R2176" t="s">
        <v>3358</v>
      </c>
      <c r="S2176" t="s">
        <v>15211</v>
      </c>
      <c r="T2176" t="s">
        <v>3383</v>
      </c>
      <c r="U2176" t="s">
        <v>12344</v>
      </c>
      <c r="V2176" t="s">
        <v>15230</v>
      </c>
    </row>
    <row r="2177" spans="1:22" hidden="1">
      <c r="A2177" t="s">
        <v>15370</v>
      </c>
      <c r="B2177" t="s">
        <v>15441</v>
      </c>
      <c r="C2177" t="s">
        <v>15449</v>
      </c>
      <c r="D2177" t="s">
        <v>435</v>
      </c>
      <c r="E2177" t="s">
        <v>3425</v>
      </c>
      <c r="F2177" t="s">
        <v>3461</v>
      </c>
      <c r="G2177" s="3">
        <v>35.550114740166599</v>
      </c>
      <c r="H2177" s="3">
        <v>127.29328203157201</v>
      </c>
      <c r="I2177" t="s">
        <v>4202</v>
      </c>
      <c r="J2177" t="s">
        <v>7561</v>
      </c>
      <c r="K2177" t="s">
        <v>10810</v>
      </c>
      <c r="L2177" t="s">
        <v>3366</v>
      </c>
      <c r="M2177" t="s">
        <v>11891</v>
      </c>
      <c r="N2177" t="s">
        <v>3364</v>
      </c>
      <c r="O2177" t="s">
        <v>15211</v>
      </c>
      <c r="P2177" t="s">
        <v>3365</v>
      </c>
      <c r="Q2177" t="s">
        <v>3361</v>
      </c>
      <c r="R2177" t="s">
        <v>3358</v>
      </c>
      <c r="S2177" t="s">
        <v>15211</v>
      </c>
      <c r="T2177" t="s">
        <v>3380</v>
      </c>
      <c r="U2177" t="s">
        <v>12345</v>
      </c>
      <c r="V2177" t="s">
        <v>15231</v>
      </c>
    </row>
    <row r="2178" spans="1:22" hidden="1">
      <c r="A2178" t="s">
        <v>15370</v>
      </c>
      <c r="B2178" t="s">
        <v>15442</v>
      </c>
      <c r="C2178" t="s">
        <v>15450</v>
      </c>
      <c r="D2178" t="s">
        <v>436</v>
      </c>
      <c r="E2178" t="s">
        <v>3442</v>
      </c>
      <c r="F2178" t="s">
        <v>3540</v>
      </c>
      <c r="G2178" s="3">
        <v>35.550114751151703</v>
      </c>
      <c r="H2178" s="3">
        <v>127.293281948528</v>
      </c>
      <c r="I2178" t="s">
        <v>4203</v>
      </c>
      <c r="J2178" t="s">
        <v>7562</v>
      </c>
      <c r="K2178" t="s">
        <v>10539</v>
      </c>
      <c r="L2178" t="s">
        <v>3366</v>
      </c>
      <c r="M2178" t="s">
        <v>11885</v>
      </c>
      <c r="N2178" t="s">
        <v>3363</v>
      </c>
      <c r="O2178" t="s">
        <v>3361</v>
      </c>
      <c r="P2178" t="s">
        <v>15211</v>
      </c>
      <c r="Q2178" t="s">
        <v>15211</v>
      </c>
      <c r="R2178" t="s">
        <v>15211</v>
      </c>
      <c r="S2178" t="s">
        <v>15211</v>
      </c>
      <c r="T2178" t="s">
        <v>3368</v>
      </c>
      <c r="U2178" t="s">
        <v>12346</v>
      </c>
      <c r="V2178" t="s">
        <v>15232</v>
      </c>
    </row>
    <row r="2179" spans="1:22" hidden="1">
      <c r="A2179" t="s">
        <v>15370</v>
      </c>
      <c r="B2179" t="s">
        <v>15442</v>
      </c>
      <c r="C2179" t="s">
        <v>15445</v>
      </c>
      <c r="D2179" t="s">
        <v>437</v>
      </c>
      <c r="E2179" t="s">
        <v>3440</v>
      </c>
      <c r="F2179" t="s">
        <v>3434</v>
      </c>
      <c r="G2179" s="3">
        <v>35.550114785493598</v>
      </c>
      <c r="H2179" s="3">
        <v>127.293281902836</v>
      </c>
      <c r="I2179" t="s">
        <v>4204</v>
      </c>
      <c r="J2179" t="s">
        <v>7563</v>
      </c>
      <c r="K2179" t="s">
        <v>10538</v>
      </c>
      <c r="L2179" t="s">
        <v>3366</v>
      </c>
      <c r="M2179" t="s">
        <v>11885</v>
      </c>
      <c r="N2179" t="s">
        <v>3363</v>
      </c>
      <c r="O2179" t="s">
        <v>3361</v>
      </c>
      <c r="P2179" t="s">
        <v>15211</v>
      </c>
      <c r="Q2179" t="s">
        <v>15211</v>
      </c>
      <c r="R2179" t="s">
        <v>15211</v>
      </c>
      <c r="S2179" t="s">
        <v>15211</v>
      </c>
      <c r="T2179" t="s">
        <v>3368</v>
      </c>
      <c r="U2179" t="s">
        <v>12347</v>
      </c>
      <c r="V2179" t="s">
        <v>15233</v>
      </c>
    </row>
    <row r="2180" spans="1:22" hidden="1">
      <c r="A2180" t="s">
        <v>15370</v>
      </c>
      <c r="B2180" t="s">
        <v>15442</v>
      </c>
      <c r="C2180" t="s">
        <v>15451</v>
      </c>
      <c r="D2180" t="s">
        <v>438</v>
      </c>
      <c r="E2180" t="s">
        <v>3439</v>
      </c>
      <c r="F2180" t="s">
        <v>3436</v>
      </c>
      <c r="G2180" s="3">
        <v>35.550114725733103</v>
      </c>
      <c r="H2180" s="3">
        <v>127.29328195756899</v>
      </c>
      <c r="I2180" t="s">
        <v>4205</v>
      </c>
      <c r="J2180" t="s">
        <v>7564</v>
      </c>
      <c r="K2180" t="s">
        <v>10811</v>
      </c>
      <c r="L2180" t="s">
        <v>3366</v>
      </c>
      <c r="M2180" t="s">
        <v>11896</v>
      </c>
      <c r="N2180" t="s">
        <v>3363</v>
      </c>
      <c r="O2180" t="s">
        <v>3361</v>
      </c>
      <c r="P2180" t="s">
        <v>3364</v>
      </c>
      <c r="Q2180" t="s">
        <v>3359</v>
      </c>
      <c r="R2180" t="s">
        <v>15211</v>
      </c>
      <c r="S2180" t="s">
        <v>15211</v>
      </c>
      <c r="T2180" t="s">
        <v>3379</v>
      </c>
      <c r="U2180" t="s">
        <v>12348</v>
      </c>
      <c r="V2180" t="s">
        <v>15234</v>
      </c>
    </row>
    <row r="2181" spans="1:22">
      <c r="A2181" t="s">
        <v>15370</v>
      </c>
      <c r="B2181" t="s">
        <v>15443</v>
      </c>
      <c r="C2181" t="s">
        <v>15452</v>
      </c>
      <c r="D2181" t="s">
        <v>439</v>
      </c>
      <c r="E2181" t="s">
        <v>3430</v>
      </c>
      <c r="F2181" t="s">
        <v>3452</v>
      </c>
      <c r="G2181" s="3">
        <v>35.550114771729902</v>
      </c>
      <c r="H2181" s="3">
        <v>127.29328181306199</v>
      </c>
      <c r="I2181" t="s">
        <v>4206</v>
      </c>
      <c r="J2181" t="s">
        <v>7565</v>
      </c>
      <c r="K2181" t="s">
        <v>10504</v>
      </c>
      <c r="L2181" t="s">
        <v>3366</v>
      </c>
      <c r="M2181" t="s">
        <v>11903</v>
      </c>
      <c r="N2181" t="s">
        <v>3361</v>
      </c>
      <c r="O2181" t="s">
        <v>15211</v>
      </c>
      <c r="P2181" t="s">
        <v>3362</v>
      </c>
      <c r="Q2181" t="s">
        <v>3360</v>
      </c>
      <c r="R2181" t="s">
        <v>15211</v>
      </c>
      <c r="S2181" t="s">
        <v>15211</v>
      </c>
      <c r="T2181" t="s">
        <v>3371</v>
      </c>
      <c r="U2181" t="s">
        <v>12349</v>
      </c>
      <c r="V2181" t="s">
        <v>15220</v>
      </c>
    </row>
    <row r="2182" spans="1:22" ht="17.399999999999999" hidden="1">
      <c r="A2182" t="s">
        <v>15391</v>
      </c>
      <c r="B2182" t="s">
        <v>15441</v>
      </c>
      <c r="C2182" t="s">
        <v>15445</v>
      </c>
      <c r="D2182" t="s">
        <v>2856</v>
      </c>
      <c r="E2182" t="s">
        <v>3566</v>
      </c>
      <c r="F2182" t="s">
        <v>3473</v>
      </c>
      <c r="G2182" s="3">
        <v>36.7061735599871</v>
      </c>
      <c r="H2182" s="3">
        <v>127.218289760285</v>
      </c>
      <c r="I2182" t="s">
        <v>6626</v>
      </c>
      <c r="J2182" t="s">
        <v>9982</v>
      </c>
      <c r="K2182" t="s">
        <v>11781</v>
      </c>
      <c r="L2182" t="s">
        <v>3366</v>
      </c>
      <c r="M2182" t="s">
        <v>11900</v>
      </c>
      <c r="N2182" t="s">
        <v>3361</v>
      </c>
      <c r="O2182" t="s">
        <v>3360</v>
      </c>
      <c r="P2182" t="s">
        <v>15211</v>
      </c>
      <c r="Q2182" t="s">
        <v>15211</v>
      </c>
      <c r="R2182" t="s">
        <v>15211</v>
      </c>
      <c r="S2182" t="s">
        <v>15211</v>
      </c>
      <c r="T2182" t="s">
        <v>3365</v>
      </c>
      <c r="U2182" t="s">
        <v>14722</v>
      </c>
      <c r="V2182" t="s">
        <v>15228</v>
      </c>
    </row>
    <row r="2183" spans="1:22" ht="17.399999999999999" hidden="1">
      <c r="A2183" t="s">
        <v>15391</v>
      </c>
      <c r="B2183" t="s">
        <v>15441</v>
      </c>
      <c r="C2183" t="s">
        <v>15445</v>
      </c>
      <c r="D2183" t="s">
        <v>2857</v>
      </c>
      <c r="E2183" t="s">
        <v>3567</v>
      </c>
      <c r="F2183" t="s">
        <v>3722</v>
      </c>
      <c r="G2183" s="3">
        <v>36.706173627656497</v>
      </c>
      <c r="H2183" s="3">
        <v>127.218289630501</v>
      </c>
      <c r="I2183" t="s">
        <v>6627</v>
      </c>
      <c r="J2183" t="s">
        <v>9983</v>
      </c>
      <c r="K2183" t="s">
        <v>11531</v>
      </c>
      <c r="L2183" t="s">
        <v>3366</v>
      </c>
      <c r="M2183" t="s">
        <v>11900</v>
      </c>
      <c r="N2183" t="s">
        <v>3361</v>
      </c>
      <c r="O2183" t="s">
        <v>3360</v>
      </c>
      <c r="P2183" t="s">
        <v>15211</v>
      </c>
      <c r="Q2183" t="s">
        <v>15211</v>
      </c>
      <c r="R2183" t="s">
        <v>15211</v>
      </c>
      <c r="S2183" t="s">
        <v>15211</v>
      </c>
      <c r="T2183" t="s">
        <v>3365</v>
      </c>
      <c r="U2183" t="s">
        <v>14723</v>
      </c>
      <c r="V2183" t="s">
        <v>15228</v>
      </c>
    </row>
    <row r="2184" spans="1:22" ht="17.399999999999999" hidden="1">
      <c r="A2184" t="s">
        <v>15391</v>
      </c>
      <c r="B2184" t="s">
        <v>15441</v>
      </c>
      <c r="C2184" t="s">
        <v>15445</v>
      </c>
      <c r="D2184" t="s">
        <v>2858</v>
      </c>
      <c r="E2184" t="s">
        <v>3568</v>
      </c>
      <c r="F2184" t="s">
        <v>3455</v>
      </c>
      <c r="G2184" s="3">
        <v>36.706173269194899</v>
      </c>
      <c r="H2184" s="3">
        <v>127.218290660142</v>
      </c>
      <c r="I2184" t="s">
        <v>6628</v>
      </c>
      <c r="J2184" t="s">
        <v>9984</v>
      </c>
      <c r="K2184" t="s">
        <v>11782</v>
      </c>
      <c r="L2184" t="s">
        <v>3366</v>
      </c>
      <c r="M2184" t="s">
        <v>11900</v>
      </c>
      <c r="N2184" t="s">
        <v>3361</v>
      </c>
      <c r="O2184" t="s">
        <v>3360</v>
      </c>
      <c r="P2184" t="s">
        <v>15211</v>
      </c>
      <c r="Q2184" t="s">
        <v>15211</v>
      </c>
      <c r="R2184" t="s">
        <v>15211</v>
      </c>
      <c r="S2184" t="s">
        <v>15211</v>
      </c>
      <c r="T2184" t="s">
        <v>3365</v>
      </c>
      <c r="U2184" t="s">
        <v>14724</v>
      </c>
      <c r="V2184" t="s">
        <v>15228</v>
      </c>
    </row>
    <row r="2185" spans="1:22" ht="17.399999999999999" hidden="1">
      <c r="A2185" t="s">
        <v>15391</v>
      </c>
      <c r="B2185" t="s">
        <v>15441</v>
      </c>
      <c r="C2185" t="s">
        <v>15445</v>
      </c>
      <c r="D2185" t="s">
        <v>2859</v>
      </c>
      <c r="E2185" t="s">
        <v>3569</v>
      </c>
      <c r="F2185" t="s">
        <v>3723</v>
      </c>
      <c r="G2185" s="3">
        <v>36.706172619830497</v>
      </c>
      <c r="H2185" s="3">
        <v>127.218292195974</v>
      </c>
      <c r="I2185" t="s">
        <v>6629</v>
      </c>
      <c r="J2185" t="s">
        <v>9985</v>
      </c>
      <c r="K2185" t="s">
        <v>11783</v>
      </c>
      <c r="L2185" t="s">
        <v>3366</v>
      </c>
      <c r="M2185" t="s">
        <v>11900</v>
      </c>
      <c r="N2185" t="s">
        <v>3361</v>
      </c>
      <c r="O2185" t="s">
        <v>3360</v>
      </c>
      <c r="P2185" t="s">
        <v>15211</v>
      </c>
      <c r="Q2185" t="s">
        <v>15211</v>
      </c>
      <c r="R2185" t="s">
        <v>15211</v>
      </c>
      <c r="S2185" t="s">
        <v>15211</v>
      </c>
      <c r="T2185" t="s">
        <v>3365</v>
      </c>
      <c r="U2185" t="s">
        <v>14725</v>
      </c>
      <c r="V2185" t="s">
        <v>15228</v>
      </c>
    </row>
    <row r="2186" spans="1:22" ht="17.399999999999999" hidden="1">
      <c r="A2186" t="s">
        <v>15391</v>
      </c>
      <c r="B2186" t="s">
        <v>15441</v>
      </c>
      <c r="C2186" t="s">
        <v>15445</v>
      </c>
      <c r="D2186" t="s">
        <v>2860</v>
      </c>
      <c r="E2186" t="s">
        <v>3570</v>
      </c>
      <c r="F2186" t="s">
        <v>3724</v>
      </c>
      <c r="G2186" s="3">
        <v>36.7061726263439</v>
      </c>
      <c r="H2186" s="3">
        <v>127.218291952965</v>
      </c>
      <c r="I2186" t="s">
        <v>6630</v>
      </c>
      <c r="J2186" t="s">
        <v>9986</v>
      </c>
      <c r="K2186" t="s">
        <v>11784</v>
      </c>
      <c r="L2186" t="s">
        <v>3366</v>
      </c>
      <c r="M2186" t="s">
        <v>11900</v>
      </c>
      <c r="N2186" t="s">
        <v>3361</v>
      </c>
      <c r="O2186" t="s">
        <v>3360</v>
      </c>
      <c r="P2186" t="s">
        <v>15211</v>
      </c>
      <c r="Q2186" t="s">
        <v>15211</v>
      </c>
      <c r="R2186" t="s">
        <v>15211</v>
      </c>
      <c r="S2186" t="s">
        <v>15211</v>
      </c>
      <c r="T2186" t="s">
        <v>3365</v>
      </c>
      <c r="U2186" t="s">
        <v>14726</v>
      </c>
      <c r="V2186" t="s">
        <v>15228</v>
      </c>
    </row>
    <row r="2187" spans="1:22" ht="17.399999999999999" hidden="1">
      <c r="A2187" t="s">
        <v>15391</v>
      </c>
      <c r="B2187" t="s">
        <v>15441</v>
      </c>
      <c r="C2187" t="s">
        <v>15445</v>
      </c>
      <c r="D2187" t="s">
        <v>2861</v>
      </c>
      <c r="E2187" t="s">
        <v>3471</v>
      </c>
      <c r="F2187" t="s">
        <v>3725</v>
      </c>
      <c r="G2187" s="3">
        <v>36.706172496521297</v>
      </c>
      <c r="H2187" s="3">
        <v>127.21829248897301</v>
      </c>
      <c r="I2187" t="s">
        <v>6631</v>
      </c>
      <c r="J2187" t="s">
        <v>9987</v>
      </c>
      <c r="K2187" t="s">
        <v>11785</v>
      </c>
      <c r="L2187" t="s">
        <v>3366</v>
      </c>
      <c r="M2187" t="s">
        <v>11900</v>
      </c>
      <c r="N2187" t="s">
        <v>3361</v>
      </c>
      <c r="O2187" t="s">
        <v>3360</v>
      </c>
      <c r="P2187" t="s">
        <v>15211</v>
      </c>
      <c r="Q2187" t="s">
        <v>15211</v>
      </c>
      <c r="R2187" t="s">
        <v>15211</v>
      </c>
      <c r="S2187" t="s">
        <v>15211</v>
      </c>
      <c r="T2187" t="s">
        <v>3365</v>
      </c>
      <c r="U2187" t="s">
        <v>14727</v>
      </c>
      <c r="V2187" t="s">
        <v>15228</v>
      </c>
    </row>
    <row r="2188" spans="1:22" ht="17.399999999999999" hidden="1">
      <c r="A2188" t="s">
        <v>15391</v>
      </c>
      <c r="B2188" t="s">
        <v>15441</v>
      </c>
      <c r="C2188" t="s">
        <v>15445</v>
      </c>
      <c r="D2188" t="s">
        <v>2862</v>
      </c>
      <c r="E2188" t="s">
        <v>3571</v>
      </c>
      <c r="F2188" t="s">
        <v>3726</v>
      </c>
      <c r="G2188" s="3">
        <v>36.706172838037297</v>
      </c>
      <c r="H2188" s="3">
        <v>127.21829206036401</v>
      </c>
      <c r="I2188" t="s">
        <v>6632</v>
      </c>
      <c r="J2188" t="s">
        <v>9988</v>
      </c>
      <c r="K2188" t="s">
        <v>11172</v>
      </c>
      <c r="L2188" t="s">
        <v>3366</v>
      </c>
      <c r="M2188" t="s">
        <v>11900</v>
      </c>
      <c r="N2188" t="s">
        <v>3361</v>
      </c>
      <c r="O2188" t="s">
        <v>3360</v>
      </c>
      <c r="P2188" t="s">
        <v>15211</v>
      </c>
      <c r="Q2188" t="s">
        <v>15211</v>
      </c>
      <c r="R2188" t="s">
        <v>15211</v>
      </c>
      <c r="S2188" t="s">
        <v>15211</v>
      </c>
      <c r="T2188" t="s">
        <v>3365</v>
      </c>
      <c r="U2188" t="s">
        <v>14728</v>
      </c>
      <c r="V2188" t="s">
        <v>15228</v>
      </c>
    </row>
    <row r="2189" spans="1:22" ht="17.399999999999999" hidden="1">
      <c r="A2189" t="s">
        <v>15391</v>
      </c>
      <c r="B2189" t="s">
        <v>15441</v>
      </c>
      <c r="C2189" t="s">
        <v>15445</v>
      </c>
      <c r="D2189" t="s">
        <v>2863</v>
      </c>
      <c r="E2189" t="s">
        <v>3572</v>
      </c>
      <c r="F2189" t="s">
        <v>3727</v>
      </c>
      <c r="G2189" s="3">
        <v>36.706172848916701</v>
      </c>
      <c r="H2189" s="3">
        <v>127.218292506518</v>
      </c>
      <c r="I2189" t="s">
        <v>6633</v>
      </c>
      <c r="J2189" t="s">
        <v>9989</v>
      </c>
      <c r="K2189" t="s">
        <v>10649</v>
      </c>
      <c r="L2189" t="s">
        <v>3366</v>
      </c>
      <c r="M2189" t="s">
        <v>11902</v>
      </c>
      <c r="N2189" t="s">
        <v>3362</v>
      </c>
      <c r="O2189" t="s">
        <v>3360</v>
      </c>
      <c r="P2189" t="s">
        <v>15211</v>
      </c>
      <c r="Q2189" t="s">
        <v>15211</v>
      </c>
      <c r="R2189" t="s">
        <v>15211</v>
      </c>
      <c r="S2189" t="s">
        <v>15211</v>
      </c>
      <c r="T2189" t="s">
        <v>3366</v>
      </c>
      <c r="U2189" t="s">
        <v>14729</v>
      </c>
      <c r="V2189" t="s">
        <v>15228</v>
      </c>
    </row>
    <row r="2190" spans="1:22" ht="17.399999999999999" hidden="1">
      <c r="A2190" t="s">
        <v>15391</v>
      </c>
      <c r="B2190" t="s">
        <v>15441</v>
      </c>
      <c r="C2190" t="s">
        <v>15446</v>
      </c>
      <c r="D2190" t="s">
        <v>2864</v>
      </c>
      <c r="E2190" t="s">
        <v>3573</v>
      </c>
      <c r="F2190" t="s">
        <v>3728</v>
      </c>
      <c r="G2190" s="3">
        <v>36.7061770363919</v>
      </c>
      <c r="H2190" s="3">
        <v>127.21830045196</v>
      </c>
      <c r="I2190" t="s">
        <v>6634</v>
      </c>
      <c r="J2190" t="s">
        <v>9990</v>
      </c>
      <c r="K2190" t="s">
        <v>10960</v>
      </c>
      <c r="L2190" t="s">
        <v>3366</v>
      </c>
      <c r="M2190" t="s">
        <v>11900</v>
      </c>
      <c r="N2190" t="s">
        <v>3361</v>
      </c>
      <c r="O2190" t="s">
        <v>3360</v>
      </c>
      <c r="P2190" t="s">
        <v>15211</v>
      </c>
      <c r="Q2190" t="s">
        <v>15211</v>
      </c>
      <c r="R2190" t="s">
        <v>15211</v>
      </c>
      <c r="S2190" t="s">
        <v>15211</v>
      </c>
      <c r="T2190" t="s">
        <v>3365</v>
      </c>
      <c r="U2190" t="s">
        <v>14730</v>
      </c>
      <c r="V2190" t="s">
        <v>15229</v>
      </c>
    </row>
    <row r="2191" spans="1:22" ht="17.399999999999999" hidden="1">
      <c r="A2191" t="s">
        <v>15391</v>
      </c>
      <c r="B2191" t="s">
        <v>15441</v>
      </c>
      <c r="C2191" t="s">
        <v>15446</v>
      </c>
      <c r="D2191" t="s">
        <v>2865</v>
      </c>
      <c r="E2191" t="s">
        <v>3574</v>
      </c>
      <c r="F2191" t="s">
        <v>3729</v>
      </c>
      <c r="G2191" s="3">
        <v>36.706177304622997</v>
      </c>
      <c r="H2191" s="3">
        <v>127.218299838471</v>
      </c>
      <c r="I2191" t="s">
        <v>6635</v>
      </c>
      <c r="J2191" t="s">
        <v>9991</v>
      </c>
      <c r="K2191" t="s">
        <v>10571</v>
      </c>
      <c r="L2191" t="s">
        <v>3366</v>
      </c>
      <c r="M2191" t="s">
        <v>11902</v>
      </c>
      <c r="N2191" t="s">
        <v>3362</v>
      </c>
      <c r="O2191" t="s">
        <v>3360</v>
      </c>
      <c r="P2191" t="s">
        <v>15211</v>
      </c>
      <c r="Q2191" t="s">
        <v>15211</v>
      </c>
      <c r="R2191" t="s">
        <v>15211</v>
      </c>
      <c r="S2191" t="s">
        <v>15211</v>
      </c>
      <c r="T2191" t="s">
        <v>3366</v>
      </c>
      <c r="U2191" t="s">
        <v>14731</v>
      </c>
      <c r="V2191" t="s">
        <v>15229</v>
      </c>
    </row>
    <row r="2192" spans="1:22" ht="17.399999999999999" hidden="1">
      <c r="A2192" t="s">
        <v>15391</v>
      </c>
      <c r="B2192" t="s">
        <v>15441</v>
      </c>
      <c r="C2192" t="s">
        <v>15446</v>
      </c>
      <c r="D2192" t="s">
        <v>2866</v>
      </c>
      <c r="E2192" t="s">
        <v>3472</v>
      </c>
      <c r="F2192" t="s">
        <v>3730</v>
      </c>
      <c r="G2192" s="3">
        <v>36.706177017372603</v>
      </c>
      <c r="H2192" s="3">
        <v>127.218298389662</v>
      </c>
      <c r="I2192" t="s">
        <v>6636</v>
      </c>
      <c r="J2192" t="s">
        <v>9992</v>
      </c>
      <c r="K2192" t="s">
        <v>11273</v>
      </c>
      <c r="L2192" t="s">
        <v>3366</v>
      </c>
      <c r="M2192" t="s">
        <v>11902</v>
      </c>
      <c r="N2192" t="s">
        <v>3362</v>
      </c>
      <c r="O2192" t="s">
        <v>3360</v>
      </c>
      <c r="P2192" t="s">
        <v>15211</v>
      </c>
      <c r="Q2192" t="s">
        <v>15211</v>
      </c>
      <c r="R2192" t="s">
        <v>15211</v>
      </c>
      <c r="S2192" t="s">
        <v>15211</v>
      </c>
      <c r="T2192" t="s">
        <v>3366</v>
      </c>
      <c r="U2192" t="s">
        <v>14732</v>
      </c>
      <c r="V2192" t="s">
        <v>15229</v>
      </c>
    </row>
    <row r="2193" spans="1:22" ht="17.399999999999999" hidden="1">
      <c r="A2193" t="s">
        <v>15391</v>
      </c>
      <c r="B2193" t="s">
        <v>15441</v>
      </c>
      <c r="C2193" t="s">
        <v>15446</v>
      </c>
      <c r="D2193" t="s">
        <v>2867</v>
      </c>
      <c r="E2193" t="s">
        <v>3447</v>
      </c>
      <c r="F2193" t="s">
        <v>3731</v>
      </c>
      <c r="G2193" s="3">
        <v>36.706175132671802</v>
      </c>
      <c r="H2193" s="3">
        <v>127.21829680374201</v>
      </c>
      <c r="I2193" t="s">
        <v>6637</v>
      </c>
      <c r="J2193" t="s">
        <v>9993</v>
      </c>
      <c r="K2193" t="s">
        <v>10570</v>
      </c>
      <c r="L2193" t="s">
        <v>3366</v>
      </c>
      <c r="M2193" t="s">
        <v>11902</v>
      </c>
      <c r="N2193" t="s">
        <v>3362</v>
      </c>
      <c r="O2193" t="s">
        <v>3360</v>
      </c>
      <c r="P2193" t="s">
        <v>15211</v>
      </c>
      <c r="Q2193" t="s">
        <v>15211</v>
      </c>
      <c r="R2193" t="s">
        <v>15211</v>
      </c>
      <c r="S2193" t="s">
        <v>15211</v>
      </c>
      <c r="T2193" t="s">
        <v>3366</v>
      </c>
      <c r="U2193" t="s">
        <v>14733</v>
      </c>
      <c r="V2193" t="s">
        <v>15229</v>
      </c>
    </row>
    <row r="2194" spans="1:22" ht="17.399999999999999" hidden="1">
      <c r="A2194" t="s">
        <v>15391</v>
      </c>
      <c r="B2194" t="s">
        <v>15441</v>
      </c>
      <c r="C2194" t="s">
        <v>15446</v>
      </c>
      <c r="D2194" t="s">
        <v>2868</v>
      </c>
      <c r="E2194" t="s">
        <v>3575</v>
      </c>
      <c r="F2194" t="s">
        <v>3732</v>
      </c>
      <c r="G2194" s="3">
        <v>36.706174924899102</v>
      </c>
      <c r="H2194" s="3">
        <v>127.21829413236399</v>
      </c>
      <c r="I2194" t="s">
        <v>6638</v>
      </c>
      <c r="J2194" t="s">
        <v>9994</v>
      </c>
      <c r="K2194" t="s">
        <v>11786</v>
      </c>
      <c r="L2194" t="s">
        <v>3366</v>
      </c>
      <c r="M2194" t="s">
        <v>11900</v>
      </c>
      <c r="N2194" t="s">
        <v>3362</v>
      </c>
      <c r="O2194" t="s">
        <v>3360</v>
      </c>
      <c r="P2194" t="s">
        <v>15211</v>
      </c>
      <c r="Q2194" t="s">
        <v>15211</v>
      </c>
      <c r="R2194" t="s">
        <v>15211</v>
      </c>
      <c r="S2194" t="s">
        <v>15211</v>
      </c>
      <c r="T2194" t="s">
        <v>3366</v>
      </c>
      <c r="U2194" t="s">
        <v>14734</v>
      </c>
      <c r="V2194" t="s">
        <v>15229</v>
      </c>
    </row>
    <row r="2195" spans="1:22" ht="17.399999999999999" hidden="1">
      <c r="A2195" t="s">
        <v>15391</v>
      </c>
      <c r="B2195" t="s">
        <v>15441</v>
      </c>
      <c r="C2195" t="s">
        <v>15447</v>
      </c>
      <c r="D2195" t="s">
        <v>2869</v>
      </c>
      <c r="E2195" t="s">
        <v>3561</v>
      </c>
      <c r="F2195" t="s">
        <v>3733</v>
      </c>
      <c r="G2195" s="3">
        <v>36.706171546858002</v>
      </c>
      <c r="H2195" s="3">
        <v>127.218291619984</v>
      </c>
      <c r="I2195" t="s">
        <v>6639</v>
      </c>
      <c r="J2195" t="s">
        <v>9995</v>
      </c>
      <c r="K2195" t="s">
        <v>11221</v>
      </c>
      <c r="L2195" t="s">
        <v>3366</v>
      </c>
      <c r="M2195" t="s">
        <v>11909</v>
      </c>
      <c r="N2195" t="s">
        <v>3362</v>
      </c>
      <c r="O2195" t="s">
        <v>15211</v>
      </c>
      <c r="P2195" t="s">
        <v>15211</v>
      </c>
      <c r="Q2195" t="s">
        <v>15211</v>
      </c>
      <c r="R2195" t="s">
        <v>15211</v>
      </c>
      <c r="S2195" t="s">
        <v>15211</v>
      </c>
      <c r="T2195" t="s">
        <v>3362</v>
      </c>
      <c r="U2195" t="s">
        <v>14735</v>
      </c>
      <c r="V2195" t="s">
        <v>15235</v>
      </c>
    </row>
    <row r="2196" spans="1:22" ht="17.399999999999999" hidden="1">
      <c r="A2196" t="s">
        <v>15391</v>
      </c>
      <c r="B2196" t="s">
        <v>15441</v>
      </c>
      <c r="C2196" t="s">
        <v>15447</v>
      </c>
      <c r="D2196" t="s">
        <v>2870</v>
      </c>
      <c r="E2196" t="s">
        <v>3446</v>
      </c>
      <c r="F2196" t="s">
        <v>3734</v>
      </c>
      <c r="G2196" s="3">
        <v>36.706172604135602</v>
      </c>
      <c r="H2196" s="3">
        <v>127.218291108031</v>
      </c>
      <c r="I2196" t="s">
        <v>6640</v>
      </c>
      <c r="J2196" t="s">
        <v>9996</v>
      </c>
      <c r="K2196" t="s">
        <v>10971</v>
      </c>
      <c r="L2196" t="s">
        <v>3366</v>
      </c>
      <c r="M2196" t="s">
        <v>11909</v>
      </c>
      <c r="N2196" t="s">
        <v>3362</v>
      </c>
      <c r="O2196" t="s">
        <v>15211</v>
      </c>
      <c r="P2196" t="s">
        <v>15211</v>
      </c>
      <c r="Q2196" t="s">
        <v>15211</v>
      </c>
      <c r="R2196" t="s">
        <v>15211</v>
      </c>
      <c r="S2196" t="s">
        <v>15211</v>
      </c>
      <c r="T2196" t="s">
        <v>3362</v>
      </c>
      <c r="U2196" t="s">
        <v>14736</v>
      </c>
      <c r="V2196" t="s">
        <v>15235</v>
      </c>
    </row>
    <row r="2197" spans="1:22" ht="17.399999999999999" hidden="1">
      <c r="A2197" t="s">
        <v>15391</v>
      </c>
      <c r="B2197" t="s">
        <v>15441</v>
      </c>
      <c r="C2197" t="s">
        <v>15447</v>
      </c>
      <c r="D2197" t="s">
        <v>2871</v>
      </c>
      <c r="E2197" t="s">
        <v>3576</v>
      </c>
      <c r="F2197" t="s">
        <v>3735</v>
      </c>
      <c r="G2197" s="3">
        <v>36.706172059661199</v>
      </c>
      <c r="H2197" s="3">
        <v>127.218292351033</v>
      </c>
      <c r="I2197" t="s">
        <v>6641</v>
      </c>
      <c r="J2197" t="s">
        <v>9997</v>
      </c>
      <c r="K2197" t="s">
        <v>11787</v>
      </c>
      <c r="L2197" t="s">
        <v>3366</v>
      </c>
      <c r="M2197" t="s">
        <v>11909</v>
      </c>
      <c r="N2197" t="s">
        <v>3362</v>
      </c>
      <c r="O2197" t="s">
        <v>15211</v>
      </c>
      <c r="P2197" t="s">
        <v>15211</v>
      </c>
      <c r="Q2197" t="s">
        <v>15211</v>
      </c>
      <c r="R2197" t="s">
        <v>15211</v>
      </c>
      <c r="S2197" t="s">
        <v>15211</v>
      </c>
      <c r="T2197" t="s">
        <v>3362</v>
      </c>
      <c r="U2197" t="s">
        <v>14737</v>
      </c>
      <c r="V2197" t="s">
        <v>15235</v>
      </c>
    </row>
    <row r="2198" spans="1:22" ht="17.399999999999999" hidden="1">
      <c r="A2198" t="s">
        <v>15391</v>
      </c>
      <c r="B2198" t="s">
        <v>15441</v>
      </c>
      <c r="C2198" t="s">
        <v>15447</v>
      </c>
      <c r="D2198" t="s">
        <v>2872</v>
      </c>
      <c r="E2198" t="s">
        <v>3577</v>
      </c>
      <c r="F2198" t="s">
        <v>3736</v>
      </c>
      <c r="G2198" s="3">
        <v>36.706172607556397</v>
      </c>
      <c r="H2198" s="3">
        <v>127.218292501524</v>
      </c>
      <c r="I2198" t="s">
        <v>6642</v>
      </c>
      <c r="J2198" t="s">
        <v>9998</v>
      </c>
      <c r="K2198" t="s">
        <v>11503</v>
      </c>
      <c r="L2198" t="s">
        <v>3366</v>
      </c>
      <c r="M2198" t="s">
        <v>11909</v>
      </c>
      <c r="N2198" t="s">
        <v>3362</v>
      </c>
      <c r="O2198" t="s">
        <v>15211</v>
      </c>
      <c r="P2198" t="s">
        <v>15211</v>
      </c>
      <c r="Q2198" t="s">
        <v>15211</v>
      </c>
      <c r="R2198" t="s">
        <v>15211</v>
      </c>
      <c r="S2198" t="s">
        <v>15211</v>
      </c>
      <c r="T2198" t="s">
        <v>3362</v>
      </c>
      <c r="U2198" t="s">
        <v>14738</v>
      </c>
      <c r="V2198" t="s">
        <v>15235</v>
      </c>
    </row>
    <row r="2199" spans="1:22" ht="17.399999999999999" hidden="1">
      <c r="A2199" t="s">
        <v>15391</v>
      </c>
      <c r="B2199" t="s">
        <v>15441</v>
      </c>
      <c r="C2199" t="s">
        <v>15447</v>
      </c>
      <c r="D2199" t="s">
        <v>2873</v>
      </c>
      <c r="E2199" t="s">
        <v>3578</v>
      </c>
      <c r="F2199" t="s">
        <v>3560</v>
      </c>
      <c r="G2199" s="3">
        <v>36.706172127852803</v>
      </c>
      <c r="H2199" s="3">
        <v>127.218292885257</v>
      </c>
      <c r="I2199" t="s">
        <v>6643</v>
      </c>
      <c r="J2199" t="s">
        <v>9999</v>
      </c>
      <c r="K2199" t="s">
        <v>11503</v>
      </c>
      <c r="L2199" t="s">
        <v>3366</v>
      </c>
      <c r="M2199" t="s">
        <v>11909</v>
      </c>
      <c r="N2199" t="s">
        <v>3362</v>
      </c>
      <c r="O2199" t="s">
        <v>15211</v>
      </c>
      <c r="P2199" t="s">
        <v>15211</v>
      </c>
      <c r="Q2199" t="s">
        <v>15211</v>
      </c>
      <c r="R2199" t="s">
        <v>15211</v>
      </c>
      <c r="S2199" t="s">
        <v>15211</v>
      </c>
      <c r="T2199" t="s">
        <v>3362</v>
      </c>
      <c r="U2199" t="s">
        <v>14739</v>
      </c>
      <c r="V2199" t="s">
        <v>15235</v>
      </c>
    </row>
    <row r="2200" spans="1:22" ht="17.399999999999999" hidden="1">
      <c r="A2200" t="s">
        <v>15391</v>
      </c>
      <c r="B2200" t="s">
        <v>15441</v>
      </c>
      <c r="C2200" t="s">
        <v>15448</v>
      </c>
      <c r="D2200" t="s">
        <v>2874</v>
      </c>
      <c r="E2200" t="s">
        <v>3465</v>
      </c>
      <c r="F2200" t="s">
        <v>3590</v>
      </c>
      <c r="G2200" s="3">
        <v>36.706174071019198</v>
      </c>
      <c r="H2200" s="3">
        <v>127.218289227917</v>
      </c>
      <c r="I2200" t="s">
        <v>6644</v>
      </c>
      <c r="J2200" t="s">
        <v>10000</v>
      </c>
      <c r="K2200" t="s">
        <v>10758</v>
      </c>
      <c r="L2200" t="s">
        <v>3366</v>
      </c>
      <c r="M2200" t="s">
        <v>11896</v>
      </c>
      <c r="N2200" t="s">
        <v>3362</v>
      </c>
      <c r="O2200" t="s">
        <v>3360</v>
      </c>
      <c r="P2200" t="s">
        <v>3364</v>
      </c>
      <c r="Q2200" t="s">
        <v>3360</v>
      </c>
      <c r="R2200" t="s">
        <v>3357</v>
      </c>
      <c r="S2200" t="s">
        <v>15211</v>
      </c>
      <c r="T2200" t="s">
        <v>3379</v>
      </c>
      <c r="U2200" t="s">
        <v>14740</v>
      </c>
      <c r="V2200" t="s">
        <v>15230</v>
      </c>
    </row>
    <row r="2201" spans="1:22" ht="17.399999999999999" hidden="1">
      <c r="A2201" t="s">
        <v>15391</v>
      </c>
      <c r="B2201" t="s">
        <v>15441</v>
      </c>
      <c r="C2201" t="s">
        <v>15448</v>
      </c>
      <c r="D2201" t="s">
        <v>2875</v>
      </c>
      <c r="E2201" t="s">
        <v>3476</v>
      </c>
      <c r="F2201" t="s">
        <v>3614</v>
      </c>
      <c r="G2201" s="3">
        <v>36.706174216595997</v>
      </c>
      <c r="H2201" s="3">
        <v>127.21828920622301</v>
      </c>
      <c r="I2201" t="s">
        <v>6645</v>
      </c>
      <c r="J2201" t="s">
        <v>10001</v>
      </c>
      <c r="K2201" t="s">
        <v>11359</v>
      </c>
      <c r="L2201" t="s">
        <v>3366</v>
      </c>
      <c r="M2201" t="s">
        <v>11888</v>
      </c>
      <c r="N2201" t="s">
        <v>3362</v>
      </c>
      <c r="O2201" t="s">
        <v>3360</v>
      </c>
      <c r="P2201" t="s">
        <v>3364</v>
      </c>
      <c r="Q2201" t="s">
        <v>3359</v>
      </c>
      <c r="R2201" t="s">
        <v>3357</v>
      </c>
      <c r="S2201" t="s">
        <v>15211</v>
      </c>
      <c r="T2201" t="s">
        <v>3378</v>
      </c>
      <c r="U2201" t="s">
        <v>14741</v>
      </c>
      <c r="V2201" t="s">
        <v>15230</v>
      </c>
    </row>
    <row r="2202" spans="1:22" ht="17.399999999999999" hidden="1">
      <c r="A2202" t="s">
        <v>15391</v>
      </c>
      <c r="B2202" t="s">
        <v>15441</v>
      </c>
      <c r="C2202" t="s">
        <v>15448</v>
      </c>
      <c r="D2202" t="s">
        <v>2876</v>
      </c>
      <c r="E2202" t="s">
        <v>3464</v>
      </c>
      <c r="F2202" t="s">
        <v>3694</v>
      </c>
      <c r="G2202" s="3">
        <v>36.706174165330403</v>
      </c>
      <c r="H2202" s="3">
        <v>127.218289249246</v>
      </c>
      <c r="I2202" t="s">
        <v>6646</v>
      </c>
      <c r="J2202" t="s">
        <v>10002</v>
      </c>
      <c r="K2202" t="s">
        <v>10745</v>
      </c>
      <c r="L2202" t="s">
        <v>3366</v>
      </c>
      <c r="M2202" t="s">
        <v>11888</v>
      </c>
      <c r="N2202" t="s">
        <v>3362</v>
      </c>
      <c r="O2202" t="s">
        <v>3360</v>
      </c>
      <c r="P2202" t="s">
        <v>3364</v>
      </c>
      <c r="Q2202" t="s">
        <v>3359</v>
      </c>
      <c r="R2202" t="s">
        <v>3357</v>
      </c>
      <c r="S2202" t="s">
        <v>15211</v>
      </c>
      <c r="T2202" t="s">
        <v>3378</v>
      </c>
      <c r="U2202" t="s">
        <v>14742</v>
      </c>
      <c r="V2202" t="s">
        <v>15230</v>
      </c>
    </row>
    <row r="2203" spans="1:22" ht="17.399999999999999" hidden="1">
      <c r="A2203" t="s">
        <v>15391</v>
      </c>
      <c r="B2203" t="s">
        <v>15441</v>
      </c>
      <c r="C2203" t="s">
        <v>15448</v>
      </c>
      <c r="D2203" t="s">
        <v>2877</v>
      </c>
      <c r="E2203" t="s">
        <v>3579</v>
      </c>
      <c r="F2203" t="s">
        <v>3694</v>
      </c>
      <c r="G2203" s="3">
        <v>36.706174085069001</v>
      </c>
      <c r="H2203" s="3">
        <v>127.21828930405501</v>
      </c>
      <c r="I2203" t="s">
        <v>6647</v>
      </c>
      <c r="J2203" t="s">
        <v>10003</v>
      </c>
      <c r="K2203" t="s">
        <v>11788</v>
      </c>
      <c r="L2203" t="s">
        <v>3366</v>
      </c>
      <c r="M2203" t="s">
        <v>11888</v>
      </c>
      <c r="N2203" t="s">
        <v>3362</v>
      </c>
      <c r="O2203" t="s">
        <v>3360</v>
      </c>
      <c r="P2203" t="s">
        <v>3364</v>
      </c>
      <c r="Q2203" t="s">
        <v>3360</v>
      </c>
      <c r="R2203" t="s">
        <v>3357</v>
      </c>
      <c r="S2203" t="s">
        <v>15211</v>
      </c>
      <c r="T2203" t="s">
        <v>3379</v>
      </c>
      <c r="U2203" t="s">
        <v>14743</v>
      </c>
      <c r="V2203" t="s">
        <v>15230</v>
      </c>
    </row>
    <row r="2204" spans="1:22" ht="17.399999999999999" hidden="1">
      <c r="A2204" t="s">
        <v>15391</v>
      </c>
      <c r="B2204" t="s">
        <v>15441</v>
      </c>
      <c r="C2204" t="s">
        <v>15448</v>
      </c>
      <c r="D2204" t="s">
        <v>2878</v>
      </c>
      <c r="E2204" t="s">
        <v>3484</v>
      </c>
      <c r="F2204" t="s">
        <v>3694</v>
      </c>
      <c r="G2204" s="3">
        <v>36.7061740396136</v>
      </c>
      <c r="H2204" s="3">
        <v>127.218289318313</v>
      </c>
      <c r="I2204" t="s">
        <v>6648</v>
      </c>
      <c r="J2204" t="s">
        <v>10004</v>
      </c>
      <c r="K2204" t="s">
        <v>11064</v>
      </c>
      <c r="L2204" t="s">
        <v>3366</v>
      </c>
      <c r="M2204" t="s">
        <v>11888</v>
      </c>
      <c r="N2204" t="s">
        <v>3362</v>
      </c>
      <c r="O2204" t="s">
        <v>3359</v>
      </c>
      <c r="P2204" t="s">
        <v>3364</v>
      </c>
      <c r="Q2204" t="s">
        <v>3360</v>
      </c>
      <c r="R2204" t="s">
        <v>3357</v>
      </c>
      <c r="S2204" t="s">
        <v>15211</v>
      </c>
      <c r="T2204" t="s">
        <v>3378</v>
      </c>
      <c r="U2204" t="s">
        <v>14744</v>
      </c>
      <c r="V2204" t="s">
        <v>15230</v>
      </c>
    </row>
    <row r="2205" spans="1:22" ht="17.399999999999999" hidden="1">
      <c r="A2205" t="s">
        <v>15391</v>
      </c>
      <c r="B2205" t="s">
        <v>15441</v>
      </c>
      <c r="C2205" t="s">
        <v>15449</v>
      </c>
      <c r="D2205" t="s">
        <v>2879</v>
      </c>
      <c r="E2205" t="s">
        <v>3441</v>
      </c>
      <c r="F2205" t="s">
        <v>3579</v>
      </c>
      <c r="G2205" s="3">
        <v>36.706173918648197</v>
      </c>
      <c r="H2205" s="3">
        <v>127.218289625816</v>
      </c>
      <c r="I2205" t="s">
        <v>6649</v>
      </c>
      <c r="J2205" t="s">
        <v>10005</v>
      </c>
      <c r="K2205" t="s">
        <v>10544</v>
      </c>
      <c r="L2205" t="s">
        <v>3366</v>
      </c>
      <c r="M2205" t="s">
        <v>11898</v>
      </c>
      <c r="N2205" t="s">
        <v>3362</v>
      </c>
      <c r="O2205" t="s">
        <v>15211</v>
      </c>
      <c r="P2205" t="s">
        <v>3364</v>
      </c>
      <c r="Q2205" t="s">
        <v>3359</v>
      </c>
      <c r="R2205" t="s">
        <v>3357</v>
      </c>
      <c r="S2205" t="s">
        <v>15211</v>
      </c>
      <c r="T2205" t="s">
        <v>3374</v>
      </c>
      <c r="U2205" t="s">
        <v>14745</v>
      </c>
      <c r="V2205" t="s">
        <v>15231</v>
      </c>
    </row>
    <row r="2206" spans="1:22" ht="17.399999999999999" hidden="1">
      <c r="A2206" t="s">
        <v>15391</v>
      </c>
      <c r="B2206" t="s">
        <v>15441</v>
      </c>
      <c r="C2206" t="s">
        <v>15449</v>
      </c>
      <c r="D2206" t="s">
        <v>2880</v>
      </c>
      <c r="E2206" t="s">
        <v>3461</v>
      </c>
      <c r="F2206" t="s">
        <v>3564</v>
      </c>
      <c r="G2206" s="3">
        <v>36.706173867588099</v>
      </c>
      <c r="H2206" s="3">
        <v>127.218289646389</v>
      </c>
      <c r="I2206" t="s">
        <v>6650</v>
      </c>
      <c r="J2206" t="s">
        <v>10006</v>
      </c>
      <c r="K2206" t="s">
        <v>11085</v>
      </c>
      <c r="L2206" t="s">
        <v>3366</v>
      </c>
      <c r="M2206" t="s">
        <v>11898</v>
      </c>
      <c r="N2206" t="s">
        <v>3362</v>
      </c>
      <c r="O2206" t="s">
        <v>15211</v>
      </c>
      <c r="P2206" t="s">
        <v>3364</v>
      </c>
      <c r="Q2206" t="s">
        <v>3359</v>
      </c>
      <c r="R2206" t="s">
        <v>3357</v>
      </c>
      <c r="S2206" t="s">
        <v>15211</v>
      </c>
      <c r="T2206" t="s">
        <v>3374</v>
      </c>
      <c r="U2206" t="s">
        <v>14746</v>
      </c>
      <c r="V2206" t="s">
        <v>15231</v>
      </c>
    </row>
    <row r="2207" spans="1:22" ht="17.399999999999999" hidden="1">
      <c r="A2207" t="s">
        <v>15391</v>
      </c>
      <c r="B2207" t="s">
        <v>15441</v>
      </c>
      <c r="C2207" t="s">
        <v>15449</v>
      </c>
      <c r="D2207" t="s">
        <v>2881</v>
      </c>
      <c r="E2207" t="s">
        <v>3452</v>
      </c>
      <c r="F2207" t="s">
        <v>3590</v>
      </c>
      <c r="G2207" s="3">
        <v>36.706173883812298</v>
      </c>
      <c r="H2207" s="3">
        <v>127.218289627498</v>
      </c>
      <c r="I2207" t="s">
        <v>6651</v>
      </c>
      <c r="J2207" t="s">
        <v>10007</v>
      </c>
      <c r="K2207" t="s">
        <v>10746</v>
      </c>
      <c r="L2207" t="s">
        <v>3366</v>
      </c>
      <c r="M2207" t="s">
        <v>11899</v>
      </c>
      <c r="N2207" t="s">
        <v>3362</v>
      </c>
      <c r="O2207" t="s">
        <v>15211</v>
      </c>
      <c r="P2207" t="s">
        <v>3364</v>
      </c>
      <c r="Q2207" t="s">
        <v>3359</v>
      </c>
      <c r="R2207" t="s">
        <v>3357</v>
      </c>
      <c r="S2207" t="s">
        <v>15211</v>
      </c>
      <c r="T2207" t="s">
        <v>3374</v>
      </c>
      <c r="U2207" t="s">
        <v>14747</v>
      </c>
      <c r="V2207" t="s">
        <v>15231</v>
      </c>
    </row>
    <row r="2208" spans="1:22" ht="17.399999999999999" hidden="1">
      <c r="A2208" t="s">
        <v>15391</v>
      </c>
      <c r="B2208" t="s">
        <v>15441</v>
      </c>
      <c r="C2208" t="s">
        <v>15449</v>
      </c>
      <c r="D2208" t="s">
        <v>2882</v>
      </c>
      <c r="E2208" t="s">
        <v>3452</v>
      </c>
      <c r="F2208" t="s">
        <v>3590</v>
      </c>
      <c r="G2208" s="3">
        <v>36.706173905487603</v>
      </c>
      <c r="H2208" s="3">
        <v>127.218289623549</v>
      </c>
      <c r="I2208" t="s">
        <v>6652</v>
      </c>
      <c r="J2208" t="s">
        <v>10008</v>
      </c>
      <c r="K2208" t="s">
        <v>10746</v>
      </c>
      <c r="L2208" t="s">
        <v>3366</v>
      </c>
      <c r="M2208" t="s">
        <v>11899</v>
      </c>
      <c r="N2208" t="s">
        <v>3362</v>
      </c>
      <c r="O2208" t="s">
        <v>15211</v>
      </c>
      <c r="P2208" t="s">
        <v>3364</v>
      </c>
      <c r="Q2208" t="s">
        <v>3360</v>
      </c>
      <c r="R2208" t="s">
        <v>3357</v>
      </c>
      <c r="S2208" t="s">
        <v>15211</v>
      </c>
      <c r="T2208" t="s">
        <v>3375</v>
      </c>
      <c r="U2208" t="s">
        <v>14748</v>
      </c>
      <c r="V2208" t="s">
        <v>15231</v>
      </c>
    </row>
    <row r="2209" spans="1:22" ht="17.399999999999999" hidden="1">
      <c r="A2209" t="s">
        <v>15391</v>
      </c>
      <c r="B2209" t="s">
        <v>15441</v>
      </c>
      <c r="C2209" t="s">
        <v>15449</v>
      </c>
      <c r="D2209" t="s">
        <v>2883</v>
      </c>
      <c r="E2209" t="s">
        <v>3433</v>
      </c>
      <c r="F2209" t="s">
        <v>3611</v>
      </c>
      <c r="G2209" s="3">
        <v>36.706173902421703</v>
      </c>
      <c r="H2209" s="3">
        <v>127.21828960633</v>
      </c>
      <c r="I2209" t="s">
        <v>6653</v>
      </c>
      <c r="J2209" t="s">
        <v>10009</v>
      </c>
      <c r="K2209" t="s">
        <v>11487</v>
      </c>
      <c r="L2209" t="s">
        <v>3366</v>
      </c>
      <c r="M2209" t="s">
        <v>11899</v>
      </c>
      <c r="N2209" t="s">
        <v>3362</v>
      </c>
      <c r="O2209" t="s">
        <v>15211</v>
      </c>
      <c r="P2209" t="s">
        <v>3364</v>
      </c>
      <c r="Q2209" t="s">
        <v>3360</v>
      </c>
      <c r="R2209" t="s">
        <v>3357</v>
      </c>
      <c r="S2209" t="s">
        <v>15211</v>
      </c>
      <c r="T2209" t="s">
        <v>3375</v>
      </c>
      <c r="U2209" t="s">
        <v>14749</v>
      </c>
      <c r="V2209" t="s">
        <v>15231</v>
      </c>
    </row>
    <row r="2210" spans="1:22" ht="17.399999999999999" hidden="1">
      <c r="A2210" t="s">
        <v>15391</v>
      </c>
      <c r="B2210" t="s">
        <v>15442</v>
      </c>
      <c r="C2210" t="s">
        <v>15450</v>
      </c>
      <c r="D2210" t="s">
        <v>2884</v>
      </c>
      <c r="E2210" t="s">
        <v>3485</v>
      </c>
      <c r="F2210" t="s">
        <v>3737</v>
      </c>
      <c r="G2210" s="3">
        <v>36.706173693635499</v>
      </c>
      <c r="H2210" s="3">
        <v>127.218289983422</v>
      </c>
      <c r="I2210" t="s">
        <v>6654</v>
      </c>
      <c r="J2210" t="s">
        <v>10010</v>
      </c>
      <c r="K2210" t="s">
        <v>11723</v>
      </c>
      <c r="L2210" t="s">
        <v>3366</v>
      </c>
      <c r="M2210" t="s">
        <v>11900</v>
      </c>
      <c r="N2210" t="s">
        <v>3362</v>
      </c>
      <c r="O2210" t="s">
        <v>3359</v>
      </c>
      <c r="P2210" t="s">
        <v>15211</v>
      </c>
      <c r="Q2210" t="s">
        <v>15211</v>
      </c>
      <c r="R2210" t="s">
        <v>15211</v>
      </c>
      <c r="S2210" t="s">
        <v>15211</v>
      </c>
      <c r="T2210" t="s">
        <v>3365</v>
      </c>
      <c r="U2210" t="s">
        <v>14750</v>
      </c>
      <c r="V2210" t="s">
        <v>15232</v>
      </c>
    </row>
    <row r="2211" spans="1:22" ht="17.399999999999999" hidden="1">
      <c r="A2211" t="s">
        <v>15391</v>
      </c>
      <c r="B2211" t="s">
        <v>15442</v>
      </c>
      <c r="C2211" t="s">
        <v>15450</v>
      </c>
      <c r="D2211" t="s">
        <v>2885</v>
      </c>
      <c r="E2211" t="s">
        <v>3580</v>
      </c>
      <c r="F2211" t="s">
        <v>3684</v>
      </c>
      <c r="G2211" s="3">
        <v>36.706173728009297</v>
      </c>
      <c r="H2211" s="3">
        <v>127.218289948033</v>
      </c>
      <c r="I2211" t="s">
        <v>6655</v>
      </c>
      <c r="J2211" t="s">
        <v>10011</v>
      </c>
      <c r="K2211" t="s">
        <v>11710</v>
      </c>
      <c r="L2211" t="s">
        <v>3366</v>
      </c>
      <c r="M2211" t="s">
        <v>11900</v>
      </c>
      <c r="N2211" t="s">
        <v>3362</v>
      </c>
      <c r="O2211" t="s">
        <v>3359</v>
      </c>
      <c r="P2211" t="s">
        <v>15211</v>
      </c>
      <c r="Q2211" t="s">
        <v>15211</v>
      </c>
      <c r="R2211" t="s">
        <v>15211</v>
      </c>
      <c r="S2211" t="s">
        <v>15211</v>
      </c>
      <c r="T2211" t="s">
        <v>3365</v>
      </c>
      <c r="U2211" t="s">
        <v>14751</v>
      </c>
      <c r="V2211" t="s">
        <v>15232</v>
      </c>
    </row>
    <row r="2212" spans="1:22" ht="17.399999999999999" hidden="1">
      <c r="A2212" t="s">
        <v>15391</v>
      </c>
      <c r="B2212" t="s">
        <v>15442</v>
      </c>
      <c r="C2212" t="s">
        <v>15450</v>
      </c>
      <c r="D2212" t="s">
        <v>2886</v>
      </c>
      <c r="E2212" t="s">
        <v>3581</v>
      </c>
      <c r="F2212" t="s">
        <v>3738</v>
      </c>
      <c r="G2212" s="3">
        <v>36.706173719243402</v>
      </c>
      <c r="H2212" s="3">
        <v>127.218289945222</v>
      </c>
      <c r="I2212" t="s">
        <v>6656</v>
      </c>
      <c r="J2212" t="s">
        <v>10012</v>
      </c>
      <c r="K2212" t="s">
        <v>11710</v>
      </c>
      <c r="L2212" t="s">
        <v>3366</v>
      </c>
      <c r="M2212" t="s">
        <v>11900</v>
      </c>
      <c r="N2212" t="s">
        <v>3362</v>
      </c>
      <c r="O2212" t="s">
        <v>3359</v>
      </c>
      <c r="P2212" t="s">
        <v>15211</v>
      </c>
      <c r="Q2212" t="s">
        <v>15211</v>
      </c>
      <c r="R2212" t="s">
        <v>15211</v>
      </c>
      <c r="S2212" t="s">
        <v>15211</v>
      </c>
      <c r="T2212" t="s">
        <v>3365</v>
      </c>
      <c r="U2212" t="s">
        <v>14752</v>
      </c>
      <c r="V2212" t="s">
        <v>15232</v>
      </c>
    </row>
    <row r="2213" spans="1:22" ht="17.399999999999999" hidden="1">
      <c r="A2213" t="s">
        <v>15391</v>
      </c>
      <c r="B2213" t="s">
        <v>15442</v>
      </c>
      <c r="C2213" t="s">
        <v>15450</v>
      </c>
      <c r="D2213" t="s">
        <v>2887</v>
      </c>
      <c r="E2213" t="s">
        <v>3491</v>
      </c>
      <c r="F2213" t="s">
        <v>3739</v>
      </c>
      <c r="G2213" s="3">
        <v>36.706173791815097</v>
      </c>
      <c r="H2213" s="3">
        <v>127.21828990746501</v>
      </c>
      <c r="I2213" t="s">
        <v>6657</v>
      </c>
      <c r="J2213" t="s">
        <v>10013</v>
      </c>
      <c r="K2213" t="s">
        <v>11789</v>
      </c>
      <c r="L2213" t="s">
        <v>3366</v>
      </c>
      <c r="M2213" t="s">
        <v>11900</v>
      </c>
      <c r="N2213" t="s">
        <v>3362</v>
      </c>
      <c r="O2213" t="s">
        <v>3359</v>
      </c>
      <c r="P2213" t="s">
        <v>15211</v>
      </c>
      <c r="Q2213" t="s">
        <v>15211</v>
      </c>
      <c r="R2213" t="s">
        <v>15211</v>
      </c>
      <c r="S2213" t="s">
        <v>15211</v>
      </c>
      <c r="T2213" t="s">
        <v>3365</v>
      </c>
      <c r="U2213" t="s">
        <v>14753</v>
      </c>
      <c r="V2213" t="s">
        <v>15232</v>
      </c>
    </row>
    <row r="2214" spans="1:22" ht="17.399999999999999" hidden="1">
      <c r="A2214" t="s">
        <v>15391</v>
      </c>
      <c r="B2214" t="s">
        <v>15442</v>
      </c>
      <c r="C2214" t="s">
        <v>15450</v>
      </c>
      <c r="D2214" t="s">
        <v>2888</v>
      </c>
      <c r="E2214" t="s">
        <v>3495</v>
      </c>
      <c r="F2214" t="s">
        <v>3608</v>
      </c>
      <c r="G2214" s="3">
        <v>36.7061738337216</v>
      </c>
      <c r="H2214" s="3">
        <v>127.218289907014</v>
      </c>
      <c r="I2214" t="s">
        <v>6658</v>
      </c>
      <c r="J2214" t="s">
        <v>10014</v>
      </c>
      <c r="K2214" t="s">
        <v>11789</v>
      </c>
      <c r="L2214" t="s">
        <v>3366</v>
      </c>
      <c r="M2214" t="s">
        <v>11900</v>
      </c>
      <c r="N2214" t="s">
        <v>3362</v>
      </c>
      <c r="O2214" t="s">
        <v>3359</v>
      </c>
      <c r="P2214" t="s">
        <v>15211</v>
      </c>
      <c r="Q2214" t="s">
        <v>15211</v>
      </c>
      <c r="R2214" t="s">
        <v>15211</v>
      </c>
      <c r="S2214" t="s">
        <v>15211</v>
      </c>
      <c r="T2214" t="s">
        <v>3365</v>
      </c>
      <c r="U2214" t="s">
        <v>14754</v>
      </c>
      <c r="V2214" t="s">
        <v>15232</v>
      </c>
    </row>
    <row r="2215" spans="1:22" ht="17.399999999999999" hidden="1">
      <c r="A2215" t="s">
        <v>15391</v>
      </c>
      <c r="B2215" t="s">
        <v>15442</v>
      </c>
      <c r="C2215" t="s">
        <v>15445</v>
      </c>
      <c r="D2215" t="s">
        <v>2889</v>
      </c>
      <c r="E2215" t="s">
        <v>3481</v>
      </c>
      <c r="F2215" t="s">
        <v>3740</v>
      </c>
      <c r="G2215" s="3">
        <v>36.706179659079403</v>
      </c>
      <c r="H2215" s="3">
        <v>127.21829699256401</v>
      </c>
      <c r="I2215" t="s">
        <v>6659</v>
      </c>
      <c r="J2215" t="s">
        <v>10015</v>
      </c>
      <c r="K2215" t="s">
        <v>11711</v>
      </c>
      <c r="L2215" t="s">
        <v>3368</v>
      </c>
      <c r="M2215" t="s">
        <v>11900</v>
      </c>
      <c r="N2215" t="s">
        <v>3362</v>
      </c>
      <c r="O2215" t="s">
        <v>3359</v>
      </c>
      <c r="P2215" t="s">
        <v>15211</v>
      </c>
      <c r="Q2215" t="s">
        <v>15211</v>
      </c>
      <c r="R2215" t="s">
        <v>15211</v>
      </c>
      <c r="S2215" t="s">
        <v>15211</v>
      </c>
      <c r="T2215" t="s">
        <v>3365</v>
      </c>
      <c r="U2215" t="s">
        <v>14755</v>
      </c>
      <c r="V2215" t="s">
        <v>15233</v>
      </c>
    </row>
    <row r="2216" spans="1:22" ht="17.399999999999999" hidden="1">
      <c r="A2216" t="s">
        <v>15391</v>
      </c>
      <c r="B2216" t="s">
        <v>15442</v>
      </c>
      <c r="C2216" t="s">
        <v>15445</v>
      </c>
      <c r="D2216" t="s">
        <v>2890</v>
      </c>
      <c r="E2216" t="s">
        <v>3582</v>
      </c>
      <c r="F2216" t="s">
        <v>3741</v>
      </c>
      <c r="G2216" s="3">
        <v>36.706180993581498</v>
      </c>
      <c r="H2216" s="3">
        <v>127.21829823455499</v>
      </c>
      <c r="I2216" t="s">
        <v>6660</v>
      </c>
      <c r="J2216" t="s">
        <v>10016</v>
      </c>
      <c r="K2216" t="s">
        <v>11790</v>
      </c>
      <c r="L2216" t="s">
        <v>3368</v>
      </c>
      <c r="M2216" t="s">
        <v>11892</v>
      </c>
      <c r="N2216" t="s">
        <v>3362</v>
      </c>
      <c r="O2216" t="s">
        <v>3359</v>
      </c>
      <c r="P2216" t="s">
        <v>15211</v>
      </c>
      <c r="Q2216" t="s">
        <v>15211</v>
      </c>
      <c r="R2216" t="s">
        <v>15211</v>
      </c>
      <c r="S2216" t="s">
        <v>15211</v>
      </c>
      <c r="T2216" t="s">
        <v>3365</v>
      </c>
      <c r="U2216" t="s">
        <v>14756</v>
      </c>
      <c r="V2216" t="s">
        <v>15233</v>
      </c>
    </row>
    <row r="2217" spans="1:22" ht="17.399999999999999" hidden="1">
      <c r="A2217" t="s">
        <v>15391</v>
      </c>
      <c r="B2217" t="s">
        <v>15442</v>
      </c>
      <c r="C2217" t="s">
        <v>15445</v>
      </c>
      <c r="D2217" t="s">
        <v>2891</v>
      </c>
      <c r="E2217" t="s">
        <v>3583</v>
      </c>
      <c r="F2217" t="s">
        <v>3736</v>
      </c>
      <c r="G2217" s="3">
        <v>36.706180139986003</v>
      </c>
      <c r="H2217" s="3">
        <v>127.218298343087</v>
      </c>
      <c r="I2217" t="s">
        <v>6661</v>
      </c>
      <c r="J2217" t="s">
        <v>10017</v>
      </c>
      <c r="K2217" t="s">
        <v>11246</v>
      </c>
      <c r="L2217" t="s">
        <v>3372</v>
      </c>
      <c r="M2217" t="s">
        <v>11892</v>
      </c>
      <c r="N2217" t="s">
        <v>3361</v>
      </c>
      <c r="O2217" t="s">
        <v>3359</v>
      </c>
      <c r="P2217" t="s">
        <v>15211</v>
      </c>
      <c r="Q2217" t="s">
        <v>15211</v>
      </c>
      <c r="R2217" t="s">
        <v>15211</v>
      </c>
      <c r="S2217" t="s">
        <v>15211</v>
      </c>
      <c r="T2217" t="s">
        <v>3364</v>
      </c>
      <c r="U2217" t="s">
        <v>14757</v>
      </c>
      <c r="V2217" t="s">
        <v>15233</v>
      </c>
    </row>
    <row r="2218" spans="1:22" ht="17.399999999999999" hidden="1">
      <c r="A2218" t="s">
        <v>15391</v>
      </c>
      <c r="B2218" t="s">
        <v>15442</v>
      </c>
      <c r="C2218" t="s">
        <v>15445</v>
      </c>
      <c r="D2218" t="s">
        <v>2892</v>
      </c>
      <c r="E2218" t="s">
        <v>3584</v>
      </c>
      <c r="F2218" t="s">
        <v>3742</v>
      </c>
      <c r="G2218" s="3">
        <v>36.706177596534999</v>
      </c>
      <c r="H2218" s="3">
        <v>127.218295996734</v>
      </c>
      <c r="I2218" t="s">
        <v>6662</v>
      </c>
      <c r="J2218" t="s">
        <v>10018</v>
      </c>
      <c r="K2218" t="s">
        <v>11791</v>
      </c>
      <c r="L2218" t="s">
        <v>3366</v>
      </c>
      <c r="M2218" t="s">
        <v>11900</v>
      </c>
      <c r="N2218" t="s">
        <v>3362</v>
      </c>
      <c r="O2218" t="s">
        <v>3359</v>
      </c>
      <c r="P2218" t="s">
        <v>15211</v>
      </c>
      <c r="Q2218" t="s">
        <v>15211</v>
      </c>
      <c r="R2218" t="s">
        <v>15211</v>
      </c>
      <c r="S2218" t="s">
        <v>15211</v>
      </c>
      <c r="T2218" t="s">
        <v>3365</v>
      </c>
      <c r="U2218" t="s">
        <v>14758</v>
      </c>
      <c r="V2218" t="s">
        <v>15233</v>
      </c>
    </row>
    <row r="2219" spans="1:22" ht="17.399999999999999" hidden="1">
      <c r="A2219" t="s">
        <v>15391</v>
      </c>
      <c r="B2219" t="s">
        <v>15442</v>
      </c>
      <c r="C2219" t="s">
        <v>15451</v>
      </c>
      <c r="D2219" t="s">
        <v>2893</v>
      </c>
      <c r="E2219" t="s">
        <v>3431</v>
      </c>
      <c r="F2219" t="s">
        <v>3450</v>
      </c>
      <c r="G2219" s="3">
        <v>36.706173825678199</v>
      </c>
      <c r="H2219" s="3">
        <v>127.218289385812</v>
      </c>
      <c r="I2219" t="s">
        <v>6663</v>
      </c>
      <c r="J2219" t="s">
        <v>10019</v>
      </c>
      <c r="K2219" t="s">
        <v>10662</v>
      </c>
      <c r="L2219" t="s">
        <v>3366</v>
      </c>
      <c r="M2219" t="s">
        <v>11901</v>
      </c>
      <c r="N2219" t="s">
        <v>3361</v>
      </c>
      <c r="O2219" t="s">
        <v>3359</v>
      </c>
      <c r="P2219" t="s">
        <v>3361</v>
      </c>
      <c r="Q2219" t="s">
        <v>3357</v>
      </c>
      <c r="R2219" t="s">
        <v>15211</v>
      </c>
      <c r="S2219" t="s">
        <v>15211</v>
      </c>
      <c r="T2219" t="s">
        <v>3370</v>
      </c>
      <c r="U2219" t="s">
        <v>14759</v>
      </c>
      <c r="V2219" t="s">
        <v>15234</v>
      </c>
    </row>
    <row r="2220" spans="1:22" ht="17.399999999999999" hidden="1">
      <c r="A2220" t="s">
        <v>15391</v>
      </c>
      <c r="B2220" t="s">
        <v>15442</v>
      </c>
      <c r="C2220" t="s">
        <v>15451</v>
      </c>
      <c r="D2220" t="s">
        <v>2894</v>
      </c>
      <c r="E2220" t="s">
        <v>3434</v>
      </c>
      <c r="F2220" t="s">
        <v>3449</v>
      </c>
      <c r="G2220" s="3">
        <v>36.706173818317701</v>
      </c>
      <c r="H2220" s="3">
        <v>127.218289406338</v>
      </c>
      <c r="I2220" t="s">
        <v>6664</v>
      </c>
      <c r="J2220" t="s">
        <v>10020</v>
      </c>
      <c r="K2220" t="s">
        <v>11262</v>
      </c>
      <c r="L2220" t="s">
        <v>3366</v>
      </c>
      <c r="M2220" t="s">
        <v>11903</v>
      </c>
      <c r="N2220" t="s">
        <v>3361</v>
      </c>
      <c r="O2220" t="s">
        <v>3359</v>
      </c>
      <c r="P2220" t="s">
        <v>3363</v>
      </c>
      <c r="Q2220" t="s">
        <v>3358</v>
      </c>
      <c r="R2220" t="s">
        <v>15211</v>
      </c>
      <c r="S2220" t="s">
        <v>15211</v>
      </c>
      <c r="T2220" t="s">
        <v>3373</v>
      </c>
      <c r="U2220" t="s">
        <v>14760</v>
      </c>
      <c r="V2220" t="s">
        <v>15234</v>
      </c>
    </row>
    <row r="2221" spans="1:22" ht="17.399999999999999" hidden="1">
      <c r="A2221" t="s">
        <v>15391</v>
      </c>
      <c r="B2221" t="s">
        <v>15442</v>
      </c>
      <c r="C2221" t="s">
        <v>15451</v>
      </c>
      <c r="D2221" t="s">
        <v>2895</v>
      </c>
      <c r="E2221" t="s">
        <v>3434</v>
      </c>
      <c r="F2221" t="s">
        <v>3463</v>
      </c>
      <c r="G2221" s="3">
        <v>36.706173818264404</v>
      </c>
      <c r="H2221" s="3">
        <v>127.21828938492099</v>
      </c>
      <c r="I2221" t="s">
        <v>6665</v>
      </c>
      <c r="J2221" t="s">
        <v>10021</v>
      </c>
      <c r="K2221" t="s">
        <v>11092</v>
      </c>
      <c r="L2221" t="s">
        <v>3366</v>
      </c>
      <c r="M2221" t="s">
        <v>11901</v>
      </c>
      <c r="N2221" t="s">
        <v>3361</v>
      </c>
      <c r="O2221" t="s">
        <v>3359</v>
      </c>
      <c r="P2221" t="s">
        <v>3363</v>
      </c>
      <c r="Q2221" t="s">
        <v>3358</v>
      </c>
      <c r="R2221" t="s">
        <v>15211</v>
      </c>
      <c r="S2221" t="s">
        <v>15211</v>
      </c>
      <c r="T2221" t="s">
        <v>3373</v>
      </c>
      <c r="U2221" t="s">
        <v>14761</v>
      </c>
      <c r="V2221" t="s">
        <v>15234</v>
      </c>
    </row>
    <row r="2222" spans="1:22" ht="17.399999999999999" hidden="1">
      <c r="A2222" t="s">
        <v>15391</v>
      </c>
      <c r="B2222" t="s">
        <v>15442</v>
      </c>
      <c r="C2222" t="s">
        <v>15451</v>
      </c>
      <c r="D2222" t="s">
        <v>2896</v>
      </c>
      <c r="E2222" t="s">
        <v>3431</v>
      </c>
      <c r="F2222" t="s">
        <v>3449</v>
      </c>
      <c r="G2222" s="3">
        <v>36.706173850789398</v>
      </c>
      <c r="H2222" s="3">
        <v>127.21828929774701</v>
      </c>
      <c r="I2222" t="s">
        <v>6666</v>
      </c>
      <c r="J2222" t="s">
        <v>10022</v>
      </c>
      <c r="K2222" t="s">
        <v>11525</v>
      </c>
      <c r="L2222" t="s">
        <v>3366</v>
      </c>
      <c r="M2222" t="s">
        <v>11903</v>
      </c>
      <c r="N2222" t="s">
        <v>3361</v>
      </c>
      <c r="O2222" t="s">
        <v>3359</v>
      </c>
      <c r="P2222" t="s">
        <v>3363</v>
      </c>
      <c r="Q2222" t="s">
        <v>3358</v>
      </c>
      <c r="R2222" t="s">
        <v>15211</v>
      </c>
      <c r="S2222" t="s">
        <v>15211</v>
      </c>
      <c r="T2222" t="s">
        <v>3373</v>
      </c>
      <c r="U2222" t="s">
        <v>14762</v>
      </c>
      <c r="V2222" t="s">
        <v>15234</v>
      </c>
    </row>
    <row r="2223" spans="1:22" ht="17.399999999999999" hidden="1">
      <c r="A2223" t="s">
        <v>15391</v>
      </c>
      <c r="B2223" t="s">
        <v>15442</v>
      </c>
      <c r="C2223" t="s">
        <v>15451</v>
      </c>
      <c r="D2223" t="s">
        <v>2897</v>
      </c>
      <c r="E2223" t="s">
        <v>3434</v>
      </c>
      <c r="F2223" t="s">
        <v>3449</v>
      </c>
      <c r="G2223" s="3">
        <v>36.706173869557702</v>
      </c>
      <c r="H2223" s="3">
        <v>127.21828933074499</v>
      </c>
      <c r="I2223" t="s">
        <v>6667</v>
      </c>
      <c r="J2223" t="s">
        <v>10023</v>
      </c>
      <c r="K2223" t="s">
        <v>11647</v>
      </c>
      <c r="L2223" t="s">
        <v>3366</v>
      </c>
      <c r="M2223" t="s">
        <v>11903</v>
      </c>
      <c r="N2223" t="s">
        <v>3361</v>
      </c>
      <c r="O2223" t="s">
        <v>3359</v>
      </c>
      <c r="P2223" t="s">
        <v>3363</v>
      </c>
      <c r="Q2223" t="s">
        <v>3358</v>
      </c>
      <c r="R2223" t="s">
        <v>15211</v>
      </c>
      <c r="S2223" t="s">
        <v>15211</v>
      </c>
      <c r="T2223" t="s">
        <v>3373</v>
      </c>
      <c r="U2223" t="s">
        <v>14763</v>
      </c>
      <c r="V2223" t="s">
        <v>15234</v>
      </c>
    </row>
    <row r="2224" spans="1:22" ht="17.399999999999999">
      <c r="A2224" t="s">
        <v>15391</v>
      </c>
      <c r="B2224" t="s">
        <v>15443</v>
      </c>
      <c r="C2224" t="s">
        <v>15452</v>
      </c>
      <c r="D2224" t="s">
        <v>2898</v>
      </c>
      <c r="E2224" t="s">
        <v>3529</v>
      </c>
      <c r="F2224" t="s">
        <v>3743</v>
      </c>
      <c r="G2224" s="3">
        <v>36.706174118067104</v>
      </c>
      <c r="H2224" s="3">
        <v>127.218288961502</v>
      </c>
      <c r="I2224" t="s">
        <v>6668</v>
      </c>
      <c r="J2224" t="s">
        <v>10024</v>
      </c>
      <c r="K2224" t="s">
        <v>11657</v>
      </c>
      <c r="L2224" t="s">
        <v>3366</v>
      </c>
      <c r="M2224" t="s">
        <v>11886</v>
      </c>
      <c r="N2224" t="s">
        <v>3361</v>
      </c>
      <c r="O2224" t="s">
        <v>15211</v>
      </c>
      <c r="P2224" t="s">
        <v>3363</v>
      </c>
      <c r="Q2224" t="s">
        <v>15211</v>
      </c>
      <c r="R2224" t="s">
        <v>15211</v>
      </c>
      <c r="S2224" t="s">
        <v>15211</v>
      </c>
      <c r="T2224" t="s">
        <v>3368</v>
      </c>
      <c r="U2224" t="s">
        <v>14764</v>
      </c>
      <c r="V2224" t="s">
        <v>15220</v>
      </c>
    </row>
    <row r="2225" spans="1:22" ht="17.399999999999999">
      <c r="A2225" t="s">
        <v>15391</v>
      </c>
      <c r="B2225" t="s">
        <v>15443</v>
      </c>
      <c r="C2225" t="s">
        <v>15452</v>
      </c>
      <c r="D2225" t="s">
        <v>2899</v>
      </c>
      <c r="E2225" t="s">
        <v>3565</v>
      </c>
      <c r="F2225" t="s">
        <v>3744</v>
      </c>
      <c r="G2225" s="3">
        <v>36.706174055247601</v>
      </c>
      <c r="H2225" s="3">
        <v>127.218288700339</v>
      </c>
      <c r="I2225" t="s">
        <v>6669</v>
      </c>
      <c r="J2225" t="s">
        <v>10025</v>
      </c>
      <c r="K2225" t="s">
        <v>11707</v>
      </c>
      <c r="L2225" t="s">
        <v>3366</v>
      </c>
      <c r="M2225" t="s">
        <v>11886</v>
      </c>
      <c r="N2225" t="s">
        <v>3361</v>
      </c>
      <c r="O2225" t="s">
        <v>15211</v>
      </c>
      <c r="P2225" t="s">
        <v>3362</v>
      </c>
      <c r="Q2225" t="s">
        <v>15211</v>
      </c>
      <c r="R2225" t="s">
        <v>15211</v>
      </c>
      <c r="S2225" t="s">
        <v>15211</v>
      </c>
      <c r="T2225" t="s">
        <v>3367</v>
      </c>
      <c r="U2225" t="s">
        <v>14765</v>
      </c>
      <c r="V2225" t="s">
        <v>15220</v>
      </c>
    </row>
    <row r="2226" spans="1:22" ht="17.399999999999999">
      <c r="A2226" t="s">
        <v>15391</v>
      </c>
      <c r="B2226" t="s">
        <v>15443</v>
      </c>
      <c r="C2226" t="s">
        <v>15452</v>
      </c>
      <c r="D2226" t="s">
        <v>2900</v>
      </c>
      <c r="E2226" t="s">
        <v>3529</v>
      </c>
      <c r="F2226" t="s">
        <v>3691</v>
      </c>
      <c r="G2226" s="3">
        <v>36.706174149679498</v>
      </c>
      <c r="H2226" s="3">
        <v>127.21828896980399</v>
      </c>
      <c r="I2226" t="s">
        <v>6670</v>
      </c>
      <c r="J2226" t="s">
        <v>10026</v>
      </c>
      <c r="K2226" t="s">
        <v>11633</v>
      </c>
      <c r="L2226" t="s">
        <v>3366</v>
      </c>
      <c r="M2226" t="s">
        <v>11886</v>
      </c>
      <c r="N2226" t="s">
        <v>3361</v>
      </c>
      <c r="O2226" t="s">
        <v>15211</v>
      </c>
      <c r="P2226" t="s">
        <v>3361</v>
      </c>
      <c r="Q2226" t="s">
        <v>15211</v>
      </c>
      <c r="R2226" t="s">
        <v>15211</v>
      </c>
      <c r="S2226" t="s">
        <v>15211</v>
      </c>
      <c r="T2226" t="s">
        <v>3366</v>
      </c>
      <c r="U2226" t="s">
        <v>14766</v>
      </c>
      <c r="V2226" t="s">
        <v>15220</v>
      </c>
    </row>
    <row r="2227" spans="1:22" ht="17.399999999999999" hidden="1">
      <c r="A2227" t="s">
        <v>15391</v>
      </c>
      <c r="B2227" t="s">
        <v>15443</v>
      </c>
      <c r="C2227" t="s">
        <v>15495</v>
      </c>
      <c r="D2227" t="s">
        <v>2901</v>
      </c>
      <c r="E2227" t="s">
        <v>3464</v>
      </c>
      <c r="F2227" t="s">
        <v>3627</v>
      </c>
      <c r="G2227" s="3">
        <v>36.706174305017697</v>
      </c>
      <c r="H2227" s="3">
        <v>127.21828944782099</v>
      </c>
      <c r="I2227" t="s">
        <v>6671</v>
      </c>
      <c r="J2227" t="s">
        <v>10027</v>
      </c>
      <c r="K2227" t="s">
        <v>10969</v>
      </c>
      <c r="L2227" t="s">
        <v>3366</v>
      </c>
      <c r="M2227" t="s">
        <v>11902</v>
      </c>
      <c r="N2227" t="s">
        <v>3361</v>
      </c>
      <c r="O2227" t="s">
        <v>15211</v>
      </c>
      <c r="P2227" t="s">
        <v>3362</v>
      </c>
      <c r="Q2227" t="s">
        <v>15211</v>
      </c>
      <c r="R2227" t="s">
        <v>15211</v>
      </c>
      <c r="S2227" t="s">
        <v>15211</v>
      </c>
      <c r="T2227" t="s">
        <v>3367</v>
      </c>
      <c r="U2227" t="s">
        <v>14767</v>
      </c>
      <c r="V2227" t="s">
        <v>15285</v>
      </c>
    </row>
    <row r="2228" spans="1:22" ht="17.399999999999999" hidden="1">
      <c r="A2228" t="s">
        <v>15391</v>
      </c>
      <c r="B2228" t="s">
        <v>15443</v>
      </c>
      <c r="C2228" t="s">
        <v>15495</v>
      </c>
      <c r="D2228" t="s">
        <v>2902</v>
      </c>
      <c r="E2228" t="s">
        <v>3476</v>
      </c>
      <c r="F2228" t="s">
        <v>3451</v>
      </c>
      <c r="G2228" s="3">
        <v>36.706174315201601</v>
      </c>
      <c r="H2228" s="3">
        <v>127.21828944969999</v>
      </c>
      <c r="I2228" t="s">
        <v>6672</v>
      </c>
      <c r="J2228" t="s">
        <v>10028</v>
      </c>
      <c r="K2228" t="s">
        <v>11134</v>
      </c>
      <c r="L2228" t="s">
        <v>3366</v>
      </c>
      <c r="M2228" t="s">
        <v>11886</v>
      </c>
      <c r="N2228" t="s">
        <v>3361</v>
      </c>
      <c r="O2228" t="s">
        <v>15211</v>
      </c>
      <c r="P2228" t="s">
        <v>3362</v>
      </c>
      <c r="Q2228" t="s">
        <v>15211</v>
      </c>
      <c r="R2228" t="s">
        <v>15211</v>
      </c>
      <c r="S2228" t="s">
        <v>15211</v>
      </c>
      <c r="T2228" t="s">
        <v>3367</v>
      </c>
      <c r="U2228" t="s">
        <v>14768</v>
      </c>
      <c r="V2228" t="s">
        <v>15285</v>
      </c>
    </row>
    <row r="2229" spans="1:22" ht="17.399999999999999" hidden="1">
      <c r="A2229" t="s">
        <v>15391</v>
      </c>
      <c r="B2229" t="s">
        <v>15443</v>
      </c>
      <c r="C2229" t="s">
        <v>15495</v>
      </c>
      <c r="D2229" t="s">
        <v>2903</v>
      </c>
      <c r="E2229" t="s">
        <v>3476</v>
      </c>
      <c r="F2229" t="s">
        <v>3451</v>
      </c>
      <c r="G2229" s="3">
        <v>36.706174300596402</v>
      </c>
      <c r="H2229" s="3">
        <v>127.21828947309599</v>
      </c>
      <c r="I2229" t="s">
        <v>6673</v>
      </c>
      <c r="J2229" t="s">
        <v>10029</v>
      </c>
      <c r="K2229" t="s">
        <v>11213</v>
      </c>
      <c r="L2229" t="s">
        <v>3366</v>
      </c>
      <c r="M2229" t="s">
        <v>11886</v>
      </c>
      <c r="N2229" t="s">
        <v>3361</v>
      </c>
      <c r="O2229" t="s">
        <v>15211</v>
      </c>
      <c r="P2229" t="s">
        <v>3362</v>
      </c>
      <c r="Q2229" t="s">
        <v>15211</v>
      </c>
      <c r="R2229" t="s">
        <v>15211</v>
      </c>
      <c r="S2229" t="s">
        <v>15211</v>
      </c>
      <c r="T2229" t="s">
        <v>3367</v>
      </c>
      <c r="U2229" t="s">
        <v>14769</v>
      </c>
      <c r="V2229" t="s">
        <v>15285</v>
      </c>
    </row>
    <row r="2230" spans="1:22" ht="17.399999999999999" hidden="1">
      <c r="A2230" t="s">
        <v>15391</v>
      </c>
      <c r="B2230" t="s">
        <v>15443</v>
      </c>
      <c r="C2230" t="s">
        <v>15495</v>
      </c>
      <c r="D2230" t="s">
        <v>2904</v>
      </c>
      <c r="E2230" t="s">
        <v>3466</v>
      </c>
      <c r="F2230" t="s">
        <v>3550</v>
      </c>
      <c r="G2230" s="3">
        <v>36.706174330176196</v>
      </c>
      <c r="H2230" s="3">
        <v>127.21828948316001</v>
      </c>
      <c r="I2230" t="s">
        <v>6674</v>
      </c>
      <c r="J2230" t="s">
        <v>10030</v>
      </c>
      <c r="K2230" t="s">
        <v>11578</v>
      </c>
      <c r="L2230" t="s">
        <v>3399</v>
      </c>
      <c r="M2230" t="s">
        <v>11902</v>
      </c>
      <c r="N2230" t="s">
        <v>3360</v>
      </c>
      <c r="O2230" t="s">
        <v>15211</v>
      </c>
      <c r="P2230" t="s">
        <v>3361</v>
      </c>
      <c r="Q2230" t="s">
        <v>15211</v>
      </c>
      <c r="R2230" t="s">
        <v>15211</v>
      </c>
      <c r="S2230" t="s">
        <v>15211</v>
      </c>
      <c r="T2230" t="s">
        <v>3365</v>
      </c>
      <c r="U2230" t="s">
        <v>14770</v>
      </c>
      <c r="V2230" t="s">
        <v>15285</v>
      </c>
    </row>
    <row r="2231" spans="1:22" ht="17.399999999999999" hidden="1">
      <c r="A2231" t="s">
        <v>15391</v>
      </c>
      <c r="B2231" t="s">
        <v>15443</v>
      </c>
      <c r="C2231" t="s">
        <v>15496</v>
      </c>
      <c r="D2231" t="s">
        <v>2905</v>
      </c>
      <c r="E2231" t="s">
        <v>3585</v>
      </c>
      <c r="F2231" t="s">
        <v>3745</v>
      </c>
      <c r="G2231" s="3">
        <v>36.706177185996999</v>
      </c>
      <c r="H2231" s="3">
        <v>127.218296167812</v>
      </c>
      <c r="I2231" t="s">
        <v>6675</v>
      </c>
      <c r="J2231" t="s">
        <v>10031</v>
      </c>
      <c r="K2231" t="s">
        <v>11490</v>
      </c>
      <c r="L2231" t="s">
        <v>3366</v>
      </c>
      <c r="M2231" t="s">
        <v>11890</v>
      </c>
      <c r="N2231" t="s">
        <v>3361</v>
      </c>
      <c r="O2231" t="s">
        <v>15211</v>
      </c>
      <c r="P2231" t="s">
        <v>3361</v>
      </c>
      <c r="Q2231" t="s">
        <v>3359</v>
      </c>
      <c r="R2231" t="s">
        <v>15211</v>
      </c>
      <c r="S2231" t="s">
        <v>15211</v>
      </c>
      <c r="T2231" t="s">
        <v>3369</v>
      </c>
      <c r="U2231" t="s">
        <v>14771</v>
      </c>
      <c r="V2231" t="s">
        <v>15286</v>
      </c>
    </row>
    <row r="2232" spans="1:22" ht="17.399999999999999" hidden="1">
      <c r="A2232" t="s">
        <v>15391</v>
      </c>
      <c r="B2232" t="s">
        <v>15443</v>
      </c>
      <c r="C2232" t="s">
        <v>15496</v>
      </c>
      <c r="D2232" t="s">
        <v>2906</v>
      </c>
      <c r="E2232" t="s">
        <v>3586</v>
      </c>
      <c r="F2232" t="s">
        <v>3746</v>
      </c>
      <c r="G2232" s="3">
        <v>36.706177198699898</v>
      </c>
      <c r="H2232" s="3">
        <v>127.21829538828899</v>
      </c>
      <c r="I2232" t="s">
        <v>6676</v>
      </c>
      <c r="J2232" t="s">
        <v>10032</v>
      </c>
      <c r="K2232" t="s">
        <v>11050</v>
      </c>
      <c r="L2232" t="s">
        <v>3366</v>
      </c>
      <c r="M2232" t="s">
        <v>11890</v>
      </c>
      <c r="N2232" t="s">
        <v>3361</v>
      </c>
      <c r="O2232" t="s">
        <v>15211</v>
      </c>
      <c r="P2232" t="s">
        <v>3361</v>
      </c>
      <c r="Q2232" t="s">
        <v>3359</v>
      </c>
      <c r="R2232" t="s">
        <v>15211</v>
      </c>
      <c r="S2232" t="s">
        <v>15211</v>
      </c>
      <c r="T2232" t="s">
        <v>3369</v>
      </c>
      <c r="U2232" t="s">
        <v>14772</v>
      </c>
      <c r="V2232" t="s">
        <v>15286</v>
      </c>
    </row>
    <row r="2233" spans="1:22" ht="17.399999999999999" hidden="1">
      <c r="A2233" t="s">
        <v>15391</v>
      </c>
      <c r="B2233" t="s">
        <v>15443</v>
      </c>
      <c r="C2233" t="s">
        <v>15496</v>
      </c>
      <c r="D2233" t="s">
        <v>2907</v>
      </c>
      <c r="E2233" t="s">
        <v>3587</v>
      </c>
      <c r="F2233" t="s">
        <v>3747</v>
      </c>
      <c r="G2233" s="3">
        <v>36.706177137738102</v>
      </c>
      <c r="H2233" s="3">
        <v>127.218293924981</v>
      </c>
      <c r="I2233" t="s">
        <v>6677</v>
      </c>
      <c r="J2233" t="s">
        <v>10033</v>
      </c>
      <c r="K2233" t="s">
        <v>11373</v>
      </c>
      <c r="L2233" t="s">
        <v>3366</v>
      </c>
      <c r="M2233" t="s">
        <v>11895</v>
      </c>
      <c r="N2233" t="s">
        <v>3361</v>
      </c>
      <c r="O2233" t="s">
        <v>15211</v>
      </c>
      <c r="P2233" t="s">
        <v>3361</v>
      </c>
      <c r="Q2233" t="s">
        <v>3360</v>
      </c>
      <c r="R2233" t="s">
        <v>15211</v>
      </c>
      <c r="S2233" t="s">
        <v>15211</v>
      </c>
      <c r="T2233" t="s">
        <v>3370</v>
      </c>
      <c r="U2233" t="s">
        <v>14773</v>
      </c>
      <c r="V2233" t="s">
        <v>15286</v>
      </c>
    </row>
    <row r="2234" spans="1:22" ht="17.399999999999999" hidden="1">
      <c r="A2234" t="s">
        <v>15391</v>
      </c>
      <c r="B2234" t="s">
        <v>15443</v>
      </c>
      <c r="C2234" t="s">
        <v>15496</v>
      </c>
      <c r="D2234" t="s">
        <v>2908</v>
      </c>
      <c r="E2234" t="s">
        <v>3588</v>
      </c>
      <c r="F2234" t="s">
        <v>3748</v>
      </c>
      <c r="G2234" s="3">
        <v>36.706176678733001</v>
      </c>
      <c r="H2234" s="3">
        <v>127.218294069867</v>
      </c>
      <c r="I2234" t="s">
        <v>6678</v>
      </c>
      <c r="J2234" t="s">
        <v>10034</v>
      </c>
      <c r="K2234" t="s">
        <v>11092</v>
      </c>
      <c r="L2234" t="s">
        <v>3366</v>
      </c>
      <c r="M2234" t="s">
        <v>11895</v>
      </c>
      <c r="N2234" t="s">
        <v>3361</v>
      </c>
      <c r="O2234" t="s">
        <v>15211</v>
      </c>
      <c r="P2234" t="s">
        <v>3362</v>
      </c>
      <c r="Q2234" t="s">
        <v>3360</v>
      </c>
      <c r="R2234" t="s">
        <v>15211</v>
      </c>
      <c r="S2234" t="s">
        <v>15211</v>
      </c>
      <c r="T2234" t="s">
        <v>3371</v>
      </c>
      <c r="U2234" t="s">
        <v>14774</v>
      </c>
      <c r="V2234" t="s">
        <v>15286</v>
      </c>
    </row>
    <row r="2235" spans="1:22" ht="17.399999999999999" hidden="1">
      <c r="A2235" t="s">
        <v>15391</v>
      </c>
      <c r="B2235" t="s">
        <v>15443</v>
      </c>
      <c r="C2235" t="s">
        <v>15496</v>
      </c>
      <c r="D2235" t="s">
        <v>2909</v>
      </c>
      <c r="E2235" t="s">
        <v>3589</v>
      </c>
      <c r="F2235" t="s">
        <v>3749</v>
      </c>
      <c r="G2235" s="3">
        <v>36.7061765974899</v>
      </c>
      <c r="H2235" s="3">
        <v>127.218293531939</v>
      </c>
      <c r="I2235" t="s">
        <v>6679</v>
      </c>
      <c r="J2235" t="s">
        <v>10035</v>
      </c>
      <c r="K2235" t="s">
        <v>10573</v>
      </c>
      <c r="L2235" t="s">
        <v>3366</v>
      </c>
      <c r="M2235" t="s">
        <v>11894</v>
      </c>
      <c r="N2235" t="s">
        <v>3361</v>
      </c>
      <c r="O2235" t="s">
        <v>15211</v>
      </c>
      <c r="P2235" t="s">
        <v>3362</v>
      </c>
      <c r="Q2235" t="s">
        <v>3359</v>
      </c>
      <c r="R2235" t="s">
        <v>15211</v>
      </c>
      <c r="S2235" t="s">
        <v>15211</v>
      </c>
      <c r="T2235" t="s">
        <v>3370</v>
      </c>
      <c r="U2235" t="s">
        <v>14775</v>
      </c>
      <c r="V2235" t="s">
        <v>15286</v>
      </c>
    </row>
    <row r="2236" spans="1:22" ht="17.399999999999999">
      <c r="A2236" t="s">
        <v>15391</v>
      </c>
      <c r="B2236" t="s">
        <v>15443</v>
      </c>
      <c r="C2236" t="s">
        <v>15452</v>
      </c>
      <c r="D2236" t="s">
        <v>2910</v>
      </c>
      <c r="E2236" t="s">
        <v>3544</v>
      </c>
      <c r="F2236" t="s">
        <v>3744</v>
      </c>
      <c r="G2236" s="3">
        <v>36.706174483706697</v>
      </c>
      <c r="H2236" s="3">
        <v>127.218290009168</v>
      </c>
      <c r="I2236" t="s">
        <v>6680</v>
      </c>
      <c r="J2236" t="s">
        <v>10036</v>
      </c>
      <c r="K2236" t="s">
        <v>11792</v>
      </c>
      <c r="L2236" t="s">
        <v>3366</v>
      </c>
      <c r="M2236" t="s">
        <v>11886</v>
      </c>
      <c r="N2236" t="s">
        <v>3361</v>
      </c>
      <c r="O2236" t="s">
        <v>15211</v>
      </c>
      <c r="P2236" t="s">
        <v>3362</v>
      </c>
      <c r="Q2236" t="s">
        <v>15211</v>
      </c>
      <c r="R2236" t="s">
        <v>15211</v>
      </c>
      <c r="S2236" t="s">
        <v>15211</v>
      </c>
      <c r="T2236" t="s">
        <v>3367</v>
      </c>
      <c r="U2236" t="s">
        <v>14776</v>
      </c>
      <c r="V2236" t="s">
        <v>15220</v>
      </c>
    </row>
    <row r="2237" spans="1:22" ht="17.399999999999999">
      <c r="A2237" t="s">
        <v>15391</v>
      </c>
      <c r="B2237" t="s">
        <v>15443</v>
      </c>
      <c r="C2237" t="s">
        <v>15452</v>
      </c>
      <c r="D2237" t="s">
        <v>2911</v>
      </c>
      <c r="E2237" t="s">
        <v>3544</v>
      </c>
      <c r="F2237" t="s">
        <v>3750</v>
      </c>
      <c r="G2237" s="3">
        <v>36.706174375804103</v>
      </c>
      <c r="H2237" s="3">
        <v>127.218289873705</v>
      </c>
      <c r="I2237" t="s">
        <v>6681</v>
      </c>
      <c r="J2237" t="s">
        <v>10037</v>
      </c>
      <c r="K2237" t="s">
        <v>11062</v>
      </c>
      <c r="L2237" t="s">
        <v>3366</v>
      </c>
      <c r="M2237" t="s">
        <v>11886</v>
      </c>
      <c r="N2237" t="s">
        <v>3361</v>
      </c>
      <c r="O2237" t="s">
        <v>15211</v>
      </c>
      <c r="P2237" t="s">
        <v>3362</v>
      </c>
      <c r="Q2237" t="s">
        <v>15211</v>
      </c>
      <c r="R2237" t="s">
        <v>15211</v>
      </c>
      <c r="S2237" t="s">
        <v>15211</v>
      </c>
      <c r="T2237" t="s">
        <v>3367</v>
      </c>
      <c r="U2237" t="s">
        <v>14777</v>
      </c>
      <c r="V2237" t="s">
        <v>15220</v>
      </c>
    </row>
    <row r="2238" spans="1:22" ht="17.399999999999999">
      <c r="A2238" t="s">
        <v>15391</v>
      </c>
      <c r="B2238" t="s">
        <v>15443</v>
      </c>
      <c r="C2238" t="s">
        <v>15452</v>
      </c>
      <c r="D2238" t="s">
        <v>2912</v>
      </c>
      <c r="E2238" t="s">
        <v>3450</v>
      </c>
      <c r="F2238" t="s">
        <v>3445</v>
      </c>
      <c r="G2238" s="3">
        <v>36.706174030891397</v>
      </c>
      <c r="H2238" s="3">
        <v>127.21828964699</v>
      </c>
      <c r="I2238" t="s">
        <v>6682</v>
      </c>
      <c r="J2238" t="s">
        <v>10038</v>
      </c>
      <c r="K2238" t="s">
        <v>11793</v>
      </c>
      <c r="L2238" t="s">
        <v>3366</v>
      </c>
      <c r="M2238" t="s">
        <v>11885</v>
      </c>
      <c r="N2238" t="s">
        <v>3360</v>
      </c>
      <c r="O2238" t="s">
        <v>15211</v>
      </c>
      <c r="P2238" t="s">
        <v>3362</v>
      </c>
      <c r="Q2238" t="s">
        <v>3357</v>
      </c>
      <c r="R2238" t="s">
        <v>15211</v>
      </c>
      <c r="S2238" t="s">
        <v>15211</v>
      </c>
      <c r="T2238" t="s">
        <v>3367</v>
      </c>
      <c r="U2238" t="s">
        <v>14778</v>
      </c>
      <c r="V2238" t="s">
        <v>15220</v>
      </c>
    </row>
    <row r="2239" spans="1:22" ht="17.399999999999999">
      <c r="A2239" t="s">
        <v>15391</v>
      </c>
      <c r="B2239" t="s">
        <v>15443</v>
      </c>
      <c r="C2239" t="s">
        <v>15452</v>
      </c>
      <c r="D2239" t="s">
        <v>2913</v>
      </c>
      <c r="E2239" t="s">
        <v>3465</v>
      </c>
      <c r="F2239" t="s">
        <v>3491</v>
      </c>
      <c r="G2239" s="3">
        <v>36.706174067235899</v>
      </c>
      <c r="H2239" s="3">
        <v>127.21828964366</v>
      </c>
      <c r="I2239" t="s">
        <v>6683</v>
      </c>
      <c r="J2239" t="s">
        <v>10039</v>
      </c>
      <c r="K2239" t="s">
        <v>11794</v>
      </c>
      <c r="L2239" t="s">
        <v>3366</v>
      </c>
      <c r="M2239" t="s">
        <v>11886</v>
      </c>
      <c r="N2239" t="s">
        <v>3360</v>
      </c>
      <c r="O2239" t="s">
        <v>15211</v>
      </c>
      <c r="P2239" t="s">
        <v>3362</v>
      </c>
      <c r="Q2239" t="s">
        <v>3357</v>
      </c>
      <c r="R2239" t="s">
        <v>15211</v>
      </c>
      <c r="S2239" t="s">
        <v>15211</v>
      </c>
      <c r="T2239" t="s">
        <v>3367</v>
      </c>
      <c r="U2239" t="s">
        <v>14779</v>
      </c>
      <c r="V2239" t="s">
        <v>15220</v>
      </c>
    </row>
    <row r="2240" spans="1:22" ht="17.399999999999999">
      <c r="A2240" t="s">
        <v>15391</v>
      </c>
      <c r="B2240" t="s">
        <v>15443</v>
      </c>
      <c r="C2240" t="s">
        <v>15452</v>
      </c>
      <c r="D2240" t="s">
        <v>2914</v>
      </c>
      <c r="E2240" t="s">
        <v>3590</v>
      </c>
      <c r="F2240" t="s">
        <v>3695</v>
      </c>
      <c r="G2240" s="3">
        <v>36.706174151611997</v>
      </c>
      <c r="H2240" s="3">
        <v>127.218289772021</v>
      </c>
      <c r="I2240" t="s">
        <v>6684</v>
      </c>
      <c r="J2240" t="s">
        <v>10040</v>
      </c>
      <c r="K2240" t="s">
        <v>11795</v>
      </c>
      <c r="L2240" t="s">
        <v>3366</v>
      </c>
      <c r="M2240" t="s">
        <v>11885</v>
      </c>
      <c r="N2240" t="s">
        <v>3360</v>
      </c>
      <c r="O2240" t="s">
        <v>15211</v>
      </c>
      <c r="P2240" t="s">
        <v>3362</v>
      </c>
      <c r="Q2240" t="s">
        <v>3358</v>
      </c>
      <c r="R2240" t="s">
        <v>15211</v>
      </c>
      <c r="S2240" t="s">
        <v>15211</v>
      </c>
      <c r="T2240" t="s">
        <v>3368</v>
      </c>
      <c r="U2240" t="s">
        <v>14780</v>
      </c>
      <c r="V2240" t="s">
        <v>15220</v>
      </c>
    </row>
    <row r="2241" spans="1:22" ht="17.399999999999999" hidden="1">
      <c r="A2241" t="s">
        <v>15393</v>
      </c>
      <c r="B2241" t="s">
        <v>15441</v>
      </c>
      <c r="C2241" t="s">
        <v>15445</v>
      </c>
      <c r="D2241" t="s">
        <v>2221</v>
      </c>
      <c r="E2241" t="s">
        <v>3434</v>
      </c>
      <c r="F2241" t="s">
        <v>3450</v>
      </c>
      <c r="G2241" s="3">
        <v>36.974532811043403</v>
      </c>
      <c r="H2241" s="3">
        <v>127.31365952169401</v>
      </c>
      <c r="I2241" t="s">
        <v>5988</v>
      </c>
      <c r="J2241" t="s">
        <v>9344</v>
      </c>
      <c r="K2241" t="s">
        <v>11625</v>
      </c>
      <c r="L2241" t="s">
        <v>3366</v>
      </c>
      <c r="M2241" t="s">
        <v>11886</v>
      </c>
      <c r="N2241" t="s">
        <v>3362</v>
      </c>
      <c r="O2241" t="s">
        <v>3361</v>
      </c>
      <c r="P2241" t="s">
        <v>15211</v>
      </c>
      <c r="Q2241" t="s">
        <v>15211</v>
      </c>
      <c r="R2241" t="s">
        <v>15211</v>
      </c>
      <c r="S2241" t="s">
        <v>15211</v>
      </c>
      <c r="T2241" t="s">
        <v>3367</v>
      </c>
      <c r="U2241" t="s">
        <v>14099</v>
      </c>
      <c r="V2241" t="s">
        <v>15228</v>
      </c>
    </row>
    <row r="2242" spans="1:22" ht="17.399999999999999" hidden="1">
      <c r="A2242" t="s">
        <v>15393</v>
      </c>
      <c r="B2242" t="s">
        <v>15441</v>
      </c>
      <c r="C2242" t="s">
        <v>15445</v>
      </c>
      <c r="D2242" t="s">
        <v>2222</v>
      </c>
      <c r="E2242" t="s">
        <v>3431</v>
      </c>
      <c r="F2242" t="s">
        <v>3462</v>
      </c>
      <c r="G2242" s="3">
        <v>36.974532731434302</v>
      </c>
      <c r="H2242" s="3">
        <v>127.31365945081799</v>
      </c>
      <c r="I2242" t="s">
        <v>5989</v>
      </c>
      <c r="J2242" t="s">
        <v>9345</v>
      </c>
      <c r="K2242" t="s">
        <v>11563</v>
      </c>
      <c r="L2242" t="s">
        <v>3366</v>
      </c>
      <c r="M2242" t="s">
        <v>11885</v>
      </c>
      <c r="N2242" t="s">
        <v>3363</v>
      </c>
      <c r="O2242" t="s">
        <v>3361</v>
      </c>
      <c r="P2242" t="s">
        <v>15211</v>
      </c>
      <c r="Q2242" t="s">
        <v>15211</v>
      </c>
      <c r="R2242" t="s">
        <v>15211</v>
      </c>
      <c r="S2242" t="s">
        <v>15211</v>
      </c>
      <c r="T2242" t="s">
        <v>3368</v>
      </c>
      <c r="U2242" t="s">
        <v>14100</v>
      </c>
      <c r="V2242" t="s">
        <v>15228</v>
      </c>
    </row>
    <row r="2243" spans="1:22" ht="17.399999999999999" hidden="1">
      <c r="A2243" t="s">
        <v>15393</v>
      </c>
      <c r="B2243" t="s">
        <v>15441</v>
      </c>
      <c r="C2243" t="s">
        <v>15445</v>
      </c>
      <c r="D2243" t="s">
        <v>2223</v>
      </c>
      <c r="E2243" t="s">
        <v>3434</v>
      </c>
      <c r="F2243" t="s">
        <v>3426</v>
      </c>
      <c r="G2243" s="3">
        <v>36.974532693627602</v>
      </c>
      <c r="H2243" s="3">
        <v>127.313659494609</v>
      </c>
      <c r="I2243" t="s">
        <v>5990</v>
      </c>
      <c r="J2243" t="s">
        <v>9346</v>
      </c>
      <c r="K2243" t="s">
        <v>10708</v>
      </c>
      <c r="L2243" t="s">
        <v>3366</v>
      </c>
      <c r="M2243" t="s">
        <v>11885</v>
      </c>
      <c r="N2243" t="s">
        <v>3363</v>
      </c>
      <c r="O2243" t="s">
        <v>3361</v>
      </c>
      <c r="P2243" t="s">
        <v>15211</v>
      </c>
      <c r="Q2243" t="s">
        <v>15211</v>
      </c>
      <c r="R2243" t="s">
        <v>15211</v>
      </c>
      <c r="S2243" t="s">
        <v>15211</v>
      </c>
      <c r="T2243" t="s">
        <v>3368</v>
      </c>
      <c r="U2243" t="s">
        <v>14101</v>
      </c>
      <c r="V2243" t="s">
        <v>15228</v>
      </c>
    </row>
    <row r="2244" spans="1:22" ht="17.399999999999999" hidden="1">
      <c r="A2244" t="s">
        <v>15393</v>
      </c>
      <c r="B2244" t="s">
        <v>15441</v>
      </c>
      <c r="C2244" t="s">
        <v>15446</v>
      </c>
      <c r="D2244" t="s">
        <v>2224</v>
      </c>
      <c r="E2244" t="s">
        <v>3430</v>
      </c>
      <c r="F2244" t="s">
        <v>3484</v>
      </c>
      <c r="G2244" s="3">
        <v>36.974532896665998</v>
      </c>
      <c r="H2244" s="3">
        <v>127.31365954621801</v>
      </c>
      <c r="I2244" t="s">
        <v>5991</v>
      </c>
      <c r="J2244" t="s">
        <v>9347</v>
      </c>
      <c r="K2244" t="s">
        <v>11386</v>
      </c>
      <c r="L2244" t="s">
        <v>3366</v>
      </c>
      <c r="M2244" t="s">
        <v>11886</v>
      </c>
      <c r="N2244" t="s">
        <v>3363</v>
      </c>
      <c r="O2244" t="s">
        <v>3360</v>
      </c>
      <c r="P2244" t="s">
        <v>15211</v>
      </c>
      <c r="Q2244" t="s">
        <v>15211</v>
      </c>
      <c r="R2244" t="s">
        <v>15211</v>
      </c>
      <c r="S2244" t="s">
        <v>15211</v>
      </c>
      <c r="T2244" t="s">
        <v>3367</v>
      </c>
      <c r="U2244" t="s">
        <v>14102</v>
      </c>
      <c r="V2244" t="s">
        <v>15229</v>
      </c>
    </row>
    <row r="2245" spans="1:22" ht="17.399999999999999" hidden="1">
      <c r="A2245" t="s">
        <v>15393</v>
      </c>
      <c r="B2245" t="s">
        <v>15441</v>
      </c>
      <c r="C2245" t="s">
        <v>15446</v>
      </c>
      <c r="D2245" t="s">
        <v>2225</v>
      </c>
      <c r="E2245" t="s">
        <v>3441</v>
      </c>
      <c r="F2245" t="s">
        <v>3579</v>
      </c>
      <c r="G2245" s="3">
        <v>36.974532898652598</v>
      </c>
      <c r="H2245" s="3">
        <v>127.31365958007</v>
      </c>
      <c r="I2245" t="s">
        <v>5992</v>
      </c>
      <c r="J2245" t="s">
        <v>9348</v>
      </c>
      <c r="K2245" t="s">
        <v>10707</v>
      </c>
      <c r="L2245" t="s">
        <v>3366</v>
      </c>
      <c r="M2245" t="s">
        <v>11885</v>
      </c>
      <c r="N2245" t="s">
        <v>3363</v>
      </c>
      <c r="O2245" t="s">
        <v>3361</v>
      </c>
      <c r="P2245" t="s">
        <v>15211</v>
      </c>
      <c r="Q2245" t="s">
        <v>15211</v>
      </c>
      <c r="R2245" t="s">
        <v>15211</v>
      </c>
      <c r="S2245" t="s">
        <v>15211</v>
      </c>
      <c r="T2245" t="s">
        <v>3368</v>
      </c>
      <c r="U2245" t="s">
        <v>14103</v>
      </c>
      <c r="V2245" t="s">
        <v>15229</v>
      </c>
    </row>
    <row r="2246" spans="1:22" ht="17.399999999999999" hidden="1">
      <c r="A2246" t="s">
        <v>15393</v>
      </c>
      <c r="B2246" t="s">
        <v>15441</v>
      </c>
      <c r="C2246" t="s">
        <v>15446</v>
      </c>
      <c r="D2246" t="s">
        <v>2226</v>
      </c>
      <c r="E2246" t="s">
        <v>3453</v>
      </c>
      <c r="F2246" t="s">
        <v>3464</v>
      </c>
      <c r="G2246" s="3">
        <v>36.974532824699402</v>
      </c>
      <c r="H2246" s="3">
        <v>127.31365958534199</v>
      </c>
      <c r="I2246" t="s">
        <v>5993</v>
      </c>
      <c r="J2246" t="s">
        <v>9349</v>
      </c>
      <c r="K2246" t="s">
        <v>11271</v>
      </c>
      <c r="L2246" t="s">
        <v>3366</v>
      </c>
      <c r="M2246" t="s">
        <v>11885</v>
      </c>
      <c r="N2246" t="s">
        <v>3363</v>
      </c>
      <c r="O2246" t="s">
        <v>3361</v>
      </c>
      <c r="P2246" t="s">
        <v>15211</v>
      </c>
      <c r="Q2246" t="s">
        <v>15211</v>
      </c>
      <c r="R2246" t="s">
        <v>15211</v>
      </c>
      <c r="S2246" t="s">
        <v>15211</v>
      </c>
      <c r="T2246" t="s">
        <v>3368</v>
      </c>
      <c r="U2246" t="s">
        <v>14104</v>
      </c>
      <c r="V2246" t="s">
        <v>15229</v>
      </c>
    </row>
    <row r="2247" spans="1:22" ht="17.399999999999999" hidden="1">
      <c r="A2247" t="s">
        <v>15393</v>
      </c>
      <c r="B2247" t="s">
        <v>15441</v>
      </c>
      <c r="C2247" t="s">
        <v>15447</v>
      </c>
      <c r="D2247" t="s">
        <v>2227</v>
      </c>
      <c r="E2247" t="s">
        <v>3434</v>
      </c>
      <c r="F2247" t="s">
        <v>3465</v>
      </c>
      <c r="G2247" s="3">
        <v>36.974532822515997</v>
      </c>
      <c r="H2247" s="3">
        <v>127.313659679488</v>
      </c>
      <c r="I2247" t="s">
        <v>5994</v>
      </c>
      <c r="J2247" t="s">
        <v>9350</v>
      </c>
      <c r="K2247" t="s">
        <v>11398</v>
      </c>
      <c r="L2247" t="s">
        <v>3366</v>
      </c>
      <c r="M2247" t="s">
        <v>11887</v>
      </c>
      <c r="N2247" t="s">
        <v>3363</v>
      </c>
      <c r="O2247" t="s">
        <v>15211</v>
      </c>
      <c r="P2247" t="s">
        <v>15211</v>
      </c>
      <c r="Q2247" t="s">
        <v>15211</v>
      </c>
      <c r="R2247" t="s">
        <v>15211</v>
      </c>
      <c r="S2247" t="s">
        <v>15211</v>
      </c>
      <c r="T2247" t="s">
        <v>3363</v>
      </c>
      <c r="U2247" t="s">
        <v>14105</v>
      </c>
      <c r="V2247" t="s">
        <v>15235</v>
      </c>
    </row>
    <row r="2248" spans="1:22" ht="17.399999999999999" hidden="1">
      <c r="A2248" t="s">
        <v>15393</v>
      </c>
      <c r="B2248" t="s">
        <v>15441</v>
      </c>
      <c r="C2248" t="s">
        <v>15447</v>
      </c>
      <c r="D2248" t="s">
        <v>2228</v>
      </c>
      <c r="E2248" t="s">
        <v>3435</v>
      </c>
      <c r="F2248" t="s">
        <v>3460</v>
      </c>
      <c r="G2248" s="3">
        <v>36.974532858587601</v>
      </c>
      <c r="H2248" s="3">
        <v>127.313659684326</v>
      </c>
      <c r="I2248" t="s">
        <v>5995</v>
      </c>
      <c r="J2248" t="s">
        <v>9351</v>
      </c>
      <c r="K2248" t="s">
        <v>11626</v>
      </c>
      <c r="L2248" t="s">
        <v>3366</v>
      </c>
      <c r="M2248" t="s">
        <v>11887</v>
      </c>
      <c r="N2248" t="s">
        <v>3363</v>
      </c>
      <c r="O2248" t="s">
        <v>15211</v>
      </c>
      <c r="P2248" t="s">
        <v>15211</v>
      </c>
      <c r="Q2248" t="s">
        <v>15211</v>
      </c>
      <c r="R2248" t="s">
        <v>15211</v>
      </c>
      <c r="S2248" t="s">
        <v>15211</v>
      </c>
      <c r="T2248" t="s">
        <v>3363</v>
      </c>
      <c r="U2248" t="s">
        <v>14106</v>
      </c>
      <c r="V2248" t="s">
        <v>15235</v>
      </c>
    </row>
    <row r="2249" spans="1:22" ht="17.399999999999999" hidden="1">
      <c r="A2249" t="s">
        <v>15393</v>
      </c>
      <c r="B2249" t="s">
        <v>15441</v>
      </c>
      <c r="C2249" t="s">
        <v>15447</v>
      </c>
      <c r="D2249" t="s">
        <v>2229</v>
      </c>
      <c r="E2249" t="s">
        <v>3429</v>
      </c>
      <c r="F2249" t="s">
        <v>3449</v>
      </c>
      <c r="G2249" s="3">
        <v>36.974532865582198</v>
      </c>
      <c r="H2249" s="3">
        <v>127.313659659153</v>
      </c>
      <c r="I2249" t="s">
        <v>5996</v>
      </c>
      <c r="J2249" t="s">
        <v>9352</v>
      </c>
      <c r="K2249" t="s">
        <v>10720</v>
      </c>
      <c r="L2249" t="s">
        <v>3366</v>
      </c>
      <c r="M2249" t="s">
        <v>11887</v>
      </c>
      <c r="N2249" t="s">
        <v>3363</v>
      </c>
      <c r="O2249" t="s">
        <v>15211</v>
      </c>
      <c r="P2249" t="s">
        <v>15211</v>
      </c>
      <c r="Q2249" t="s">
        <v>15211</v>
      </c>
      <c r="R2249" t="s">
        <v>15211</v>
      </c>
      <c r="S2249" t="s">
        <v>15211</v>
      </c>
      <c r="T2249" t="s">
        <v>3363</v>
      </c>
      <c r="U2249" t="s">
        <v>14107</v>
      </c>
      <c r="V2249" t="s">
        <v>15235</v>
      </c>
    </row>
    <row r="2250" spans="1:22" ht="17.399999999999999" hidden="1">
      <c r="A2250" t="s">
        <v>15393</v>
      </c>
      <c r="B2250" t="s">
        <v>15441</v>
      </c>
      <c r="C2250" t="s">
        <v>15448</v>
      </c>
      <c r="D2250" t="s">
        <v>2230</v>
      </c>
      <c r="E2250" t="s">
        <v>3441</v>
      </c>
      <c r="F2250" t="s">
        <v>3466</v>
      </c>
      <c r="G2250" s="3">
        <v>36.974532864970001</v>
      </c>
      <c r="H2250" s="3">
        <v>127.313659687233</v>
      </c>
      <c r="I2250" t="s">
        <v>5997</v>
      </c>
      <c r="J2250" t="s">
        <v>9353</v>
      </c>
      <c r="K2250" t="s">
        <v>11627</v>
      </c>
      <c r="L2250" t="s">
        <v>3366</v>
      </c>
      <c r="M2250" t="s">
        <v>11914</v>
      </c>
      <c r="N2250" t="s">
        <v>3362</v>
      </c>
      <c r="O2250" t="s">
        <v>3361</v>
      </c>
      <c r="P2250" t="s">
        <v>3365</v>
      </c>
      <c r="Q2250" t="s">
        <v>3360</v>
      </c>
      <c r="R2250" t="s">
        <v>3358</v>
      </c>
      <c r="S2250" t="s">
        <v>15211</v>
      </c>
      <c r="T2250" t="s">
        <v>3382</v>
      </c>
      <c r="U2250" t="s">
        <v>14108</v>
      </c>
      <c r="V2250" t="s">
        <v>15230</v>
      </c>
    </row>
    <row r="2251" spans="1:22" ht="17.399999999999999" hidden="1">
      <c r="A2251" t="s">
        <v>15393</v>
      </c>
      <c r="B2251" t="s">
        <v>15441</v>
      </c>
      <c r="C2251" t="s">
        <v>15448</v>
      </c>
      <c r="D2251" t="s">
        <v>2231</v>
      </c>
      <c r="E2251" t="s">
        <v>3441</v>
      </c>
      <c r="F2251" t="s">
        <v>3466</v>
      </c>
      <c r="G2251" s="3">
        <v>36.974532871244897</v>
      </c>
      <c r="H2251" s="3">
        <v>127.31365963405599</v>
      </c>
      <c r="I2251" t="s">
        <v>5998</v>
      </c>
      <c r="J2251" t="s">
        <v>9354</v>
      </c>
      <c r="K2251" t="s">
        <v>10819</v>
      </c>
      <c r="L2251" t="s">
        <v>3366</v>
      </c>
      <c r="M2251" t="s">
        <v>11912</v>
      </c>
      <c r="N2251" t="s">
        <v>3362</v>
      </c>
      <c r="O2251" t="s">
        <v>3361</v>
      </c>
      <c r="P2251" t="s">
        <v>3365</v>
      </c>
      <c r="Q2251" t="s">
        <v>3360</v>
      </c>
      <c r="R2251" t="s">
        <v>3358</v>
      </c>
      <c r="S2251" t="s">
        <v>15211</v>
      </c>
      <c r="T2251" t="s">
        <v>3382</v>
      </c>
      <c r="U2251" t="s">
        <v>14109</v>
      </c>
      <c r="V2251" t="s">
        <v>15230</v>
      </c>
    </row>
    <row r="2252" spans="1:22" ht="17.399999999999999" hidden="1">
      <c r="A2252" t="s">
        <v>15393</v>
      </c>
      <c r="B2252" t="s">
        <v>15441</v>
      </c>
      <c r="C2252" t="s">
        <v>15448</v>
      </c>
      <c r="D2252" t="s">
        <v>2232</v>
      </c>
      <c r="E2252" t="s">
        <v>3441</v>
      </c>
      <c r="F2252" t="s">
        <v>3466</v>
      </c>
      <c r="G2252" s="3">
        <v>36.974532884871699</v>
      </c>
      <c r="H2252" s="3">
        <v>127.313659643477</v>
      </c>
      <c r="I2252" t="s">
        <v>5999</v>
      </c>
      <c r="J2252" t="s">
        <v>9355</v>
      </c>
      <c r="K2252" t="s">
        <v>10944</v>
      </c>
      <c r="L2252" t="s">
        <v>3366</v>
      </c>
      <c r="M2252" t="s">
        <v>11914</v>
      </c>
      <c r="N2252" t="s">
        <v>3362</v>
      </c>
      <c r="O2252" t="s">
        <v>3361</v>
      </c>
      <c r="P2252" t="s">
        <v>3365</v>
      </c>
      <c r="Q2252" t="s">
        <v>3361</v>
      </c>
      <c r="R2252" t="s">
        <v>3358</v>
      </c>
      <c r="S2252" t="s">
        <v>15211</v>
      </c>
      <c r="T2252" t="s">
        <v>3383</v>
      </c>
      <c r="U2252" t="s">
        <v>14110</v>
      </c>
      <c r="V2252" t="s">
        <v>15230</v>
      </c>
    </row>
    <row r="2253" spans="1:22" ht="17.399999999999999" hidden="1">
      <c r="A2253" t="s">
        <v>15393</v>
      </c>
      <c r="B2253" t="s">
        <v>15441</v>
      </c>
      <c r="C2253" t="s">
        <v>15449</v>
      </c>
      <c r="D2253" t="s">
        <v>2233</v>
      </c>
      <c r="E2253" t="s">
        <v>3434</v>
      </c>
      <c r="F2253" t="s">
        <v>3460</v>
      </c>
      <c r="G2253" s="3">
        <v>36.974532828111201</v>
      </c>
      <c r="H2253" s="3">
        <v>127.313659671987</v>
      </c>
      <c r="I2253" t="s">
        <v>6000</v>
      </c>
      <c r="J2253" t="s">
        <v>9356</v>
      </c>
      <c r="K2253" t="s">
        <v>10704</v>
      </c>
      <c r="L2253" t="s">
        <v>3366</v>
      </c>
      <c r="M2253" t="s">
        <v>11893</v>
      </c>
      <c r="N2253" t="s">
        <v>3362</v>
      </c>
      <c r="O2253" t="s">
        <v>3361</v>
      </c>
      <c r="P2253" t="s">
        <v>3364</v>
      </c>
      <c r="Q2253" t="s">
        <v>3360</v>
      </c>
      <c r="R2253" t="s">
        <v>3358</v>
      </c>
      <c r="S2253" t="s">
        <v>15211</v>
      </c>
      <c r="T2253" t="s">
        <v>3381</v>
      </c>
      <c r="U2253" t="s">
        <v>14111</v>
      </c>
      <c r="V2253" t="s">
        <v>15231</v>
      </c>
    </row>
    <row r="2254" spans="1:22" ht="17.399999999999999" hidden="1">
      <c r="A2254" t="s">
        <v>15393</v>
      </c>
      <c r="B2254" t="s">
        <v>15441</v>
      </c>
      <c r="C2254" t="s">
        <v>15449</v>
      </c>
      <c r="D2254" t="s">
        <v>2234</v>
      </c>
      <c r="E2254" t="s">
        <v>3434</v>
      </c>
      <c r="F2254" t="s">
        <v>3460</v>
      </c>
      <c r="G2254" s="3">
        <v>36.974532825681003</v>
      </c>
      <c r="H2254" s="3">
        <v>127.313659663023</v>
      </c>
      <c r="I2254" t="s">
        <v>6001</v>
      </c>
      <c r="J2254" t="s">
        <v>9357</v>
      </c>
      <c r="K2254" t="s">
        <v>10704</v>
      </c>
      <c r="L2254" t="s">
        <v>3366</v>
      </c>
      <c r="M2254" t="s">
        <v>11893</v>
      </c>
      <c r="N2254" t="s">
        <v>3362</v>
      </c>
      <c r="O2254" t="s">
        <v>3361</v>
      </c>
      <c r="P2254" t="s">
        <v>3364</v>
      </c>
      <c r="Q2254" t="s">
        <v>3360</v>
      </c>
      <c r="R2254" t="s">
        <v>3358</v>
      </c>
      <c r="S2254" t="s">
        <v>15211</v>
      </c>
      <c r="T2254" t="s">
        <v>3381</v>
      </c>
      <c r="U2254" t="s">
        <v>14112</v>
      </c>
      <c r="V2254" t="s">
        <v>15231</v>
      </c>
    </row>
    <row r="2255" spans="1:22" ht="17.399999999999999" hidden="1">
      <c r="A2255" t="s">
        <v>15393</v>
      </c>
      <c r="B2255" t="s">
        <v>15441</v>
      </c>
      <c r="C2255" t="s">
        <v>15449</v>
      </c>
      <c r="D2255" t="s">
        <v>2235</v>
      </c>
      <c r="E2255" t="s">
        <v>3434</v>
      </c>
      <c r="F2255" t="s">
        <v>3460</v>
      </c>
      <c r="G2255" s="3">
        <v>36.974532815613003</v>
      </c>
      <c r="H2255" s="3">
        <v>127.31365966362</v>
      </c>
      <c r="I2255" t="s">
        <v>6002</v>
      </c>
      <c r="J2255" t="s">
        <v>9358</v>
      </c>
      <c r="K2255" t="s">
        <v>10703</v>
      </c>
      <c r="L2255" t="s">
        <v>3366</v>
      </c>
      <c r="M2255" t="s">
        <v>11912</v>
      </c>
      <c r="N2255" t="s">
        <v>3362</v>
      </c>
      <c r="O2255" t="s">
        <v>3361</v>
      </c>
      <c r="P2255" t="s">
        <v>3364</v>
      </c>
      <c r="Q2255" t="s">
        <v>3361</v>
      </c>
      <c r="R2255" t="s">
        <v>3358</v>
      </c>
      <c r="S2255" t="s">
        <v>15211</v>
      </c>
      <c r="T2255" t="s">
        <v>3382</v>
      </c>
      <c r="U2255" t="s">
        <v>14113</v>
      </c>
      <c r="V2255" t="s">
        <v>15231</v>
      </c>
    </row>
    <row r="2256" spans="1:22" ht="17.399999999999999" hidden="1">
      <c r="A2256" t="s">
        <v>15393</v>
      </c>
      <c r="B2256" t="s">
        <v>15442</v>
      </c>
      <c r="C2256" t="s">
        <v>15450</v>
      </c>
      <c r="D2256" t="s">
        <v>2236</v>
      </c>
      <c r="E2256" t="s">
        <v>3434</v>
      </c>
      <c r="F2256" t="s">
        <v>3511</v>
      </c>
      <c r="G2256" s="3">
        <v>36.974532995569199</v>
      </c>
      <c r="H2256" s="3">
        <v>127.313659732142</v>
      </c>
      <c r="I2256" t="s">
        <v>6003</v>
      </c>
      <c r="J2256" t="s">
        <v>9359</v>
      </c>
      <c r="K2256" t="s">
        <v>10900</v>
      </c>
      <c r="L2256" t="s">
        <v>3366</v>
      </c>
      <c r="M2256" t="s">
        <v>11886</v>
      </c>
      <c r="N2256" t="s">
        <v>3362</v>
      </c>
      <c r="O2256" t="s">
        <v>3361</v>
      </c>
      <c r="P2256" t="s">
        <v>15211</v>
      </c>
      <c r="Q2256" t="s">
        <v>15211</v>
      </c>
      <c r="R2256" t="s">
        <v>15211</v>
      </c>
      <c r="S2256" t="s">
        <v>15211</v>
      </c>
      <c r="T2256" t="s">
        <v>3367</v>
      </c>
      <c r="U2256" t="s">
        <v>14114</v>
      </c>
      <c r="V2256" t="s">
        <v>15232</v>
      </c>
    </row>
    <row r="2257" spans="1:22" ht="17.399999999999999" hidden="1">
      <c r="A2257" t="s">
        <v>15393</v>
      </c>
      <c r="B2257" t="s">
        <v>15442</v>
      </c>
      <c r="C2257" t="s">
        <v>15450</v>
      </c>
      <c r="D2257" t="s">
        <v>2237</v>
      </c>
      <c r="E2257" t="s">
        <v>3453</v>
      </c>
      <c r="F2257" t="s">
        <v>3563</v>
      </c>
      <c r="G2257" s="3">
        <v>36.9745329691481</v>
      </c>
      <c r="H2257" s="3">
        <v>127.31365987072201</v>
      </c>
      <c r="I2257" t="s">
        <v>6004</v>
      </c>
      <c r="J2257" t="s">
        <v>9360</v>
      </c>
      <c r="K2257" t="s">
        <v>10900</v>
      </c>
      <c r="L2257" t="s">
        <v>3367</v>
      </c>
      <c r="M2257" t="s">
        <v>11886</v>
      </c>
      <c r="N2257" t="s">
        <v>3362</v>
      </c>
      <c r="O2257" t="s">
        <v>3361</v>
      </c>
      <c r="P2257" t="s">
        <v>15211</v>
      </c>
      <c r="Q2257" t="s">
        <v>15211</v>
      </c>
      <c r="R2257" t="s">
        <v>15211</v>
      </c>
      <c r="S2257" t="s">
        <v>15211</v>
      </c>
      <c r="T2257" t="s">
        <v>3367</v>
      </c>
      <c r="U2257" t="s">
        <v>14115</v>
      </c>
      <c r="V2257" t="s">
        <v>15232</v>
      </c>
    </row>
    <row r="2258" spans="1:22" ht="17.399999999999999" hidden="1">
      <c r="A2258" t="s">
        <v>15393</v>
      </c>
      <c r="B2258" t="s">
        <v>15442</v>
      </c>
      <c r="C2258" t="s">
        <v>15450</v>
      </c>
      <c r="D2258" t="s">
        <v>2238</v>
      </c>
      <c r="E2258" t="s">
        <v>3433</v>
      </c>
      <c r="F2258" t="s">
        <v>3613</v>
      </c>
      <c r="G2258" s="3">
        <v>36.974533044127199</v>
      </c>
      <c r="H2258" s="3">
        <v>127.31365980545399</v>
      </c>
      <c r="I2258" t="s">
        <v>6005</v>
      </c>
      <c r="J2258" t="s">
        <v>9361</v>
      </c>
      <c r="K2258" t="s">
        <v>11628</v>
      </c>
      <c r="L2258" t="s">
        <v>3398</v>
      </c>
      <c r="M2258" t="s">
        <v>11886</v>
      </c>
      <c r="N2258" t="s">
        <v>3362</v>
      </c>
      <c r="O2258" t="s">
        <v>3361</v>
      </c>
      <c r="P2258" t="s">
        <v>15211</v>
      </c>
      <c r="Q2258" t="s">
        <v>15211</v>
      </c>
      <c r="R2258" t="s">
        <v>15211</v>
      </c>
      <c r="S2258" t="s">
        <v>15211</v>
      </c>
      <c r="T2258" t="s">
        <v>3367</v>
      </c>
      <c r="U2258" t="s">
        <v>14116</v>
      </c>
      <c r="V2258" t="s">
        <v>15232</v>
      </c>
    </row>
    <row r="2259" spans="1:22" ht="17.399999999999999" hidden="1">
      <c r="A2259" t="s">
        <v>15393</v>
      </c>
      <c r="B2259" t="s">
        <v>15442</v>
      </c>
      <c r="C2259" t="s">
        <v>15445</v>
      </c>
      <c r="D2259" t="s">
        <v>2239</v>
      </c>
      <c r="E2259" t="s">
        <v>3427</v>
      </c>
      <c r="F2259" t="s">
        <v>3432</v>
      </c>
      <c r="G2259" s="3">
        <v>36.974532986596202</v>
      </c>
      <c r="H2259" s="3">
        <v>127.31365970767099</v>
      </c>
      <c r="I2259" t="s">
        <v>6006</v>
      </c>
      <c r="J2259" t="s">
        <v>9362</v>
      </c>
      <c r="K2259" t="s">
        <v>11629</v>
      </c>
      <c r="L2259" t="s">
        <v>3366</v>
      </c>
      <c r="M2259" t="s">
        <v>11902</v>
      </c>
      <c r="N2259" t="s">
        <v>3362</v>
      </c>
      <c r="O2259" t="s">
        <v>3360</v>
      </c>
      <c r="P2259" t="s">
        <v>15211</v>
      </c>
      <c r="Q2259" t="s">
        <v>15211</v>
      </c>
      <c r="R2259" t="s">
        <v>15211</v>
      </c>
      <c r="S2259" t="s">
        <v>15211</v>
      </c>
      <c r="T2259" t="s">
        <v>3366</v>
      </c>
      <c r="U2259" t="s">
        <v>14117</v>
      </c>
      <c r="V2259" t="s">
        <v>15233</v>
      </c>
    </row>
    <row r="2260" spans="1:22" ht="17.399999999999999" hidden="1">
      <c r="A2260" t="s">
        <v>15393</v>
      </c>
      <c r="B2260" t="s">
        <v>15442</v>
      </c>
      <c r="C2260" t="s">
        <v>15445</v>
      </c>
      <c r="D2260" t="s">
        <v>2240</v>
      </c>
      <c r="E2260" t="s">
        <v>3438</v>
      </c>
      <c r="F2260" t="s">
        <v>3430</v>
      </c>
      <c r="G2260" s="3">
        <v>36.974532924425198</v>
      </c>
      <c r="H2260" s="3">
        <v>127.313659694533</v>
      </c>
      <c r="I2260" t="s">
        <v>6007</v>
      </c>
      <c r="J2260" t="s">
        <v>9363</v>
      </c>
      <c r="K2260" t="s">
        <v>11630</v>
      </c>
      <c r="L2260" t="s">
        <v>3366</v>
      </c>
      <c r="M2260" t="s">
        <v>11902</v>
      </c>
      <c r="N2260" t="s">
        <v>3362</v>
      </c>
      <c r="O2260" t="s">
        <v>3360</v>
      </c>
      <c r="P2260" t="s">
        <v>15211</v>
      </c>
      <c r="Q2260" t="s">
        <v>15211</v>
      </c>
      <c r="R2260" t="s">
        <v>15211</v>
      </c>
      <c r="S2260" t="s">
        <v>15211</v>
      </c>
      <c r="T2260" t="s">
        <v>3366</v>
      </c>
      <c r="U2260" t="s">
        <v>14118</v>
      </c>
      <c r="V2260" t="s">
        <v>15233</v>
      </c>
    </row>
    <row r="2261" spans="1:22" ht="17.399999999999999" hidden="1">
      <c r="A2261" t="s">
        <v>15393</v>
      </c>
      <c r="B2261" t="s">
        <v>15442</v>
      </c>
      <c r="C2261" t="s">
        <v>15445</v>
      </c>
      <c r="D2261" t="s">
        <v>2241</v>
      </c>
      <c r="E2261" t="s">
        <v>3428</v>
      </c>
      <c r="F2261" t="s">
        <v>3453</v>
      </c>
      <c r="G2261" s="3">
        <v>36.974532868691398</v>
      </c>
      <c r="H2261" s="3">
        <v>127.31365974646199</v>
      </c>
      <c r="I2261" t="s">
        <v>6008</v>
      </c>
      <c r="J2261" t="s">
        <v>9364</v>
      </c>
      <c r="K2261" t="s">
        <v>11321</v>
      </c>
      <c r="L2261" t="s">
        <v>3366</v>
      </c>
      <c r="M2261" t="s">
        <v>11902</v>
      </c>
      <c r="N2261" t="s">
        <v>3362</v>
      </c>
      <c r="O2261" t="s">
        <v>3360</v>
      </c>
      <c r="P2261" t="s">
        <v>15211</v>
      </c>
      <c r="Q2261" t="s">
        <v>15211</v>
      </c>
      <c r="R2261" t="s">
        <v>15211</v>
      </c>
      <c r="S2261" t="s">
        <v>15211</v>
      </c>
      <c r="T2261" t="s">
        <v>3366</v>
      </c>
      <c r="U2261" t="s">
        <v>14119</v>
      </c>
      <c r="V2261" t="s">
        <v>15233</v>
      </c>
    </row>
    <row r="2262" spans="1:22" ht="17.399999999999999" hidden="1">
      <c r="A2262" t="s">
        <v>15394</v>
      </c>
      <c r="B2262" t="s">
        <v>15441</v>
      </c>
      <c r="C2262" t="s">
        <v>15445</v>
      </c>
      <c r="D2262" t="s">
        <v>2260</v>
      </c>
      <c r="E2262" t="s">
        <v>3429</v>
      </c>
      <c r="F2262" t="s">
        <v>3613</v>
      </c>
      <c r="G2262" s="3">
        <v>36.990105523219299</v>
      </c>
      <c r="H2262" s="3">
        <v>127.079807786785</v>
      </c>
      <c r="I2262" t="s">
        <v>6027</v>
      </c>
      <c r="J2262" t="s">
        <v>9383</v>
      </c>
      <c r="K2262" t="s">
        <v>11330</v>
      </c>
      <c r="L2262" t="s">
        <v>3418</v>
      </c>
      <c r="M2262" t="s">
        <v>11902</v>
      </c>
      <c r="N2262" t="s">
        <v>3362</v>
      </c>
      <c r="O2262" t="s">
        <v>3360</v>
      </c>
      <c r="P2262" t="s">
        <v>15211</v>
      </c>
      <c r="Q2262" t="s">
        <v>15211</v>
      </c>
      <c r="R2262" t="s">
        <v>15211</v>
      </c>
      <c r="S2262" t="s">
        <v>15211</v>
      </c>
      <c r="T2262" t="s">
        <v>3366</v>
      </c>
      <c r="U2262" t="s">
        <v>14137</v>
      </c>
      <c r="V2262" t="s">
        <v>15228</v>
      </c>
    </row>
    <row r="2263" spans="1:22" ht="17.399999999999999" hidden="1">
      <c r="A2263" t="s">
        <v>15394</v>
      </c>
      <c r="B2263" t="s">
        <v>15441</v>
      </c>
      <c r="C2263" t="s">
        <v>15445</v>
      </c>
      <c r="D2263" t="s">
        <v>2261</v>
      </c>
      <c r="E2263" t="s">
        <v>3429</v>
      </c>
      <c r="F2263" t="s">
        <v>3515</v>
      </c>
      <c r="G2263" s="3">
        <v>36.990105660357401</v>
      </c>
      <c r="H2263" s="3">
        <v>127.07980780029099</v>
      </c>
      <c r="I2263" t="s">
        <v>6028</v>
      </c>
      <c r="J2263" t="s">
        <v>9384</v>
      </c>
      <c r="K2263" t="s">
        <v>10492</v>
      </c>
      <c r="L2263" t="s">
        <v>3366</v>
      </c>
      <c r="M2263" t="s">
        <v>11902</v>
      </c>
      <c r="N2263" t="s">
        <v>3362</v>
      </c>
      <c r="O2263" t="s">
        <v>3360</v>
      </c>
      <c r="P2263" t="s">
        <v>15211</v>
      </c>
      <c r="Q2263" t="s">
        <v>15211</v>
      </c>
      <c r="R2263" t="s">
        <v>15211</v>
      </c>
      <c r="S2263" t="s">
        <v>15211</v>
      </c>
      <c r="T2263" t="s">
        <v>3366</v>
      </c>
      <c r="U2263" t="s">
        <v>14138</v>
      </c>
      <c r="V2263" t="s">
        <v>15228</v>
      </c>
    </row>
    <row r="2264" spans="1:22" ht="17.399999999999999" hidden="1">
      <c r="A2264" t="s">
        <v>15394</v>
      </c>
      <c r="B2264" t="s">
        <v>15441</v>
      </c>
      <c r="C2264" t="s">
        <v>15445</v>
      </c>
      <c r="D2264" t="s">
        <v>2262</v>
      </c>
      <c r="E2264" t="s">
        <v>3429</v>
      </c>
      <c r="F2264" t="s">
        <v>3464</v>
      </c>
      <c r="G2264" s="3">
        <v>36.990105698650197</v>
      </c>
      <c r="H2264" s="3">
        <v>127.079807805372</v>
      </c>
      <c r="I2264" t="s">
        <v>6029</v>
      </c>
      <c r="J2264" t="s">
        <v>9385</v>
      </c>
      <c r="K2264" t="s">
        <v>11636</v>
      </c>
      <c r="L2264" t="s">
        <v>3366</v>
      </c>
      <c r="M2264" t="s">
        <v>11900</v>
      </c>
      <c r="N2264" t="s">
        <v>3362</v>
      </c>
      <c r="O2264" t="s">
        <v>3360</v>
      </c>
      <c r="P2264" t="s">
        <v>15211</v>
      </c>
      <c r="Q2264" t="s">
        <v>15211</v>
      </c>
      <c r="R2264" t="s">
        <v>15211</v>
      </c>
      <c r="S2264" t="s">
        <v>15211</v>
      </c>
      <c r="T2264" t="s">
        <v>3366</v>
      </c>
      <c r="U2264" t="s">
        <v>14139</v>
      </c>
      <c r="V2264" t="s">
        <v>15228</v>
      </c>
    </row>
    <row r="2265" spans="1:22" ht="17.399999999999999" hidden="1">
      <c r="A2265" t="s">
        <v>15394</v>
      </c>
      <c r="B2265" t="s">
        <v>15441</v>
      </c>
      <c r="C2265" t="s">
        <v>15445</v>
      </c>
      <c r="D2265" t="s">
        <v>2263</v>
      </c>
      <c r="E2265" t="s">
        <v>3429</v>
      </c>
      <c r="F2265" t="s">
        <v>3476</v>
      </c>
      <c r="G2265" s="3">
        <v>36.990105701265897</v>
      </c>
      <c r="H2265" s="3">
        <v>127.079807842989</v>
      </c>
      <c r="I2265" t="s">
        <v>6030</v>
      </c>
      <c r="J2265" t="s">
        <v>9386</v>
      </c>
      <c r="K2265" t="s">
        <v>11637</v>
      </c>
      <c r="L2265" t="s">
        <v>3366</v>
      </c>
      <c r="M2265" t="s">
        <v>11900</v>
      </c>
      <c r="N2265" t="s">
        <v>3362</v>
      </c>
      <c r="O2265" t="s">
        <v>3360</v>
      </c>
      <c r="P2265" t="s">
        <v>15211</v>
      </c>
      <c r="Q2265" t="s">
        <v>15211</v>
      </c>
      <c r="R2265" t="s">
        <v>15211</v>
      </c>
      <c r="S2265" t="s">
        <v>15211</v>
      </c>
      <c r="T2265" t="s">
        <v>3366</v>
      </c>
      <c r="U2265" t="s">
        <v>14140</v>
      </c>
      <c r="V2265" t="s">
        <v>15228</v>
      </c>
    </row>
    <row r="2266" spans="1:22" ht="17.399999999999999" hidden="1">
      <c r="A2266" t="s">
        <v>15394</v>
      </c>
      <c r="B2266" t="s">
        <v>15441</v>
      </c>
      <c r="C2266" t="s">
        <v>15446</v>
      </c>
      <c r="D2266" t="s">
        <v>2264</v>
      </c>
      <c r="E2266" t="s">
        <v>3431</v>
      </c>
      <c r="F2266" t="s">
        <v>3460</v>
      </c>
      <c r="G2266" s="3">
        <v>36.990105757248102</v>
      </c>
      <c r="H2266" s="3">
        <v>127.079807698537</v>
      </c>
      <c r="I2266" t="s">
        <v>6031</v>
      </c>
      <c r="J2266" t="s">
        <v>9387</v>
      </c>
      <c r="K2266" t="s">
        <v>11638</v>
      </c>
      <c r="L2266" t="s">
        <v>3366</v>
      </c>
      <c r="M2266" t="s">
        <v>11887</v>
      </c>
      <c r="N2266" t="s">
        <v>3361</v>
      </c>
      <c r="O2266" t="s">
        <v>3358</v>
      </c>
      <c r="P2266" t="s">
        <v>15211</v>
      </c>
      <c r="Q2266" t="s">
        <v>15211</v>
      </c>
      <c r="R2266" t="s">
        <v>15211</v>
      </c>
      <c r="S2266" t="s">
        <v>15211</v>
      </c>
      <c r="T2266" t="s">
        <v>3363</v>
      </c>
      <c r="U2266" t="s">
        <v>14141</v>
      </c>
      <c r="V2266" t="s">
        <v>15229</v>
      </c>
    </row>
    <row r="2267" spans="1:22" ht="17.399999999999999" hidden="1">
      <c r="A2267" t="s">
        <v>15394</v>
      </c>
      <c r="B2267" t="s">
        <v>15441</v>
      </c>
      <c r="C2267" t="s">
        <v>15446</v>
      </c>
      <c r="D2267" t="s">
        <v>2265</v>
      </c>
      <c r="E2267" t="s">
        <v>3452</v>
      </c>
      <c r="F2267" t="s">
        <v>3515</v>
      </c>
      <c r="G2267" s="3">
        <v>36.990105811401897</v>
      </c>
      <c r="H2267" s="3">
        <v>127.079807921522</v>
      </c>
      <c r="I2267" t="s">
        <v>6032</v>
      </c>
      <c r="J2267" t="s">
        <v>9388</v>
      </c>
      <c r="K2267" t="s">
        <v>11600</v>
      </c>
      <c r="L2267" t="s">
        <v>3366</v>
      </c>
      <c r="M2267" t="s">
        <v>11902</v>
      </c>
      <c r="N2267" t="s">
        <v>3362</v>
      </c>
      <c r="O2267" t="s">
        <v>3360</v>
      </c>
      <c r="P2267" t="s">
        <v>15211</v>
      </c>
      <c r="Q2267" t="s">
        <v>15211</v>
      </c>
      <c r="R2267" t="s">
        <v>15211</v>
      </c>
      <c r="S2267" t="s">
        <v>15211</v>
      </c>
      <c r="T2267" t="s">
        <v>3366</v>
      </c>
      <c r="U2267" t="s">
        <v>14142</v>
      </c>
      <c r="V2267" t="s">
        <v>15229</v>
      </c>
    </row>
    <row r="2268" spans="1:22" ht="17.399999999999999" hidden="1">
      <c r="A2268" t="s">
        <v>15394</v>
      </c>
      <c r="B2268" t="s">
        <v>15441</v>
      </c>
      <c r="C2268" t="s">
        <v>15446</v>
      </c>
      <c r="D2268" t="s">
        <v>2266</v>
      </c>
      <c r="E2268" t="s">
        <v>3433</v>
      </c>
      <c r="F2268" t="s">
        <v>3466</v>
      </c>
      <c r="G2268" s="3">
        <v>36.990105826291099</v>
      </c>
      <c r="H2268" s="3">
        <v>127.079807880332</v>
      </c>
      <c r="I2268" t="s">
        <v>6033</v>
      </c>
      <c r="J2268" t="s">
        <v>9389</v>
      </c>
      <c r="K2268" t="s">
        <v>11639</v>
      </c>
      <c r="L2268" t="s">
        <v>3366</v>
      </c>
      <c r="M2268" t="s">
        <v>11902</v>
      </c>
      <c r="N2268" t="s">
        <v>3362</v>
      </c>
      <c r="O2268" t="s">
        <v>3360</v>
      </c>
      <c r="P2268" t="s">
        <v>15211</v>
      </c>
      <c r="Q2268" t="s">
        <v>15211</v>
      </c>
      <c r="R2268" t="s">
        <v>15211</v>
      </c>
      <c r="S2268" t="s">
        <v>15211</v>
      </c>
      <c r="T2268" t="s">
        <v>3366</v>
      </c>
      <c r="U2268" t="s">
        <v>14143</v>
      </c>
      <c r="V2268" t="s">
        <v>15229</v>
      </c>
    </row>
    <row r="2269" spans="1:22" ht="17.399999999999999" hidden="1">
      <c r="A2269" t="s">
        <v>15394</v>
      </c>
      <c r="B2269" t="s">
        <v>15441</v>
      </c>
      <c r="C2269" t="s">
        <v>15448</v>
      </c>
      <c r="D2269" t="s">
        <v>2267</v>
      </c>
      <c r="E2269" t="s">
        <v>3426</v>
      </c>
      <c r="F2269" t="s">
        <v>3565</v>
      </c>
      <c r="G2269" s="3">
        <v>36.990105514198</v>
      </c>
      <c r="H2269" s="3">
        <v>127.079807847491</v>
      </c>
      <c r="I2269" t="s">
        <v>6034</v>
      </c>
      <c r="J2269" t="s">
        <v>9390</v>
      </c>
      <c r="K2269" t="s">
        <v>10891</v>
      </c>
      <c r="L2269" t="s">
        <v>3366</v>
      </c>
      <c r="M2269" t="s">
        <v>11888</v>
      </c>
      <c r="N2269" t="s">
        <v>3361</v>
      </c>
      <c r="O2269" t="s">
        <v>3360</v>
      </c>
      <c r="P2269" t="s">
        <v>3362</v>
      </c>
      <c r="Q2269" t="s">
        <v>3362</v>
      </c>
      <c r="R2269" t="s">
        <v>3357</v>
      </c>
      <c r="S2269" t="s">
        <v>15211</v>
      </c>
      <c r="T2269" t="s">
        <v>3378</v>
      </c>
      <c r="U2269" t="s">
        <v>14144</v>
      </c>
      <c r="V2269" t="s">
        <v>15230</v>
      </c>
    </row>
    <row r="2270" spans="1:22" ht="17.399999999999999" hidden="1">
      <c r="A2270" t="s">
        <v>15394</v>
      </c>
      <c r="B2270" t="s">
        <v>15441</v>
      </c>
      <c r="C2270" t="s">
        <v>15448</v>
      </c>
      <c r="D2270" t="s">
        <v>2268</v>
      </c>
      <c r="E2270" t="s">
        <v>3452</v>
      </c>
      <c r="F2270" t="s">
        <v>3541</v>
      </c>
      <c r="G2270" s="3">
        <v>36.990105492034601</v>
      </c>
      <c r="H2270" s="3">
        <v>127.079807796113</v>
      </c>
      <c r="I2270" t="s">
        <v>6035</v>
      </c>
      <c r="J2270" t="s">
        <v>9391</v>
      </c>
      <c r="K2270" t="s">
        <v>11537</v>
      </c>
      <c r="L2270" t="s">
        <v>3366</v>
      </c>
      <c r="M2270" t="s">
        <v>11888</v>
      </c>
      <c r="N2270" t="s">
        <v>3361</v>
      </c>
      <c r="O2270" t="s">
        <v>3360</v>
      </c>
      <c r="P2270" t="s">
        <v>3362</v>
      </c>
      <c r="Q2270" t="s">
        <v>3362</v>
      </c>
      <c r="R2270" t="s">
        <v>3357</v>
      </c>
      <c r="S2270" t="s">
        <v>15211</v>
      </c>
      <c r="T2270" t="s">
        <v>3378</v>
      </c>
      <c r="U2270" t="s">
        <v>14145</v>
      </c>
      <c r="V2270" t="s">
        <v>15230</v>
      </c>
    </row>
    <row r="2271" spans="1:22" ht="17.399999999999999" hidden="1">
      <c r="A2271" t="s">
        <v>15394</v>
      </c>
      <c r="B2271" t="s">
        <v>15441</v>
      </c>
      <c r="C2271" t="s">
        <v>15448</v>
      </c>
      <c r="D2271" t="s">
        <v>2269</v>
      </c>
      <c r="E2271" t="s">
        <v>3461</v>
      </c>
      <c r="F2271" t="s">
        <v>3544</v>
      </c>
      <c r="G2271" s="3">
        <v>36.990105568674998</v>
      </c>
      <c r="H2271" s="3">
        <v>127.07980762459</v>
      </c>
      <c r="I2271" t="s">
        <v>6036</v>
      </c>
      <c r="J2271" t="s">
        <v>9392</v>
      </c>
      <c r="K2271" t="s">
        <v>11501</v>
      </c>
      <c r="L2271" t="s">
        <v>3366</v>
      </c>
      <c r="M2271" t="s">
        <v>11888</v>
      </c>
      <c r="N2271" t="s">
        <v>3361</v>
      </c>
      <c r="O2271" t="s">
        <v>3360</v>
      </c>
      <c r="P2271" t="s">
        <v>3363</v>
      </c>
      <c r="Q2271" t="s">
        <v>3361</v>
      </c>
      <c r="R2271" t="s">
        <v>3357</v>
      </c>
      <c r="S2271" t="s">
        <v>15211</v>
      </c>
      <c r="T2271" t="s">
        <v>3378</v>
      </c>
      <c r="U2271" t="s">
        <v>14146</v>
      </c>
      <c r="V2271" t="s">
        <v>15230</v>
      </c>
    </row>
    <row r="2272" spans="1:22" ht="17.399999999999999" hidden="1">
      <c r="A2272" t="s">
        <v>15394</v>
      </c>
      <c r="B2272" t="s">
        <v>15441</v>
      </c>
      <c r="C2272" t="s">
        <v>15448</v>
      </c>
      <c r="D2272" t="s">
        <v>2270</v>
      </c>
      <c r="E2272" t="s">
        <v>3426</v>
      </c>
      <c r="F2272" t="s">
        <v>3562</v>
      </c>
      <c r="G2272" s="3">
        <v>36.990105637580001</v>
      </c>
      <c r="H2272" s="3">
        <v>127.07980757715499</v>
      </c>
      <c r="I2272" t="s">
        <v>6037</v>
      </c>
      <c r="J2272" t="s">
        <v>9393</v>
      </c>
      <c r="K2272" t="s">
        <v>11424</v>
      </c>
      <c r="L2272" t="s">
        <v>3366</v>
      </c>
      <c r="M2272" t="s">
        <v>11896</v>
      </c>
      <c r="N2272" t="s">
        <v>3361</v>
      </c>
      <c r="O2272" t="s">
        <v>3360</v>
      </c>
      <c r="P2272" t="s">
        <v>3363</v>
      </c>
      <c r="Q2272" t="s">
        <v>3361</v>
      </c>
      <c r="R2272" t="s">
        <v>3357</v>
      </c>
      <c r="S2272" t="s">
        <v>15211</v>
      </c>
      <c r="T2272" t="s">
        <v>3378</v>
      </c>
      <c r="U2272" t="s">
        <v>14147</v>
      </c>
      <c r="V2272" t="s">
        <v>15230</v>
      </c>
    </row>
    <row r="2273" spans="1:22" ht="17.399999999999999" hidden="1">
      <c r="A2273" t="s">
        <v>15394</v>
      </c>
      <c r="B2273" t="s">
        <v>15441</v>
      </c>
      <c r="C2273" t="s">
        <v>15448</v>
      </c>
      <c r="D2273" t="s">
        <v>2271</v>
      </c>
      <c r="E2273" t="s">
        <v>3426</v>
      </c>
      <c r="F2273" t="s">
        <v>3610</v>
      </c>
      <c r="G2273" s="3">
        <v>36.9901055680468</v>
      </c>
      <c r="H2273" s="3">
        <v>127.079807589631</v>
      </c>
      <c r="I2273" t="s">
        <v>6038</v>
      </c>
      <c r="J2273" t="s">
        <v>9394</v>
      </c>
      <c r="K2273" t="s">
        <v>11410</v>
      </c>
      <c r="L2273" t="s">
        <v>3366</v>
      </c>
      <c r="M2273" t="s">
        <v>11889</v>
      </c>
      <c r="N2273" t="s">
        <v>3361</v>
      </c>
      <c r="O2273" t="s">
        <v>3360</v>
      </c>
      <c r="P2273" t="s">
        <v>3363</v>
      </c>
      <c r="Q2273" t="s">
        <v>3361</v>
      </c>
      <c r="R2273" t="s">
        <v>3357</v>
      </c>
      <c r="S2273" t="s">
        <v>15211</v>
      </c>
      <c r="T2273" t="s">
        <v>3378</v>
      </c>
      <c r="U2273" t="s">
        <v>14148</v>
      </c>
      <c r="V2273" t="s">
        <v>15230</v>
      </c>
    </row>
    <row r="2274" spans="1:22" ht="17.399999999999999" hidden="1">
      <c r="A2274" t="s">
        <v>15394</v>
      </c>
      <c r="B2274" t="s">
        <v>15441</v>
      </c>
      <c r="C2274" t="s">
        <v>15449</v>
      </c>
      <c r="D2274" t="s">
        <v>2272</v>
      </c>
      <c r="E2274" t="s">
        <v>3452</v>
      </c>
      <c r="F2274" t="s">
        <v>3563</v>
      </c>
      <c r="G2274" s="3">
        <v>36.990105329381102</v>
      </c>
      <c r="H2274" s="3">
        <v>127.079807982644</v>
      </c>
      <c r="I2274" t="s">
        <v>6039</v>
      </c>
      <c r="J2274" t="s">
        <v>9395</v>
      </c>
      <c r="K2274" t="s">
        <v>11640</v>
      </c>
      <c r="L2274" t="s">
        <v>3370</v>
      </c>
      <c r="M2274" t="s">
        <v>11901</v>
      </c>
      <c r="N2274" t="s">
        <v>3361</v>
      </c>
      <c r="O2274" t="s">
        <v>15211</v>
      </c>
      <c r="P2274" t="s">
        <v>3363</v>
      </c>
      <c r="Q2274" t="s">
        <v>3361</v>
      </c>
      <c r="R2274" t="s">
        <v>3357</v>
      </c>
      <c r="S2274" t="s">
        <v>15211</v>
      </c>
      <c r="T2274" t="s">
        <v>3374</v>
      </c>
      <c r="U2274" t="s">
        <v>14142</v>
      </c>
      <c r="V2274" t="s">
        <v>15231</v>
      </c>
    </row>
    <row r="2275" spans="1:22" ht="17.399999999999999" hidden="1">
      <c r="A2275" t="s">
        <v>15394</v>
      </c>
      <c r="B2275" t="s">
        <v>15441</v>
      </c>
      <c r="C2275" t="s">
        <v>15449</v>
      </c>
      <c r="D2275" t="s">
        <v>2273</v>
      </c>
      <c r="E2275" t="s">
        <v>3432</v>
      </c>
      <c r="F2275" t="s">
        <v>3590</v>
      </c>
      <c r="G2275" s="3">
        <v>36.9901053426413</v>
      </c>
      <c r="H2275" s="3">
        <v>127.079807981954</v>
      </c>
      <c r="I2275" t="s">
        <v>6040</v>
      </c>
      <c r="J2275" t="s">
        <v>9396</v>
      </c>
      <c r="K2275" t="s">
        <v>11641</v>
      </c>
      <c r="L2275" t="s">
        <v>3366</v>
      </c>
      <c r="M2275" t="s">
        <v>11898</v>
      </c>
      <c r="N2275" t="s">
        <v>3361</v>
      </c>
      <c r="O2275" t="s">
        <v>15211</v>
      </c>
      <c r="P2275" t="s">
        <v>3363</v>
      </c>
      <c r="Q2275" t="s">
        <v>3361</v>
      </c>
      <c r="R2275" t="s">
        <v>3357</v>
      </c>
      <c r="S2275" t="s">
        <v>15211</v>
      </c>
      <c r="T2275" t="s">
        <v>3374</v>
      </c>
      <c r="U2275" t="s">
        <v>14149</v>
      </c>
      <c r="V2275" t="s">
        <v>15231</v>
      </c>
    </row>
    <row r="2276" spans="1:22" ht="17.399999999999999" hidden="1">
      <c r="A2276" t="s">
        <v>15394</v>
      </c>
      <c r="B2276" t="s">
        <v>15441</v>
      </c>
      <c r="C2276" t="s">
        <v>15449</v>
      </c>
      <c r="D2276" t="s">
        <v>2274</v>
      </c>
      <c r="E2276" t="s">
        <v>3432</v>
      </c>
      <c r="F2276" t="s">
        <v>3564</v>
      </c>
      <c r="G2276" s="3">
        <v>36.9901053498766</v>
      </c>
      <c r="H2276" s="3">
        <v>127.07980798973399</v>
      </c>
      <c r="I2276" t="s">
        <v>6041</v>
      </c>
      <c r="J2276" t="s">
        <v>9397</v>
      </c>
      <c r="K2276" t="s">
        <v>11642</v>
      </c>
      <c r="L2276" t="s">
        <v>3369</v>
      </c>
      <c r="M2276" t="s">
        <v>11898</v>
      </c>
      <c r="N2276" t="s">
        <v>3361</v>
      </c>
      <c r="O2276" t="s">
        <v>15211</v>
      </c>
      <c r="P2276" t="s">
        <v>3363</v>
      </c>
      <c r="Q2276" t="s">
        <v>3362</v>
      </c>
      <c r="R2276" t="s">
        <v>3357</v>
      </c>
      <c r="S2276" t="s">
        <v>15211</v>
      </c>
      <c r="T2276" t="s">
        <v>3375</v>
      </c>
      <c r="U2276" t="s">
        <v>14150</v>
      </c>
      <c r="V2276" t="s">
        <v>15231</v>
      </c>
    </row>
    <row r="2277" spans="1:22" ht="17.399999999999999" hidden="1">
      <c r="A2277" t="s">
        <v>15394</v>
      </c>
      <c r="B2277" t="s">
        <v>15442</v>
      </c>
      <c r="C2277" t="s">
        <v>15450</v>
      </c>
      <c r="D2277" t="s">
        <v>2275</v>
      </c>
      <c r="E2277" t="s">
        <v>3429</v>
      </c>
      <c r="F2277" t="s">
        <v>3478</v>
      </c>
      <c r="G2277" s="3">
        <v>36.990105381062598</v>
      </c>
      <c r="H2277" s="3">
        <v>127.079808228234</v>
      </c>
      <c r="I2277" t="s">
        <v>6042</v>
      </c>
      <c r="J2277" t="s">
        <v>9398</v>
      </c>
      <c r="K2277" t="s">
        <v>11643</v>
      </c>
      <c r="L2277" t="s">
        <v>3366</v>
      </c>
      <c r="M2277" t="s">
        <v>11902</v>
      </c>
      <c r="N2277" t="s">
        <v>3362</v>
      </c>
      <c r="O2277" t="s">
        <v>3360</v>
      </c>
      <c r="P2277" t="s">
        <v>15211</v>
      </c>
      <c r="Q2277" t="s">
        <v>15211</v>
      </c>
      <c r="R2277" t="s">
        <v>15211</v>
      </c>
      <c r="S2277" t="s">
        <v>15211</v>
      </c>
      <c r="T2277" t="s">
        <v>3366</v>
      </c>
      <c r="U2277" t="s">
        <v>14151</v>
      </c>
      <c r="V2277" t="s">
        <v>15232</v>
      </c>
    </row>
    <row r="2278" spans="1:22" ht="17.399999999999999" hidden="1">
      <c r="A2278" t="s">
        <v>15394</v>
      </c>
      <c r="B2278" t="s">
        <v>15442</v>
      </c>
      <c r="C2278" t="s">
        <v>15450</v>
      </c>
      <c r="D2278" t="s">
        <v>2276</v>
      </c>
      <c r="E2278" t="s">
        <v>3434</v>
      </c>
      <c r="F2278" t="s">
        <v>3511</v>
      </c>
      <c r="G2278" s="3">
        <v>36.990105495316101</v>
      </c>
      <c r="H2278" s="3">
        <v>127.079808186115</v>
      </c>
      <c r="I2278" t="s">
        <v>6043</v>
      </c>
      <c r="J2278" t="s">
        <v>9399</v>
      </c>
      <c r="K2278" t="s">
        <v>11644</v>
      </c>
      <c r="L2278" t="s">
        <v>3366</v>
      </c>
      <c r="M2278" t="s">
        <v>11900</v>
      </c>
      <c r="N2278" t="s">
        <v>3361</v>
      </c>
      <c r="O2278" t="s">
        <v>3360</v>
      </c>
      <c r="P2278" t="s">
        <v>15211</v>
      </c>
      <c r="Q2278" t="s">
        <v>15211</v>
      </c>
      <c r="R2278" t="s">
        <v>15211</v>
      </c>
      <c r="S2278" t="s">
        <v>15211</v>
      </c>
      <c r="T2278" t="s">
        <v>3365</v>
      </c>
      <c r="U2278" t="s">
        <v>14152</v>
      </c>
      <c r="V2278" t="s">
        <v>15232</v>
      </c>
    </row>
    <row r="2279" spans="1:22" ht="17.399999999999999" hidden="1">
      <c r="A2279" t="s">
        <v>15394</v>
      </c>
      <c r="B2279" t="s">
        <v>15442</v>
      </c>
      <c r="C2279" t="s">
        <v>15450</v>
      </c>
      <c r="D2279" t="s">
        <v>2277</v>
      </c>
      <c r="E2279" t="s">
        <v>3434</v>
      </c>
      <c r="F2279" t="s">
        <v>3511</v>
      </c>
      <c r="G2279" s="3">
        <v>36.990105484401397</v>
      </c>
      <c r="H2279" s="3">
        <v>127.079808102008</v>
      </c>
      <c r="I2279" t="s">
        <v>6044</v>
      </c>
      <c r="J2279" t="s">
        <v>9400</v>
      </c>
      <c r="K2279" t="s">
        <v>11302</v>
      </c>
      <c r="L2279" t="s">
        <v>3366</v>
      </c>
      <c r="M2279" t="s">
        <v>11900</v>
      </c>
      <c r="N2279" t="s">
        <v>3361</v>
      </c>
      <c r="O2279" t="s">
        <v>3360</v>
      </c>
      <c r="P2279" t="s">
        <v>15211</v>
      </c>
      <c r="Q2279" t="s">
        <v>15211</v>
      </c>
      <c r="R2279" t="s">
        <v>15211</v>
      </c>
      <c r="S2279" t="s">
        <v>15211</v>
      </c>
      <c r="T2279" t="s">
        <v>3365</v>
      </c>
      <c r="U2279" t="s">
        <v>14153</v>
      </c>
      <c r="V2279" t="s">
        <v>15232</v>
      </c>
    </row>
    <row r="2280" spans="1:22" ht="17.399999999999999" hidden="1">
      <c r="A2280" t="s">
        <v>15394</v>
      </c>
      <c r="B2280" t="s">
        <v>15442</v>
      </c>
      <c r="C2280" t="s">
        <v>15445</v>
      </c>
      <c r="D2280" t="s">
        <v>2278</v>
      </c>
      <c r="E2280" t="s">
        <v>3435</v>
      </c>
      <c r="F2280" t="s">
        <v>3515</v>
      </c>
      <c r="G2280" s="3">
        <v>36.9901055817596</v>
      </c>
      <c r="H2280" s="3">
        <v>127.079807909319</v>
      </c>
      <c r="I2280" t="s">
        <v>6045</v>
      </c>
      <c r="J2280" t="s">
        <v>9401</v>
      </c>
      <c r="K2280" t="s">
        <v>11645</v>
      </c>
      <c r="L2280" t="s">
        <v>3369</v>
      </c>
      <c r="M2280" t="s">
        <v>11900</v>
      </c>
      <c r="N2280" t="s">
        <v>3361</v>
      </c>
      <c r="O2280" t="s">
        <v>3360</v>
      </c>
      <c r="P2280" t="s">
        <v>15211</v>
      </c>
      <c r="Q2280" t="s">
        <v>15211</v>
      </c>
      <c r="R2280" t="s">
        <v>15211</v>
      </c>
      <c r="S2280" t="s">
        <v>15211</v>
      </c>
      <c r="T2280" t="s">
        <v>3365</v>
      </c>
      <c r="U2280" t="s">
        <v>14154</v>
      </c>
      <c r="V2280" t="s">
        <v>15233</v>
      </c>
    </row>
    <row r="2281" spans="1:22" ht="17.399999999999999" hidden="1">
      <c r="A2281" t="s">
        <v>15394</v>
      </c>
      <c r="B2281" t="s">
        <v>15442</v>
      </c>
      <c r="C2281" t="s">
        <v>15445</v>
      </c>
      <c r="D2281" t="s">
        <v>2279</v>
      </c>
      <c r="E2281" t="s">
        <v>3435</v>
      </c>
      <c r="F2281" t="s">
        <v>3579</v>
      </c>
      <c r="G2281" s="3">
        <v>36.990105567006196</v>
      </c>
      <c r="H2281" s="3">
        <v>127.079807883798</v>
      </c>
      <c r="I2281" t="s">
        <v>6046</v>
      </c>
      <c r="J2281" t="s">
        <v>9402</v>
      </c>
      <c r="K2281" t="s">
        <v>10930</v>
      </c>
      <c r="L2281" t="s">
        <v>3366</v>
      </c>
      <c r="M2281" t="s">
        <v>11900</v>
      </c>
      <c r="N2281" t="s">
        <v>3361</v>
      </c>
      <c r="O2281" t="s">
        <v>3360</v>
      </c>
      <c r="P2281" t="s">
        <v>15211</v>
      </c>
      <c r="Q2281" t="s">
        <v>15211</v>
      </c>
      <c r="R2281" t="s">
        <v>15211</v>
      </c>
      <c r="S2281" t="s">
        <v>15211</v>
      </c>
      <c r="T2281" t="s">
        <v>3365</v>
      </c>
      <c r="U2281" t="s">
        <v>14155</v>
      </c>
      <c r="V2281" t="s">
        <v>15233</v>
      </c>
    </row>
    <row r="2282" spans="1:22" ht="17.399999999999999" hidden="1">
      <c r="A2282" t="s">
        <v>15394</v>
      </c>
      <c r="B2282" t="s">
        <v>15442</v>
      </c>
      <c r="C2282" t="s">
        <v>15445</v>
      </c>
      <c r="D2282" t="s">
        <v>2280</v>
      </c>
      <c r="E2282" t="s">
        <v>3430</v>
      </c>
      <c r="F2282" t="s">
        <v>3476</v>
      </c>
      <c r="G2282" s="3">
        <v>36.990105551979902</v>
      </c>
      <c r="H2282" s="3">
        <v>127.07980794242501</v>
      </c>
      <c r="I2282" t="s">
        <v>6047</v>
      </c>
      <c r="J2282" t="s">
        <v>9403</v>
      </c>
      <c r="K2282" t="s">
        <v>11646</v>
      </c>
      <c r="L2282" t="s">
        <v>3366</v>
      </c>
      <c r="M2282" t="s">
        <v>11900</v>
      </c>
      <c r="N2282" t="s">
        <v>3361</v>
      </c>
      <c r="O2282" t="s">
        <v>3360</v>
      </c>
      <c r="P2282" t="s">
        <v>15211</v>
      </c>
      <c r="Q2282" t="s">
        <v>15211</v>
      </c>
      <c r="R2282" t="s">
        <v>15211</v>
      </c>
      <c r="S2282" t="s">
        <v>15211</v>
      </c>
      <c r="T2282" t="s">
        <v>3365</v>
      </c>
      <c r="U2282" t="s">
        <v>14156</v>
      </c>
      <c r="V2282" t="s">
        <v>15233</v>
      </c>
    </row>
    <row r="2283" spans="1:22" ht="17.399999999999999" hidden="1">
      <c r="A2283" t="s">
        <v>15394</v>
      </c>
      <c r="B2283" t="s">
        <v>15442</v>
      </c>
      <c r="C2283" t="s">
        <v>15451</v>
      </c>
      <c r="D2283" t="s">
        <v>2281</v>
      </c>
      <c r="E2283" t="s">
        <v>3428</v>
      </c>
      <c r="F2283" t="s">
        <v>3453</v>
      </c>
      <c r="G2283" s="3">
        <v>36.990105346069498</v>
      </c>
      <c r="H2283" s="3">
        <v>127.079807946047</v>
      </c>
      <c r="I2283" t="s">
        <v>6048</v>
      </c>
      <c r="J2283" t="s">
        <v>9404</v>
      </c>
      <c r="K2283" t="s">
        <v>11536</v>
      </c>
      <c r="L2283" t="s">
        <v>3369</v>
      </c>
      <c r="M2283" t="s">
        <v>11908</v>
      </c>
      <c r="N2283" t="s">
        <v>3364</v>
      </c>
      <c r="O2283" t="s">
        <v>3360</v>
      </c>
      <c r="P2283" t="s">
        <v>15211</v>
      </c>
      <c r="Q2283" t="s">
        <v>15211</v>
      </c>
      <c r="R2283" t="s">
        <v>15211</v>
      </c>
      <c r="S2283" t="s">
        <v>15211</v>
      </c>
      <c r="T2283" t="s">
        <v>3368</v>
      </c>
      <c r="U2283" t="s">
        <v>14157</v>
      </c>
      <c r="V2283" t="s">
        <v>15234</v>
      </c>
    </row>
    <row r="2284" spans="1:22" ht="17.399999999999999" hidden="1">
      <c r="A2284" t="s">
        <v>15394</v>
      </c>
      <c r="B2284" t="s">
        <v>15442</v>
      </c>
      <c r="C2284" t="s">
        <v>15451</v>
      </c>
      <c r="D2284" t="s">
        <v>2282</v>
      </c>
      <c r="E2284" t="s">
        <v>3434</v>
      </c>
      <c r="F2284" t="s">
        <v>3450</v>
      </c>
      <c r="G2284" s="3">
        <v>36.990105345022002</v>
      </c>
      <c r="H2284" s="3">
        <v>127.07980789740699</v>
      </c>
      <c r="I2284" t="s">
        <v>6049</v>
      </c>
      <c r="J2284" t="s">
        <v>9405</v>
      </c>
      <c r="K2284" t="s">
        <v>11536</v>
      </c>
      <c r="L2284" t="s">
        <v>3366</v>
      </c>
      <c r="M2284" t="s">
        <v>11908</v>
      </c>
      <c r="N2284" t="s">
        <v>3361</v>
      </c>
      <c r="O2284" t="s">
        <v>3360</v>
      </c>
      <c r="P2284" t="s">
        <v>3360</v>
      </c>
      <c r="Q2284" t="s">
        <v>3358</v>
      </c>
      <c r="R2284" t="s">
        <v>15211</v>
      </c>
      <c r="S2284" t="s">
        <v>15211</v>
      </c>
      <c r="T2284" t="s">
        <v>3371</v>
      </c>
      <c r="U2284" t="s">
        <v>14158</v>
      </c>
      <c r="V2284" t="s">
        <v>15234</v>
      </c>
    </row>
    <row r="2285" spans="1:22" ht="17.399999999999999" hidden="1">
      <c r="A2285" t="s">
        <v>15394</v>
      </c>
      <c r="B2285" t="s">
        <v>15442</v>
      </c>
      <c r="C2285" t="s">
        <v>15451</v>
      </c>
      <c r="D2285" t="s">
        <v>2283</v>
      </c>
      <c r="E2285" t="s">
        <v>3430</v>
      </c>
      <c r="F2285" t="s">
        <v>3478</v>
      </c>
      <c r="G2285" s="3">
        <v>36.990105279278197</v>
      </c>
      <c r="H2285" s="3">
        <v>127.079807883604</v>
      </c>
      <c r="I2285" t="s">
        <v>6050</v>
      </c>
      <c r="J2285" t="s">
        <v>9406</v>
      </c>
      <c r="K2285" t="s">
        <v>11536</v>
      </c>
      <c r="L2285" t="s">
        <v>3366</v>
      </c>
      <c r="M2285" t="s">
        <v>11908</v>
      </c>
      <c r="N2285" t="s">
        <v>3361</v>
      </c>
      <c r="O2285" t="s">
        <v>3360</v>
      </c>
      <c r="P2285" t="s">
        <v>3363</v>
      </c>
      <c r="Q2285" t="s">
        <v>3360</v>
      </c>
      <c r="R2285" t="s">
        <v>15211</v>
      </c>
      <c r="S2285" t="s">
        <v>15211</v>
      </c>
      <c r="T2285" t="s">
        <v>3376</v>
      </c>
      <c r="U2285" t="s">
        <v>14159</v>
      </c>
      <c r="V2285" t="s">
        <v>15234</v>
      </c>
    </row>
    <row r="2286" spans="1:22" hidden="1">
      <c r="A2286" t="s">
        <v>15414</v>
      </c>
      <c r="B2286" t="s">
        <v>15441</v>
      </c>
      <c r="C2286" t="s">
        <v>15445</v>
      </c>
      <c r="D2286" t="s">
        <v>2284</v>
      </c>
      <c r="E2286" t="s">
        <v>3442</v>
      </c>
      <c r="F2286" t="s">
        <v>3462</v>
      </c>
      <c r="G2286" s="3">
        <v>35.274943431715997</v>
      </c>
      <c r="H2286" s="3">
        <v>126.889875141742</v>
      </c>
      <c r="I2286" t="s">
        <v>6051</v>
      </c>
      <c r="J2286" t="s">
        <v>9407</v>
      </c>
      <c r="K2286" t="s">
        <v>11648</v>
      </c>
      <c r="L2286" t="s">
        <v>3366</v>
      </c>
      <c r="M2286" t="s">
        <v>11886</v>
      </c>
      <c r="N2286" t="s">
        <v>3363</v>
      </c>
      <c r="O2286" t="s">
        <v>3360</v>
      </c>
      <c r="P2286" t="s">
        <v>15211</v>
      </c>
      <c r="Q2286" t="s">
        <v>15211</v>
      </c>
      <c r="R2286" t="s">
        <v>15211</v>
      </c>
      <c r="S2286" t="s">
        <v>15211</v>
      </c>
      <c r="T2286" t="s">
        <v>3367</v>
      </c>
      <c r="U2286" t="s">
        <v>14160</v>
      </c>
      <c r="V2286" t="s">
        <v>15274</v>
      </c>
    </row>
    <row r="2287" spans="1:22" hidden="1">
      <c r="A2287" t="s">
        <v>15414</v>
      </c>
      <c r="B2287" t="s">
        <v>15441</v>
      </c>
      <c r="C2287" t="s">
        <v>15445</v>
      </c>
      <c r="D2287" t="s">
        <v>2285</v>
      </c>
      <c r="E2287" t="s">
        <v>3442</v>
      </c>
      <c r="F2287" t="s">
        <v>3426</v>
      </c>
      <c r="G2287" s="3">
        <v>35.274943330986602</v>
      </c>
      <c r="H2287" s="3">
        <v>126.889875128772</v>
      </c>
      <c r="I2287" t="s">
        <v>6052</v>
      </c>
      <c r="J2287" t="s">
        <v>9408</v>
      </c>
      <c r="K2287" t="s">
        <v>10960</v>
      </c>
      <c r="L2287" t="s">
        <v>3366</v>
      </c>
      <c r="M2287" t="s">
        <v>11886</v>
      </c>
      <c r="N2287" t="s">
        <v>3363</v>
      </c>
      <c r="O2287" t="s">
        <v>3360</v>
      </c>
      <c r="P2287" t="s">
        <v>15211</v>
      </c>
      <c r="Q2287" t="s">
        <v>15211</v>
      </c>
      <c r="R2287" t="s">
        <v>15211</v>
      </c>
      <c r="S2287" t="s">
        <v>15211</v>
      </c>
      <c r="T2287" t="s">
        <v>3367</v>
      </c>
      <c r="U2287" t="s">
        <v>14161</v>
      </c>
      <c r="V2287" t="s">
        <v>15274</v>
      </c>
    </row>
    <row r="2288" spans="1:22" hidden="1">
      <c r="A2288" t="s">
        <v>15414</v>
      </c>
      <c r="B2288" t="s">
        <v>15441</v>
      </c>
      <c r="C2288" t="s">
        <v>15445</v>
      </c>
      <c r="D2288" t="s">
        <v>2286</v>
      </c>
      <c r="E2288" t="s">
        <v>3442</v>
      </c>
      <c r="F2288" t="s">
        <v>3465</v>
      </c>
      <c r="G2288" s="3">
        <v>35.274943194569403</v>
      </c>
      <c r="H2288" s="3">
        <v>126.88987513270099</v>
      </c>
      <c r="I2288" t="s">
        <v>6053</v>
      </c>
      <c r="J2288" t="s">
        <v>9409</v>
      </c>
      <c r="K2288" t="s">
        <v>11649</v>
      </c>
      <c r="L2288" t="s">
        <v>3366</v>
      </c>
      <c r="M2288" t="s">
        <v>11886</v>
      </c>
      <c r="N2288" t="s">
        <v>3363</v>
      </c>
      <c r="O2288" t="s">
        <v>3360</v>
      </c>
      <c r="P2288" t="s">
        <v>15211</v>
      </c>
      <c r="Q2288" t="s">
        <v>15211</v>
      </c>
      <c r="R2288" t="s">
        <v>15211</v>
      </c>
      <c r="S2288" t="s">
        <v>15211</v>
      </c>
      <c r="T2288" t="s">
        <v>3367</v>
      </c>
      <c r="U2288" t="s">
        <v>14162</v>
      </c>
      <c r="V2288" t="s">
        <v>15274</v>
      </c>
    </row>
    <row r="2289" spans="1:22" hidden="1">
      <c r="A2289" t="s">
        <v>15414</v>
      </c>
      <c r="B2289" t="s">
        <v>15441</v>
      </c>
      <c r="C2289" t="s">
        <v>15446</v>
      </c>
      <c r="D2289" t="s">
        <v>2287</v>
      </c>
      <c r="E2289" t="s">
        <v>3452</v>
      </c>
      <c r="F2289" t="s">
        <v>3464</v>
      </c>
      <c r="G2289" s="3">
        <v>35.2749430517081</v>
      </c>
      <c r="H2289" s="3">
        <v>126.88987504838499</v>
      </c>
      <c r="I2289" t="s">
        <v>6054</v>
      </c>
      <c r="J2289" t="s">
        <v>9410</v>
      </c>
      <c r="K2289" t="s">
        <v>11650</v>
      </c>
      <c r="L2289" t="s">
        <v>3366</v>
      </c>
      <c r="M2289" t="s">
        <v>11886</v>
      </c>
      <c r="N2289" t="s">
        <v>3363</v>
      </c>
      <c r="O2289" t="s">
        <v>3360</v>
      </c>
      <c r="P2289" t="s">
        <v>15211</v>
      </c>
      <c r="Q2289" t="s">
        <v>15211</v>
      </c>
      <c r="R2289" t="s">
        <v>15211</v>
      </c>
      <c r="S2289" t="s">
        <v>15211</v>
      </c>
      <c r="T2289" t="s">
        <v>3367</v>
      </c>
      <c r="U2289" t="s">
        <v>14163</v>
      </c>
      <c r="V2289" t="s">
        <v>15275</v>
      </c>
    </row>
    <row r="2290" spans="1:22" hidden="1">
      <c r="A2290" t="s">
        <v>15414</v>
      </c>
      <c r="B2290" t="s">
        <v>15441</v>
      </c>
      <c r="C2290" t="s">
        <v>15446</v>
      </c>
      <c r="D2290" t="s">
        <v>2288</v>
      </c>
      <c r="E2290" t="s">
        <v>3433</v>
      </c>
      <c r="F2290" t="s">
        <v>3579</v>
      </c>
      <c r="G2290" s="3">
        <v>35.274943088268898</v>
      </c>
      <c r="H2290" s="3">
        <v>126.889874994599</v>
      </c>
      <c r="I2290" t="s">
        <v>6055</v>
      </c>
      <c r="J2290" t="s">
        <v>9411</v>
      </c>
      <c r="K2290" t="s">
        <v>11619</v>
      </c>
      <c r="L2290" t="s">
        <v>3366</v>
      </c>
      <c r="M2290" t="s">
        <v>11902</v>
      </c>
      <c r="N2290" t="s">
        <v>3362</v>
      </c>
      <c r="O2290" t="s">
        <v>3360</v>
      </c>
      <c r="P2290" t="s">
        <v>15211</v>
      </c>
      <c r="Q2290" t="s">
        <v>15211</v>
      </c>
      <c r="R2290" t="s">
        <v>15211</v>
      </c>
      <c r="S2290" t="s">
        <v>15211</v>
      </c>
      <c r="T2290" t="s">
        <v>3366</v>
      </c>
      <c r="U2290" t="s">
        <v>14164</v>
      </c>
      <c r="V2290" t="s">
        <v>15275</v>
      </c>
    </row>
    <row r="2291" spans="1:22" hidden="1">
      <c r="A2291" t="s">
        <v>15414</v>
      </c>
      <c r="B2291" t="s">
        <v>15441</v>
      </c>
      <c r="C2291" t="s">
        <v>15446</v>
      </c>
      <c r="D2291" t="s">
        <v>2289</v>
      </c>
      <c r="E2291" t="s">
        <v>3453</v>
      </c>
      <c r="F2291" t="s">
        <v>3511</v>
      </c>
      <c r="G2291" s="3">
        <v>35.274943139841</v>
      </c>
      <c r="H2291" s="3">
        <v>126.88987487813201</v>
      </c>
      <c r="I2291" t="s">
        <v>6056</v>
      </c>
      <c r="J2291" t="s">
        <v>9412</v>
      </c>
      <c r="K2291" t="s">
        <v>10935</v>
      </c>
      <c r="L2291" t="s">
        <v>3366</v>
      </c>
      <c r="M2291" t="s">
        <v>11886</v>
      </c>
      <c r="N2291" t="s">
        <v>3363</v>
      </c>
      <c r="O2291" t="s">
        <v>3360</v>
      </c>
      <c r="P2291" t="s">
        <v>15211</v>
      </c>
      <c r="Q2291" t="s">
        <v>15211</v>
      </c>
      <c r="R2291" t="s">
        <v>15211</v>
      </c>
      <c r="S2291" t="s">
        <v>15211</v>
      </c>
      <c r="T2291" t="s">
        <v>3367</v>
      </c>
      <c r="U2291" t="s">
        <v>14165</v>
      </c>
      <c r="V2291" t="s">
        <v>15275</v>
      </c>
    </row>
    <row r="2292" spans="1:22" hidden="1">
      <c r="A2292" t="s">
        <v>15414</v>
      </c>
      <c r="B2292" t="s">
        <v>15441</v>
      </c>
      <c r="C2292" t="s">
        <v>15448</v>
      </c>
      <c r="D2292" t="s">
        <v>2290</v>
      </c>
      <c r="E2292" t="s">
        <v>3431</v>
      </c>
      <c r="F2292" t="s">
        <v>3464</v>
      </c>
      <c r="G2292" s="3">
        <v>35.2749431117673</v>
      </c>
      <c r="H2292" s="3">
        <v>126.889874840978</v>
      </c>
      <c r="I2292" t="s">
        <v>6057</v>
      </c>
      <c r="J2292" t="s">
        <v>9413</v>
      </c>
      <c r="K2292" t="s">
        <v>10932</v>
      </c>
      <c r="L2292" t="s">
        <v>3366</v>
      </c>
      <c r="M2292" t="s">
        <v>11888</v>
      </c>
      <c r="N2292" t="s">
        <v>3363</v>
      </c>
      <c r="O2292" t="s">
        <v>3359</v>
      </c>
      <c r="P2292" t="s">
        <v>3362</v>
      </c>
      <c r="Q2292" t="s">
        <v>3360</v>
      </c>
      <c r="R2292" t="s">
        <v>3358</v>
      </c>
      <c r="S2292" t="s">
        <v>15211</v>
      </c>
      <c r="T2292" t="s">
        <v>3378</v>
      </c>
      <c r="U2292" t="s">
        <v>14166</v>
      </c>
      <c r="V2292" t="s">
        <v>15276</v>
      </c>
    </row>
    <row r="2293" spans="1:22" hidden="1">
      <c r="A2293" t="s">
        <v>15414</v>
      </c>
      <c r="B2293" t="s">
        <v>15441</v>
      </c>
      <c r="C2293" t="s">
        <v>15448</v>
      </c>
      <c r="D2293" t="s">
        <v>2291</v>
      </c>
      <c r="E2293" t="s">
        <v>3431</v>
      </c>
      <c r="F2293" t="s">
        <v>3464</v>
      </c>
      <c r="G2293" s="3">
        <v>35.274943074385</v>
      </c>
      <c r="H2293" s="3">
        <v>126.88987483384599</v>
      </c>
      <c r="I2293" t="s">
        <v>6058</v>
      </c>
      <c r="J2293" t="s">
        <v>9414</v>
      </c>
      <c r="K2293" t="s">
        <v>11651</v>
      </c>
      <c r="L2293" t="s">
        <v>3366</v>
      </c>
      <c r="M2293" t="s">
        <v>11888</v>
      </c>
      <c r="N2293" t="s">
        <v>3363</v>
      </c>
      <c r="O2293" t="s">
        <v>3359</v>
      </c>
      <c r="P2293" t="s">
        <v>3362</v>
      </c>
      <c r="Q2293" t="s">
        <v>3360</v>
      </c>
      <c r="R2293" t="s">
        <v>3358</v>
      </c>
      <c r="S2293" t="s">
        <v>15211</v>
      </c>
      <c r="T2293" t="s">
        <v>3378</v>
      </c>
      <c r="U2293" t="s">
        <v>14167</v>
      </c>
      <c r="V2293" t="s">
        <v>15276</v>
      </c>
    </row>
    <row r="2294" spans="1:22" hidden="1">
      <c r="A2294" t="s">
        <v>15414</v>
      </c>
      <c r="B2294" t="s">
        <v>15441</v>
      </c>
      <c r="C2294" t="s">
        <v>15448</v>
      </c>
      <c r="D2294" t="s">
        <v>2292</v>
      </c>
      <c r="E2294" t="s">
        <v>3431</v>
      </c>
      <c r="F2294" t="s">
        <v>3464</v>
      </c>
      <c r="G2294" s="3">
        <v>35.274943038909598</v>
      </c>
      <c r="H2294" s="3">
        <v>126.889874820934</v>
      </c>
      <c r="I2294" t="s">
        <v>6059</v>
      </c>
      <c r="J2294" t="s">
        <v>9415</v>
      </c>
      <c r="K2294" t="s">
        <v>11405</v>
      </c>
      <c r="L2294" t="s">
        <v>3366</v>
      </c>
      <c r="M2294" t="s">
        <v>11888</v>
      </c>
      <c r="N2294" t="s">
        <v>3363</v>
      </c>
      <c r="O2294" t="s">
        <v>3359</v>
      </c>
      <c r="P2294" t="s">
        <v>3362</v>
      </c>
      <c r="Q2294" t="s">
        <v>3360</v>
      </c>
      <c r="R2294" t="s">
        <v>3358</v>
      </c>
      <c r="S2294" t="s">
        <v>15211</v>
      </c>
      <c r="T2294" t="s">
        <v>3378</v>
      </c>
      <c r="U2294" t="s">
        <v>14168</v>
      </c>
      <c r="V2294" t="s">
        <v>15276</v>
      </c>
    </row>
    <row r="2295" spans="1:22" hidden="1">
      <c r="A2295" t="s">
        <v>15414</v>
      </c>
      <c r="B2295" t="s">
        <v>15441</v>
      </c>
      <c r="C2295" t="s">
        <v>15449</v>
      </c>
      <c r="D2295" t="s">
        <v>2293</v>
      </c>
      <c r="E2295" t="s">
        <v>3438</v>
      </c>
      <c r="F2295" t="s">
        <v>3434</v>
      </c>
      <c r="G2295" s="3">
        <v>35.274943119327602</v>
      </c>
      <c r="H2295" s="3">
        <v>126.88987491012099</v>
      </c>
      <c r="I2295" t="s">
        <v>6060</v>
      </c>
      <c r="J2295" t="s">
        <v>9416</v>
      </c>
      <c r="K2295" t="s">
        <v>10912</v>
      </c>
      <c r="L2295" t="s">
        <v>3366</v>
      </c>
      <c r="M2295" t="s">
        <v>11899</v>
      </c>
      <c r="N2295" t="s">
        <v>3363</v>
      </c>
      <c r="O2295" t="s">
        <v>3359</v>
      </c>
      <c r="P2295" t="s">
        <v>3362</v>
      </c>
      <c r="Q2295" t="s">
        <v>3358</v>
      </c>
      <c r="R2295" t="s">
        <v>3357</v>
      </c>
      <c r="S2295" t="s">
        <v>15211</v>
      </c>
      <c r="T2295" t="s">
        <v>3375</v>
      </c>
      <c r="U2295" t="s">
        <v>14169</v>
      </c>
      <c r="V2295" t="s">
        <v>15277</v>
      </c>
    </row>
    <row r="2296" spans="1:22" hidden="1">
      <c r="A2296" t="s">
        <v>15414</v>
      </c>
      <c r="B2296" t="s">
        <v>15441</v>
      </c>
      <c r="C2296" t="s">
        <v>15449</v>
      </c>
      <c r="D2296" t="s">
        <v>2294</v>
      </c>
      <c r="E2296" t="s">
        <v>3438</v>
      </c>
      <c r="F2296" t="s">
        <v>3435</v>
      </c>
      <c r="G2296" s="3">
        <v>35.274943108077501</v>
      </c>
      <c r="H2296" s="3">
        <v>126.88987491687</v>
      </c>
      <c r="I2296" t="s">
        <v>6061</v>
      </c>
      <c r="J2296" t="s">
        <v>9417</v>
      </c>
      <c r="K2296" t="s">
        <v>11394</v>
      </c>
      <c r="L2296" t="s">
        <v>3366</v>
      </c>
      <c r="M2296" t="s">
        <v>11899</v>
      </c>
      <c r="N2296" t="s">
        <v>3363</v>
      </c>
      <c r="O2296" t="s">
        <v>3359</v>
      </c>
      <c r="P2296" t="s">
        <v>3362</v>
      </c>
      <c r="Q2296" t="s">
        <v>3358</v>
      </c>
      <c r="R2296" t="s">
        <v>3357</v>
      </c>
      <c r="S2296" t="s">
        <v>15211</v>
      </c>
      <c r="T2296" t="s">
        <v>3375</v>
      </c>
      <c r="U2296" t="s">
        <v>14170</v>
      </c>
      <c r="V2296" t="s">
        <v>15277</v>
      </c>
    </row>
    <row r="2297" spans="1:22" hidden="1">
      <c r="A2297" t="s">
        <v>15414</v>
      </c>
      <c r="B2297" t="s">
        <v>15441</v>
      </c>
      <c r="C2297" t="s">
        <v>15449</v>
      </c>
      <c r="D2297" t="s">
        <v>2295</v>
      </c>
      <c r="E2297" t="s">
        <v>3438</v>
      </c>
      <c r="F2297" t="s">
        <v>3435</v>
      </c>
      <c r="G2297" s="3">
        <v>35.2749431034118</v>
      </c>
      <c r="H2297" s="3">
        <v>126.889874925754</v>
      </c>
      <c r="I2297" t="s">
        <v>6062</v>
      </c>
      <c r="J2297" t="s">
        <v>9418</v>
      </c>
      <c r="K2297" t="s">
        <v>3716</v>
      </c>
      <c r="L2297" t="s">
        <v>3366</v>
      </c>
      <c r="M2297" t="s">
        <v>11899</v>
      </c>
      <c r="N2297" t="s">
        <v>3363</v>
      </c>
      <c r="O2297" t="s">
        <v>3359</v>
      </c>
      <c r="P2297" t="s">
        <v>3362</v>
      </c>
      <c r="Q2297" t="s">
        <v>3358</v>
      </c>
      <c r="R2297" t="s">
        <v>3357</v>
      </c>
      <c r="S2297" t="s">
        <v>15211</v>
      </c>
      <c r="T2297" t="s">
        <v>3375</v>
      </c>
      <c r="U2297" t="s">
        <v>14171</v>
      </c>
      <c r="V2297" t="s">
        <v>15277</v>
      </c>
    </row>
    <row r="2298" spans="1:22" hidden="1">
      <c r="A2298" t="s">
        <v>15414</v>
      </c>
      <c r="B2298" t="s">
        <v>15442</v>
      </c>
      <c r="C2298" t="s">
        <v>15450</v>
      </c>
      <c r="D2298" t="s">
        <v>2296</v>
      </c>
      <c r="E2298" t="s">
        <v>3441</v>
      </c>
      <c r="F2298" t="s">
        <v>3441</v>
      </c>
      <c r="G2298" s="3">
        <v>35.27494249299</v>
      </c>
      <c r="H2298" s="3">
        <v>126.889874924129</v>
      </c>
      <c r="I2298" t="s">
        <v>6063</v>
      </c>
      <c r="J2298" t="s">
        <v>9419</v>
      </c>
      <c r="K2298" t="s">
        <v>11652</v>
      </c>
      <c r="L2298" t="s">
        <v>3366</v>
      </c>
      <c r="M2298" t="s">
        <v>11885</v>
      </c>
      <c r="N2298" t="s">
        <v>3364</v>
      </c>
      <c r="O2298" t="s">
        <v>3360</v>
      </c>
      <c r="P2298" t="s">
        <v>15211</v>
      </c>
      <c r="Q2298" t="s">
        <v>15211</v>
      </c>
      <c r="R2298" t="s">
        <v>15211</v>
      </c>
      <c r="S2298" t="s">
        <v>15211</v>
      </c>
      <c r="T2298" t="s">
        <v>3368</v>
      </c>
      <c r="U2298" t="s">
        <v>14172</v>
      </c>
      <c r="V2298" t="s">
        <v>15278</v>
      </c>
    </row>
    <row r="2299" spans="1:22" hidden="1">
      <c r="A2299" t="s">
        <v>15414</v>
      </c>
      <c r="B2299" t="s">
        <v>15442</v>
      </c>
      <c r="C2299" t="s">
        <v>15450</v>
      </c>
      <c r="D2299" t="s">
        <v>2297</v>
      </c>
      <c r="E2299" t="s">
        <v>3435</v>
      </c>
      <c r="F2299" t="s">
        <v>3442</v>
      </c>
      <c r="G2299" s="3">
        <v>35.274942519448601</v>
      </c>
      <c r="H2299" s="3">
        <v>126.889874936908</v>
      </c>
      <c r="I2299" t="s">
        <v>6064</v>
      </c>
      <c r="J2299" t="s">
        <v>9420</v>
      </c>
      <c r="K2299" t="s">
        <v>11653</v>
      </c>
      <c r="L2299" t="s">
        <v>3366</v>
      </c>
      <c r="M2299" t="s">
        <v>11885</v>
      </c>
      <c r="N2299" t="s">
        <v>3364</v>
      </c>
      <c r="O2299" t="s">
        <v>3360</v>
      </c>
      <c r="P2299" t="s">
        <v>15211</v>
      </c>
      <c r="Q2299" t="s">
        <v>15211</v>
      </c>
      <c r="R2299" t="s">
        <v>15211</v>
      </c>
      <c r="S2299" t="s">
        <v>15211</v>
      </c>
      <c r="T2299" t="s">
        <v>3368</v>
      </c>
      <c r="U2299" t="s">
        <v>14173</v>
      </c>
      <c r="V2299" t="s">
        <v>15278</v>
      </c>
    </row>
    <row r="2300" spans="1:22" hidden="1">
      <c r="A2300" t="s">
        <v>15414</v>
      </c>
      <c r="B2300" t="s">
        <v>15442</v>
      </c>
      <c r="C2300" t="s">
        <v>15450</v>
      </c>
      <c r="D2300" t="s">
        <v>2298</v>
      </c>
      <c r="E2300" t="s">
        <v>3431</v>
      </c>
      <c r="F2300" t="s">
        <v>3442</v>
      </c>
      <c r="G2300" s="3">
        <v>35.274942538006599</v>
      </c>
      <c r="H2300" s="3">
        <v>126.88987495366599</v>
      </c>
      <c r="I2300" t="s">
        <v>6065</v>
      </c>
      <c r="J2300" t="s">
        <v>9421</v>
      </c>
      <c r="K2300" t="s">
        <v>10647</v>
      </c>
      <c r="L2300" t="s">
        <v>3366</v>
      </c>
      <c r="M2300" t="s">
        <v>11885</v>
      </c>
      <c r="N2300" t="s">
        <v>3364</v>
      </c>
      <c r="O2300" t="s">
        <v>3360</v>
      </c>
      <c r="P2300" t="s">
        <v>15211</v>
      </c>
      <c r="Q2300" t="s">
        <v>15211</v>
      </c>
      <c r="R2300" t="s">
        <v>15211</v>
      </c>
      <c r="S2300" t="s">
        <v>15211</v>
      </c>
      <c r="T2300" t="s">
        <v>3368</v>
      </c>
      <c r="U2300" t="s">
        <v>14174</v>
      </c>
      <c r="V2300" t="s">
        <v>15278</v>
      </c>
    </row>
    <row r="2301" spans="1:22" hidden="1">
      <c r="A2301" t="s">
        <v>15414</v>
      </c>
      <c r="B2301" t="s">
        <v>15442</v>
      </c>
      <c r="C2301" t="s">
        <v>15445</v>
      </c>
      <c r="D2301" t="s">
        <v>2299</v>
      </c>
      <c r="E2301" t="s">
        <v>3427</v>
      </c>
      <c r="F2301" t="s">
        <v>3436</v>
      </c>
      <c r="G2301" s="3">
        <v>35.274942912192202</v>
      </c>
      <c r="H2301" s="3">
        <v>126.88987500683</v>
      </c>
      <c r="I2301" t="s">
        <v>6066</v>
      </c>
      <c r="J2301" t="s">
        <v>9422</v>
      </c>
      <c r="K2301" t="s">
        <v>11654</v>
      </c>
      <c r="L2301" t="s">
        <v>3366</v>
      </c>
      <c r="M2301" t="s">
        <v>11886</v>
      </c>
      <c r="N2301" t="s">
        <v>3364</v>
      </c>
      <c r="O2301" t="s">
        <v>3359</v>
      </c>
      <c r="P2301" t="s">
        <v>15211</v>
      </c>
      <c r="Q2301" t="s">
        <v>15211</v>
      </c>
      <c r="R2301" t="s">
        <v>15211</v>
      </c>
      <c r="S2301" t="s">
        <v>15211</v>
      </c>
      <c r="T2301" t="s">
        <v>3367</v>
      </c>
      <c r="U2301" t="s">
        <v>14175</v>
      </c>
      <c r="V2301" t="s">
        <v>15279</v>
      </c>
    </row>
    <row r="2302" spans="1:22" hidden="1">
      <c r="A2302" t="s">
        <v>15414</v>
      </c>
      <c r="B2302" t="s">
        <v>15442</v>
      </c>
      <c r="C2302" t="s">
        <v>15445</v>
      </c>
      <c r="D2302" t="s">
        <v>2300</v>
      </c>
      <c r="E2302" t="s">
        <v>3427</v>
      </c>
      <c r="F2302" t="s">
        <v>3436</v>
      </c>
      <c r="G2302" s="3">
        <v>35.274942884874498</v>
      </c>
      <c r="H2302" s="3">
        <v>126.8898750283</v>
      </c>
      <c r="I2302" t="s">
        <v>6067</v>
      </c>
      <c r="J2302" t="s">
        <v>9423</v>
      </c>
      <c r="K2302" t="s">
        <v>10934</v>
      </c>
      <c r="L2302" t="s">
        <v>3366</v>
      </c>
      <c r="M2302" t="s">
        <v>11886</v>
      </c>
      <c r="N2302" t="s">
        <v>3364</v>
      </c>
      <c r="O2302" t="s">
        <v>3359</v>
      </c>
      <c r="P2302" t="s">
        <v>15211</v>
      </c>
      <c r="Q2302" t="s">
        <v>15211</v>
      </c>
      <c r="R2302" t="s">
        <v>15211</v>
      </c>
      <c r="S2302" t="s">
        <v>15211</v>
      </c>
      <c r="T2302" t="s">
        <v>3367</v>
      </c>
      <c r="U2302" t="s">
        <v>14176</v>
      </c>
      <c r="V2302" t="s">
        <v>15279</v>
      </c>
    </row>
    <row r="2303" spans="1:22" hidden="1">
      <c r="A2303" t="s">
        <v>15414</v>
      </c>
      <c r="B2303" t="s">
        <v>15442</v>
      </c>
      <c r="C2303" t="s">
        <v>15445</v>
      </c>
      <c r="D2303" t="s">
        <v>2301</v>
      </c>
      <c r="E2303" t="s">
        <v>3436</v>
      </c>
      <c r="F2303" t="s">
        <v>3434</v>
      </c>
      <c r="G2303" s="3">
        <v>35.274942884107404</v>
      </c>
      <c r="H2303" s="3">
        <v>126.889875057949</v>
      </c>
      <c r="I2303" t="s">
        <v>6068</v>
      </c>
      <c r="J2303" t="s">
        <v>9424</v>
      </c>
      <c r="K2303" t="s">
        <v>11655</v>
      </c>
      <c r="L2303" t="s">
        <v>3366</v>
      </c>
      <c r="M2303" t="s">
        <v>11886</v>
      </c>
      <c r="N2303" t="s">
        <v>3364</v>
      </c>
      <c r="O2303" t="s">
        <v>3359</v>
      </c>
      <c r="P2303" t="s">
        <v>15211</v>
      </c>
      <c r="Q2303" t="s">
        <v>15211</v>
      </c>
      <c r="R2303" t="s">
        <v>15211</v>
      </c>
      <c r="S2303" t="s">
        <v>15211</v>
      </c>
      <c r="T2303" t="s">
        <v>3367</v>
      </c>
      <c r="U2303" t="s">
        <v>14177</v>
      </c>
      <c r="V2303" t="s">
        <v>15279</v>
      </c>
    </row>
    <row r="2304" spans="1:22" hidden="1">
      <c r="A2304" t="s">
        <v>15414</v>
      </c>
      <c r="B2304" t="s">
        <v>15442</v>
      </c>
      <c r="C2304" t="s">
        <v>15451</v>
      </c>
      <c r="D2304" t="s">
        <v>2302</v>
      </c>
      <c r="E2304" t="s">
        <v>3440</v>
      </c>
      <c r="F2304" t="s">
        <v>3425</v>
      </c>
      <c r="G2304" s="3">
        <v>35.274942913679801</v>
      </c>
      <c r="H2304" s="3">
        <v>126.88987503258799</v>
      </c>
      <c r="I2304" t="s">
        <v>6069</v>
      </c>
      <c r="J2304" t="s">
        <v>9425</v>
      </c>
      <c r="K2304" t="s">
        <v>10529</v>
      </c>
      <c r="L2304" t="s">
        <v>3366</v>
      </c>
      <c r="M2304" t="s">
        <v>11889</v>
      </c>
      <c r="N2304" t="s">
        <v>3364</v>
      </c>
      <c r="O2304" t="s">
        <v>3359</v>
      </c>
      <c r="P2304" t="s">
        <v>3362</v>
      </c>
      <c r="Q2304" t="s">
        <v>3360</v>
      </c>
      <c r="R2304" t="s">
        <v>15211</v>
      </c>
      <c r="S2304" t="s">
        <v>15211</v>
      </c>
      <c r="T2304" t="s">
        <v>3377</v>
      </c>
      <c r="U2304" t="s">
        <v>14178</v>
      </c>
      <c r="V2304" t="s">
        <v>15280</v>
      </c>
    </row>
    <row r="2305" spans="1:22" hidden="1">
      <c r="A2305" t="s">
        <v>15414</v>
      </c>
      <c r="B2305" t="s">
        <v>15442</v>
      </c>
      <c r="C2305" t="s">
        <v>15451</v>
      </c>
      <c r="D2305" t="s">
        <v>2303</v>
      </c>
      <c r="E2305" t="s">
        <v>3440</v>
      </c>
      <c r="F2305" t="s">
        <v>3436</v>
      </c>
      <c r="G2305" s="3">
        <v>35.274942877852098</v>
      </c>
      <c r="H2305" s="3">
        <v>126.88987502681501</v>
      </c>
      <c r="I2305" t="s">
        <v>6070</v>
      </c>
      <c r="J2305" t="s">
        <v>9426</v>
      </c>
      <c r="K2305" t="s">
        <v>10616</v>
      </c>
      <c r="L2305" t="s">
        <v>3366</v>
      </c>
      <c r="M2305" t="s">
        <v>11889</v>
      </c>
      <c r="N2305" t="s">
        <v>3364</v>
      </c>
      <c r="O2305" t="s">
        <v>3359</v>
      </c>
      <c r="P2305" t="s">
        <v>3362</v>
      </c>
      <c r="Q2305" t="s">
        <v>3360</v>
      </c>
      <c r="R2305" t="s">
        <v>15211</v>
      </c>
      <c r="S2305" t="s">
        <v>15211</v>
      </c>
      <c r="T2305" t="s">
        <v>3377</v>
      </c>
      <c r="U2305" t="s">
        <v>14179</v>
      </c>
      <c r="V2305" t="s">
        <v>15280</v>
      </c>
    </row>
    <row r="2306" spans="1:22" hidden="1">
      <c r="A2306" t="s">
        <v>15414</v>
      </c>
      <c r="B2306" t="s">
        <v>15442</v>
      </c>
      <c r="C2306" t="s">
        <v>15451</v>
      </c>
      <c r="D2306" t="s">
        <v>2304</v>
      </c>
      <c r="E2306" t="s">
        <v>3440</v>
      </c>
      <c r="F2306" t="s">
        <v>3428</v>
      </c>
      <c r="G2306" s="3">
        <v>35.274942823497</v>
      </c>
      <c r="H2306" s="3">
        <v>126.889875028083</v>
      </c>
      <c r="I2306" t="s">
        <v>6071</v>
      </c>
      <c r="J2306" t="s">
        <v>9427</v>
      </c>
      <c r="K2306" t="s">
        <v>11064</v>
      </c>
      <c r="L2306" t="s">
        <v>3366</v>
      </c>
      <c r="M2306" t="s">
        <v>11888</v>
      </c>
      <c r="N2306" t="s">
        <v>3365</v>
      </c>
      <c r="O2306" t="s">
        <v>3359</v>
      </c>
      <c r="P2306" t="s">
        <v>3362</v>
      </c>
      <c r="Q2306" t="s">
        <v>3360</v>
      </c>
      <c r="R2306" t="s">
        <v>15211</v>
      </c>
      <c r="S2306" t="s">
        <v>15211</v>
      </c>
      <c r="T2306" t="s">
        <v>3378</v>
      </c>
      <c r="U2306" t="s">
        <v>14180</v>
      </c>
      <c r="V2306" t="s">
        <v>15280</v>
      </c>
    </row>
    <row r="2307" spans="1:22" hidden="1">
      <c r="A2307" t="s">
        <v>15415</v>
      </c>
      <c r="B2307" t="s">
        <v>15441</v>
      </c>
      <c r="C2307" t="s">
        <v>15445</v>
      </c>
      <c r="D2307" t="s">
        <v>2305</v>
      </c>
      <c r="E2307" t="s">
        <v>3425</v>
      </c>
      <c r="F2307" t="s">
        <v>3453</v>
      </c>
      <c r="G2307" s="3">
        <v>35.041663972614103</v>
      </c>
      <c r="H2307" s="3">
        <v>127.61696137417501</v>
      </c>
      <c r="I2307" t="s">
        <v>6072</v>
      </c>
      <c r="J2307" t="s">
        <v>9428</v>
      </c>
      <c r="K2307" t="s">
        <v>10772</v>
      </c>
      <c r="L2307" t="s">
        <v>3366</v>
      </c>
      <c r="M2307" t="s">
        <v>11885</v>
      </c>
      <c r="N2307" t="s">
        <v>3365</v>
      </c>
      <c r="O2307" t="s">
        <v>3359</v>
      </c>
      <c r="P2307" t="s">
        <v>15211</v>
      </c>
      <c r="Q2307" t="s">
        <v>15211</v>
      </c>
      <c r="R2307" t="s">
        <v>15211</v>
      </c>
      <c r="S2307" t="s">
        <v>15211</v>
      </c>
      <c r="T2307" t="s">
        <v>3368</v>
      </c>
      <c r="U2307" t="s">
        <v>14181</v>
      </c>
      <c r="V2307" t="s">
        <v>15274</v>
      </c>
    </row>
    <row r="2308" spans="1:22" hidden="1">
      <c r="A2308" t="s">
        <v>15415</v>
      </c>
      <c r="B2308" t="s">
        <v>15441</v>
      </c>
      <c r="C2308" t="s">
        <v>15445</v>
      </c>
      <c r="D2308" t="s">
        <v>2306</v>
      </c>
      <c r="E2308" t="s">
        <v>3425</v>
      </c>
      <c r="F2308" t="s">
        <v>3453</v>
      </c>
      <c r="G2308" s="3">
        <v>35.041663949508802</v>
      </c>
      <c r="H2308" s="3">
        <v>127.616961358597</v>
      </c>
      <c r="I2308" t="s">
        <v>6073</v>
      </c>
      <c r="J2308" t="s">
        <v>9429</v>
      </c>
      <c r="K2308" t="s">
        <v>11656</v>
      </c>
      <c r="L2308" t="s">
        <v>3366</v>
      </c>
      <c r="M2308" t="s">
        <v>11885</v>
      </c>
      <c r="N2308" t="s">
        <v>3365</v>
      </c>
      <c r="O2308" t="s">
        <v>3359</v>
      </c>
      <c r="P2308" t="s">
        <v>15211</v>
      </c>
      <c r="Q2308" t="s">
        <v>15211</v>
      </c>
      <c r="R2308" t="s">
        <v>15211</v>
      </c>
      <c r="S2308" t="s">
        <v>15211</v>
      </c>
      <c r="T2308" t="s">
        <v>3368</v>
      </c>
      <c r="U2308" t="s">
        <v>14182</v>
      </c>
      <c r="V2308" t="s">
        <v>15274</v>
      </c>
    </row>
    <row r="2309" spans="1:22" hidden="1">
      <c r="A2309" t="s">
        <v>15415</v>
      </c>
      <c r="B2309" t="s">
        <v>15441</v>
      </c>
      <c r="C2309" t="s">
        <v>15445</v>
      </c>
      <c r="D2309" t="s">
        <v>2307</v>
      </c>
      <c r="E2309" t="s">
        <v>3425</v>
      </c>
      <c r="F2309" t="s">
        <v>3432</v>
      </c>
      <c r="G2309" s="3">
        <v>35.041663940416697</v>
      </c>
      <c r="H2309" s="3">
        <v>127.616961335425</v>
      </c>
      <c r="I2309" t="s">
        <v>6074</v>
      </c>
      <c r="J2309" t="s">
        <v>9430</v>
      </c>
      <c r="K2309" t="s">
        <v>11657</v>
      </c>
      <c r="L2309" t="s">
        <v>3366</v>
      </c>
      <c r="M2309" t="s">
        <v>11885</v>
      </c>
      <c r="N2309" t="s">
        <v>3365</v>
      </c>
      <c r="O2309" t="s">
        <v>3359</v>
      </c>
      <c r="P2309" t="s">
        <v>15211</v>
      </c>
      <c r="Q2309" t="s">
        <v>15211</v>
      </c>
      <c r="R2309" t="s">
        <v>15211</v>
      </c>
      <c r="S2309" t="s">
        <v>15211</v>
      </c>
      <c r="T2309" t="s">
        <v>3368</v>
      </c>
      <c r="U2309" t="s">
        <v>14183</v>
      </c>
      <c r="V2309" t="s">
        <v>15274</v>
      </c>
    </row>
    <row r="2310" spans="1:22" hidden="1">
      <c r="A2310" t="s">
        <v>15415</v>
      </c>
      <c r="B2310" t="s">
        <v>15441</v>
      </c>
      <c r="C2310" t="s">
        <v>15446</v>
      </c>
      <c r="D2310" t="s">
        <v>2308</v>
      </c>
      <c r="E2310" t="s">
        <v>3431</v>
      </c>
      <c r="F2310" t="s">
        <v>3452</v>
      </c>
      <c r="G2310" s="3">
        <v>35.041663923726901</v>
      </c>
      <c r="H2310" s="3">
        <v>127.61696133816299</v>
      </c>
      <c r="I2310" t="s">
        <v>6075</v>
      </c>
      <c r="J2310" t="s">
        <v>9431</v>
      </c>
      <c r="K2310" t="s">
        <v>11362</v>
      </c>
      <c r="L2310" t="s">
        <v>3366</v>
      </c>
      <c r="M2310" t="s">
        <v>11885</v>
      </c>
      <c r="N2310" t="s">
        <v>3365</v>
      </c>
      <c r="O2310" t="s">
        <v>3359</v>
      </c>
      <c r="P2310" t="s">
        <v>15211</v>
      </c>
      <c r="Q2310" t="s">
        <v>15211</v>
      </c>
      <c r="R2310" t="s">
        <v>15211</v>
      </c>
      <c r="S2310" t="s">
        <v>15211</v>
      </c>
      <c r="T2310" t="s">
        <v>3368</v>
      </c>
      <c r="U2310" t="s">
        <v>14184</v>
      </c>
      <c r="V2310" t="s">
        <v>15275</v>
      </c>
    </row>
    <row r="2311" spans="1:22" hidden="1">
      <c r="A2311" t="s">
        <v>15415</v>
      </c>
      <c r="B2311" t="s">
        <v>15441</v>
      </c>
      <c r="C2311" t="s">
        <v>15446</v>
      </c>
      <c r="D2311" t="s">
        <v>2309</v>
      </c>
      <c r="E2311" t="s">
        <v>3431</v>
      </c>
      <c r="F2311" t="s">
        <v>3452</v>
      </c>
      <c r="G2311" s="3">
        <v>35.041663912490399</v>
      </c>
      <c r="H2311" s="3">
        <v>127.616961370235</v>
      </c>
      <c r="I2311" t="s">
        <v>6076</v>
      </c>
      <c r="J2311" t="s">
        <v>9432</v>
      </c>
      <c r="K2311" t="s">
        <v>10861</v>
      </c>
      <c r="L2311" t="s">
        <v>3366</v>
      </c>
      <c r="M2311" t="s">
        <v>11885</v>
      </c>
      <c r="N2311" t="s">
        <v>3365</v>
      </c>
      <c r="O2311" t="s">
        <v>3359</v>
      </c>
      <c r="P2311" t="s">
        <v>15211</v>
      </c>
      <c r="Q2311" t="s">
        <v>15211</v>
      </c>
      <c r="R2311" t="s">
        <v>15211</v>
      </c>
      <c r="S2311" t="s">
        <v>15211</v>
      </c>
      <c r="T2311" t="s">
        <v>3368</v>
      </c>
      <c r="U2311" t="s">
        <v>14185</v>
      </c>
      <c r="V2311" t="s">
        <v>15275</v>
      </c>
    </row>
    <row r="2312" spans="1:22" hidden="1">
      <c r="A2312" t="s">
        <v>15415</v>
      </c>
      <c r="B2312" t="s">
        <v>15441</v>
      </c>
      <c r="C2312" t="s">
        <v>15446</v>
      </c>
      <c r="D2312" t="s">
        <v>2310</v>
      </c>
      <c r="E2312" t="s">
        <v>3431</v>
      </c>
      <c r="F2312" t="s">
        <v>3433</v>
      </c>
      <c r="G2312" s="3">
        <v>35.041663893091801</v>
      </c>
      <c r="H2312" s="3">
        <v>127.616961364592</v>
      </c>
      <c r="I2312" t="s">
        <v>6077</v>
      </c>
      <c r="J2312" t="s">
        <v>9433</v>
      </c>
      <c r="K2312" t="s">
        <v>10558</v>
      </c>
      <c r="L2312" t="s">
        <v>3366</v>
      </c>
      <c r="M2312" t="s">
        <v>11885</v>
      </c>
      <c r="N2312" t="s">
        <v>3365</v>
      </c>
      <c r="O2312" t="s">
        <v>3359</v>
      </c>
      <c r="P2312" t="s">
        <v>15211</v>
      </c>
      <c r="Q2312" t="s">
        <v>15211</v>
      </c>
      <c r="R2312" t="s">
        <v>15211</v>
      </c>
      <c r="S2312" t="s">
        <v>15211</v>
      </c>
      <c r="T2312" t="s">
        <v>3368</v>
      </c>
      <c r="U2312" t="s">
        <v>14186</v>
      </c>
      <c r="V2312" t="s">
        <v>15275</v>
      </c>
    </row>
    <row r="2313" spans="1:22" hidden="1">
      <c r="A2313" t="s">
        <v>15415</v>
      </c>
      <c r="B2313" t="s">
        <v>15441</v>
      </c>
      <c r="C2313" t="s">
        <v>15448</v>
      </c>
      <c r="D2313" t="s">
        <v>2311</v>
      </c>
      <c r="E2313" t="s">
        <v>3431</v>
      </c>
      <c r="F2313" t="s">
        <v>3458</v>
      </c>
      <c r="G2313" s="3">
        <v>35.041663946295898</v>
      </c>
      <c r="H2313" s="3">
        <v>127.616961474283</v>
      </c>
      <c r="I2313" t="s">
        <v>6078</v>
      </c>
      <c r="J2313" t="s">
        <v>9434</v>
      </c>
      <c r="K2313" t="s">
        <v>10830</v>
      </c>
      <c r="L2313" t="s">
        <v>3366</v>
      </c>
      <c r="M2313" t="s">
        <v>11911</v>
      </c>
      <c r="N2313" t="s">
        <v>3365</v>
      </c>
      <c r="O2313" t="s">
        <v>3359</v>
      </c>
      <c r="P2313" t="s">
        <v>3364</v>
      </c>
      <c r="Q2313" t="s">
        <v>3364</v>
      </c>
      <c r="R2313" t="s">
        <v>3357</v>
      </c>
      <c r="S2313" t="s">
        <v>15211</v>
      </c>
      <c r="T2313" t="s">
        <v>3385</v>
      </c>
      <c r="U2313" t="s">
        <v>14187</v>
      </c>
      <c r="V2313" t="s">
        <v>15276</v>
      </c>
    </row>
    <row r="2314" spans="1:22" hidden="1">
      <c r="A2314" t="s">
        <v>15415</v>
      </c>
      <c r="B2314" t="s">
        <v>15441</v>
      </c>
      <c r="C2314" t="s">
        <v>15448</v>
      </c>
      <c r="D2314" t="s">
        <v>2312</v>
      </c>
      <c r="E2314" t="s">
        <v>3431</v>
      </c>
      <c r="F2314" t="s">
        <v>3563</v>
      </c>
      <c r="G2314" s="3">
        <v>35.041663953957197</v>
      </c>
      <c r="H2314" s="3">
        <v>127.616961447843</v>
      </c>
      <c r="I2314" t="s">
        <v>6079</v>
      </c>
      <c r="J2314" t="s">
        <v>9435</v>
      </c>
      <c r="K2314" t="s">
        <v>10830</v>
      </c>
      <c r="L2314" t="s">
        <v>3366</v>
      </c>
      <c r="M2314" t="s">
        <v>11911</v>
      </c>
      <c r="N2314" t="s">
        <v>3365</v>
      </c>
      <c r="O2314" t="s">
        <v>3359</v>
      </c>
      <c r="P2314" t="s">
        <v>3364</v>
      </c>
      <c r="Q2314" t="s">
        <v>3364</v>
      </c>
      <c r="R2314" t="s">
        <v>3357</v>
      </c>
      <c r="S2314" t="s">
        <v>15211</v>
      </c>
      <c r="T2314" t="s">
        <v>3385</v>
      </c>
      <c r="U2314" t="s">
        <v>14187</v>
      </c>
      <c r="V2314" t="s">
        <v>15276</v>
      </c>
    </row>
    <row r="2315" spans="1:22" hidden="1">
      <c r="A2315" t="s">
        <v>15415</v>
      </c>
      <c r="B2315" t="s">
        <v>15441</v>
      </c>
      <c r="C2315" t="s">
        <v>15448</v>
      </c>
      <c r="D2315" t="s">
        <v>2313</v>
      </c>
      <c r="E2315" t="s">
        <v>3431</v>
      </c>
      <c r="F2315" t="s">
        <v>3563</v>
      </c>
      <c r="G2315" s="3">
        <v>35.041663954863402</v>
      </c>
      <c r="H2315" s="3">
        <v>127.61696142199</v>
      </c>
      <c r="I2315" t="s">
        <v>6080</v>
      </c>
      <c r="J2315" t="s">
        <v>9436</v>
      </c>
      <c r="K2315" t="s">
        <v>11053</v>
      </c>
      <c r="L2315" t="s">
        <v>3366</v>
      </c>
      <c r="M2315" t="s">
        <v>11911</v>
      </c>
      <c r="N2315" t="s">
        <v>3365</v>
      </c>
      <c r="O2315" t="s">
        <v>3359</v>
      </c>
      <c r="P2315" t="s">
        <v>3364</v>
      </c>
      <c r="Q2315" t="s">
        <v>3364</v>
      </c>
      <c r="R2315" t="s">
        <v>3357</v>
      </c>
      <c r="S2315" t="s">
        <v>15211</v>
      </c>
      <c r="T2315" t="s">
        <v>3385</v>
      </c>
      <c r="U2315" t="s">
        <v>14188</v>
      </c>
      <c r="V2315" t="s">
        <v>15276</v>
      </c>
    </row>
    <row r="2316" spans="1:22" hidden="1">
      <c r="A2316" t="s">
        <v>15415</v>
      </c>
      <c r="B2316" t="s">
        <v>15441</v>
      </c>
      <c r="C2316" t="s">
        <v>15449</v>
      </c>
      <c r="D2316" t="s">
        <v>2314</v>
      </c>
      <c r="E2316" t="s">
        <v>3440</v>
      </c>
      <c r="F2316" t="s">
        <v>3435</v>
      </c>
      <c r="G2316" s="3">
        <v>35.041664009898902</v>
      </c>
      <c r="H2316" s="3">
        <v>127.616961379139</v>
      </c>
      <c r="I2316" t="s">
        <v>6081</v>
      </c>
      <c r="J2316" t="s">
        <v>9437</v>
      </c>
      <c r="K2316" t="s">
        <v>11658</v>
      </c>
      <c r="L2316" t="s">
        <v>3366</v>
      </c>
      <c r="M2316" t="s">
        <v>11896</v>
      </c>
      <c r="N2316" t="s">
        <v>3363</v>
      </c>
      <c r="O2316" t="s">
        <v>3358</v>
      </c>
      <c r="P2316" t="s">
        <v>3363</v>
      </c>
      <c r="Q2316" t="s">
        <v>3363</v>
      </c>
      <c r="R2316" t="s">
        <v>15211</v>
      </c>
      <c r="S2316" t="s">
        <v>15211</v>
      </c>
      <c r="T2316" t="s">
        <v>3379</v>
      </c>
      <c r="U2316" t="s">
        <v>14189</v>
      </c>
      <c r="V2316" t="s">
        <v>15277</v>
      </c>
    </row>
    <row r="2317" spans="1:22" hidden="1">
      <c r="A2317" t="s">
        <v>15415</v>
      </c>
      <c r="B2317" t="s">
        <v>15441</v>
      </c>
      <c r="C2317" t="s">
        <v>15449</v>
      </c>
      <c r="D2317" t="s">
        <v>2315</v>
      </c>
      <c r="E2317" t="s">
        <v>3440</v>
      </c>
      <c r="F2317" t="s">
        <v>3431</v>
      </c>
      <c r="G2317" s="3">
        <v>35.0416640541604</v>
      </c>
      <c r="H2317" s="3">
        <v>127.616961339914</v>
      </c>
      <c r="I2317" t="s">
        <v>6082</v>
      </c>
      <c r="J2317" t="s">
        <v>9438</v>
      </c>
      <c r="K2317" t="s">
        <v>11075</v>
      </c>
      <c r="L2317" t="s">
        <v>3366</v>
      </c>
      <c r="M2317" t="s">
        <v>11893</v>
      </c>
      <c r="N2317" t="s">
        <v>3363</v>
      </c>
      <c r="O2317" t="s">
        <v>3358</v>
      </c>
      <c r="P2317" t="s">
        <v>3363</v>
      </c>
      <c r="Q2317" t="s">
        <v>3364</v>
      </c>
      <c r="R2317" t="s">
        <v>15211</v>
      </c>
      <c r="S2317" t="s">
        <v>15211</v>
      </c>
      <c r="T2317" t="s">
        <v>3380</v>
      </c>
      <c r="U2317" t="s">
        <v>14190</v>
      </c>
      <c r="V2317" t="s">
        <v>15277</v>
      </c>
    </row>
    <row r="2318" spans="1:22" hidden="1">
      <c r="A2318" t="s">
        <v>15415</v>
      </c>
      <c r="B2318" t="s">
        <v>15441</v>
      </c>
      <c r="C2318" t="s">
        <v>15449</v>
      </c>
      <c r="D2318" t="s">
        <v>2316</v>
      </c>
      <c r="E2318" t="s">
        <v>3440</v>
      </c>
      <c r="F2318" t="s">
        <v>3431</v>
      </c>
      <c r="G2318" s="3">
        <v>35.041664047854901</v>
      </c>
      <c r="H2318" s="3">
        <v>127.616961338545</v>
      </c>
      <c r="I2318" t="s">
        <v>6083</v>
      </c>
      <c r="J2318" t="s">
        <v>9439</v>
      </c>
      <c r="K2318" t="s">
        <v>11659</v>
      </c>
      <c r="L2318" t="s">
        <v>3366</v>
      </c>
      <c r="M2318" t="s">
        <v>11893</v>
      </c>
      <c r="N2318" t="s">
        <v>3364</v>
      </c>
      <c r="O2318" t="s">
        <v>3358</v>
      </c>
      <c r="P2318" t="s">
        <v>3364</v>
      </c>
      <c r="Q2318" t="s">
        <v>3363</v>
      </c>
      <c r="R2318" t="s">
        <v>15211</v>
      </c>
      <c r="S2318" t="s">
        <v>15211</v>
      </c>
      <c r="T2318" t="s">
        <v>3381</v>
      </c>
      <c r="U2318" t="s">
        <v>14191</v>
      </c>
      <c r="V2318" t="s">
        <v>15277</v>
      </c>
    </row>
    <row r="2319" spans="1:22" hidden="1">
      <c r="A2319" t="s">
        <v>15415</v>
      </c>
      <c r="B2319" t="s">
        <v>15442</v>
      </c>
      <c r="C2319" t="s">
        <v>15450</v>
      </c>
      <c r="D2319" t="s">
        <v>2317</v>
      </c>
      <c r="E2319" t="s">
        <v>3440</v>
      </c>
      <c r="F2319" t="s">
        <v>3425</v>
      </c>
      <c r="G2319" s="3">
        <v>35.041663961842097</v>
      </c>
      <c r="H2319" s="3">
        <v>127.61696111366901</v>
      </c>
      <c r="I2319" t="s">
        <v>6084</v>
      </c>
      <c r="J2319" t="s">
        <v>9440</v>
      </c>
      <c r="K2319" t="s">
        <v>10889</v>
      </c>
      <c r="L2319" t="s">
        <v>3366</v>
      </c>
      <c r="M2319" t="s">
        <v>11894</v>
      </c>
      <c r="N2319" t="s">
        <v>3365</v>
      </c>
      <c r="O2319" t="s">
        <v>3361</v>
      </c>
      <c r="P2319" t="s">
        <v>15211</v>
      </c>
      <c r="Q2319" t="s">
        <v>15211</v>
      </c>
      <c r="R2319" t="s">
        <v>15211</v>
      </c>
      <c r="S2319" t="s">
        <v>15211</v>
      </c>
      <c r="T2319" t="s">
        <v>3370</v>
      </c>
      <c r="U2319" t="s">
        <v>14192</v>
      </c>
      <c r="V2319" t="s">
        <v>15278</v>
      </c>
    </row>
    <row r="2320" spans="1:22" hidden="1">
      <c r="A2320" t="s">
        <v>15415</v>
      </c>
      <c r="B2320" t="s">
        <v>15442</v>
      </c>
      <c r="C2320" t="s">
        <v>15450</v>
      </c>
      <c r="D2320" t="s">
        <v>2318</v>
      </c>
      <c r="E2320" t="s">
        <v>3440</v>
      </c>
      <c r="F2320" t="s">
        <v>3435</v>
      </c>
      <c r="G2320" s="3">
        <v>35.041663951342898</v>
      </c>
      <c r="H2320" s="3">
        <v>127.616961180373</v>
      </c>
      <c r="I2320" t="s">
        <v>6085</v>
      </c>
      <c r="J2320" t="s">
        <v>9441</v>
      </c>
      <c r="K2320" t="s">
        <v>10889</v>
      </c>
      <c r="L2320" t="s">
        <v>3366</v>
      </c>
      <c r="M2320" t="s">
        <v>11894</v>
      </c>
      <c r="N2320" t="s">
        <v>3365</v>
      </c>
      <c r="O2320" t="s">
        <v>3361</v>
      </c>
      <c r="P2320" t="s">
        <v>15211</v>
      </c>
      <c r="Q2320" t="s">
        <v>15211</v>
      </c>
      <c r="R2320" t="s">
        <v>15211</v>
      </c>
      <c r="S2320" t="s">
        <v>15211</v>
      </c>
      <c r="T2320" t="s">
        <v>3370</v>
      </c>
      <c r="U2320" t="s">
        <v>14193</v>
      </c>
      <c r="V2320" t="s">
        <v>15278</v>
      </c>
    </row>
    <row r="2321" spans="1:22" hidden="1">
      <c r="A2321" t="s">
        <v>15415</v>
      </c>
      <c r="B2321" t="s">
        <v>15442</v>
      </c>
      <c r="C2321" t="s">
        <v>15450</v>
      </c>
      <c r="D2321" t="s">
        <v>2319</v>
      </c>
      <c r="E2321" t="s">
        <v>3438</v>
      </c>
      <c r="F2321" t="s">
        <v>3435</v>
      </c>
      <c r="G2321" s="3">
        <v>35.041663955276398</v>
      </c>
      <c r="H2321" s="3">
        <v>127.616961211776</v>
      </c>
      <c r="I2321" t="s">
        <v>6086</v>
      </c>
      <c r="J2321" t="s">
        <v>9442</v>
      </c>
      <c r="K2321" t="s">
        <v>11143</v>
      </c>
      <c r="L2321" t="s">
        <v>3366</v>
      </c>
      <c r="M2321" t="s">
        <v>11894</v>
      </c>
      <c r="N2321" t="s">
        <v>3365</v>
      </c>
      <c r="O2321" t="s">
        <v>3361</v>
      </c>
      <c r="P2321" t="s">
        <v>15211</v>
      </c>
      <c r="Q2321" t="s">
        <v>15211</v>
      </c>
      <c r="R2321" t="s">
        <v>15211</v>
      </c>
      <c r="S2321" t="s">
        <v>15211</v>
      </c>
      <c r="T2321" t="s">
        <v>3370</v>
      </c>
      <c r="U2321" t="s">
        <v>14194</v>
      </c>
      <c r="V2321" t="s">
        <v>15278</v>
      </c>
    </row>
    <row r="2322" spans="1:22" hidden="1">
      <c r="A2322" t="s">
        <v>15415</v>
      </c>
      <c r="B2322" t="s">
        <v>15442</v>
      </c>
      <c r="C2322" t="s">
        <v>15445</v>
      </c>
      <c r="D2322" t="s">
        <v>2320</v>
      </c>
      <c r="E2322" t="s">
        <v>3437</v>
      </c>
      <c r="F2322" t="s">
        <v>3436</v>
      </c>
      <c r="G2322" s="3">
        <v>35.0416638315792</v>
      </c>
      <c r="H2322" s="3">
        <v>127.616961385099</v>
      </c>
      <c r="I2322" t="s">
        <v>6087</v>
      </c>
      <c r="J2322" t="s">
        <v>9443</v>
      </c>
      <c r="K2322" t="s">
        <v>10708</v>
      </c>
      <c r="L2322" t="s">
        <v>3366</v>
      </c>
      <c r="M2322" t="s">
        <v>11885</v>
      </c>
      <c r="N2322" t="s">
        <v>3365</v>
      </c>
      <c r="O2322" t="s">
        <v>3359</v>
      </c>
      <c r="P2322" t="s">
        <v>15211</v>
      </c>
      <c r="Q2322" t="s">
        <v>15211</v>
      </c>
      <c r="R2322" t="s">
        <v>15211</v>
      </c>
      <c r="S2322" t="s">
        <v>15211</v>
      </c>
      <c r="T2322" t="s">
        <v>3368</v>
      </c>
      <c r="U2322" t="s">
        <v>14195</v>
      </c>
      <c r="V2322" t="s">
        <v>15279</v>
      </c>
    </row>
    <row r="2323" spans="1:22" hidden="1">
      <c r="A2323" t="s">
        <v>15415</v>
      </c>
      <c r="B2323" t="s">
        <v>15442</v>
      </c>
      <c r="C2323" t="s">
        <v>15445</v>
      </c>
      <c r="D2323" t="s">
        <v>2321</v>
      </c>
      <c r="E2323" t="s">
        <v>3440</v>
      </c>
      <c r="F2323" t="s">
        <v>3431</v>
      </c>
      <c r="G2323" s="3">
        <v>35.041663828471599</v>
      </c>
      <c r="H2323" s="3">
        <v>127.616961378223</v>
      </c>
      <c r="I2323" t="s">
        <v>6088</v>
      </c>
      <c r="J2323" t="s">
        <v>9444</v>
      </c>
      <c r="K2323" t="s">
        <v>10708</v>
      </c>
      <c r="L2323" t="s">
        <v>3366</v>
      </c>
      <c r="M2323" t="s">
        <v>11885</v>
      </c>
      <c r="N2323" t="s">
        <v>3365</v>
      </c>
      <c r="O2323" t="s">
        <v>3359</v>
      </c>
      <c r="P2323" t="s">
        <v>15211</v>
      </c>
      <c r="Q2323" t="s">
        <v>15211</v>
      </c>
      <c r="R2323" t="s">
        <v>15211</v>
      </c>
      <c r="S2323" t="s">
        <v>15211</v>
      </c>
      <c r="T2323" t="s">
        <v>3368</v>
      </c>
      <c r="U2323" t="s">
        <v>14196</v>
      </c>
      <c r="V2323" t="s">
        <v>15279</v>
      </c>
    </row>
    <row r="2324" spans="1:22" hidden="1">
      <c r="A2324" t="s">
        <v>15415</v>
      </c>
      <c r="B2324" t="s">
        <v>15442</v>
      </c>
      <c r="C2324" t="s">
        <v>15445</v>
      </c>
      <c r="D2324" t="s">
        <v>2322</v>
      </c>
      <c r="E2324" t="s">
        <v>3438</v>
      </c>
      <c r="F2324" t="s">
        <v>3435</v>
      </c>
      <c r="G2324" s="3">
        <v>35.041663844981301</v>
      </c>
      <c r="H2324" s="3">
        <v>127.6169614149</v>
      </c>
      <c r="I2324" t="s">
        <v>6089</v>
      </c>
      <c r="J2324" t="s">
        <v>9445</v>
      </c>
      <c r="K2324" t="s">
        <v>11660</v>
      </c>
      <c r="L2324" t="s">
        <v>3366</v>
      </c>
      <c r="M2324" t="s">
        <v>11885</v>
      </c>
      <c r="N2324" t="s">
        <v>3365</v>
      </c>
      <c r="O2324" t="s">
        <v>3359</v>
      </c>
      <c r="P2324" t="s">
        <v>15211</v>
      </c>
      <c r="Q2324" t="s">
        <v>15211</v>
      </c>
      <c r="R2324" t="s">
        <v>15211</v>
      </c>
      <c r="S2324" t="s">
        <v>15211</v>
      </c>
      <c r="T2324" t="s">
        <v>3368</v>
      </c>
      <c r="U2324" t="s">
        <v>14197</v>
      </c>
      <c r="V2324" t="s">
        <v>15279</v>
      </c>
    </row>
    <row r="2325" spans="1:22" hidden="1">
      <c r="A2325" t="s">
        <v>15415</v>
      </c>
      <c r="B2325" t="s">
        <v>15442</v>
      </c>
      <c r="C2325" t="s">
        <v>15451</v>
      </c>
      <c r="D2325" t="s">
        <v>2323</v>
      </c>
      <c r="E2325" t="s">
        <v>3437</v>
      </c>
      <c r="F2325" t="s">
        <v>3425</v>
      </c>
      <c r="G2325" s="3">
        <v>35.041663905036799</v>
      </c>
      <c r="H2325" s="3">
        <v>127.61696138230801</v>
      </c>
      <c r="I2325" t="s">
        <v>6090</v>
      </c>
      <c r="J2325" t="s">
        <v>9446</v>
      </c>
      <c r="K2325" t="s">
        <v>3742</v>
      </c>
      <c r="L2325" t="s">
        <v>3366</v>
      </c>
      <c r="M2325" t="s">
        <v>11913</v>
      </c>
      <c r="N2325" t="s">
        <v>3365</v>
      </c>
      <c r="O2325" t="s">
        <v>3359</v>
      </c>
      <c r="P2325" t="s">
        <v>3364</v>
      </c>
      <c r="Q2325" t="s">
        <v>3367</v>
      </c>
      <c r="R2325" t="s">
        <v>15211</v>
      </c>
      <c r="S2325" t="s">
        <v>15211</v>
      </c>
      <c r="T2325" t="s">
        <v>3387</v>
      </c>
      <c r="U2325" t="s">
        <v>14198</v>
      </c>
      <c r="V2325" t="s">
        <v>15280</v>
      </c>
    </row>
    <row r="2326" spans="1:22" hidden="1">
      <c r="A2326" t="s">
        <v>15415</v>
      </c>
      <c r="B2326" t="s">
        <v>15442</v>
      </c>
      <c r="C2326" t="s">
        <v>15451</v>
      </c>
      <c r="D2326" t="s">
        <v>2324</v>
      </c>
      <c r="E2326" t="s">
        <v>3437</v>
      </c>
      <c r="F2326" t="s">
        <v>3425</v>
      </c>
      <c r="G2326" s="3">
        <v>35.041663912027602</v>
      </c>
      <c r="H2326" s="3">
        <v>127.61696135757001</v>
      </c>
      <c r="I2326" t="s">
        <v>6091</v>
      </c>
      <c r="J2326" t="s">
        <v>9447</v>
      </c>
      <c r="K2326" t="s">
        <v>3742</v>
      </c>
      <c r="L2326" t="s">
        <v>3366</v>
      </c>
      <c r="M2326" t="s">
        <v>11913</v>
      </c>
      <c r="N2326" t="s">
        <v>3365</v>
      </c>
      <c r="O2326" t="s">
        <v>3359</v>
      </c>
      <c r="P2326" t="s">
        <v>3364</v>
      </c>
      <c r="Q2326" t="s">
        <v>3367</v>
      </c>
      <c r="R2326" t="s">
        <v>15211</v>
      </c>
      <c r="S2326" t="s">
        <v>15211</v>
      </c>
      <c r="T2326" t="s">
        <v>3387</v>
      </c>
      <c r="U2326" t="s">
        <v>14199</v>
      </c>
      <c r="V2326" t="s">
        <v>15280</v>
      </c>
    </row>
    <row r="2327" spans="1:22" hidden="1">
      <c r="A2327" t="s">
        <v>15415</v>
      </c>
      <c r="B2327" t="s">
        <v>15442</v>
      </c>
      <c r="C2327" t="s">
        <v>15451</v>
      </c>
      <c r="D2327" t="s">
        <v>2325</v>
      </c>
      <c r="E2327" t="s">
        <v>3437</v>
      </c>
      <c r="F2327" t="s">
        <v>3425</v>
      </c>
      <c r="G2327" s="3">
        <v>35.041663915601603</v>
      </c>
      <c r="H2327" s="3">
        <v>127.61696131980899</v>
      </c>
      <c r="I2327" t="s">
        <v>6092</v>
      </c>
      <c r="J2327" t="s">
        <v>9448</v>
      </c>
      <c r="K2327" t="s">
        <v>3742</v>
      </c>
      <c r="L2327" t="s">
        <v>3366</v>
      </c>
      <c r="M2327" t="s">
        <v>11913</v>
      </c>
      <c r="N2327" t="s">
        <v>3365</v>
      </c>
      <c r="O2327" t="s">
        <v>3359</v>
      </c>
      <c r="P2327" t="s">
        <v>3364</v>
      </c>
      <c r="Q2327" t="s">
        <v>3367</v>
      </c>
      <c r="R2327" t="s">
        <v>15211</v>
      </c>
      <c r="S2327" t="s">
        <v>15211</v>
      </c>
      <c r="T2327" t="s">
        <v>3387</v>
      </c>
      <c r="U2327" t="s">
        <v>14200</v>
      </c>
      <c r="V2327" t="s">
        <v>15280</v>
      </c>
    </row>
    <row r="2328" spans="1:22" hidden="1">
      <c r="A2328" t="s">
        <v>15416</v>
      </c>
      <c r="B2328" t="s">
        <v>15441</v>
      </c>
      <c r="C2328" t="s">
        <v>15445</v>
      </c>
      <c r="D2328" t="s">
        <v>2326</v>
      </c>
      <c r="E2328" t="s">
        <v>3425</v>
      </c>
      <c r="F2328" t="s">
        <v>3432</v>
      </c>
      <c r="G2328" s="3">
        <v>35.165543023214802</v>
      </c>
      <c r="H2328" s="3">
        <v>127.543669276361</v>
      </c>
      <c r="I2328" t="s">
        <v>6093</v>
      </c>
      <c r="J2328" t="s">
        <v>9449</v>
      </c>
      <c r="K2328" t="s">
        <v>10573</v>
      </c>
      <c r="L2328" t="s">
        <v>3366</v>
      </c>
      <c r="M2328" t="s">
        <v>11890</v>
      </c>
      <c r="N2328" t="s">
        <v>3363</v>
      </c>
      <c r="O2328" t="s">
        <v>3362</v>
      </c>
      <c r="P2328" t="s">
        <v>15211</v>
      </c>
      <c r="Q2328" t="s">
        <v>15211</v>
      </c>
      <c r="R2328" t="s">
        <v>15211</v>
      </c>
      <c r="S2328" t="s">
        <v>15211</v>
      </c>
      <c r="T2328" t="s">
        <v>3369</v>
      </c>
      <c r="U2328" t="s">
        <v>14201</v>
      </c>
      <c r="V2328" t="s">
        <v>15274</v>
      </c>
    </row>
    <row r="2329" spans="1:22" hidden="1">
      <c r="A2329" t="s">
        <v>15416</v>
      </c>
      <c r="B2329" t="s">
        <v>15441</v>
      </c>
      <c r="C2329" t="s">
        <v>15445</v>
      </c>
      <c r="D2329" t="s">
        <v>2327</v>
      </c>
      <c r="E2329" t="s">
        <v>3425</v>
      </c>
      <c r="F2329" t="s">
        <v>3432</v>
      </c>
      <c r="G2329" s="3">
        <v>35.165543000936999</v>
      </c>
      <c r="H2329" s="3">
        <v>127.54366929940601</v>
      </c>
      <c r="I2329" t="s">
        <v>6094</v>
      </c>
      <c r="J2329" t="s">
        <v>9450</v>
      </c>
      <c r="K2329" t="s">
        <v>10574</v>
      </c>
      <c r="L2329" t="s">
        <v>3366</v>
      </c>
      <c r="M2329" t="s">
        <v>11890</v>
      </c>
      <c r="N2329" t="s">
        <v>3363</v>
      </c>
      <c r="O2329" t="s">
        <v>3362</v>
      </c>
      <c r="P2329" t="s">
        <v>15211</v>
      </c>
      <c r="Q2329" t="s">
        <v>15211</v>
      </c>
      <c r="R2329" t="s">
        <v>15211</v>
      </c>
      <c r="S2329" t="s">
        <v>15211</v>
      </c>
      <c r="T2329" t="s">
        <v>3369</v>
      </c>
      <c r="U2329" t="s">
        <v>14202</v>
      </c>
      <c r="V2329" t="s">
        <v>15274</v>
      </c>
    </row>
    <row r="2330" spans="1:22" hidden="1">
      <c r="A2330" t="s">
        <v>15416</v>
      </c>
      <c r="B2330" t="s">
        <v>15441</v>
      </c>
      <c r="C2330" t="s">
        <v>15445</v>
      </c>
      <c r="D2330" t="s">
        <v>2328</v>
      </c>
      <c r="E2330" t="s">
        <v>3425</v>
      </c>
      <c r="F2330" t="s">
        <v>3433</v>
      </c>
      <c r="G2330" s="3">
        <v>35.165542992159402</v>
      </c>
      <c r="H2330" s="3">
        <v>127.543669298691</v>
      </c>
      <c r="I2330" t="s">
        <v>6095</v>
      </c>
      <c r="J2330" t="s">
        <v>9451</v>
      </c>
      <c r="K2330" t="s">
        <v>11661</v>
      </c>
      <c r="L2330" t="s">
        <v>3366</v>
      </c>
      <c r="M2330" t="s">
        <v>11890</v>
      </c>
      <c r="N2330" t="s">
        <v>3363</v>
      </c>
      <c r="O2330" t="s">
        <v>3362</v>
      </c>
      <c r="P2330" t="s">
        <v>15211</v>
      </c>
      <c r="Q2330" t="s">
        <v>15211</v>
      </c>
      <c r="R2330" t="s">
        <v>15211</v>
      </c>
      <c r="S2330" t="s">
        <v>15211</v>
      </c>
      <c r="T2330" t="s">
        <v>3369</v>
      </c>
      <c r="U2330" t="s">
        <v>14203</v>
      </c>
      <c r="V2330" t="s">
        <v>15274</v>
      </c>
    </row>
    <row r="2331" spans="1:22" hidden="1">
      <c r="A2331" t="s">
        <v>15416</v>
      </c>
      <c r="B2331" t="s">
        <v>15441</v>
      </c>
      <c r="C2331" t="s">
        <v>15446</v>
      </c>
      <c r="D2331" t="s">
        <v>2329</v>
      </c>
      <c r="E2331" t="s">
        <v>3425</v>
      </c>
      <c r="F2331" t="s">
        <v>3462</v>
      </c>
      <c r="G2331" s="3">
        <v>35.165543081481502</v>
      </c>
      <c r="H2331" s="3">
        <v>127.54366935821599</v>
      </c>
      <c r="I2331" t="s">
        <v>6096</v>
      </c>
      <c r="J2331" t="s">
        <v>9452</v>
      </c>
      <c r="K2331" t="s">
        <v>11662</v>
      </c>
      <c r="L2331" t="s">
        <v>3366</v>
      </c>
      <c r="M2331" t="s">
        <v>11890</v>
      </c>
      <c r="N2331" t="s">
        <v>3363</v>
      </c>
      <c r="O2331" t="s">
        <v>3362</v>
      </c>
      <c r="P2331" t="s">
        <v>15211</v>
      </c>
      <c r="Q2331" t="s">
        <v>15211</v>
      </c>
      <c r="R2331" t="s">
        <v>15211</v>
      </c>
      <c r="S2331" t="s">
        <v>15211</v>
      </c>
      <c r="T2331" t="s">
        <v>3369</v>
      </c>
      <c r="U2331" t="s">
        <v>14204</v>
      </c>
      <c r="V2331" t="s">
        <v>15275</v>
      </c>
    </row>
    <row r="2332" spans="1:22" hidden="1">
      <c r="A2332" t="s">
        <v>15416</v>
      </c>
      <c r="B2332" t="s">
        <v>15441</v>
      </c>
      <c r="C2332" t="s">
        <v>15446</v>
      </c>
      <c r="D2332" t="s">
        <v>2330</v>
      </c>
      <c r="E2332" t="s">
        <v>3425</v>
      </c>
      <c r="F2332" t="s">
        <v>3462</v>
      </c>
      <c r="G2332" s="3">
        <v>35.165543080903198</v>
      </c>
      <c r="H2332" s="3">
        <v>127.54366935949599</v>
      </c>
      <c r="I2332" t="s">
        <v>6097</v>
      </c>
      <c r="J2332" t="s">
        <v>9453</v>
      </c>
      <c r="K2332" t="s">
        <v>11663</v>
      </c>
      <c r="L2332" t="s">
        <v>3366</v>
      </c>
      <c r="M2332" t="s">
        <v>11890</v>
      </c>
      <c r="N2332" t="s">
        <v>3363</v>
      </c>
      <c r="O2332" t="s">
        <v>3362</v>
      </c>
      <c r="P2332" t="s">
        <v>15211</v>
      </c>
      <c r="Q2332" t="s">
        <v>15211</v>
      </c>
      <c r="R2332" t="s">
        <v>15211</v>
      </c>
      <c r="S2332" t="s">
        <v>15211</v>
      </c>
      <c r="T2332" t="s">
        <v>3369</v>
      </c>
      <c r="U2332" t="s">
        <v>14205</v>
      </c>
      <c r="V2332" t="s">
        <v>15275</v>
      </c>
    </row>
    <row r="2333" spans="1:22" hidden="1">
      <c r="A2333" t="s">
        <v>15416</v>
      </c>
      <c r="B2333" t="s">
        <v>15441</v>
      </c>
      <c r="C2333" t="s">
        <v>15446</v>
      </c>
      <c r="D2333" t="s">
        <v>2331</v>
      </c>
      <c r="E2333" t="s">
        <v>3425</v>
      </c>
      <c r="F2333" t="s">
        <v>3426</v>
      </c>
      <c r="G2333" s="3">
        <v>35.1655430926957</v>
      </c>
      <c r="H2333" s="3">
        <v>127.54366935709599</v>
      </c>
      <c r="I2333" t="s">
        <v>6098</v>
      </c>
      <c r="J2333" t="s">
        <v>9454</v>
      </c>
      <c r="K2333" t="s">
        <v>11581</v>
      </c>
      <c r="L2333" t="s">
        <v>3366</v>
      </c>
      <c r="M2333" t="s">
        <v>11890</v>
      </c>
      <c r="N2333" t="s">
        <v>3363</v>
      </c>
      <c r="O2333" t="s">
        <v>3362</v>
      </c>
      <c r="P2333" t="s">
        <v>15211</v>
      </c>
      <c r="Q2333" t="s">
        <v>15211</v>
      </c>
      <c r="R2333" t="s">
        <v>15211</v>
      </c>
      <c r="S2333" t="s">
        <v>15211</v>
      </c>
      <c r="T2333" t="s">
        <v>3369</v>
      </c>
      <c r="U2333" t="s">
        <v>14206</v>
      </c>
      <c r="V2333" t="s">
        <v>15275</v>
      </c>
    </row>
    <row r="2334" spans="1:22" hidden="1">
      <c r="A2334" t="s">
        <v>15416</v>
      </c>
      <c r="B2334" t="s">
        <v>15441</v>
      </c>
      <c r="C2334" t="s">
        <v>15448</v>
      </c>
      <c r="D2334" t="s">
        <v>2332</v>
      </c>
      <c r="E2334" t="s">
        <v>3425</v>
      </c>
      <c r="F2334" t="s">
        <v>3563</v>
      </c>
      <c r="G2334" s="3">
        <v>35.165543008979597</v>
      </c>
      <c r="H2334" s="3">
        <v>127.543669232827</v>
      </c>
      <c r="I2334" t="s">
        <v>6099</v>
      </c>
      <c r="J2334" t="s">
        <v>9455</v>
      </c>
      <c r="K2334" t="s">
        <v>11664</v>
      </c>
      <c r="L2334" t="s">
        <v>3366</v>
      </c>
      <c r="M2334" t="s">
        <v>11918</v>
      </c>
      <c r="N2334" t="s">
        <v>3364</v>
      </c>
      <c r="O2334" t="s">
        <v>3362</v>
      </c>
      <c r="P2334" t="s">
        <v>3363</v>
      </c>
      <c r="Q2334" t="s">
        <v>3372</v>
      </c>
      <c r="R2334" t="s">
        <v>3357</v>
      </c>
      <c r="S2334" t="s">
        <v>15211</v>
      </c>
      <c r="T2334" t="s">
        <v>3394</v>
      </c>
      <c r="U2334" t="s">
        <v>14207</v>
      </c>
      <c r="V2334" t="s">
        <v>15276</v>
      </c>
    </row>
    <row r="2335" spans="1:22" hidden="1">
      <c r="A2335" t="s">
        <v>15416</v>
      </c>
      <c r="B2335" t="s">
        <v>15441</v>
      </c>
      <c r="C2335" t="s">
        <v>15448</v>
      </c>
      <c r="D2335" t="s">
        <v>2333</v>
      </c>
      <c r="E2335" t="s">
        <v>3425</v>
      </c>
      <c r="F2335" t="s">
        <v>3564</v>
      </c>
      <c r="G2335" s="3">
        <v>35.1655429880716</v>
      </c>
      <c r="H2335" s="3">
        <v>127.543669237469</v>
      </c>
      <c r="I2335" t="s">
        <v>6100</v>
      </c>
      <c r="J2335" t="s">
        <v>9456</v>
      </c>
      <c r="K2335" t="s">
        <v>11664</v>
      </c>
      <c r="L2335" t="s">
        <v>3366</v>
      </c>
      <c r="M2335" t="s">
        <v>11918</v>
      </c>
      <c r="N2335" t="s">
        <v>3364</v>
      </c>
      <c r="O2335" t="s">
        <v>3362</v>
      </c>
      <c r="P2335" t="s">
        <v>3363</v>
      </c>
      <c r="Q2335" t="s">
        <v>3372</v>
      </c>
      <c r="R2335" t="s">
        <v>3357</v>
      </c>
      <c r="S2335" t="s">
        <v>15211</v>
      </c>
      <c r="T2335" t="s">
        <v>3394</v>
      </c>
      <c r="U2335" t="s">
        <v>14208</v>
      </c>
      <c r="V2335" t="s">
        <v>15276</v>
      </c>
    </row>
    <row r="2336" spans="1:22" hidden="1">
      <c r="A2336" t="s">
        <v>15416</v>
      </c>
      <c r="B2336" t="s">
        <v>15441</v>
      </c>
      <c r="C2336" t="s">
        <v>15448</v>
      </c>
      <c r="D2336" t="s">
        <v>2334</v>
      </c>
      <c r="E2336" t="s">
        <v>3425</v>
      </c>
      <c r="F2336" t="s">
        <v>3540</v>
      </c>
      <c r="G2336" s="3">
        <v>35.165542977372802</v>
      </c>
      <c r="H2336" s="3">
        <v>127.543669234734</v>
      </c>
      <c r="I2336" t="s">
        <v>6101</v>
      </c>
      <c r="J2336" t="s">
        <v>9457</v>
      </c>
      <c r="K2336" t="s">
        <v>11664</v>
      </c>
      <c r="L2336" t="s">
        <v>3366</v>
      </c>
      <c r="M2336" t="s">
        <v>11918</v>
      </c>
      <c r="N2336" t="s">
        <v>3364</v>
      </c>
      <c r="O2336" t="s">
        <v>3362</v>
      </c>
      <c r="P2336" t="s">
        <v>3363</v>
      </c>
      <c r="Q2336" t="s">
        <v>3372</v>
      </c>
      <c r="R2336" t="s">
        <v>3357</v>
      </c>
      <c r="S2336" t="s">
        <v>15211</v>
      </c>
      <c r="T2336" t="s">
        <v>3394</v>
      </c>
      <c r="U2336" t="s">
        <v>14209</v>
      </c>
      <c r="V2336" t="s">
        <v>15276</v>
      </c>
    </row>
    <row r="2337" spans="1:22" hidden="1">
      <c r="A2337" t="s">
        <v>15416</v>
      </c>
      <c r="B2337" t="s">
        <v>15441</v>
      </c>
      <c r="C2337" t="s">
        <v>15449</v>
      </c>
      <c r="D2337" t="s">
        <v>2335</v>
      </c>
      <c r="E2337" t="s">
        <v>3428</v>
      </c>
      <c r="F2337" t="s">
        <v>3453</v>
      </c>
      <c r="G2337" s="3">
        <v>35.165543018975598</v>
      </c>
      <c r="H2337" s="3">
        <v>127.543669381893</v>
      </c>
      <c r="I2337" t="s">
        <v>6102</v>
      </c>
      <c r="J2337" t="s">
        <v>9458</v>
      </c>
      <c r="K2337" t="s">
        <v>11665</v>
      </c>
      <c r="L2337" t="s">
        <v>3366</v>
      </c>
      <c r="M2337" t="s">
        <v>11891</v>
      </c>
      <c r="N2337" t="s">
        <v>3363</v>
      </c>
      <c r="O2337" t="s">
        <v>15211</v>
      </c>
      <c r="P2337" t="s">
        <v>3363</v>
      </c>
      <c r="Q2337" t="s">
        <v>3366</v>
      </c>
      <c r="R2337" t="s">
        <v>15211</v>
      </c>
      <c r="S2337" t="s">
        <v>15211</v>
      </c>
      <c r="T2337" t="s">
        <v>3380</v>
      </c>
      <c r="U2337" t="s">
        <v>14205</v>
      </c>
      <c r="V2337" t="s">
        <v>15277</v>
      </c>
    </row>
    <row r="2338" spans="1:22" hidden="1">
      <c r="A2338" t="s">
        <v>15416</v>
      </c>
      <c r="B2338" t="s">
        <v>15441</v>
      </c>
      <c r="C2338" t="s">
        <v>15449</v>
      </c>
      <c r="D2338" t="s">
        <v>2336</v>
      </c>
      <c r="E2338" t="s">
        <v>3428</v>
      </c>
      <c r="F2338" t="s">
        <v>3432</v>
      </c>
      <c r="G2338" s="3">
        <v>35.165543036604703</v>
      </c>
      <c r="H2338" s="3">
        <v>127.543669404119</v>
      </c>
      <c r="I2338" t="s">
        <v>6103</v>
      </c>
      <c r="J2338" t="s">
        <v>9459</v>
      </c>
      <c r="K2338" t="s">
        <v>11665</v>
      </c>
      <c r="L2338" t="s">
        <v>3366</v>
      </c>
      <c r="M2338" t="s">
        <v>11891</v>
      </c>
      <c r="N2338" t="s">
        <v>3363</v>
      </c>
      <c r="O2338" t="s">
        <v>15211</v>
      </c>
      <c r="P2338" t="s">
        <v>3363</v>
      </c>
      <c r="Q2338" t="s">
        <v>3366</v>
      </c>
      <c r="R2338" t="s">
        <v>15211</v>
      </c>
      <c r="S2338" t="s">
        <v>15211</v>
      </c>
      <c r="T2338" t="s">
        <v>3380</v>
      </c>
      <c r="U2338" t="s">
        <v>14210</v>
      </c>
      <c r="V2338" t="s">
        <v>15277</v>
      </c>
    </row>
    <row r="2339" spans="1:22" hidden="1">
      <c r="A2339" t="s">
        <v>15416</v>
      </c>
      <c r="B2339" t="s">
        <v>15441</v>
      </c>
      <c r="C2339" t="s">
        <v>15449</v>
      </c>
      <c r="D2339" t="s">
        <v>2337</v>
      </c>
      <c r="E2339" t="s">
        <v>3436</v>
      </c>
      <c r="F2339" t="s">
        <v>3433</v>
      </c>
      <c r="G2339" s="3">
        <v>35.165543033579198</v>
      </c>
      <c r="H2339" s="3">
        <v>127.543669417532</v>
      </c>
      <c r="I2339" t="s">
        <v>6104</v>
      </c>
      <c r="J2339" t="s">
        <v>9460</v>
      </c>
      <c r="K2339" t="s">
        <v>11665</v>
      </c>
      <c r="L2339" t="s">
        <v>3366</v>
      </c>
      <c r="M2339" t="s">
        <v>11891</v>
      </c>
      <c r="N2339" t="s">
        <v>3363</v>
      </c>
      <c r="O2339" t="s">
        <v>15211</v>
      </c>
      <c r="P2339" t="s">
        <v>3363</v>
      </c>
      <c r="Q2339" t="s">
        <v>3366</v>
      </c>
      <c r="R2339" t="s">
        <v>15211</v>
      </c>
      <c r="S2339" t="s">
        <v>15211</v>
      </c>
      <c r="T2339" t="s">
        <v>3380</v>
      </c>
      <c r="U2339" t="s">
        <v>14211</v>
      </c>
      <c r="V2339" t="s">
        <v>15277</v>
      </c>
    </row>
    <row r="2340" spans="1:22" hidden="1">
      <c r="A2340" t="s">
        <v>15416</v>
      </c>
      <c r="B2340" t="s">
        <v>15442</v>
      </c>
      <c r="C2340" t="s">
        <v>15450</v>
      </c>
      <c r="D2340" t="s">
        <v>2338</v>
      </c>
      <c r="E2340" t="s">
        <v>3431</v>
      </c>
      <c r="F2340" t="s">
        <v>3511</v>
      </c>
      <c r="G2340" s="3">
        <v>35.165543000039897</v>
      </c>
      <c r="H2340" s="3">
        <v>127.54366985317399</v>
      </c>
      <c r="I2340" t="s">
        <v>6105</v>
      </c>
      <c r="J2340" t="s">
        <v>9461</v>
      </c>
      <c r="K2340" t="s">
        <v>11661</v>
      </c>
      <c r="L2340" t="s">
        <v>3366</v>
      </c>
      <c r="M2340" t="s">
        <v>11895</v>
      </c>
      <c r="N2340" t="s">
        <v>3363</v>
      </c>
      <c r="O2340" t="s">
        <v>3364</v>
      </c>
      <c r="P2340" t="s">
        <v>15211</v>
      </c>
      <c r="Q2340" t="s">
        <v>15211</v>
      </c>
      <c r="R2340" t="s">
        <v>15211</v>
      </c>
      <c r="S2340" t="s">
        <v>15211</v>
      </c>
      <c r="T2340" t="s">
        <v>3371</v>
      </c>
      <c r="U2340" t="s">
        <v>14212</v>
      </c>
      <c r="V2340" t="s">
        <v>15278</v>
      </c>
    </row>
    <row r="2341" spans="1:22" hidden="1">
      <c r="A2341" t="s">
        <v>15416</v>
      </c>
      <c r="B2341" t="s">
        <v>15442</v>
      </c>
      <c r="C2341" t="s">
        <v>15450</v>
      </c>
      <c r="D2341" t="s">
        <v>2339</v>
      </c>
      <c r="E2341" t="s">
        <v>3434</v>
      </c>
      <c r="F2341" t="s">
        <v>3484</v>
      </c>
      <c r="G2341" s="3">
        <v>35.165542985526699</v>
      </c>
      <c r="H2341" s="3">
        <v>127.543669836286</v>
      </c>
      <c r="I2341" t="s">
        <v>6106</v>
      </c>
      <c r="J2341" t="s">
        <v>9462</v>
      </c>
      <c r="K2341" t="s">
        <v>11666</v>
      </c>
      <c r="L2341" t="s">
        <v>3366</v>
      </c>
      <c r="M2341" t="s">
        <v>11895</v>
      </c>
      <c r="N2341" t="s">
        <v>3363</v>
      </c>
      <c r="O2341" t="s">
        <v>3364</v>
      </c>
      <c r="P2341" t="s">
        <v>15211</v>
      </c>
      <c r="Q2341" t="s">
        <v>15211</v>
      </c>
      <c r="R2341" t="s">
        <v>15211</v>
      </c>
      <c r="S2341" t="s">
        <v>15211</v>
      </c>
      <c r="T2341" t="s">
        <v>3371</v>
      </c>
      <c r="U2341" t="s">
        <v>14213</v>
      </c>
      <c r="V2341" t="s">
        <v>15278</v>
      </c>
    </row>
    <row r="2342" spans="1:22" hidden="1">
      <c r="A2342" t="s">
        <v>15416</v>
      </c>
      <c r="B2342" t="s">
        <v>15442</v>
      </c>
      <c r="C2342" t="s">
        <v>15450</v>
      </c>
      <c r="D2342" t="s">
        <v>2340</v>
      </c>
      <c r="E2342" t="s">
        <v>3435</v>
      </c>
      <c r="F2342" t="s">
        <v>3579</v>
      </c>
      <c r="G2342" s="3">
        <v>35.165542947187603</v>
      </c>
      <c r="H2342" s="3">
        <v>127.543669823974</v>
      </c>
      <c r="I2342" t="s">
        <v>6107</v>
      </c>
      <c r="J2342" t="s">
        <v>9463</v>
      </c>
      <c r="K2342" t="s">
        <v>11125</v>
      </c>
      <c r="L2342" t="s">
        <v>3366</v>
      </c>
      <c r="M2342" t="s">
        <v>11895</v>
      </c>
      <c r="N2342" t="s">
        <v>3363</v>
      </c>
      <c r="O2342" t="s">
        <v>3364</v>
      </c>
      <c r="P2342" t="s">
        <v>15211</v>
      </c>
      <c r="Q2342" t="s">
        <v>15211</v>
      </c>
      <c r="R2342" t="s">
        <v>15211</v>
      </c>
      <c r="S2342" t="s">
        <v>15211</v>
      </c>
      <c r="T2342" t="s">
        <v>3371</v>
      </c>
      <c r="U2342" t="s">
        <v>14214</v>
      </c>
      <c r="V2342" t="s">
        <v>15278</v>
      </c>
    </row>
    <row r="2343" spans="1:22" hidden="1">
      <c r="A2343" t="s">
        <v>15416</v>
      </c>
      <c r="B2343" t="s">
        <v>15442</v>
      </c>
      <c r="C2343" t="s">
        <v>15445</v>
      </c>
      <c r="D2343" t="s">
        <v>2341</v>
      </c>
      <c r="E2343" t="s">
        <v>3438</v>
      </c>
      <c r="F2343" t="s">
        <v>3429</v>
      </c>
      <c r="G2343" s="3">
        <v>35.165542930727902</v>
      </c>
      <c r="H2343" s="3">
        <v>127.543669370681</v>
      </c>
      <c r="I2343" t="s">
        <v>6108</v>
      </c>
      <c r="J2343" t="s">
        <v>9464</v>
      </c>
      <c r="K2343" t="s">
        <v>11667</v>
      </c>
      <c r="L2343" t="s">
        <v>3366</v>
      </c>
      <c r="M2343" t="s">
        <v>11890</v>
      </c>
      <c r="N2343" t="s">
        <v>3363</v>
      </c>
      <c r="O2343" t="s">
        <v>3362</v>
      </c>
      <c r="P2343" t="s">
        <v>15211</v>
      </c>
      <c r="Q2343" t="s">
        <v>15211</v>
      </c>
      <c r="R2343" t="s">
        <v>15211</v>
      </c>
      <c r="S2343" t="s">
        <v>15211</v>
      </c>
      <c r="T2343" t="s">
        <v>3369</v>
      </c>
      <c r="U2343" t="s">
        <v>14215</v>
      </c>
      <c r="V2343" t="s">
        <v>15279</v>
      </c>
    </row>
    <row r="2344" spans="1:22" hidden="1">
      <c r="A2344" t="s">
        <v>15416</v>
      </c>
      <c r="B2344" t="s">
        <v>15442</v>
      </c>
      <c r="C2344" t="s">
        <v>15445</v>
      </c>
      <c r="D2344" t="s">
        <v>2342</v>
      </c>
      <c r="E2344" t="s">
        <v>3438</v>
      </c>
      <c r="F2344" t="s">
        <v>3430</v>
      </c>
      <c r="G2344" s="3">
        <v>35.165542924008498</v>
      </c>
      <c r="H2344" s="3">
        <v>127.543669371695</v>
      </c>
      <c r="I2344" t="s">
        <v>6109</v>
      </c>
      <c r="J2344" t="s">
        <v>9465</v>
      </c>
      <c r="K2344" t="s">
        <v>10945</v>
      </c>
      <c r="L2344" t="s">
        <v>3366</v>
      </c>
      <c r="M2344" t="s">
        <v>11890</v>
      </c>
      <c r="N2344" t="s">
        <v>3363</v>
      </c>
      <c r="O2344" t="s">
        <v>3362</v>
      </c>
      <c r="P2344" t="s">
        <v>15211</v>
      </c>
      <c r="Q2344" t="s">
        <v>15211</v>
      </c>
      <c r="R2344" t="s">
        <v>15211</v>
      </c>
      <c r="S2344" t="s">
        <v>15211</v>
      </c>
      <c r="T2344" t="s">
        <v>3369</v>
      </c>
      <c r="U2344" t="s">
        <v>14216</v>
      </c>
      <c r="V2344" t="s">
        <v>15279</v>
      </c>
    </row>
    <row r="2345" spans="1:22" hidden="1">
      <c r="A2345" t="s">
        <v>15416</v>
      </c>
      <c r="B2345" t="s">
        <v>15442</v>
      </c>
      <c r="C2345" t="s">
        <v>15445</v>
      </c>
      <c r="D2345" t="s">
        <v>2343</v>
      </c>
      <c r="E2345" t="s">
        <v>3428</v>
      </c>
      <c r="F2345" t="s">
        <v>3433</v>
      </c>
      <c r="G2345" s="3">
        <v>35.165542911007499</v>
      </c>
      <c r="H2345" s="3">
        <v>127.54366935900801</v>
      </c>
      <c r="I2345" t="s">
        <v>6110</v>
      </c>
      <c r="J2345" t="s">
        <v>9466</v>
      </c>
      <c r="K2345" t="s">
        <v>3643</v>
      </c>
      <c r="L2345" t="s">
        <v>3366</v>
      </c>
      <c r="M2345" t="s">
        <v>11890</v>
      </c>
      <c r="N2345" t="s">
        <v>3363</v>
      </c>
      <c r="O2345" t="s">
        <v>3362</v>
      </c>
      <c r="P2345" t="s">
        <v>15211</v>
      </c>
      <c r="Q2345" t="s">
        <v>15211</v>
      </c>
      <c r="R2345" t="s">
        <v>15211</v>
      </c>
      <c r="S2345" t="s">
        <v>15211</v>
      </c>
      <c r="T2345" t="s">
        <v>3369</v>
      </c>
      <c r="U2345" t="s">
        <v>14217</v>
      </c>
      <c r="V2345" t="s">
        <v>15279</v>
      </c>
    </row>
    <row r="2346" spans="1:22" hidden="1">
      <c r="A2346" t="s">
        <v>15416</v>
      </c>
      <c r="B2346" t="s">
        <v>15442</v>
      </c>
      <c r="C2346" t="s">
        <v>15451</v>
      </c>
      <c r="D2346" t="s">
        <v>2344</v>
      </c>
      <c r="E2346" t="s">
        <v>3437</v>
      </c>
      <c r="F2346" t="s">
        <v>3431</v>
      </c>
      <c r="G2346" s="3">
        <v>35.165542995476002</v>
      </c>
      <c r="H2346" s="3">
        <v>127.54366938102299</v>
      </c>
      <c r="I2346" t="s">
        <v>6111</v>
      </c>
      <c r="J2346" t="s">
        <v>9467</v>
      </c>
      <c r="K2346" t="s">
        <v>11040</v>
      </c>
      <c r="L2346" t="s">
        <v>3366</v>
      </c>
      <c r="M2346" t="s">
        <v>11913</v>
      </c>
      <c r="N2346" t="s">
        <v>3363</v>
      </c>
      <c r="O2346" t="s">
        <v>3362</v>
      </c>
      <c r="P2346" t="s">
        <v>3363</v>
      </c>
      <c r="Q2346" t="s">
        <v>3367</v>
      </c>
      <c r="R2346" t="s">
        <v>15211</v>
      </c>
      <c r="S2346" t="s">
        <v>15211</v>
      </c>
      <c r="T2346" t="s">
        <v>3387</v>
      </c>
      <c r="U2346" t="s">
        <v>14218</v>
      </c>
      <c r="V2346" t="s">
        <v>15280</v>
      </c>
    </row>
    <row r="2347" spans="1:22" hidden="1">
      <c r="A2347" t="s">
        <v>15416</v>
      </c>
      <c r="B2347" t="s">
        <v>15442</v>
      </c>
      <c r="C2347" t="s">
        <v>15451</v>
      </c>
      <c r="D2347" t="s">
        <v>2345</v>
      </c>
      <c r="E2347" t="s">
        <v>3437</v>
      </c>
      <c r="F2347" t="s">
        <v>3431</v>
      </c>
      <c r="G2347" s="3">
        <v>35.165542975021502</v>
      </c>
      <c r="H2347" s="3">
        <v>127.543669364843</v>
      </c>
      <c r="I2347" t="s">
        <v>6112</v>
      </c>
      <c r="J2347" t="s">
        <v>9468</v>
      </c>
      <c r="K2347" t="s">
        <v>11668</v>
      </c>
      <c r="L2347" t="s">
        <v>3366</v>
      </c>
      <c r="M2347" t="s">
        <v>11913</v>
      </c>
      <c r="N2347" t="s">
        <v>3363</v>
      </c>
      <c r="O2347" t="s">
        <v>3362</v>
      </c>
      <c r="P2347" t="s">
        <v>3363</v>
      </c>
      <c r="Q2347" t="s">
        <v>3367</v>
      </c>
      <c r="R2347" t="s">
        <v>15211</v>
      </c>
      <c r="S2347" t="s">
        <v>15211</v>
      </c>
      <c r="T2347" t="s">
        <v>3387</v>
      </c>
      <c r="U2347" t="s">
        <v>14219</v>
      </c>
      <c r="V2347" t="s">
        <v>15280</v>
      </c>
    </row>
    <row r="2348" spans="1:22" hidden="1">
      <c r="A2348" t="s">
        <v>15416</v>
      </c>
      <c r="B2348" t="s">
        <v>15442</v>
      </c>
      <c r="C2348" t="s">
        <v>15451</v>
      </c>
      <c r="D2348" t="s">
        <v>2346</v>
      </c>
      <c r="E2348" t="s">
        <v>3437</v>
      </c>
      <c r="F2348" t="s">
        <v>3431</v>
      </c>
      <c r="G2348" s="3">
        <v>35.165542964105803</v>
      </c>
      <c r="H2348" s="3">
        <v>127.54366937344101</v>
      </c>
      <c r="I2348" t="s">
        <v>6113</v>
      </c>
      <c r="J2348" t="s">
        <v>9469</v>
      </c>
      <c r="K2348" t="s">
        <v>10689</v>
      </c>
      <c r="L2348" t="s">
        <v>3366</v>
      </c>
      <c r="M2348" t="s">
        <v>11913</v>
      </c>
      <c r="N2348" t="s">
        <v>3363</v>
      </c>
      <c r="O2348" t="s">
        <v>3362</v>
      </c>
      <c r="P2348" t="s">
        <v>3363</v>
      </c>
      <c r="Q2348" t="s">
        <v>3367</v>
      </c>
      <c r="R2348" t="s">
        <v>15211</v>
      </c>
      <c r="S2348" t="s">
        <v>15211</v>
      </c>
      <c r="T2348" t="s">
        <v>3387</v>
      </c>
      <c r="U2348" t="s">
        <v>14220</v>
      </c>
      <c r="V2348" t="s">
        <v>15280</v>
      </c>
    </row>
    <row r="2349" spans="1:22" ht="17.399999999999999" hidden="1">
      <c r="A2349" t="s">
        <v>15417</v>
      </c>
      <c r="B2349" t="s">
        <v>15441</v>
      </c>
      <c r="C2349" t="s">
        <v>15445</v>
      </c>
      <c r="D2349" t="s">
        <v>2347</v>
      </c>
      <c r="E2349" t="s">
        <v>3429</v>
      </c>
      <c r="F2349" t="s">
        <v>3478</v>
      </c>
      <c r="G2349" s="3">
        <v>34.590663662960999</v>
      </c>
      <c r="H2349" s="3">
        <v>127.321061207873</v>
      </c>
      <c r="I2349" t="s">
        <v>6114</v>
      </c>
      <c r="J2349" t="s">
        <v>9470</v>
      </c>
      <c r="K2349" t="s">
        <v>10770</v>
      </c>
      <c r="L2349" t="s">
        <v>3366</v>
      </c>
      <c r="M2349" t="s">
        <v>11890</v>
      </c>
      <c r="N2349" t="s">
        <v>3366</v>
      </c>
      <c r="O2349" t="s">
        <v>3359</v>
      </c>
      <c r="P2349" t="s">
        <v>15211</v>
      </c>
      <c r="Q2349" t="s">
        <v>15211</v>
      </c>
      <c r="R2349" t="s">
        <v>15211</v>
      </c>
      <c r="S2349" t="s">
        <v>15211</v>
      </c>
      <c r="T2349" t="s">
        <v>3369</v>
      </c>
      <c r="U2349" t="s">
        <v>14221</v>
      </c>
      <c r="V2349" t="s">
        <v>15274</v>
      </c>
    </row>
    <row r="2350" spans="1:22" ht="17.399999999999999" hidden="1">
      <c r="A2350" t="s">
        <v>15417</v>
      </c>
      <c r="B2350" t="s">
        <v>15441</v>
      </c>
      <c r="C2350" t="s">
        <v>15445</v>
      </c>
      <c r="D2350" t="s">
        <v>2348</v>
      </c>
      <c r="E2350" t="s">
        <v>3429</v>
      </c>
      <c r="F2350" t="s">
        <v>3478</v>
      </c>
      <c r="G2350" s="3">
        <v>34.590663663864802</v>
      </c>
      <c r="H2350" s="3">
        <v>127.32106124451801</v>
      </c>
      <c r="I2350" t="s">
        <v>6115</v>
      </c>
      <c r="J2350" t="s">
        <v>9471</v>
      </c>
      <c r="K2350" t="s">
        <v>10988</v>
      </c>
      <c r="L2350" t="s">
        <v>3366</v>
      </c>
      <c r="M2350" t="s">
        <v>11885</v>
      </c>
      <c r="N2350" t="s">
        <v>3366</v>
      </c>
      <c r="O2350" t="s">
        <v>3359</v>
      </c>
      <c r="P2350" t="s">
        <v>15211</v>
      </c>
      <c r="Q2350" t="s">
        <v>15211</v>
      </c>
      <c r="R2350" t="s">
        <v>15211</v>
      </c>
      <c r="S2350" t="s">
        <v>15211</v>
      </c>
      <c r="T2350" t="s">
        <v>3369</v>
      </c>
      <c r="U2350" t="s">
        <v>14222</v>
      </c>
      <c r="V2350" t="s">
        <v>15274</v>
      </c>
    </row>
    <row r="2351" spans="1:22" ht="17.399999999999999" hidden="1">
      <c r="A2351" t="s">
        <v>15417</v>
      </c>
      <c r="B2351" t="s">
        <v>15441</v>
      </c>
      <c r="C2351" t="s">
        <v>15445</v>
      </c>
      <c r="D2351" t="s">
        <v>2349</v>
      </c>
      <c r="E2351" t="s">
        <v>3429</v>
      </c>
      <c r="F2351" t="s">
        <v>3511</v>
      </c>
      <c r="G2351" s="3">
        <v>34.590663647399502</v>
      </c>
      <c r="H2351" s="3">
        <v>127.321061283508</v>
      </c>
      <c r="I2351" t="s">
        <v>6116</v>
      </c>
      <c r="J2351" t="s">
        <v>9472</v>
      </c>
      <c r="K2351" t="s">
        <v>11669</v>
      </c>
      <c r="L2351" t="s">
        <v>3366</v>
      </c>
      <c r="M2351" t="s">
        <v>11885</v>
      </c>
      <c r="N2351" t="s">
        <v>3366</v>
      </c>
      <c r="O2351" t="s">
        <v>3358</v>
      </c>
      <c r="P2351" t="s">
        <v>15211</v>
      </c>
      <c r="Q2351" t="s">
        <v>15211</v>
      </c>
      <c r="R2351" t="s">
        <v>15211</v>
      </c>
      <c r="S2351" t="s">
        <v>15211</v>
      </c>
      <c r="T2351" t="s">
        <v>3368</v>
      </c>
      <c r="U2351" t="s">
        <v>14223</v>
      </c>
      <c r="V2351" t="s">
        <v>15274</v>
      </c>
    </row>
    <row r="2352" spans="1:22" ht="17.399999999999999" hidden="1">
      <c r="A2352" t="s">
        <v>15417</v>
      </c>
      <c r="B2352" t="s">
        <v>15441</v>
      </c>
      <c r="C2352" t="s">
        <v>15446</v>
      </c>
      <c r="D2352" t="s">
        <v>2350</v>
      </c>
      <c r="E2352" t="s">
        <v>3441</v>
      </c>
      <c r="F2352" t="s">
        <v>3590</v>
      </c>
      <c r="G2352" s="3">
        <v>34.590663544538003</v>
      </c>
      <c r="H2352" s="3">
        <v>127.321061116159</v>
      </c>
      <c r="I2352" t="s">
        <v>6117</v>
      </c>
      <c r="J2352" t="s">
        <v>9473</v>
      </c>
      <c r="K2352" t="s">
        <v>11415</v>
      </c>
      <c r="L2352" t="s">
        <v>3366</v>
      </c>
      <c r="M2352" t="s">
        <v>11890</v>
      </c>
      <c r="N2352" t="s">
        <v>3366</v>
      </c>
      <c r="O2352" t="s">
        <v>3359</v>
      </c>
      <c r="P2352" t="s">
        <v>15211</v>
      </c>
      <c r="Q2352" t="s">
        <v>15211</v>
      </c>
      <c r="R2352" t="s">
        <v>15211</v>
      </c>
      <c r="S2352" t="s">
        <v>15211</v>
      </c>
      <c r="T2352" t="s">
        <v>3369</v>
      </c>
      <c r="U2352" t="s">
        <v>14224</v>
      </c>
      <c r="V2352" t="s">
        <v>15275</v>
      </c>
    </row>
    <row r="2353" spans="1:22" ht="17.399999999999999" hidden="1">
      <c r="A2353" t="s">
        <v>15417</v>
      </c>
      <c r="B2353" t="s">
        <v>15441</v>
      </c>
      <c r="C2353" t="s">
        <v>15446</v>
      </c>
      <c r="D2353" t="s">
        <v>2351</v>
      </c>
      <c r="E2353" t="s">
        <v>3441</v>
      </c>
      <c r="F2353" t="s">
        <v>3611</v>
      </c>
      <c r="G2353" s="3">
        <v>34.590663554086198</v>
      </c>
      <c r="H2353" s="3">
        <v>127.321061121792</v>
      </c>
      <c r="I2353" t="s">
        <v>6118</v>
      </c>
      <c r="J2353" t="s">
        <v>9474</v>
      </c>
      <c r="K2353" t="s">
        <v>11034</v>
      </c>
      <c r="L2353" t="s">
        <v>3366</v>
      </c>
      <c r="M2353" t="s">
        <v>11890</v>
      </c>
      <c r="N2353" t="s">
        <v>3366</v>
      </c>
      <c r="O2353" t="s">
        <v>3359</v>
      </c>
      <c r="P2353" t="s">
        <v>15211</v>
      </c>
      <c r="Q2353" t="s">
        <v>15211</v>
      </c>
      <c r="R2353" t="s">
        <v>15211</v>
      </c>
      <c r="S2353" t="s">
        <v>15211</v>
      </c>
      <c r="T2353" t="s">
        <v>3369</v>
      </c>
      <c r="U2353" t="s">
        <v>14225</v>
      </c>
      <c r="V2353" t="s">
        <v>15275</v>
      </c>
    </row>
    <row r="2354" spans="1:22" ht="17.399999999999999" hidden="1">
      <c r="A2354" t="s">
        <v>15417</v>
      </c>
      <c r="B2354" t="s">
        <v>15441</v>
      </c>
      <c r="C2354" t="s">
        <v>15446</v>
      </c>
      <c r="D2354" t="s">
        <v>2352</v>
      </c>
      <c r="E2354" t="s">
        <v>3442</v>
      </c>
      <c r="F2354" t="s">
        <v>3611</v>
      </c>
      <c r="G2354" s="3">
        <v>34.590663562765002</v>
      </c>
      <c r="H2354" s="3">
        <v>127.32106108537999</v>
      </c>
      <c r="I2354" t="s">
        <v>6119</v>
      </c>
      <c r="J2354" t="s">
        <v>9475</v>
      </c>
      <c r="K2354" t="s">
        <v>11034</v>
      </c>
      <c r="L2354" t="s">
        <v>3366</v>
      </c>
      <c r="M2354" t="s">
        <v>11890</v>
      </c>
      <c r="N2354" t="s">
        <v>3366</v>
      </c>
      <c r="O2354" t="s">
        <v>3359</v>
      </c>
      <c r="P2354" t="s">
        <v>15211</v>
      </c>
      <c r="Q2354" t="s">
        <v>15211</v>
      </c>
      <c r="R2354" t="s">
        <v>15211</v>
      </c>
      <c r="S2354" t="s">
        <v>15211</v>
      </c>
      <c r="T2354" t="s">
        <v>3369</v>
      </c>
      <c r="U2354" t="s">
        <v>14226</v>
      </c>
      <c r="V2354" t="s">
        <v>15275</v>
      </c>
    </row>
    <row r="2355" spans="1:22" ht="17.399999999999999" hidden="1">
      <c r="A2355" t="s">
        <v>15417</v>
      </c>
      <c r="B2355" t="s">
        <v>15441</v>
      </c>
      <c r="C2355" t="s">
        <v>15448</v>
      </c>
      <c r="D2355" t="s">
        <v>2353</v>
      </c>
      <c r="E2355" t="s">
        <v>3428</v>
      </c>
      <c r="F2355" t="s">
        <v>3461</v>
      </c>
      <c r="G2355" s="3">
        <v>34.590663658636799</v>
      </c>
      <c r="H2355" s="3">
        <v>127.32106133919601</v>
      </c>
      <c r="I2355" t="s">
        <v>6120</v>
      </c>
      <c r="J2355" t="s">
        <v>9476</v>
      </c>
      <c r="K2355" t="s">
        <v>10843</v>
      </c>
      <c r="L2355" t="s">
        <v>3366</v>
      </c>
      <c r="M2355" t="s">
        <v>11905</v>
      </c>
      <c r="N2355" t="s">
        <v>3366</v>
      </c>
      <c r="O2355" t="s">
        <v>3359</v>
      </c>
      <c r="P2355" t="s">
        <v>3362</v>
      </c>
      <c r="Q2355" t="s">
        <v>3369</v>
      </c>
      <c r="R2355" t="s">
        <v>3358</v>
      </c>
      <c r="S2355" t="s">
        <v>15211</v>
      </c>
      <c r="T2355" t="s">
        <v>3390</v>
      </c>
      <c r="U2355" t="s">
        <v>14227</v>
      </c>
      <c r="V2355" t="s">
        <v>15276</v>
      </c>
    </row>
    <row r="2356" spans="1:22" ht="17.399999999999999" hidden="1">
      <c r="A2356" t="s">
        <v>15417</v>
      </c>
      <c r="B2356" t="s">
        <v>15441</v>
      </c>
      <c r="C2356" t="s">
        <v>15448</v>
      </c>
      <c r="D2356" t="s">
        <v>2354</v>
      </c>
      <c r="E2356" t="s">
        <v>3428</v>
      </c>
      <c r="F2356" t="s">
        <v>3461</v>
      </c>
      <c r="G2356" s="3">
        <v>34.590663652764903</v>
      </c>
      <c r="H2356" s="3">
        <v>127.32106135111199</v>
      </c>
      <c r="I2356" t="s">
        <v>6121</v>
      </c>
      <c r="J2356" t="s">
        <v>9477</v>
      </c>
      <c r="K2356" t="s">
        <v>11670</v>
      </c>
      <c r="L2356" t="s">
        <v>3366</v>
      </c>
      <c r="M2356" t="s">
        <v>11905</v>
      </c>
      <c r="N2356" t="s">
        <v>3366</v>
      </c>
      <c r="O2356" t="s">
        <v>3359</v>
      </c>
      <c r="P2356" t="s">
        <v>3362</v>
      </c>
      <c r="Q2356" t="s">
        <v>3369</v>
      </c>
      <c r="R2356" t="s">
        <v>3358</v>
      </c>
      <c r="S2356" t="s">
        <v>15211</v>
      </c>
      <c r="T2356" t="s">
        <v>3390</v>
      </c>
      <c r="U2356" t="s">
        <v>14228</v>
      </c>
      <c r="V2356" t="s">
        <v>15276</v>
      </c>
    </row>
    <row r="2357" spans="1:22" ht="17.399999999999999" hidden="1">
      <c r="A2357" t="s">
        <v>15417</v>
      </c>
      <c r="B2357" t="s">
        <v>15441</v>
      </c>
      <c r="C2357" t="s">
        <v>15448</v>
      </c>
      <c r="D2357" t="s">
        <v>2355</v>
      </c>
      <c r="E2357" t="s">
        <v>3428</v>
      </c>
      <c r="F2357" t="s">
        <v>3461</v>
      </c>
      <c r="G2357" s="3">
        <v>34.590663647275399</v>
      </c>
      <c r="H2357" s="3">
        <v>127.32106135969801</v>
      </c>
      <c r="I2357" t="s">
        <v>6122</v>
      </c>
      <c r="J2357" t="s">
        <v>9478</v>
      </c>
      <c r="K2357" t="s">
        <v>11671</v>
      </c>
      <c r="L2357" t="s">
        <v>3366</v>
      </c>
      <c r="M2357" t="s">
        <v>11916</v>
      </c>
      <c r="N2357" t="s">
        <v>3366</v>
      </c>
      <c r="O2357" t="s">
        <v>3359</v>
      </c>
      <c r="P2357" t="s">
        <v>3362</v>
      </c>
      <c r="Q2357" t="s">
        <v>3370</v>
      </c>
      <c r="R2357" t="s">
        <v>3358</v>
      </c>
      <c r="S2357" t="s">
        <v>15211</v>
      </c>
      <c r="T2357" t="s">
        <v>3391</v>
      </c>
      <c r="U2357" t="s">
        <v>14229</v>
      </c>
      <c r="V2357" t="s">
        <v>15276</v>
      </c>
    </row>
    <row r="2358" spans="1:22" ht="17.399999999999999" hidden="1">
      <c r="A2358" t="s">
        <v>15417</v>
      </c>
      <c r="B2358" t="s">
        <v>15441</v>
      </c>
      <c r="C2358" t="s">
        <v>15449</v>
      </c>
      <c r="D2358" t="s">
        <v>2356</v>
      </c>
      <c r="E2358" t="s">
        <v>3439</v>
      </c>
      <c r="F2358" t="s">
        <v>3427</v>
      </c>
      <c r="G2358" s="3">
        <v>34.5906636793964</v>
      </c>
      <c r="H2358" s="3">
        <v>127.321061352323</v>
      </c>
      <c r="I2358" t="s">
        <v>6123</v>
      </c>
      <c r="J2358" t="s">
        <v>9479</v>
      </c>
      <c r="K2358" t="s">
        <v>11567</v>
      </c>
      <c r="L2358" t="s">
        <v>3366</v>
      </c>
      <c r="M2358" t="s">
        <v>11907</v>
      </c>
      <c r="N2358" t="s">
        <v>3365</v>
      </c>
      <c r="O2358" t="s">
        <v>3359</v>
      </c>
      <c r="P2358" t="s">
        <v>3362</v>
      </c>
      <c r="Q2358" t="s">
        <v>3368</v>
      </c>
      <c r="R2358" t="s">
        <v>15211</v>
      </c>
      <c r="S2358" t="s">
        <v>15211</v>
      </c>
      <c r="T2358" t="s">
        <v>3386</v>
      </c>
      <c r="U2358" t="s">
        <v>14230</v>
      </c>
      <c r="V2358" t="s">
        <v>15277</v>
      </c>
    </row>
    <row r="2359" spans="1:22" ht="17.399999999999999" hidden="1">
      <c r="A2359" t="s">
        <v>15417</v>
      </c>
      <c r="B2359" t="s">
        <v>15441</v>
      </c>
      <c r="C2359" t="s">
        <v>15449</v>
      </c>
      <c r="D2359" t="s">
        <v>2357</v>
      </c>
      <c r="E2359" t="s">
        <v>3439</v>
      </c>
      <c r="F2359" t="s">
        <v>3427</v>
      </c>
      <c r="G2359" s="3">
        <v>34.590663684820797</v>
      </c>
      <c r="H2359" s="3">
        <v>127.32106135685</v>
      </c>
      <c r="I2359" t="s">
        <v>6124</v>
      </c>
      <c r="J2359" t="s">
        <v>9480</v>
      </c>
      <c r="K2359" t="s">
        <v>11567</v>
      </c>
      <c r="L2359" t="s">
        <v>3366</v>
      </c>
      <c r="M2359" t="s">
        <v>11907</v>
      </c>
      <c r="N2359" t="s">
        <v>3365</v>
      </c>
      <c r="O2359" t="s">
        <v>3359</v>
      </c>
      <c r="P2359" t="s">
        <v>3362</v>
      </c>
      <c r="Q2359" t="s">
        <v>3368</v>
      </c>
      <c r="R2359" t="s">
        <v>15211</v>
      </c>
      <c r="S2359" t="s">
        <v>15211</v>
      </c>
      <c r="T2359" t="s">
        <v>3386</v>
      </c>
      <c r="U2359" t="s">
        <v>14231</v>
      </c>
      <c r="V2359" t="s">
        <v>15277</v>
      </c>
    </row>
    <row r="2360" spans="1:22" ht="17.399999999999999" hidden="1">
      <c r="A2360" t="s">
        <v>15417</v>
      </c>
      <c r="B2360" t="s">
        <v>15441</v>
      </c>
      <c r="C2360" t="s">
        <v>15449</v>
      </c>
      <c r="D2360" t="s">
        <v>2358</v>
      </c>
      <c r="E2360" t="s">
        <v>3439</v>
      </c>
      <c r="F2360" t="s">
        <v>3427</v>
      </c>
      <c r="G2360" s="3">
        <v>34.590663680311401</v>
      </c>
      <c r="H2360" s="3">
        <v>127.321061342137</v>
      </c>
      <c r="I2360" t="s">
        <v>6125</v>
      </c>
      <c r="J2360" t="s">
        <v>9481</v>
      </c>
      <c r="K2360" t="s">
        <v>10775</v>
      </c>
      <c r="L2360" t="s">
        <v>3366</v>
      </c>
      <c r="M2360" t="s">
        <v>11911</v>
      </c>
      <c r="N2360" t="s">
        <v>3364</v>
      </c>
      <c r="O2360" t="s">
        <v>3359</v>
      </c>
      <c r="P2360" t="s">
        <v>3362</v>
      </c>
      <c r="Q2360" t="s">
        <v>3368</v>
      </c>
      <c r="R2360" t="s">
        <v>15211</v>
      </c>
      <c r="S2360" t="s">
        <v>15211</v>
      </c>
      <c r="T2360" t="s">
        <v>3385</v>
      </c>
      <c r="U2360" t="s">
        <v>14232</v>
      </c>
      <c r="V2360" t="s">
        <v>15277</v>
      </c>
    </row>
    <row r="2361" spans="1:22" ht="17.399999999999999" hidden="1">
      <c r="A2361" t="s">
        <v>15417</v>
      </c>
      <c r="B2361" t="s">
        <v>15442</v>
      </c>
      <c r="C2361" t="s">
        <v>15450</v>
      </c>
      <c r="D2361" t="s">
        <v>2359</v>
      </c>
      <c r="E2361" t="s">
        <v>3438</v>
      </c>
      <c r="F2361" t="s">
        <v>3442</v>
      </c>
      <c r="G2361" s="3">
        <v>34.590663669885501</v>
      </c>
      <c r="H2361" s="3">
        <v>127.321061155138</v>
      </c>
      <c r="I2361" t="s">
        <v>6126</v>
      </c>
      <c r="J2361" t="s">
        <v>9482</v>
      </c>
      <c r="K2361" t="s">
        <v>11151</v>
      </c>
      <c r="L2361" t="s">
        <v>3366</v>
      </c>
      <c r="M2361" t="s">
        <v>11895</v>
      </c>
      <c r="N2361" t="s">
        <v>3366</v>
      </c>
      <c r="O2361" t="s">
        <v>3361</v>
      </c>
      <c r="P2361" t="s">
        <v>15211</v>
      </c>
      <c r="Q2361" t="s">
        <v>15211</v>
      </c>
      <c r="R2361" t="s">
        <v>15211</v>
      </c>
      <c r="S2361" t="s">
        <v>15211</v>
      </c>
      <c r="T2361" t="s">
        <v>3371</v>
      </c>
      <c r="U2361" t="s">
        <v>14233</v>
      </c>
      <c r="V2361" t="s">
        <v>15278</v>
      </c>
    </row>
    <row r="2362" spans="1:22" ht="17.399999999999999" hidden="1">
      <c r="A2362" t="s">
        <v>15417</v>
      </c>
      <c r="B2362" t="s">
        <v>15442</v>
      </c>
      <c r="C2362" t="s">
        <v>15450</v>
      </c>
      <c r="D2362" t="s">
        <v>2360</v>
      </c>
      <c r="E2362" t="s">
        <v>3428</v>
      </c>
      <c r="F2362" t="s">
        <v>3453</v>
      </c>
      <c r="G2362" s="3">
        <v>34.590663629711202</v>
      </c>
      <c r="H2362" s="3">
        <v>127.321061116631</v>
      </c>
      <c r="I2362" t="s">
        <v>6127</v>
      </c>
      <c r="J2362" t="s">
        <v>9483</v>
      </c>
      <c r="K2362" t="s">
        <v>11152</v>
      </c>
      <c r="L2362" t="s">
        <v>3366</v>
      </c>
      <c r="M2362" t="s">
        <v>11895</v>
      </c>
      <c r="N2362" t="s">
        <v>3366</v>
      </c>
      <c r="O2362" t="s">
        <v>3361</v>
      </c>
      <c r="P2362" t="s">
        <v>15211</v>
      </c>
      <c r="Q2362" t="s">
        <v>15211</v>
      </c>
      <c r="R2362" t="s">
        <v>15211</v>
      </c>
      <c r="S2362" t="s">
        <v>15211</v>
      </c>
      <c r="T2362" t="s">
        <v>3371</v>
      </c>
      <c r="U2362" t="s">
        <v>14234</v>
      </c>
      <c r="V2362" t="s">
        <v>15278</v>
      </c>
    </row>
    <row r="2363" spans="1:22" ht="17.399999999999999" hidden="1">
      <c r="A2363" t="s">
        <v>15417</v>
      </c>
      <c r="B2363" t="s">
        <v>15442</v>
      </c>
      <c r="C2363" t="s">
        <v>15450</v>
      </c>
      <c r="D2363" t="s">
        <v>2361</v>
      </c>
      <c r="E2363" t="s">
        <v>3436</v>
      </c>
      <c r="F2363" t="s">
        <v>3433</v>
      </c>
      <c r="G2363" s="3">
        <v>34.5906635966601</v>
      </c>
      <c r="H2363" s="3">
        <v>127.32106110751199</v>
      </c>
      <c r="I2363" t="s">
        <v>6128</v>
      </c>
      <c r="J2363" t="s">
        <v>9484</v>
      </c>
      <c r="K2363" t="s">
        <v>11153</v>
      </c>
      <c r="L2363" t="s">
        <v>3366</v>
      </c>
      <c r="M2363" t="s">
        <v>11895</v>
      </c>
      <c r="N2363" t="s">
        <v>3366</v>
      </c>
      <c r="O2363" t="s">
        <v>3361</v>
      </c>
      <c r="P2363" t="s">
        <v>15211</v>
      </c>
      <c r="Q2363" t="s">
        <v>15211</v>
      </c>
      <c r="R2363" t="s">
        <v>15211</v>
      </c>
      <c r="S2363" t="s">
        <v>15211</v>
      </c>
      <c r="T2363" t="s">
        <v>3371</v>
      </c>
      <c r="U2363" t="s">
        <v>14235</v>
      </c>
      <c r="V2363" t="s">
        <v>15278</v>
      </c>
    </row>
    <row r="2364" spans="1:22" ht="17.399999999999999" hidden="1">
      <c r="A2364" t="s">
        <v>15417</v>
      </c>
      <c r="B2364" t="s">
        <v>15442</v>
      </c>
      <c r="C2364" t="s">
        <v>15445</v>
      </c>
      <c r="D2364" t="s">
        <v>2362</v>
      </c>
      <c r="E2364" t="s">
        <v>3428</v>
      </c>
      <c r="F2364" t="s">
        <v>3442</v>
      </c>
      <c r="G2364" s="3">
        <v>34.590663676091999</v>
      </c>
      <c r="H2364" s="3">
        <v>127.32106129348</v>
      </c>
      <c r="I2364" t="s">
        <v>6129</v>
      </c>
      <c r="J2364" t="s">
        <v>9485</v>
      </c>
      <c r="K2364" t="s">
        <v>11039</v>
      </c>
      <c r="L2364" t="s">
        <v>3366</v>
      </c>
      <c r="M2364" t="s">
        <v>11890</v>
      </c>
      <c r="N2364" t="s">
        <v>3366</v>
      </c>
      <c r="O2364" t="s">
        <v>3359</v>
      </c>
      <c r="P2364" t="s">
        <v>15211</v>
      </c>
      <c r="Q2364" t="s">
        <v>15211</v>
      </c>
      <c r="R2364" t="s">
        <v>15211</v>
      </c>
      <c r="S2364" t="s">
        <v>15211</v>
      </c>
      <c r="T2364" t="s">
        <v>3369</v>
      </c>
      <c r="U2364" t="s">
        <v>14236</v>
      </c>
      <c r="V2364" t="s">
        <v>15279</v>
      </c>
    </row>
    <row r="2365" spans="1:22" ht="17.399999999999999" hidden="1">
      <c r="A2365" t="s">
        <v>15417</v>
      </c>
      <c r="B2365" t="s">
        <v>15442</v>
      </c>
      <c r="C2365" t="s">
        <v>15445</v>
      </c>
      <c r="D2365" t="s">
        <v>2363</v>
      </c>
      <c r="E2365" t="s">
        <v>3436</v>
      </c>
      <c r="F2365" t="s">
        <v>3453</v>
      </c>
      <c r="G2365" s="3">
        <v>34.590663683560898</v>
      </c>
      <c r="H2365" s="3">
        <v>127.321061325551</v>
      </c>
      <c r="I2365" t="s">
        <v>6130</v>
      </c>
      <c r="J2365" t="s">
        <v>9486</v>
      </c>
      <c r="K2365" t="s">
        <v>11039</v>
      </c>
      <c r="L2365" t="s">
        <v>3366</v>
      </c>
      <c r="M2365" t="s">
        <v>11890</v>
      </c>
      <c r="N2365" t="s">
        <v>3366</v>
      </c>
      <c r="O2365" t="s">
        <v>3359</v>
      </c>
      <c r="P2365" t="s">
        <v>15211</v>
      </c>
      <c r="Q2365" t="s">
        <v>15211</v>
      </c>
      <c r="R2365" t="s">
        <v>15211</v>
      </c>
      <c r="S2365" t="s">
        <v>15211</v>
      </c>
      <c r="T2365" t="s">
        <v>3369</v>
      </c>
      <c r="U2365" t="s">
        <v>14237</v>
      </c>
      <c r="V2365" t="s">
        <v>15279</v>
      </c>
    </row>
    <row r="2366" spans="1:22" ht="17.399999999999999" hidden="1">
      <c r="A2366" t="s">
        <v>15417</v>
      </c>
      <c r="B2366" t="s">
        <v>15442</v>
      </c>
      <c r="C2366" t="s">
        <v>15445</v>
      </c>
      <c r="D2366" t="s">
        <v>2364</v>
      </c>
      <c r="E2366" t="s">
        <v>3436</v>
      </c>
      <c r="F2366" t="s">
        <v>3432</v>
      </c>
      <c r="G2366" s="3">
        <v>34.590663779611603</v>
      </c>
      <c r="H2366" s="3">
        <v>127.321061307657</v>
      </c>
      <c r="I2366" t="s">
        <v>6131</v>
      </c>
      <c r="J2366" t="s">
        <v>9487</v>
      </c>
      <c r="K2366" t="s">
        <v>10577</v>
      </c>
      <c r="L2366" t="s">
        <v>3366</v>
      </c>
      <c r="M2366" t="s">
        <v>11890</v>
      </c>
      <c r="N2366" t="s">
        <v>3366</v>
      </c>
      <c r="O2366" t="s">
        <v>3359</v>
      </c>
      <c r="P2366" t="s">
        <v>15211</v>
      </c>
      <c r="Q2366" t="s">
        <v>15211</v>
      </c>
      <c r="R2366" t="s">
        <v>15211</v>
      </c>
      <c r="S2366" t="s">
        <v>15211</v>
      </c>
      <c r="T2366" t="s">
        <v>3369</v>
      </c>
      <c r="U2366" t="s">
        <v>14238</v>
      </c>
      <c r="V2366" t="s">
        <v>15279</v>
      </c>
    </row>
    <row r="2367" spans="1:22" ht="17.399999999999999" hidden="1">
      <c r="A2367" t="s">
        <v>15417</v>
      </c>
      <c r="B2367" t="s">
        <v>15442</v>
      </c>
      <c r="C2367" t="s">
        <v>15451</v>
      </c>
      <c r="D2367" t="s">
        <v>2365</v>
      </c>
      <c r="E2367" t="s">
        <v>3439</v>
      </c>
      <c r="F2367" t="s">
        <v>3427</v>
      </c>
      <c r="G2367" s="3">
        <v>34.590663714147396</v>
      </c>
      <c r="H2367" s="3">
        <v>127.321061365246</v>
      </c>
      <c r="I2367" t="s">
        <v>6132</v>
      </c>
      <c r="J2367" t="s">
        <v>9488</v>
      </c>
      <c r="K2367" t="s">
        <v>11028</v>
      </c>
      <c r="L2367" t="s">
        <v>3366</v>
      </c>
      <c r="M2367" t="s">
        <v>11904</v>
      </c>
      <c r="N2367" t="s">
        <v>3366</v>
      </c>
      <c r="O2367" t="s">
        <v>3359</v>
      </c>
      <c r="P2367" t="s">
        <v>3362</v>
      </c>
      <c r="Q2367" t="s">
        <v>3370</v>
      </c>
      <c r="R2367" t="s">
        <v>15211</v>
      </c>
      <c r="S2367" t="s">
        <v>15211</v>
      </c>
      <c r="T2367" t="s">
        <v>3389</v>
      </c>
      <c r="U2367" t="s">
        <v>14239</v>
      </c>
      <c r="V2367" t="s">
        <v>15280</v>
      </c>
    </row>
    <row r="2368" spans="1:22" ht="17.399999999999999" hidden="1">
      <c r="A2368" t="s">
        <v>15417</v>
      </c>
      <c r="B2368" t="s">
        <v>15442</v>
      </c>
      <c r="C2368" t="s">
        <v>15451</v>
      </c>
      <c r="D2368" t="s">
        <v>2366</v>
      </c>
      <c r="E2368" t="s">
        <v>3439</v>
      </c>
      <c r="F2368" t="s">
        <v>3428</v>
      </c>
      <c r="G2368" s="3">
        <v>34.590663695109001</v>
      </c>
      <c r="H2368" s="3">
        <v>127.321061388085</v>
      </c>
      <c r="I2368" t="s">
        <v>6133</v>
      </c>
      <c r="J2368" t="s">
        <v>9489</v>
      </c>
      <c r="K2368" t="s">
        <v>11028</v>
      </c>
      <c r="L2368" t="s">
        <v>3366</v>
      </c>
      <c r="M2368" t="s">
        <v>11904</v>
      </c>
      <c r="N2368" t="s">
        <v>3366</v>
      </c>
      <c r="O2368" t="s">
        <v>3359</v>
      </c>
      <c r="P2368" t="s">
        <v>3362</v>
      </c>
      <c r="Q2368" t="s">
        <v>3370</v>
      </c>
      <c r="R2368" t="s">
        <v>15211</v>
      </c>
      <c r="S2368" t="s">
        <v>15211</v>
      </c>
      <c r="T2368" t="s">
        <v>3389</v>
      </c>
      <c r="U2368" t="s">
        <v>14240</v>
      </c>
      <c r="V2368" t="s">
        <v>15280</v>
      </c>
    </row>
    <row r="2369" spans="1:22" ht="17.399999999999999" hidden="1">
      <c r="A2369" t="s">
        <v>15417</v>
      </c>
      <c r="B2369" t="s">
        <v>15442</v>
      </c>
      <c r="C2369" t="s">
        <v>15451</v>
      </c>
      <c r="D2369" t="s">
        <v>2367</v>
      </c>
      <c r="E2369" t="s">
        <v>3437</v>
      </c>
      <c r="F2369" t="s">
        <v>3428</v>
      </c>
      <c r="G2369" s="3">
        <v>34.590663681958802</v>
      </c>
      <c r="H2369" s="3">
        <v>127.321061388339</v>
      </c>
      <c r="I2369" t="s">
        <v>6134</v>
      </c>
      <c r="J2369" t="s">
        <v>9490</v>
      </c>
      <c r="K2369" t="s">
        <v>11028</v>
      </c>
      <c r="L2369" t="s">
        <v>3366</v>
      </c>
      <c r="M2369" t="s">
        <v>11904</v>
      </c>
      <c r="N2369" t="s">
        <v>3366</v>
      </c>
      <c r="O2369" t="s">
        <v>3359</v>
      </c>
      <c r="P2369" t="s">
        <v>3362</v>
      </c>
      <c r="Q2369" t="s">
        <v>3370</v>
      </c>
      <c r="R2369" t="s">
        <v>15211</v>
      </c>
      <c r="S2369" t="s">
        <v>15211</v>
      </c>
      <c r="T2369" t="s">
        <v>3389</v>
      </c>
      <c r="U2369" t="s">
        <v>14241</v>
      </c>
      <c r="V2369" t="s">
        <v>15280</v>
      </c>
    </row>
    <row r="2370" spans="1:22" ht="17.399999999999999" hidden="1">
      <c r="A2370" t="s">
        <v>15435</v>
      </c>
      <c r="B2370" t="s">
        <v>15441</v>
      </c>
      <c r="C2370" t="s">
        <v>15445</v>
      </c>
      <c r="D2370" t="s">
        <v>2368</v>
      </c>
      <c r="E2370" t="s">
        <v>3442</v>
      </c>
      <c r="F2370" t="s">
        <v>3458</v>
      </c>
      <c r="G2370" s="3">
        <v>35.129927234892698</v>
      </c>
      <c r="H2370" s="3">
        <v>127.36772989308901</v>
      </c>
      <c r="I2370" t="s">
        <v>6135</v>
      </c>
      <c r="J2370" t="s">
        <v>9491</v>
      </c>
      <c r="K2370" t="s">
        <v>11672</v>
      </c>
      <c r="L2370" t="s">
        <v>3366</v>
      </c>
      <c r="M2370" t="s">
        <v>11900</v>
      </c>
      <c r="N2370" t="s">
        <v>3362</v>
      </c>
      <c r="O2370" t="s">
        <v>3359</v>
      </c>
      <c r="P2370" t="s">
        <v>15211</v>
      </c>
      <c r="Q2370" t="s">
        <v>15211</v>
      </c>
      <c r="R2370" t="s">
        <v>15211</v>
      </c>
      <c r="S2370" t="s">
        <v>15211</v>
      </c>
      <c r="T2370" t="s">
        <v>3365</v>
      </c>
      <c r="U2370" t="s">
        <v>14242</v>
      </c>
      <c r="V2370" t="s">
        <v>15274</v>
      </c>
    </row>
    <row r="2371" spans="1:22" ht="17.399999999999999" hidden="1">
      <c r="A2371" t="s">
        <v>15435</v>
      </c>
      <c r="B2371" t="s">
        <v>15441</v>
      </c>
      <c r="C2371" t="s">
        <v>15445</v>
      </c>
      <c r="D2371" t="s">
        <v>2369</v>
      </c>
      <c r="E2371" t="s">
        <v>3442</v>
      </c>
      <c r="F2371" t="s">
        <v>3563</v>
      </c>
      <c r="G2371" s="3">
        <v>35.129927202210801</v>
      </c>
      <c r="H2371" s="3">
        <v>127.36772984394101</v>
      </c>
      <c r="I2371" t="s">
        <v>6136</v>
      </c>
      <c r="J2371" t="s">
        <v>9492</v>
      </c>
      <c r="K2371" t="s">
        <v>11673</v>
      </c>
      <c r="L2371" t="s">
        <v>3366</v>
      </c>
      <c r="M2371" t="s">
        <v>11900</v>
      </c>
      <c r="N2371" t="s">
        <v>3362</v>
      </c>
      <c r="O2371" t="s">
        <v>3359</v>
      </c>
      <c r="P2371" t="s">
        <v>15211</v>
      </c>
      <c r="Q2371" t="s">
        <v>15211</v>
      </c>
      <c r="R2371" t="s">
        <v>15211</v>
      </c>
      <c r="S2371" t="s">
        <v>15211</v>
      </c>
      <c r="T2371" t="s">
        <v>3365</v>
      </c>
      <c r="U2371" t="s">
        <v>14243</v>
      </c>
      <c r="V2371" t="s">
        <v>15274</v>
      </c>
    </row>
    <row r="2372" spans="1:22" ht="17.399999999999999" hidden="1">
      <c r="A2372" t="s">
        <v>15435</v>
      </c>
      <c r="B2372" t="s">
        <v>15441</v>
      </c>
      <c r="C2372" t="s">
        <v>15445</v>
      </c>
      <c r="D2372" t="s">
        <v>2370</v>
      </c>
      <c r="E2372" t="s">
        <v>3442</v>
      </c>
      <c r="F2372" t="s">
        <v>3458</v>
      </c>
      <c r="G2372" s="3">
        <v>35.129927188640202</v>
      </c>
      <c r="H2372" s="3">
        <v>127.367729842561</v>
      </c>
      <c r="I2372" t="s">
        <v>6137</v>
      </c>
      <c r="J2372" t="s">
        <v>9493</v>
      </c>
      <c r="K2372" t="s">
        <v>11674</v>
      </c>
      <c r="L2372" t="s">
        <v>3366</v>
      </c>
      <c r="M2372" t="s">
        <v>11900</v>
      </c>
      <c r="N2372" t="s">
        <v>3362</v>
      </c>
      <c r="O2372" t="s">
        <v>3359</v>
      </c>
      <c r="P2372" t="s">
        <v>15211</v>
      </c>
      <c r="Q2372" t="s">
        <v>15211</v>
      </c>
      <c r="R2372" t="s">
        <v>15211</v>
      </c>
      <c r="S2372" t="s">
        <v>15211</v>
      </c>
      <c r="T2372" t="s">
        <v>3365</v>
      </c>
      <c r="U2372" t="s">
        <v>14244</v>
      </c>
      <c r="V2372" t="s">
        <v>15274</v>
      </c>
    </row>
    <row r="2373" spans="1:22" ht="17.399999999999999" hidden="1">
      <c r="A2373" t="s">
        <v>15435</v>
      </c>
      <c r="B2373" t="s">
        <v>15441</v>
      </c>
      <c r="C2373" t="s">
        <v>15448</v>
      </c>
      <c r="D2373" t="s">
        <v>2371</v>
      </c>
      <c r="E2373" t="s">
        <v>3431</v>
      </c>
      <c r="F2373" t="s">
        <v>3611</v>
      </c>
      <c r="G2373" s="3">
        <v>35.1299272568967</v>
      </c>
      <c r="H2373" s="3">
        <v>127.36772974615801</v>
      </c>
      <c r="I2373" t="s">
        <v>6138</v>
      </c>
      <c r="J2373" t="s">
        <v>9494</v>
      </c>
      <c r="K2373" t="s">
        <v>10592</v>
      </c>
      <c r="L2373" t="s">
        <v>3366</v>
      </c>
      <c r="M2373" t="s">
        <v>11914</v>
      </c>
      <c r="N2373" t="s">
        <v>3362</v>
      </c>
      <c r="O2373" t="s">
        <v>3359</v>
      </c>
      <c r="P2373" t="s">
        <v>3361</v>
      </c>
      <c r="Q2373" t="s">
        <v>3367</v>
      </c>
      <c r="R2373" t="s">
        <v>3358</v>
      </c>
      <c r="S2373" t="s">
        <v>15211</v>
      </c>
      <c r="T2373" t="s">
        <v>3383</v>
      </c>
      <c r="U2373" t="s">
        <v>14245</v>
      </c>
      <c r="V2373" t="s">
        <v>15276</v>
      </c>
    </row>
    <row r="2374" spans="1:22" ht="17.399999999999999" hidden="1">
      <c r="A2374" t="s">
        <v>15435</v>
      </c>
      <c r="B2374" t="s">
        <v>15441</v>
      </c>
      <c r="C2374" t="s">
        <v>15448</v>
      </c>
      <c r="D2374" t="s">
        <v>2372</v>
      </c>
      <c r="E2374" t="s">
        <v>3431</v>
      </c>
      <c r="F2374" t="s">
        <v>3611</v>
      </c>
      <c r="G2374" s="3">
        <v>35.1299272776969</v>
      </c>
      <c r="H2374" s="3">
        <v>127.367729745302</v>
      </c>
      <c r="I2374" t="s">
        <v>6139</v>
      </c>
      <c r="J2374" t="s">
        <v>9495</v>
      </c>
      <c r="K2374" t="s">
        <v>11675</v>
      </c>
      <c r="L2374" t="s">
        <v>3366</v>
      </c>
      <c r="M2374" t="s">
        <v>11914</v>
      </c>
      <c r="N2374" t="s">
        <v>3362</v>
      </c>
      <c r="O2374" t="s">
        <v>3359</v>
      </c>
      <c r="P2374" t="s">
        <v>3361</v>
      </c>
      <c r="Q2374" t="s">
        <v>3367</v>
      </c>
      <c r="R2374" t="s">
        <v>3358</v>
      </c>
      <c r="S2374" t="s">
        <v>15211</v>
      </c>
      <c r="T2374" t="s">
        <v>3383</v>
      </c>
      <c r="U2374" t="s">
        <v>14246</v>
      </c>
      <c r="V2374" t="s">
        <v>15276</v>
      </c>
    </row>
    <row r="2375" spans="1:22" ht="17.399999999999999" hidden="1">
      <c r="A2375" t="s">
        <v>15435</v>
      </c>
      <c r="B2375" t="s">
        <v>15441</v>
      </c>
      <c r="C2375" t="s">
        <v>15448</v>
      </c>
      <c r="D2375" t="s">
        <v>2373</v>
      </c>
      <c r="E2375" t="s">
        <v>3431</v>
      </c>
      <c r="F2375" t="s">
        <v>3611</v>
      </c>
      <c r="G2375" s="3">
        <v>35.129927295144199</v>
      </c>
      <c r="H2375" s="3">
        <v>127.367729676915</v>
      </c>
      <c r="I2375" t="s">
        <v>6140</v>
      </c>
      <c r="J2375" t="s">
        <v>9496</v>
      </c>
      <c r="K2375" t="s">
        <v>11676</v>
      </c>
      <c r="L2375" t="s">
        <v>3366</v>
      </c>
      <c r="M2375" t="s">
        <v>11914</v>
      </c>
      <c r="N2375" t="s">
        <v>3362</v>
      </c>
      <c r="O2375" t="s">
        <v>3359</v>
      </c>
      <c r="P2375" t="s">
        <v>3361</v>
      </c>
      <c r="Q2375" t="s">
        <v>3367</v>
      </c>
      <c r="R2375" t="s">
        <v>3358</v>
      </c>
      <c r="S2375" t="s">
        <v>15211</v>
      </c>
      <c r="T2375" t="s">
        <v>3383</v>
      </c>
      <c r="U2375" t="s">
        <v>14247</v>
      </c>
      <c r="V2375" t="s">
        <v>15276</v>
      </c>
    </row>
    <row r="2376" spans="1:22" ht="17.399999999999999" hidden="1">
      <c r="A2376" t="s">
        <v>15435</v>
      </c>
      <c r="B2376" t="s">
        <v>15441</v>
      </c>
      <c r="C2376" t="s">
        <v>15449</v>
      </c>
      <c r="D2376" t="s">
        <v>2374</v>
      </c>
      <c r="E2376" t="s">
        <v>3436</v>
      </c>
      <c r="F2376" t="s">
        <v>3432</v>
      </c>
      <c r="G2376" s="3">
        <v>35.129927326392803</v>
      </c>
      <c r="H2376" s="3">
        <v>127.36772969329</v>
      </c>
      <c r="I2376" t="s">
        <v>6141</v>
      </c>
      <c r="J2376" t="s">
        <v>9497</v>
      </c>
      <c r="K2376" t="s">
        <v>11151</v>
      </c>
      <c r="L2376" t="s">
        <v>3366</v>
      </c>
      <c r="M2376" t="s">
        <v>11889</v>
      </c>
      <c r="N2376" t="s">
        <v>3362</v>
      </c>
      <c r="O2376" t="s">
        <v>15211</v>
      </c>
      <c r="P2376" t="s">
        <v>3361</v>
      </c>
      <c r="Q2376" t="s">
        <v>3366</v>
      </c>
      <c r="R2376" t="s">
        <v>15211</v>
      </c>
      <c r="S2376" t="s">
        <v>15211</v>
      </c>
      <c r="T2376" t="s">
        <v>3377</v>
      </c>
      <c r="U2376" t="s">
        <v>14248</v>
      </c>
      <c r="V2376" t="s">
        <v>15277</v>
      </c>
    </row>
    <row r="2377" spans="1:22" ht="17.399999999999999" hidden="1">
      <c r="A2377" t="s">
        <v>15435</v>
      </c>
      <c r="B2377" t="s">
        <v>15441</v>
      </c>
      <c r="C2377" t="s">
        <v>15449</v>
      </c>
      <c r="D2377" t="s">
        <v>2375</v>
      </c>
      <c r="E2377" t="s">
        <v>3428</v>
      </c>
      <c r="F2377" t="s">
        <v>3453</v>
      </c>
      <c r="G2377" s="3">
        <v>35.129927268688597</v>
      </c>
      <c r="H2377" s="3">
        <v>127.36772975874401</v>
      </c>
      <c r="I2377" t="s">
        <v>6142</v>
      </c>
      <c r="J2377" t="s">
        <v>9498</v>
      </c>
      <c r="K2377" t="s">
        <v>10565</v>
      </c>
      <c r="L2377" t="s">
        <v>3366</v>
      </c>
      <c r="M2377" t="s">
        <v>11889</v>
      </c>
      <c r="N2377" t="s">
        <v>3362</v>
      </c>
      <c r="O2377" t="s">
        <v>15211</v>
      </c>
      <c r="P2377" t="s">
        <v>3361</v>
      </c>
      <c r="Q2377" t="s">
        <v>3366</v>
      </c>
      <c r="R2377" t="s">
        <v>15211</v>
      </c>
      <c r="S2377" t="s">
        <v>15211</v>
      </c>
      <c r="T2377" t="s">
        <v>3377</v>
      </c>
      <c r="U2377" t="s">
        <v>14249</v>
      </c>
      <c r="V2377" t="s">
        <v>15277</v>
      </c>
    </row>
    <row r="2378" spans="1:22" ht="17.399999999999999" hidden="1">
      <c r="A2378" t="s">
        <v>15435</v>
      </c>
      <c r="B2378" t="s">
        <v>15441</v>
      </c>
      <c r="C2378" t="s">
        <v>15449</v>
      </c>
      <c r="D2378" t="s">
        <v>2376</v>
      </c>
      <c r="E2378" t="s">
        <v>3427</v>
      </c>
      <c r="F2378" t="s">
        <v>3442</v>
      </c>
      <c r="G2378" s="3">
        <v>35.129927195627701</v>
      </c>
      <c r="H2378" s="3">
        <v>127.367729778871</v>
      </c>
      <c r="I2378" t="s">
        <v>6143</v>
      </c>
      <c r="J2378" t="s">
        <v>9499</v>
      </c>
      <c r="K2378" t="s">
        <v>10912</v>
      </c>
      <c r="L2378" t="s">
        <v>3366</v>
      </c>
      <c r="M2378" t="s">
        <v>11889</v>
      </c>
      <c r="N2378" t="s">
        <v>3362</v>
      </c>
      <c r="O2378" t="s">
        <v>15211</v>
      </c>
      <c r="P2378" t="s">
        <v>3361</v>
      </c>
      <c r="Q2378" t="s">
        <v>3366</v>
      </c>
      <c r="R2378" t="s">
        <v>15211</v>
      </c>
      <c r="S2378" t="s">
        <v>15211</v>
      </c>
      <c r="T2378" t="s">
        <v>3377</v>
      </c>
      <c r="U2378" t="s">
        <v>14249</v>
      </c>
      <c r="V2378" t="s">
        <v>15277</v>
      </c>
    </row>
    <row r="2379" spans="1:22" ht="17.399999999999999" hidden="1">
      <c r="A2379" t="s">
        <v>15435</v>
      </c>
      <c r="B2379" t="s">
        <v>15442</v>
      </c>
      <c r="C2379" t="s">
        <v>15445</v>
      </c>
      <c r="D2379" t="s">
        <v>2377</v>
      </c>
      <c r="E2379" t="s">
        <v>3425</v>
      </c>
      <c r="F2379" t="s">
        <v>3460</v>
      </c>
      <c r="G2379" s="3">
        <v>35.129927193438199</v>
      </c>
      <c r="H2379" s="3">
        <v>127.367729752472</v>
      </c>
      <c r="I2379" t="s">
        <v>6144</v>
      </c>
      <c r="J2379" t="s">
        <v>9500</v>
      </c>
      <c r="K2379" t="s">
        <v>11677</v>
      </c>
      <c r="L2379" t="s">
        <v>3366</v>
      </c>
      <c r="M2379" t="s">
        <v>11900</v>
      </c>
      <c r="N2379" t="s">
        <v>3362</v>
      </c>
      <c r="O2379" t="s">
        <v>3359</v>
      </c>
      <c r="P2379" t="s">
        <v>15211</v>
      </c>
      <c r="Q2379" t="s">
        <v>15211</v>
      </c>
      <c r="R2379" t="s">
        <v>15211</v>
      </c>
      <c r="S2379" t="s">
        <v>15211</v>
      </c>
      <c r="T2379" t="s">
        <v>3365</v>
      </c>
      <c r="U2379" t="s">
        <v>14250</v>
      </c>
      <c r="V2379" t="s">
        <v>15279</v>
      </c>
    </row>
    <row r="2380" spans="1:22" ht="17.399999999999999" hidden="1">
      <c r="A2380" t="s">
        <v>15435</v>
      </c>
      <c r="B2380" t="s">
        <v>15442</v>
      </c>
      <c r="C2380" t="s">
        <v>15445</v>
      </c>
      <c r="D2380" t="s">
        <v>2378</v>
      </c>
      <c r="E2380" t="s">
        <v>3431</v>
      </c>
      <c r="F2380" t="s">
        <v>3460</v>
      </c>
      <c r="G2380" s="3">
        <v>35.129927202938802</v>
      </c>
      <c r="H2380" s="3">
        <v>127.36772976402101</v>
      </c>
      <c r="I2380" t="s">
        <v>6145</v>
      </c>
      <c r="J2380" t="s">
        <v>9501</v>
      </c>
      <c r="K2380" t="s">
        <v>11677</v>
      </c>
      <c r="L2380" t="s">
        <v>3366</v>
      </c>
      <c r="M2380" t="s">
        <v>11900</v>
      </c>
      <c r="N2380" t="s">
        <v>3362</v>
      </c>
      <c r="O2380" t="s">
        <v>3359</v>
      </c>
      <c r="P2380" t="s">
        <v>15211</v>
      </c>
      <c r="Q2380" t="s">
        <v>15211</v>
      </c>
      <c r="R2380" t="s">
        <v>15211</v>
      </c>
      <c r="S2380" t="s">
        <v>15211</v>
      </c>
      <c r="T2380" t="s">
        <v>3365</v>
      </c>
      <c r="U2380" t="s">
        <v>14251</v>
      </c>
      <c r="V2380" t="s">
        <v>15279</v>
      </c>
    </row>
    <row r="2381" spans="1:22" ht="17.399999999999999" hidden="1">
      <c r="A2381" t="s">
        <v>15435</v>
      </c>
      <c r="B2381" t="s">
        <v>15442</v>
      </c>
      <c r="C2381" t="s">
        <v>15451</v>
      </c>
      <c r="D2381" t="s">
        <v>2379</v>
      </c>
      <c r="E2381" t="s">
        <v>3428</v>
      </c>
      <c r="F2381" t="s">
        <v>3441</v>
      </c>
      <c r="G2381" s="3">
        <v>35.129927178065898</v>
      </c>
      <c r="H2381" s="3">
        <v>127.367729662396</v>
      </c>
      <c r="I2381" t="s">
        <v>6146</v>
      </c>
      <c r="J2381" t="s">
        <v>9502</v>
      </c>
      <c r="K2381" t="s">
        <v>10967</v>
      </c>
      <c r="L2381" t="s">
        <v>3366</v>
      </c>
      <c r="M2381" t="s">
        <v>11912</v>
      </c>
      <c r="N2381" t="s">
        <v>3362</v>
      </c>
      <c r="O2381" t="s">
        <v>3359</v>
      </c>
      <c r="P2381" t="s">
        <v>3361</v>
      </c>
      <c r="Q2381" t="s">
        <v>3368</v>
      </c>
      <c r="R2381" t="s">
        <v>15211</v>
      </c>
      <c r="S2381" t="s">
        <v>15211</v>
      </c>
      <c r="T2381" t="s">
        <v>3382</v>
      </c>
      <c r="U2381" t="s">
        <v>14252</v>
      </c>
      <c r="V2381" t="s">
        <v>15280</v>
      </c>
    </row>
    <row r="2382" spans="1:22" ht="17.399999999999999" hidden="1">
      <c r="A2382" t="s">
        <v>15435</v>
      </c>
      <c r="B2382" t="s">
        <v>15442</v>
      </c>
      <c r="C2382" t="s">
        <v>15451</v>
      </c>
      <c r="D2382" t="s">
        <v>2380</v>
      </c>
      <c r="E2382" t="s">
        <v>3428</v>
      </c>
      <c r="F2382" t="s">
        <v>3441</v>
      </c>
      <c r="G2382" s="3">
        <v>35.129927149958498</v>
      </c>
      <c r="H2382" s="3">
        <v>127.36772965215199</v>
      </c>
      <c r="I2382" t="s">
        <v>6147</v>
      </c>
      <c r="J2382" t="s">
        <v>9503</v>
      </c>
      <c r="K2382" t="s">
        <v>10502</v>
      </c>
      <c r="L2382" t="s">
        <v>3366</v>
      </c>
      <c r="M2382" t="s">
        <v>11893</v>
      </c>
      <c r="N2382" t="s">
        <v>3362</v>
      </c>
      <c r="O2382" t="s">
        <v>3359</v>
      </c>
      <c r="P2382" t="s">
        <v>3361</v>
      </c>
      <c r="Q2382" t="s">
        <v>3367</v>
      </c>
      <c r="R2382" t="s">
        <v>15211</v>
      </c>
      <c r="S2382" t="s">
        <v>15211</v>
      </c>
      <c r="T2382" t="s">
        <v>3381</v>
      </c>
      <c r="U2382" t="s">
        <v>14253</v>
      </c>
      <c r="V2382" t="s">
        <v>15280</v>
      </c>
    </row>
    <row r="2383" spans="1:22" ht="17.399999999999999" hidden="1">
      <c r="A2383" t="s">
        <v>15435</v>
      </c>
      <c r="B2383" t="s">
        <v>15442</v>
      </c>
      <c r="C2383" t="s">
        <v>15451</v>
      </c>
      <c r="D2383" t="s">
        <v>2381</v>
      </c>
      <c r="E2383" t="s">
        <v>3428</v>
      </c>
      <c r="F2383" t="s">
        <v>3441</v>
      </c>
      <c r="G2383" s="3">
        <v>35.129927164555703</v>
      </c>
      <c r="H2383" s="3">
        <v>127.367729656935</v>
      </c>
      <c r="I2383" t="s">
        <v>6148</v>
      </c>
      <c r="J2383" t="s">
        <v>9504</v>
      </c>
      <c r="K2383" t="s">
        <v>10896</v>
      </c>
      <c r="L2383" t="s">
        <v>3366</v>
      </c>
      <c r="M2383" t="s">
        <v>11893</v>
      </c>
      <c r="N2383" t="s">
        <v>3361</v>
      </c>
      <c r="O2383" t="s">
        <v>3359</v>
      </c>
      <c r="P2383" t="s">
        <v>3361</v>
      </c>
      <c r="Q2383" t="s">
        <v>3368</v>
      </c>
      <c r="R2383" t="s">
        <v>15211</v>
      </c>
      <c r="S2383" t="s">
        <v>15211</v>
      </c>
      <c r="T2383" t="s">
        <v>3381</v>
      </c>
      <c r="U2383" t="s">
        <v>14254</v>
      </c>
      <c r="V2383" t="s">
        <v>15280</v>
      </c>
    </row>
    <row r="2384" spans="1:22" ht="17.399999999999999" hidden="1">
      <c r="A2384" t="s">
        <v>15435</v>
      </c>
      <c r="B2384" t="s">
        <v>15442</v>
      </c>
      <c r="C2384" t="s">
        <v>15445</v>
      </c>
      <c r="D2384" t="s">
        <v>2382</v>
      </c>
      <c r="E2384" t="s">
        <v>3430</v>
      </c>
      <c r="F2384" t="s">
        <v>3458</v>
      </c>
      <c r="G2384" s="3">
        <v>35.129927140748698</v>
      </c>
      <c r="H2384" s="3">
        <v>127.367729643193</v>
      </c>
      <c r="I2384" t="s">
        <v>6149</v>
      </c>
      <c r="J2384" t="s">
        <v>9505</v>
      </c>
      <c r="K2384" t="s">
        <v>11678</v>
      </c>
      <c r="L2384" t="s">
        <v>3366</v>
      </c>
      <c r="M2384" t="s">
        <v>11892</v>
      </c>
      <c r="N2384" t="s">
        <v>3361</v>
      </c>
      <c r="O2384" t="s">
        <v>3359</v>
      </c>
      <c r="P2384" t="s">
        <v>15211</v>
      </c>
      <c r="Q2384" t="s">
        <v>15211</v>
      </c>
      <c r="R2384" t="s">
        <v>15211</v>
      </c>
      <c r="S2384" t="s">
        <v>15211</v>
      </c>
      <c r="T2384" t="s">
        <v>3364</v>
      </c>
      <c r="U2384" t="s">
        <v>14255</v>
      </c>
      <c r="V2384" t="s">
        <v>15279</v>
      </c>
    </row>
    <row r="2385" spans="1:22" ht="17.399999999999999" hidden="1">
      <c r="A2385" s="5" t="s">
        <v>15509</v>
      </c>
      <c r="B2385" s="4" t="s">
        <v>15441</v>
      </c>
      <c r="C2385" s="4" t="s">
        <v>15449</v>
      </c>
      <c r="D2385" s="4" t="s">
        <v>15503</v>
      </c>
      <c r="E2385" s="4" t="s">
        <v>3436</v>
      </c>
      <c r="F2385" s="4" t="s">
        <v>3433</v>
      </c>
      <c r="G2385" s="3">
        <v>34.835649952948401</v>
      </c>
      <c r="H2385" s="3">
        <v>127.342445741131</v>
      </c>
      <c r="I2385" s="4" t="s">
        <v>6150</v>
      </c>
      <c r="J2385" s="4" t="s">
        <v>9506</v>
      </c>
      <c r="K2385" s="4" t="s">
        <v>10997</v>
      </c>
      <c r="L2385" s="4" t="s">
        <v>3366</v>
      </c>
      <c r="M2385" s="4" t="s">
        <v>11888</v>
      </c>
      <c r="N2385" s="4" t="s">
        <v>3364</v>
      </c>
      <c r="O2385" s="8" t="s">
        <v>3358</v>
      </c>
      <c r="P2385" s="8" t="s">
        <v>3360</v>
      </c>
      <c r="Q2385" s="8" t="s">
        <v>3364</v>
      </c>
      <c r="R2385" s="8" t="s">
        <v>15211</v>
      </c>
      <c r="S2385" s="8" t="s">
        <v>15211</v>
      </c>
      <c r="T2385" s="8" t="s">
        <v>3378</v>
      </c>
      <c r="U2385" s="4" t="s">
        <v>14256</v>
      </c>
      <c r="V2385" s="4" t="s">
        <v>15277</v>
      </c>
    </row>
    <row r="2386" spans="1:22" ht="17.399999999999999" hidden="1">
      <c r="A2386" s="5" t="s">
        <v>15509</v>
      </c>
      <c r="B2386" s="4" t="s">
        <v>15441</v>
      </c>
      <c r="C2386" s="4" t="s">
        <v>15449</v>
      </c>
      <c r="D2386" s="4" t="s">
        <v>15504</v>
      </c>
      <c r="E2386" s="4" t="s">
        <v>3436</v>
      </c>
      <c r="F2386" s="4" t="s">
        <v>3453</v>
      </c>
      <c r="G2386" s="3">
        <v>34.835649979937301</v>
      </c>
      <c r="H2386" s="3">
        <v>127.342445656927</v>
      </c>
      <c r="I2386" s="4" t="s">
        <v>6151</v>
      </c>
      <c r="J2386" s="4" t="s">
        <v>9507</v>
      </c>
      <c r="K2386" s="4" t="s">
        <v>10696</v>
      </c>
      <c r="L2386" s="4" t="s">
        <v>3366</v>
      </c>
      <c r="M2386" s="4" t="s">
        <v>11893</v>
      </c>
      <c r="N2386" s="4" t="s">
        <v>3364</v>
      </c>
      <c r="O2386" s="8" t="s">
        <v>3358</v>
      </c>
      <c r="P2386" s="8" t="s">
        <v>3360</v>
      </c>
      <c r="Q2386" s="8" t="s">
        <v>3366</v>
      </c>
      <c r="R2386" s="8" t="s">
        <v>15211</v>
      </c>
      <c r="S2386" s="8" t="s">
        <v>15211</v>
      </c>
      <c r="T2386" s="8" t="s">
        <v>3380</v>
      </c>
      <c r="U2386" s="4" t="s">
        <v>14257</v>
      </c>
      <c r="V2386" s="4" t="s">
        <v>15277</v>
      </c>
    </row>
    <row r="2387" spans="1:22" ht="17.399999999999999" hidden="1">
      <c r="A2387" s="5" t="s">
        <v>15509</v>
      </c>
      <c r="B2387" s="4" t="s">
        <v>15441</v>
      </c>
      <c r="C2387" s="4" t="s">
        <v>15449</v>
      </c>
      <c r="D2387" s="4" t="s">
        <v>15505</v>
      </c>
      <c r="E2387" s="4" t="s">
        <v>3436</v>
      </c>
      <c r="F2387" s="4" t="s">
        <v>3453</v>
      </c>
      <c r="G2387" s="3">
        <v>34.835649992913403</v>
      </c>
      <c r="H2387" s="3">
        <v>127.342445608646</v>
      </c>
      <c r="I2387" s="4" t="s">
        <v>6152</v>
      </c>
      <c r="J2387" s="4" t="s">
        <v>9508</v>
      </c>
      <c r="K2387" s="4" t="s">
        <v>10696</v>
      </c>
      <c r="L2387" s="4" t="s">
        <v>3366</v>
      </c>
      <c r="M2387" s="4" t="s">
        <v>11893</v>
      </c>
      <c r="N2387" s="4" t="s">
        <v>3364</v>
      </c>
      <c r="O2387" s="8" t="s">
        <v>3358</v>
      </c>
      <c r="P2387" s="8" t="s">
        <v>3360</v>
      </c>
      <c r="Q2387" s="8" t="s">
        <v>3367</v>
      </c>
      <c r="R2387" s="8" t="s">
        <v>15211</v>
      </c>
      <c r="S2387" s="8" t="s">
        <v>15211</v>
      </c>
      <c r="T2387" s="8" t="s">
        <v>3381</v>
      </c>
      <c r="U2387" s="4" t="s">
        <v>14258</v>
      </c>
      <c r="V2387" s="4" t="s">
        <v>15277</v>
      </c>
    </row>
    <row r="2388" spans="1:22" ht="17.399999999999999" hidden="1">
      <c r="A2388" t="s">
        <v>15509</v>
      </c>
      <c r="B2388" t="s">
        <v>15442</v>
      </c>
      <c r="C2388" t="s">
        <v>15451</v>
      </c>
      <c r="D2388" t="s">
        <v>2383</v>
      </c>
      <c r="E2388" t="s">
        <v>3436</v>
      </c>
      <c r="F2388" t="s">
        <v>3452</v>
      </c>
      <c r="G2388" s="3">
        <v>34.835650092816202</v>
      </c>
      <c r="H2388" s="3">
        <v>127.342446195257</v>
      </c>
      <c r="I2388" t="s">
        <v>6153</v>
      </c>
      <c r="J2388" t="s">
        <v>9509</v>
      </c>
      <c r="K2388" t="s">
        <v>11679</v>
      </c>
      <c r="L2388" t="s">
        <v>3366</v>
      </c>
      <c r="M2388" t="s">
        <v>11912</v>
      </c>
      <c r="N2388" t="s">
        <v>3365</v>
      </c>
      <c r="O2388" t="s">
        <v>3358</v>
      </c>
      <c r="P2388" t="s">
        <v>3360</v>
      </c>
      <c r="Q2388" t="s">
        <v>3367</v>
      </c>
      <c r="R2388" t="s">
        <v>15211</v>
      </c>
      <c r="S2388" t="s">
        <v>15211</v>
      </c>
      <c r="T2388" t="s">
        <v>3382</v>
      </c>
      <c r="U2388" t="s">
        <v>14259</v>
      </c>
      <c r="V2388" t="s">
        <v>15280</v>
      </c>
    </row>
    <row r="2389" spans="1:22" ht="17.399999999999999" hidden="1">
      <c r="A2389" t="s">
        <v>15509</v>
      </c>
      <c r="B2389" t="s">
        <v>15442</v>
      </c>
      <c r="C2389" t="s">
        <v>15451</v>
      </c>
      <c r="D2389" t="s">
        <v>2384</v>
      </c>
      <c r="E2389" t="s">
        <v>3436</v>
      </c>
      <c r="F2389" t="s">
        <v>3452</v>
      </c>
      <c r="G2389" s="3">
        <v>34.835650089416298</v>
      </c>
      <c r="H2389" s="3">
        <v>127.342446205152</v>
      </c>
      <c r="I2389" t="s">
        <v>6154</v>
      </c>
      <c r="J2389" t="s">
        <v>9510</v>
      </c>
      <c r="K2389" t="s">
        <v>11589</v>
      </c>
      <c r="L2389" t="s">
        <v>3366</v>
      </c>
      <c r="M2389" t="s">
        <v>11912</v>
      </c>
      <c r="N2389" t="s">
        <v>3365</v>
      </c>
      <c r="O2389" t="s">
        <v>3359</v>
      </c>
      <c r="P2389" t="s">
        <v>3360</v>
      </c>
      <c r="Q2389" t="s">
        <v>3367</v>
      </c>
      <c r="R2389" t="s">
        <v>15211</v>
      </c>
      <c r="S2389" t="s">
        <v>15211</v>
      </c>
      <c r="T2389" t="s">
        <v>3383</v>
      </c>
      <c r="U2389" t="s">
        <v>14260</v>
      </c>
      <c r="V2389" t="s">
        <v>15280</v>
      </c>
    </row>
    <row r="2390" spans="1:22" ht="17.399999999999999" hidden="1">
      <c r="A2390" t="s">
        <v>15509</v>
      </c>
      <c r="B2390" t="s">
        <v>15442</v>
      </c>
      <c r="C2390" t="s">
        <v>15451</v>
      </c>
      <c r="D2390" t="s">
        <v>2385</v>
      </c>
      <c r="E2390" t="s">
        <v>3436</v>
      </c>
      <c r="F2390" t="s">
        <v>3452</v>
      </c>
      <c r="G2390" s="3">
        <v>34.8356500612107</v>
      </c>
      <c r="H2390" s="3">
        <v>127.342446187747</v>
      </c>
      <c r="I2390" t="s">
        <v>6155</v>
      </c>
      <c r="J2390" t="s">
        <v>9511</v>
      </c>
      <c r="K2390" t="s">
        <v>10809</v>
      </c>
      <c r="L2390" t="s">
        <v>3366</v>
      </c>
      <c r="M2390" t="s">
        <v>11914</v>
      </c>
      <c r="N2390" t="s">
        <v>3365</v>
      </c>
      <c r="O2390" t="s">
        <v>3359</v>
      </c>
      <c r="P2390" t="s">
        <v>3360</v>
      </c>
      <c r="Q2390" t="s">
        <v>3367</v>
      </c>
      <c r="R2390" t="s">
        <v>15211</v>
      </c>
      <c r="S2390" t="s">
        <v>15211</v>
      </c>
      <c r="T2390" t="s">
        <v>3383</v>
      </c>
      <c r="U2390" t="s">
        <v>14261</v>
      </c>
      <c r="V2390" t="s">
        <v>15280</v>
      </c>
    </row>
    <row r="2391" spans="1:22" ht="15" hidden="1">
      <c r="A2391" t="s">
        <v>15418</v>
      </c>
      <c r="B2391" t="s">
        <v>15441</v>
      </c>
      <c r="C2391" t="s">
        <v>15445</v>
      </c>
      <c r="D2391" t="s">
        <v>2386</v>
      </c>
      <c r="E2391" t="s">
        <v>3442</v>
      </c>
      <c r="F2391" t="s">
        <v>3465</v>
      </c>
      <c r="G2391" s="3">
        <v>34.990605949785497</v>
      </c>
      <c r="H2391" s="3">
        <v>127.36248497362099</v>
      </c>
      <c r="I2391" t="s">
        <v>6156</v>
      </c>
      <c r="J2391" t="s">
        <v>9512</v>
      </c>
      <c r="K2391" t="s">
        <v>11384</v>
      </c>
      <c r="L2391" t="s">
        <v>3366</v>
      </c>
      <c r="M2391" t="s">
        <v>11885</v>
      </c>
      <c r="N2391" t="s">
        <v>3364</v>
      </c>
      <c r="O2391" t="s">
        <v>3360</v>
      </c>
      <c r="P2391" t="s">
        <v>15211</v>
      </c>
      <c r="Q2391" t="s">
        <v>15211</v>
      </c>
      <c r="R2391" t="s">
        <v>15211</v>
      </c>
      <c r="S2391" t="s">
        <v>15211</v>
      </c>
      <c r="T2391" t="s">
        <v>3368</v>
      </c>
      <c r="U2391" t="s">
        <v>14262</v>
      </c>
      <c r="V2391" t="s">
        <v>15274</v>
      </c>
    </row>
    <row r="2392" spans="1:22" ht="15" hidden="1">
      <c r="A2392" t="s">
        <v>15418</v>
      </c>
      <c r="B2392" t="s">
        <v>15441</v>
      </c>
      <c r="C2392" t="s">
        <v>15445</v>
      </c>
      <c r="D2392" t="s">
        <v>2387</v>
      </c>
      <c r="E2392" t="s">
        <v>3442</v>
      </c>
      <c r="F2392" t="s">
        <v>3465</v>
      </c>
      <c r="G2392" s="3">
        <v>34.990606013462497</v>
      </c>
      <c r="H2392" s="3">
        <v>127.36248493070801</v>
      </c>
      <c r="I2392" t="s">
        <v>6157</v>
      </c>
      <c r="J2392" t="s">
        <v>9513</v>
      </c>
      <c r="K2392" t="s">
        <v>11680</v>
      </c>
      <c r="L2392" t="s">
        <v>3366</v>
      </c>
      <c r="M2392" t="s">
        <v>11885</v>
      </c>
      <c r="N2392" t="s">
        <v>3364</v>
      </c>
      <c r="O2392" t="s">
        <v>3360</v>
      </c>
      <c r="P2392" t="s">
        <v>15211</v>
      </c>
      <c r="Q2392" t="s">
        <v>15211</v>
      </c>
      <c r="R2392" t="s">
        <v>15211</v>
      </c>
      <c r="S2392" t="s">
        <v>15211</v>
      </c>
      <c r="T2392" t="s">
        <v>3368</v>
      </c>
      <c r="U2392" t="s">
        <v>14263</v>
      </c>
      <c r="V2392" t="s">
        <v>15274</v>
      </c>
    </row>
    <row r="2393" spans="1:22" ht="15" hidden="1">
      <c r="A2393" t="s">
        <v>15418</v>
      </c>
      <c r="B2393" t="s">
        <v>15441</v>
      </c>
      <c r="C2393" t="s">
        <v>15445</v>
      </c>
      <c r="D2393" t="s">
        <v>2388</v>
      </c>
      <c r="E2393" t="s">
        <v>3442</v>
      </c>
      <c r="F2393" t="s">
        <v>3450</v>
      </c>
      <c r="G2393" s="3">
        <v>34.990606007368903</v>
      </c>
      <c r="H2393" s="3">
        <v>127.362484953718</v>
      </c>
      <c r="I2393" t="s">
        <v>6158</v>
      </c>
      <c r="J2393" t="s">
        <v>9514</v>
      </c>
      <c r="K2393" t="s">
        <v>10839</v>
      </c>
      <c r="L2393" t="s">
        <v>3366</v>
      </c>
      <c r="M2393" t="s">
        <v>11885</v>
      </c>
      <c r="N2393" t="s">
        <v>3364</v>
      </c>
      <c r="O2393" t="s">
        <v>3360</v>
      </c>
      <c r="P2393" t="s">
        <v>15211</v>
      </c>
      <c r="Q2393" t="s">
        <v>15211</v>
      </c>
      <c r="R2393" t="s">
        <v>15211</v>
      </c>
      <c r="S2393" t="s">
        <v>15211</v>
      </c>
      <c r="T2393" t="s">
        <v>3368</v>
      </c>
      <c r="U2393" t="s">
        <v>14264</v>
      </c>
      <c r="V2393" t="s">
        <v>15274</v>
      </c>
    </row>
    <row r="2394" spans="1:22" ht="15" hidden="1">
      <c r="A2394" t="s">
        <v>15418</v>
      </c>
      <c r="B2394" t="s">
        <v>15441</v>
      </c>
      <c r="C2394" t="s">
        <v>15446</v>
      </c>
      <c r="D2394" t="s">
        <v>2389</v>
      </c>
      <c r="E2394" t="s">
        <v>3461</v>
      </c>
      <c r="F2394" t="s">
        <v>3564</v>
      </c>
      <c r="G2394" s="3">
        <v>34.990605918007297</v>
      </c>
      <c r="H2394" s="3">
        <v>127.3624850627</v>
      </c>
      <c r="I2394" t="s">
        <v>6159</v>
      </c>
      <c r="J2394" t="s">
        <v>9515</v>
      </c>
      <c r="K2394" t="s">
        <v>10966</v>
      </c>
      <c r="L2394" t="s">
        <v>3366</v>
      </c>
      <c r="M2394" t="s">
        <v>11885</v>
      </c>
      <c r="N2394" t="s">
        <v>3364</v>
      </c>
      <c r="O2394" t="s">
        <v>3360</v>
      </c>
      <c r="P2394" t="s">
        <v>15211</v>
      </c>
      <c r="Q2394" t="s">
        <v>15211</v>
      </c>
      <c r="R2394" t="s">
        <v>15211</v>
      </c>
      <c r="S2394" t="s">
        <v>15211</v>
      </c>
      <c r="T2394" t="s">
        <v>3368</v>
      </c>
      <c r="U2394" t="s">
        <v>14265</v>
      </c>
      <c r="V2394" t="s">
        <v>15275</v>
      </c>
    </row>
    <row r="2395" spans="1:22" ht="15" hidden="1">
      <c r="A2395" t="s">
        <v>15418</v>
      </c>
      <c r="B2395" t="s">
        <v>15441</v>
      </c>
      <c r="C2395" t="s">
        <v>15446</v>
      </c>
      <c r="D2395" t="s">
        <v>2390</v>
      </c>
      <c r="E2395" t="s">
        <v>3462</v>
      </c>
      <c r="F2395" t="s">
        <v>3458</v>
      </c>
      <c r="G2395" s="3">
        <v>34.990605923480203</v>
      </c>
      <c r="H2395" s="3">
        <v>127.362485044013</v>
      </c>
      <c r="I2395" t="s">
        <v>6160</v>
      </c>
      <c r="J2395" t="s">
        <v>9516</v>
      </c>
      <c r="K2395" t="s">
        <v>10966</v>
      </c>
      <c r="L2395" t="s">
        <v>3366</v>
      </c>
      <c r="M2395" t="s">
        <v>11885</v>
      </c>
      <c r="N2395" t="s">
        <v>3364</v>
      </c>
      <c r="O2395" t="s">
        <v>3360</v>
      </c>
      <c r="P2395" t="s">
        <v>15211</v>
      </c>
      <c r="Q2395" t="s">
        <v>15211</v>
      </c>
      <c r="R2395" t="s">
        <v>15211</v>
      </c>
      <c r="S2395" t="s">
        <v>15211</v>
      </c>
      <c r="T2395" t="s">
        <v>3368</v>
      </c>
      <c r="U2395" t="s">
        <v>14266</v>
      </c>
      <c r="V2395" t="s">
        <v>15275</v>
      </c>
    </row>
    <row r="2396" spans="1:22" ht="15" hidden="1">
      <c r="A2396" t="s">
        <v>15418</v>
      </c>
      <c r="B2396" t="s">
        <v>15441</v>
      </c>
      <c r="C2396" t="s">
        <v>15446</v>
      </c>
      <c r="D2396" t="s">
        <v>2391</v>
      </c>
      <c r="E2396" t="s">
        <v>3426</v>
      </c>
      <c r="F2396" t="s">
        <v>3613</v>
      </c>
      <c r="G2396" s="3">
        <v>34.990605915476401</v>
      </c>
      <c r="H2396" s="3">
        <v>127.36248498941799</v>
      </c>
      <c r="I2396" t="s">
        <v>6161</v>
      </c>
      <c r="J2396" t="s">
        <v>9517</v>
      </c>
      <c r="K2396" t="s">
        <v>10966</v>
      </c>
      <c r="L2396" t="s">
        <v>3366</v>
      </c>
      <c r="M2396" t="s">
        <v>11885</v>
      </c>
      <c r="N2396" t="s">
        <v>3364</v>
      </c>
      <c r="O2396" t="s">
        <v>3360</v>
      </c>
      <c r="P2396" t="s">
        <v>15211</v>
      </c>
      <c r="Q2396" t="s">
        <v>15211</v>
      </c>
      <c r="R2396" t="s">
        <v>15211</v>
      </c>
      <c r="S2396" t="s">
        <v>15211</v>
      </c>
      <c r="T2396" t="s">
        <v>3368</v>
      </c>
      <c r="U2396" t="s">
        <v>14267</v>
      </c>
      <c r="V2396" t="s">
        <v>15275</v>
      </c>
    </row>
    <row r="2397" spans="1:22" ht="15" hidden="1">
      <c r="A2397" t="s">
        <v>15418</v>
      </c>
      <c r="B2397" t="s">
        <v>15441</v>
      </c>
      <c r="C2397" t="s">
        <v>15448</v>
      </c>
      <c r="D2397" t="s">
        <v>2392</v>
      </c>
      <c r="E2397" t="s">
        <v>3436</v>
      </c>
      <c r="F2397" t="s">
        <v>3466</v>
      </c>
      <c r="G2397" s="3">
        <v>34.9906060742317</v>
      </c>
      <c r="H2397" s="3">
        <v>127.362485070231</v>
      </c>
      <c r="I2397" t="s">
        <v>6162</v>
      </c>
      <c r="J2397" t="s">
        <v>9518</v>
      </c>
      <c r="K2397" t="s">
        <v>11681</v>
      </c>
      <c r="L2397" t="s">
        <v>3366</v>
      </c>
      <c r="M2397" t="s">
        <v>11907</v>
      </c>
      <c r="N2397" t="s">
        <v>3364</v>
      </c>
      <c r="O2397" t="s">
        <v>3360</v>
      </c>
      <c r="P2397" t="s">
        <v>3360</v>
      </c>
      <c r="Q2397" t="s">
        <v>3368</v>
      </c>
      <c r="R2397" t="s">
        <v>3358</v>
      </c>
      <c r="S2397" t="s">
        <v>15211</v>
      </c>
      <c r="T2397" t="s">
        <v>3386</v>
      </c>
      <c r="U2397" t="s">
        <v>14268</v>
      </c>
      <c r="V2397" t="s">
        <v>15276</v>
      </c>
    </row>
    <row r="2398" spans="1:22" ht="15" hidden="1">
      <c r="A2398" t="s">
        <v>15418</v>
      </c>
      <c r="B2398" t="s">
        <v>15441</v>
      </c>
      <c r="C2398" t="s">
        <v>15448</v>
      </c>
      <c r="D2398" t="s">
        <v>2393</v>
      </c>
      <c r="E2398" t="s">
        <v>3436</v>
      </c>
      <c r="F2398" t="s">
        <v>3476</v>
      </c>
      <c r="G2398" s="3">
        <v>34.990606066100099</v>
      </c>
      <c r="H2398" s="3">
        <v>127.362485062074</v>
      </c>
      <c r="I2398" t="s">
        <v>6163</v>
      </c>
      <c r="J2398" t="s">
        <v>9519</v>
      </c>
      <c r="K2398" t="s">
        <v>10910</v>
      </c>
      <c r="L2398" t="s">
        <v>3366</v>
      </c>
      <c r="M2398" t="s">
        <v>11907</v>
      </c>
      <c r="N2398" t="s">
        <v>3364</v>
      </c>
      <c r="O2398" t="s">
        <v>3360</v>
      </c>
      <c r="P2398" t="s">
        <v>3360</v>
      </c>
      <c r="Q2398" t="s">
        <v>3368</v>
      </c>
      <c r="R2398" t="s">
        <v>3358</v>
      </c>
      <c r="S2398" t="s">
        <v>15211</v>
      </c>
      <c r="T2398" t="s">
        <v>3386</v>
      </c>
      <c r="U2398" t="s">
        <v>14269</v>
      </c>
      <c r="V2398" t="s">
        <v>15276</v>
      </c>
    </row>
    <row r="2399" spans="1:22" ht="15" hidden="1">
      <c r="A2399" t="s">
        <v>15418</v>
      </c>
      <c r="B2399" t="s">
        <v>15441</v>
      </c>
      <c r="C2399" t="s">
        <v>15448</v>
      </c>
      <c r="D2399" t="s">
        <v>2394</v>
      </c>
      <c r="E2399" t="s">
        <v>3436</v>
      </c>
      <c r="F2399" t="s">
        <v>3478</v>
      </c>
      <c r="G2399" s="3">
        <v>34.990606050979302</v>
      </c>
      <c r="H2399" s="3">
        <v>127.36248505309</v>
      </c>
      <c r="I2399" t="s">
        <v>6164</v>
      </c>
      <c r="J2399" t="s">
        <v>9520</v>
      </c>
      <c r="K2399" t="s">
        <v>11058</v>
      </c>
      <c r="L2399" t="s">
        <v>3366</v>
      </c>
      <c r="M2399" t="s">
        <v>11907</v>
      </c>
      <c r="N2399" t="s">
        <v>3364</v>
      </c>
      <c r="O2399" t="s">
        <v>3360</v>
      </c>
      <c r="P2399" t="s">
        <v>3360</v>
      </c>
      <c r="Q2399" t="s">
        <v>3368</v>
      </c>
      <c r="R2399" t="s">
        <v>3358</v>
      </c>
      <c r="S2399" t="s">
        <v>15211</v>
      </c>
      <c r="T2399" t="s">
        <v>3386</v>
      </c>
      <c r="U2399" t="s">
        <v>14270</v>
      </c>
      <c r="V2399" t="s">
        <v>15276</v>
      </c>
    </row>
    <row r="2400" spans="1:22" ht="15" hidden="1">
      <c r="A2400" t="s">
        <v>15418</v>
      </c>
      <c r="B2400" t="s">
        <v>15441</v>
      </c>
      <c r="C2400" t="s">
        <v>15449</v>
      </c>
      <c r="D2400" t="s">
        <v>2395</v>
      </c>
      <c r="E2400" t="s">
        <v>3436</v>
      </c>
      <c r="F2400" t="s">
        <v>3453</v>
      </c>
      <c r="G2400" s="3">
        <v>34.9906062688977</v>
      </c>
      <c r="H2400" s="3">
        <v>127.362484892297</v>
      </c>
      <c r="I2400" t="s">
        <v>6165</v>
      </c>
      <c r="J2400" t="s">
        <v>9521</v>
      </c>
      <c r="K2400" t="s">
        <v>11359</v>
      </c>
      <c r="L2400" t="s">
        <v>3366</v>
      </c>
      <c r="M2400" t="s">
        <v>11912</v>
      </c>
      <c r="N2400" t="s">
        <v>3364</v>
      </c>
      <c r="O2400" t="s">
        <v>3359</v>
      </c>
      <c r="P2400" t="s">
        <v>3360</v>
      </c>
      <c r="Q2400" t="s">
        <v>3367</v>
      </c>
      <c r="R2400" t="s">
        <v>15211</v>
      </c>
      <c r="S2400" t="s">
        <v>15211</v>
      </c>
      <c r="T2400" t="s">
        <v>3382</v>
      </c>
      <c r="U2400" t="s">
        <v>14271</v>
      </c>
      <c r="V2400" t="s">
        <v>15277</v>
      </c>
    </row>
    <row r="2401" spans="1:22" ht="15" hidden="1">
      <c r="A2401" t="s">
        <v>15418</v>
      </c>
      <c r="B2401" t="s">
        <v>15441</v>
      </c>
      <c r="C2401" t="s">
        <v>15449</v>
      </c>
      <c r="D2401" t="s">
        <v>2396</v>
      </c>
      <c r="E2401" t="s">
        <v>3436</v>
      </c>
      <c r="F2401" t="s">
        <v>3432</v>
      </c>
      <c r="G2401" s="3">
        <v>34.990606262733003</v>
      </c>
      <c r="H2401" s="3">
        <v>127.362484919298</v>
      </c>
      <c r="I2401" t="s">
        <v>6166</v>
      </c>
      <c r="J2401" t="s">
        <v>9522</v>
      </c>
      <c r="K2401" t="s">
        <v>11359</v>
      </c>
      <c r="L2401" t="s">
        <v>3366</v>
      </c>
      <c r="M2401" t="s">
        <v>11912</v>
      </c>
      <c r="N2401" t="s">
        <v>3364</v>
      </c>
      <c r="O2401" t="s">
        <v>3359</v>
      </c>
      <c r="P2401" t="s">
        <v>3360</v>
      </c>
      <c r="Q2401" t="s">
        <v>3367</v>
      </c>
      <c r="R2401" t="s">
        <v>15211</v>
      </c>
      <c r="S2401" t="s">
        <v>15211</v>
      </c>
      <c r="T2401" t="s">
        <v>3382</v>
      </c>
      <c r="U2401" t="s">
        <v>14272</v>
      </c>
      <c r="V2401" t="s">
        <v>15277</v>
      </c>
    </row>
    <row r="2402" spans="1:22" ht="15" hidden="1">
      <c r="A2402" t="s">
        <v>15418</v>
      </c>
      <c r="B2402" t="s">
        <v>15441</v>
      </c>
      <c r="C2402" t="s">
        <v>15449</v>
      </c>
      <c r="D2402" t="s">
        <v>2397</v>
      </c>
      <c r="E2402" t="s">
        <v>3425</v>
      </c>
      <c r="F2402" t="s">
        <v>3432</v>
      </c>
      <c r="G2402" s="3">
        <v>34.990606256596301</v>
      </c>
      <c r="H2402" s="3">
        <v>127.362484913458</v>
      </c>
      <c r="I2402" t="s">
        <v>6167</v>
      </c>
      <c r="J2402" t="s">
        <v>9523</v>
      </c>
      <c r="K2402" t="s">
        <v>11359</v>
      </c>
      <c r="L2402" t="s">
        <v>3366</v>
      </c>
      <c r="M2402" t="s">
        <v>11912</v>
      </c>
      <c r="N2402" t="s">
        <v>3364</v>
      </c>
      <c r="O2402" t="s">
        <v>3359</v>
      </c>
      <c r="P2402" t="s">
        <v>3360</v>
      </c>
      <c r="Q2402" t="s">
        <v>3367</v>
      </c>
      <c r="R2402" t="s">
        <v>15211</v>
      </c>
      <c r="S2402" t="s">
        <v>15211</v>
      </c>
      <c r="T2402" t="s">
        <v>3382</v>
      </c>
      <c r="U2402" t="s">
        <v>14273</v>
      </c>
      <c r="V2402" t="s">
        <v>15277</v>
      </c>
    </row>
    <row r="2403" spans="1:22" ht="15" hidden="1">
      <c r="A2403" t="s">
        <v>15418</v>
      </c>
      <c r="B2403" t="s">
        <v>15442</v>
      </c>
      <c r="C2403" t="s">
        <v>15450</v>
      </c>
      <c r="D2403" t="s">
        <v>2398</v>
      </c>
      <c r="E2403" t="s">
        <v>3425</v>
      </c>
      <c r="F2403" t="s">
        <v>3452</v>
      </c>
      <c r="G2403" s="3">
        <v>34.990605744008299</v>
      </c>
      <c r="H2403" s="3">
        <v>127.36248529020099</v>
      </c>
      <c r="I2403" t="s">
        <v>6168</v>
      </c>
      <c r="J2403" t="s">
        <v>9524</v>
      </c>
      <c r="K2403" t="s">
        <v>11112</v>
      </c>
      <c r="L2403" t="s">
        <v>3366</v>
      </c>
      <c r="M2403" t="s">
        <v>11895</v>
      </c>
      <c r="N2403" t="s">
        <v>3364</v>
      </c>
      <c r="O2403" t="s">
        <v>3363</v>
      </c>
      <c r="P2403" t="s">
        <v>15211</v>
      </c>
      <c r="Q2403" t="s">
        <v>15211</v>
      </c>
      <c r="R2403" t="s">
        <v>15211</v>
      </c>
      <c r="S2403" t="s">
        <v>15211</v>
      </c>
      <c r="T2403" t="s">
        <v>3371</v>
      </c>
      <c r="U2403" t="s">
        <v>14274</v>
      </c>
      <c r="V2403" t="s">
        <v>15278</v>
      </c>
    </row>
    <row r="2404" spans="1:22" ht="15" hidden="1">
      <c r="A2404" t="s">
        <v>15418</v>
      </c>
      <c r="B2404" t="s">
        <v>15442</v>
      </c>
      <c r="C2404" t="s">
        <v>15450</v>
      </c>
      <c r="D2404" t="s">
        <v>2399</v>
      </c>
      <c r="E2404" t="s">
        <v>3435</v>
      </c>
      <c r="F2404" t="s">
        <v>3462</v>
      </c>
      <c r="G2404" s="3">
        <v>34.990605709497999</v>
      </c>
      <c r="H2404" s="3">
        <v>127.362485262352</v>
      </c>
      <c r="I2404" t="s">
        <v>6169</v>
      </c>
      <c r="J2404" t="s">
        <v>9525</v>
      </c>
      <c r="K2404" t="s">
        <v>11111</v>
      </c>
      <c r="L2404" t="s">
        <v>3366</v>
      </c>
      <c r="M2404" t="s">
        <v>11895</v>
      </c>
      <c r="N2404" t="s">
        <v>3364</v>
      </c>
      <c r="O2404" t="s">
        <v>3363</v>
      </c>
      <c r="P2404" t="s">
        <v>15211</v>
      </c>
      <c r="Q2404" t="s">
        <v>15211</v>
      </c>
      <c r="R2404" t="s">
        <v>15211</v>
      </c>
      <c r="S2404" t="s">
        <v>15211</v>
      </c>
      <c r="T2404" t="s">
        <v>3371</v>
      </c>
      <c r="U2404" t="s">
        <v>14275</v>
      </c>
      <c r="V2404" t="s">
        <v>15278</v>
      </c>
    </row>
    <row r="2405" spans="1:22" ht="15" hidden="1">
      <c r="A2405" t="s">
        <v>15418</v>
      </c>
      <c r="B2405" t="s">
        <v>15442</v>
      </c>
      <c r="C2405" t="s">
        <v>15450</v>
      </c>
      <c r="D2405" t="s">
        <v>2400</v>
      </c>
      <c r="E2405" t="s">
        <v>3434</v>
      </c>
      <c r="F2405" t="s">
        <v>3462</v>
      </c>
      <c r="G2405" s="3">
        <v>34.990605697423597</v>
      </c>
      <c r="H2405" s="3">
        <v>127.36248524960899</v>
      </c>
      <c r="I2405" t="s">
        <v>6170</v>
      </c>
      <c r="J2405" t="s">
        <v>9526</v>
      </c>
      <c r="K2405" t="s">
        <v>11225</v>
      </c>
      <c r="L2405" t="s">
        <v>3366</v>
      </c>
      <c r="M2405" t="s">
        <v>11895</v>
      </c>
      <c r="N2405" t="s">
        <v>3364</v>
      </c>
      <c r="O2405" t="s">
        <v>3363</v>
      </c>
      <c r="P2405" t="s">
        <v>15211</v>
      </c>
      <c r="Q2405" t="s">
        <v>15211</v>
      </c>
      <c r="R2405" t="s">
        <v>15211</v>
      </c>
      <c r="S2405" t="s">
        <v>15211</v>
      </c>
      <c r="T2405" t="s">
        <v>3371</v>
      </c>
      <c r="U2405" t="s">
        <v>14276</v>
      </c>
      <c r="V2405" t="s">
        <v>15278</v>
      </c>
    </row>
    <row r="2406" spans="1:22" ht="15" hidden="1">
      <c r="A2406" t="s">
        <v>15418</v>
      </c>
      <c r="B2406" t="s">
        <v>15442</v>
      </c>
      <c r="C2406" t="s">
        <v>15445</v>
      </c>
      <c r="D2406" t="s">
        <v>2401</v>
      </c>
      <c r="E2406" t="s">
        <v>3437</v>
      </c>
      <c r="F2406" t="s">
        <v>3431</v>
      </c>
      <c r="G2406" s="3">
        <v>34.990605962136897</v>
      </c>
      <c r="H2406" s="3">
        <v>127.362484986433</v>
      </c>
      <c r="I2406" t="s">
        <v>6171</v>
      </c>
      <c r="J2406" t="s">
        <v>9527</v>
      </c>
      <c r="K2406" t="s">
        <v>10707</v>
      </c>
      <c r="L2406" t="s">
        <v>3366</v>
      </c>
      <c r="M2406" t="s">
        <v>11885</v>
      </c>
      <c r="N2406" t="s">
        <v>3364</v>
      </c>
      <c r="O2406" t="s">
        <v>3360</v>
      </c>
      <c r="P2406" t="s">
        <v>15211</v>
      </c>
      <c r="Q2406" t="s">
        <v>15211</v>
      </c>
      <c r="R2406" t="s">
        <v>15211</v>
      </c>
      <c r="S2406" t="s">
        <v>15211</v>
      </c>
      <c r="T2406" t="s">
        <v>3368</v>
      </c>
      <c r="U2406" t="s">
        <v>14277</v>
      </c>
      <c r="V2406" t="s">
        <v>15279</v>
      </c>
    </row>
    <row r="2407" spans="1:22" ht="15" hidden="1">
      <c r="A2407" t="s">
        <v>15418</v>
      </c>
      <c r="B2407" t="s">
        <v>15442</v>
      </c>
      <c r="C2407" t="s">
        <v>15445</v>
      </c>
      <c r="D2407" t="s">
        <v>2402</v>
      </c>
      <c r="E2407" t="s">
        <v>3437</v>
      </c>
      <c r="F2407" t="s">
        <v>3431</v>
      </c>
      <c r="G2407" s="3">
        <v>34.990605977254802</v>
      </c>
      <c r="H2407" s="3">
        <v>127.362484998093</v>
      </c>
      <c r="I2407" t="s">
        <v>6172</v>
      </c>
      <c r="J2407" t="s">
        <v>9528</v>
      </c>
      <c r="K2407" t="s">
        <v>11563</v>
      </c>
      <c r="L2407" t="s">
        <v>3366</v>
      </c>
      <c r="M2407" t="s">
        <v>11886</v>
      </c>
      <c r="N2407" t="s">
        <v>3364</v>
      </c>
      <c r="O2407" t="s">
        <v>3360</v>
      </c>
      <c r="P2407" t="s">
        <v>15211</v>
      </c>
      <c r="Q2407" t="s">
        <v>15211</v>
      </c>
      <c r="R2407" t="s">
        <v>15211</v>
      </c>
      <c r="S2407" t="s">
        <v>15211</v>
      </c>
      <c r="T2407" t="s">
        <v>3368</v>
      </c>
      <c r="U2407" t="s">
        <v>14278</v>
      </c>
      <c r="V2407" t="s">
        <v>15279</v>
      </c>
    </row>
    <row r="2408" spans="1:22" ht="15" hidden="1">
      <c r="A2408" t="s">
        <v>15418</v>
      </c>
      <c r="B2408" t="s">
        <v>15442</v>
      </c>
      <c r="C2408" t="s">
        <v>15445</v>
      </c>
      <c r="D2408" t="s">
        <v>2403</v>
      </c>
      <c r="E2408" t="s">
        <v>3436</v>
      </c>
      <c r="F2408" t="s">
        <v>3453</v>
      </c>
      <c r="G2408" s="3">
        <v>34.990605966596299</v>
      </c>
      <c r="H2408" s="3">
        <v>127.362484998211</v>
      </c>
      <c r="I2408" t="s">
        <v>6173</v>
      </c>
      <c r="J2408" t="s">
        <v>9529</v>
      </c>
      <c r="K2408" t="s">
        <v>10892</v>
      </c>
      <c r="L2408" t="s">
        <v>3366</v>
      </c>
      <c r="M2408" t="s">
        <v>11885</v>
      </c>
      <c r="N2408" t="s">
        <v>3364</v>
      </c>
      <c r="O2408" t="s">
        <v>3360</v>
      </c>
      <c r="P2408" t="s">
        <v>15211</v>
      </c>
      <c r="Q2408" t="s">
        <v>15211</v>
      </c>
      <c r="R2408" t="s">
        <v>15211</v>
      </c>
      <c r="S2408" t="s">
        <v>15211</v>
      </c>
      <c r="T2408" t="s">
        <v>3368</v>
      </c>
      <c r="U2408" t="s">
        <v>14279</v>
      </c>
      <c r="V2408" t="s">
        <v>15279</v>
      </c>
    </row>
    <row r="2409" spans="1:22" ht="15" hidden="1">
      <c r="A2409" t="s">
        <v>15418</v>
      </c>
      <c r="B2409" t="s">
        <v>15442</v>
      </c>
      <c r="C2409" t="s">
        <v>15451</v>
      </c>
      <c r="D2409" t="s">
        <v>2404</v>
      </c>
      <c r="E2409" t="s">
        <v>3440</v>
      </c>
      <c r="F2409" t="s">
        <v>3425</v>
      </c>
      <c r="G2409" s="3">
        <v>34.990605997323499</v>
      </c>
      <c r="H2409" s="3">
        <v>127.36248503986801</v>
      </c>
      <c r="I2409" t="s">
        <v>6174</v>
      </c>
      <c r="J2409" t="s">
        <v>9530</v>
      </c>
      <c r="K2409" t="s">
        <v>11682</v>
      </c>
      <c r="L2409" t="s">
        <v>3366</v>
      </c>
      <c r="M2409" t="s">
        <v>11911</v>
      </c>
      <c r="N2409" t="s">
        <v>3364</v>
      </c>
      <c r="O2409" t="s">
        <v>3360</v>
      </c>
      <c r="P2409" t="s">
        <v>3362</v>
      </c>
      <c r="Q2409" t="s">
        <v>3367</v>
      </c>
      <c r="R2409" t="s">
        <v>15211</v>
      </c>
      <c r="S2409" t="s">
        <v>15211</v>
      </c>
      <c r="T2409" t="s">
        <v>3385</v>
      </c>
      <c r="U2409" t="s">
        <v>14280</v>
      </c>
      <c r="V2409" t="s">
        <v>15280</v>
      </c>
    </row>
    <row r="2410" spans="1:22" ht="15" hidden="1">
      <c r="A2410" t="s">
        <v>15418</v>
      </c>
      <c r="B2410" t="s">
        <v>15442</v>
      </c>
      <c r="C2410" t="s">
        <v>15451</v>
      </c>
      <c r="D2410" t="s">
        <v>2405</v>
      </c>
      <c r="E2410" t="s">
        <v>3440</v>
      </c>
      <c r="F2410" t="s">
        <v>3425</v>
      </c>
      <c r="G2410" s="3">
        <v>34.9906060269671</v>
      </c>
      <c r="H2410" s="3">
        <v>127.362485019337</v>
      </c>
      <c r="I2410" t="s">
        <v>6175</v>
      </c>
      <c r="J2410" t="s">
        <v>9531</v>
      </c>
      <c r="K2410" t="s">
        <v>11342</v>
      </c>
      <c r="L2410" t="s">
        <v>3366</v>
      </c>
      <c r="M2410" t="s">
        <v>11911</v>
      </c>
      <c r="N2410" t="s">
        <v>3364</v>
      </c>
      <c r="O2410" t="s">
        <v>3360</v>
      </c>
      <c r="P2410" t="s">
        <v>3362</v>
      </c>
      <c r="Q2410" t="s">
        <v>3368</v>
      </c>
      <c r="R2410" t="s">
        <v>15211</v>
      </c>
      <c r="S2410" t="s">
        <v>15211</v>
      </c>
      <c r="T2410" t="s">
        <v>3386</v>
      </c>
      <c r="U2410" t="s">
        <v>14281</v>
      </c>
      <c r="V2410" t="s">
        <v>15280</v>
      </c>
    </row>
    <row r="2411" spans="1:22" ht="15" hidden="1">
      <c r="A2411" t="s">
        <v>15418</v>
      </c>
      <c r="B2411" t="s">
        <v>15442</v>
      </c>
      <c r="C2411" t="s">
        <v>15451</v>
      </c>
      <c r="D2411" t="s">
        <v>2406</v>
      </c>
      <c r="E2411" t="s">
        <v>3440</v>
      </c>
      <c r="F2411" t="s">
        <v>3431</v>
      </c>
      <c r="G2411" s="3">
        <v>34.990606035111497</v>
      </c>
      <c r="H2411" s="3">
        <v>127.362485027402</v>
      </c>
      <c r="I2411" t="s">
        <v>6176</v>
      </c>
      <c r="J2411" t="s">
        <v>9532</v>
      </c>
      <c r="K2411" t="s">
        <v>11357</v>
      </c>
      <c r="L2411" t="s">
        <v>3366</v>
      </c>
      <c r="M2411" t="s">
        <v>11911</v>
      </c>
      <c r="N2411" t="s">
        <v>3364</v>
      </c>
      <c r="O2411" t="s">
        <v>3360</v>
      </c>
      <c r="P2411" t="s">
        <v>3362</v>
      </c>
      <c r="Q2411" t="s">
        <v>3367</v>
      </c>
      <c r="R2411" t="s">
        <v>15211</v>
      </c>
      <c r="S2411" t="s">
        <v>15211</v>
      </c>
      <c r="T2411" t="s">
        <v>3385</v>
      </c>
      <c r="U2411" t="s">
        <v>14282</v>
      </c>
      <c r="V2411" t="s">
        <v>15280</v>
      </c>
    </row>
    <row r="2412" spans="1:22" hidden="1">
      <c r="A2412" t="s">
        <v>15297</v>
      </c>
      <c r="B2412" t="s">
        <v>15441</v>
      </c>
      <c r="C2412" t="s">
        <v>15445</v>
      </c>
      <c r="D2412" t="s">
        <v>2407</v>
      </c>
      <c r="E2412" t="s">
        <v>3428</v>
      </c>
      <c r="F2412" t="s">
        <v>3441</v>
      </c>
      <c r="G2412" s="3">
        <v>34.878892913738703</v>
      </c>
      <c r="H2412" s="3">
        <v>127.573165850935</v>
      </c>
      <c r="I2412" t="s">
        <v>6177</v>
      </c>
      <c r="J2412" t="s">
        <v>9533</v>
      </c>
      <c r="K2412" t="s">
        <v>11683</v>
      </c>
      <c r="L2412" t="s">
        <v>3366</v>
      </c>
      <c r="M2412" t="s">
        <v>11885</v>
      </c>
      <c r="N2412" t="s">
        <v>3365</v>
      </c>
      <c r="O2412" t="s">
        <v>3360</v>
      </c>
      <c r="P2412" t="s">
        <v>15211</v>
      </c>
      <c r="Q2412" t="s">
        <v>15211</v>
      </c>
      <c r="R2412" t="s">
        <v>15211</v>
      </c>
      <c r="S2412" t="s">
        <v>15211</v>
      </c>
      <c r="T2412" t="s">
        <v>3369</v>
      </c>
      <c r="U2412" t="s">
        <v>14283</v>
      </c>
      <c r="V2412" t="s">
        <v>15274</v>
      </c>
    </row>
    <row r="2413" spans="1:22" hidden="1">
      <c r="A2413" t="s">
        <v>15297</v>
      </c>
      <c r="B2413" t="s">
        <v>15441</v>
      </c>
      <c r="C2413" t="s">
        <v>15445</v>
      </c>
      <c r="D2413" t="s">
        <v>2408</v>
      </c>
      <c r="E2413" t="s">
        <v>3436</v>
      </c>
      <c r="F2413" t="s">
        <v>3433</v>
      </c>
      <c r="G2413" s="3">
        <v>34.8788929370427</v>
      </c>
      <c r="H2413" s="3">
        <v>127.57316587152999</v>
      </c>
      <c r="I2413" t="s">
        <v>6178</v>
      </c>
      <c r="J2413" t="s">
        <v>9534</v>
      </c>
      <c r="K2413" t="s">
        <v>10538</v>
      </c>
      <c r="L2413" t="s">
        <v>3366</v>
      </c>
      <c r="M2413" t="s">
        <v>11885</v>
      </c>
      <c r="N2413" t="s">
        <v>3365</v>
      </c>
      <c r="O2413" t="s">
        <v>3360</v>
      </c>
      <c r="P2413" t="s">
        <v>15211</v>
      </c>
      <c r="Q2413" t="s">
        <v>15211</v>
      </c>
      <c r="R2413" t="s">
        <v>15211</v>
      </c>
      <c r="S2413" t="s">
        <v>15211</v>
      </c>
      <c r="T2413" t="s">
        <v>3369</v>
      </c>
      <c r="U2413" t="s">
        <v>14284</v>
      </c>
      <c r="V2413" t="s">
        <v>15274</v>
      </c>
    </row>
    <row r="2414" spans="1:22" hidden="1">
      <c r="A2414" t="s">
        <v>15297</v>
      </c>
      <c r="B2414" t="s">
        <v>15441</v>
      </c>
      <c r="C2414" t="s">
        <v>15445</v>
      </c>
      <c r="D2414" t="s">
        <v>2409</v>
      </c>
      <c r="E2414" t="s">
        <v>3436</v>
      </c>
      <c r="F2414" t="s">
        <v>3452</v>
      </c>
      <c r="G2414" s="3">
        <v>34.878892944682597</v>
      </c>
      <c r="H2414" s="3">
        <v>127.57316586016</v>
      </c>
      <c r="I2414" t="s">
        <v>6179</v>
      </c>
      <c r="J2414" t="s">
        <v>9535</v>
      </c>
      <c r="K2414" t="s">
        <v>10560</v>
      </c>
      <c r="L2414" t="s">
        <v>3366</v>
      </c>
      <c r="M2414" t="s">
        <v>11885</v>
      </c>
      <c r="N2414" t="s">
        <v>3365</v>
      </c>
      <c r="O2414" t="s">
        <v>3359</v>
      </c>
      <c r="P2414" t="s">
        <v>15211</v>
      </c>
      <c r="Q2414" t="s">
        <v>15211</v>
      </c>
      <c r="R2414" t="s">
        <v>15211</v>
      </c>
      <c r="S2414" t="s">
        <v>15211</v>
      </c>
      <c r="T2414" t="s">
        <v>3368</v>
      </c>
      <c r="U2414" t="s">
        <v>14285</v>
      </c>
      <c r="V2414" t="s">
        <v>15274</v>
      </c>
    </row>
    <row r="2415" spans="1:22" hidden="1">
      <c r="A2415" t="s">
        <v>15297</v>
      </c>
      <c r="B2415" t="s">
        <v>15441</v>
      </c>
      <c r="C2415" t="s">
        <v>15446</v>
      </c>
      <c r="D2415" t="s">
        <v>2410</v>
      </c>
      <c r="E2415" t="s">
        <v>3431</v>
      </c>
      <c r="F2415" t="s">
        <v>3460</v>
      </c>
      <c r="G2415" s="3">
        <v>34.878892933196298</v>
      </c>
      <c r="H2415" s="3">
        <v>127.57316578543499</v>
      </c>
      <c r="I2415" t="s">
        <v>6180</v>
      </c>
      <c r="J2415" t="s">
        <v>9536</v>
      </c>
      <c r="K2415" t="s">
        <v>11684</v>
      </c>
      <c r="L2415" t="s">
        <v>3366</v>
      </c>
      <c r="M2415" t="s">
        <v>11885</v>
      </c>
      <c r="N2415" t="s">
        <v>3365</v>
      </c>
      <c r="O2415" t="s">
        <v>3359</v>
      </c>
      <c r="P2415" t="s">
        <v>15211</v>
      </c>
      <c r="Q2415" t="s">
        <v>15211</v>
      </c>
      <c r="R2415" t="s">
        <v>15211</v>
      </c>
      <c r="S2415" t="s">
        <v>15211</v>
      </c>
      <c r="T2415" t="s">
        <v>3368</v>
      </c>
      <c r="U2415" t="s">
        <v>14286</v>
      </c>
      <c r="V2415" t="s">
        <v>15275</v>
      </c>
    </row>
    <row r="2416" spans="1:22" hidden="1">
      <c r="A2416" t="s">
        <v>15297</v>
      </c>
      <c r="B2416" t="s">
        <v>15441</v>
      </c>
      <c r="C2416" t="s">
        <v>15446</v>
      </c>
      <c r="D2416" t="s">
        <v>2411</v>
      </c>
      <c r="E2416" t="s">
        <v>3431</v>
      </c>
      <c r="F2416" t="s">
        <v>3460</v>
      </c>
      <c r="G2416" s="3">
        <v>34.878892984667203</v>
      </c>
      <c r="H2416" s="3">
        <v>127.573165764034</v>
      </c>
      <c r="I2416" t="s">
        <v>6181</v>
      </c>
      <c r="J2416" t="s">
        <v>9537</v>
      </c>
      <c r="K2416" t="s">
        <v>11055</v>
      </c>
      <c r="L2416" t="s">
        <v>3366</v>
      </c>
      <c r="M2416" t="s">
        <v>11885</v>
      </c>
      <c r="N2416" t="s">
        <v>3365</v>
      </c>
      <c r="O2416" t="s">
        <v>3359</v>
      </c>
      <c r="P2416" t="s">
        <v>15211</v>
      </c>
      <c r="Q2416" t="s">
        <v>15211</v>
      </c>
      <c r="R2416" t="s">
        <v>15211</v>
      </c>
      <c r="S2416" t="s">
        <v>15211</v>
      </c>
      <c r="T2416" t="s">
        <v>3368</v>
      </c>
      <c r="U2416" t="s">
        <v>14287</v>
      </c>
      <c r="V2416" t="s">
        <v>15275</v>
      </c>
    </row>
    <row r="2417" spans="1:22" hidden="1">
      <c r="A2417" t="s">
        <v>15297</v>
      </c>
      <c r="B2417" t="s">
        <v>15441</v>
      </c>
      <c r="C2417" t="s">
        <v>15446</v>
      </c>
      <c r="D2417" t="s">
        <v>2412</v>
      </c>
      <c r="E2417" t="s">
        <v>3431</v>
      </c>
      <c r="F2417" t="s">
        <v>3460</v>
      </c>
      <c r="G2417" s="3">
        <v>34.8788930291797</v>
      </c>
      <c r="H2417" s="3">
        <v>127.57316575782301</v>
      </c>
      <c r="I2417" t="s">
        <v>6182</v>
      </c>
      <c r="J2417" t="s">
        <v>9538</v>
      </c>
      <c r="K2417" t="s">
        <v>10653</v>
      </c>
      <c r="L2417" t="s">
        <v>3366</v>
      </c>
      <c r="M2417" t="s">
        <v>11885</v>
      </c>
      <c r="N2417" t="s">
        <v>3365</v>
      </c>
      <c r="O2417" t="s">
        <v>3359</v>
      </c>
      <c r="P2417" t="s">
        <v>15211</v>
      </c>
      <c r="Q2417" t="s">
        <v>15211</v>
      </c>
      <c r="R2417" t="s">
        <v>15211</v>
      </c>
      <c r="S2417" t="s">
        <v>15211</v>
      </c>
      <c r="T2417" t="s">
        <v>3368</v>
      </c>
      <c r="U2417" t="s">
        <v>14288</v>
      </c>
      <c r="V2417" t="s">
        <v>15275</v>
      </c>
    </row>
    <row r="2418" spans="1:22" hidden="1">
      <c r="A2418" t="s">
        <v>15297</v>
      </c>
      <c r="B2418" t="s">
        <v>15441</v>
      </c>
      <c r="C2418" t="s">
        <v>15448</v>
      </c>
      <c r="D2418" t="s">
        <v>2413</v>
      </c>
      <c r="E2418" t="s">
        <v>3425</v>
      </c>
      <c r="F2418" t="s">
        <v>3611</v>
      </c>
      <c r="G2418" s="3">
        <v>34.878893049496398</v>
      </c>
      <c r="H2418" s="3">
        <v>127.573165757312</v>
      </c>
      <c r="I2418" t="s">
        <v>6183</v>
      </c>
      <c r="J2418" t="s">
        <v>9539</v>
      </c>
      <c r="K2418" t="s">
        <v>11345</v>
      </c>
      <c r="L2418" t="s">
        <v>3366</v>
      </c>
      <c r="M2418" t="s">
        <v>11905</v>
      </c>
      <c r="N2418" t="s">
        <v>3365</v>
      </c>
      <c r="O2418" t="s">
        <v>3360</v>
      </c>
      <c r="P2418" t="s">
        <v>3363</v>
      </c>
      <c r="Q2418" t="s">
        <v>3367</v>
      </c>
      <c r="R2418" t="s">
        <v>3359</v>
      </c>
      <c r="S2418" t="s">
        <v>15211</v>
      </c>
      <c r="T2418" t="s">
        <v>3390</v>
      </c>
      <c r="U2418" t="s">
        <v>14289</v>
      </c>
      <c r="V2418" t="s">
        <v>15276</v>
      </c>
    </row>
    <row r="2419" spans="1:22" hidden="1">
      <c r="A2419" t="s">
        <v>15297</v>
      </c>
      <c r="B2419" t="s">
        <v>15441</v>
      </c>
      <c r="C2419" t="s">
        <v>15448</v>
      </c>
      <c r="D2419" t="s">
        <v>2414</v>
      </c>
      <c r="E2419" t="s">
        <v>3425</v>
      </c>
      <c r="F2419" t="s">
        <v>3467</v>
      </c>
      <c r="G2419" s="3">
        <v>34.878893034019796</v>
      </c>
      <c r="H2419" s="3">
        <v>127.573165781458</v>
      </c>
      <c r="I2419" t="s">
        <v>6184</v>
      </c>
      <c r="J2419" t="s">
        <v>9540</v>
      </c>
      <c r="K2419" t="s">
        <v>10756</v>
      </c>
      <c r="L2419" t="s">
        <v>3366</v>
      </c>
      <c r="M2419" t="s">
        <v>11916</v>
      </c>
      <c r="N2419" t="s">
        <v>3365</v>
      </c>
      <c r="O2419" t="s">
        <v>3360</v>
      </c>
      <c r="P2419" t="s">
        <v>3363</v>
      </c>
      <c r="Q2419" t="s">
        <v>3368</v>
      </c>
      <c r="R2419" t="s">
        <v>3359</v>
      </c>
      <c r="S2419" t="s">
        <v>15211</v>
      </c>
      <c r="T2419" t="s">
        <v>3391</v>
      </c>
      <c r="U2419" t="s">
        <v>14290</v>
      </c>
      <c r="V2419" t="s">
        <v>15276</v>
      </c>
    </row>
    <row r="2420" spans="1:22" hidden="1">
      <c r="A2420" t="s">
        <v>15297</v>
      </c>
      <c r="B2420" t="s">
        <v>15441</v>
      </c>
      <c r="C2420" t="s">
        <v>15448</v>
      </c>
      <c r="D2420" t="s">
        <v>2415</v>
      </c>
      <c r="E2420" t="s">
        <v>3425</v>
      </c>
      <c r="F2420" t="s">
        <v>3467</v>
      </c>
      <c r="G2420" s="3">
        <v>34.878893026875097</v>
      </c>
      <c r="H2420" s="3">
        <v>127.573165773767</v>
      </c>
      <c r="I2420" t="s">
        <v>6185</v>
      </c>
      <c r="J2420" t="s">
        <v>9541</v>
      </c>
      <c r="K2420" t="s">
        <v>10756</v>
      </c>
      <c r="L2420" t="s">
        <v>3366</v>
      </c>
      <c r="M2420" t="s">
        <v>11916</v>
      </c>
      <c r="N2420" t="s">
        <v>3365</v>
      </c>
      <c r="O2420" t="s">
        <v>3360</v>
      </c>
      <c r="P2420" t="s">
        <v>3363</v>
      </c>
      <c r="Q2420" t="s">
        <v>3368</v>
      </c>
      <c r="R2420" t="s">
        <v>3359</v>
      </c>
      <c r="S2420" t="s">
        <v>15211</v>
      </c>
      <c r="T2420" t="s">
        <v>3391</v>
      </c>
      <c r="U2420" t="s">
        <v>14291</v>
      </c>
      <c r="V2420" t="s">
        <v>15276</v>
      </c>
    </row>
    <row r="2421" spans="1:22" hidden="1">
      <c r="A2421" t="s">
        <v>15297</v>
      </c>
      <c r="B2421" t="s">
        <v>15441</v>
      </c>
      <c r="C2421" t="s">
        <v>15449</v>
      </c>
      <c r="D2421" t="s">
        <v>2416</v>
      </c>
      <c r="E2421" t="s">
        <v>3437</v>
      </c>
      <c r="F2421" t="s">
        <v>3434</v>
      </c>
      <c r="G2421" s="3">
        <v>34.878893067624197</v>
      </c>
      <c r="H2421" s="3">
        <v>127.57316565431</v>
      </c>
      <c r="I2421" t="s">
        <v>6186</v>
      </c>
      <c r="J2421" t="s">
        <v>9542</v>
      </c>
      <c r="K2421" t="s">
        <v>3621</v>
      </c>
      <c r="L2421" t="s">
        <v>3366</v>
      </c>
      <c r="M2421" t="s">
        <v>11910</v>
      </c>
      <c r="N2421" t="s">
        <v>3364</v>
      </c>
      <c r="O2421" t="s">
        <v>15211</v>
      </c>
      <c r="P2421" t="s">
        <v>3363</v>
      </c>
      <c r="Q2421" t="s">
        <v>3368</v>
      </c>
      <c r="R2421" t="s">
        <v>3357</v>
      </c>
      <c r="S2421" t="s">
        <v>15211</v>
      </c>
      <c r="T2421" t="s">
        <v>3384</v>
      </c>
      <c r="U2421" t="s">
        <v>14292</v>
      </c>
      <c r="V2421" t="s">
        <v>15277</v>
      </c>
    </row>
    <row r="2422" spans="1:22" hidden="1">
      <c r="A2422" t="s">
        <v>15297</v>
      </c>
      <c r="B2422" t="s">
        <v>15441</v>
      </c>
      <c r="C2422" t="s">
        <v>15449</v>
      </c>
      <c r="D2422" t="s">
        <v>2417</v>
      </c>
      <c r="E2422" t="s">
        <v>3437</v>
      </c>
      <c r="F2422" t="s">
        <v>3435</v>
      </c>
      <c r="G2422" s="3">
        <v>34.878893055717803</v>
      </c>
      <c r="H2422" s="3">
        <v>127.573165652933</v>
      </c>
      <c r="I2422" t="s">
        <v>6187</v>
      </c>
      <c r="J2422" t="s">
        <v>9543</v>
      </c>
      <c r="K2422" t="s">
        <v>3621</v>
      </c>
      <c r="L2422" t="s">
        <v>3366</v>
      </c>
      <c r="M2422" t="s">
        <v>11910</v>
      </c>
      <c r="N2422" t="s">
        <v>3364</v>
      </c>
      <c r="O2422" t="s">
        <v>15211</v>
      </c>
      <c r="P2422" t="s">
        <v>3363</v>
      </c>
      <c r="Q2422" t="s">
        <v>3368</v>
      </c>
      <c r="R2422" t="s">
        <v>3357</v>
      </c>
      <c r="S2422" t="s">
        <v>15211</v>
      </c>
      <c r="T2422" t="s">
        <v>3384</v>
      </c>
      <c r="U2422" t="s">
        <v>14293</v>
      </c>
      <c r="V2422" t="s">
        <v>15277</v>
      </c>
    </row>
    <row r="2423" spans="1:22" hidden="1">
      <c r="A2423" t="s">
        <v>15297</v>
      </c>
      <c r="B2423" t="s">
        <v>15441</v>
      </c>
      <c r="C2423" t="s">
        <v>15449</v>
      </c>
      <c r="D2423" t="s">
        <v>2418</v>
      </c>
      <c r="E2423" t="s">
        <v>3437</v>
      </c>
      <c r="F2423" t="s">
        <v>3435</v>
      </c>
      <c r="G2423" s="3">
        <v>34.878893043688798</v>
      </c>
      <c r="H2423" s="3">
        <v>127.573165663165</v>
      </c>
      <c r="I2423" t="s">
        <v>6188</v>
      </c>
      <c r="J2423" t="s">
        <v>9544</v>
      </c>
      <c r="K2423" t="s">
        <v>11685</v>
      </c>
      <c r="L2423" t="s">
        <v>3366</v>
      </c>
      <c r="M2423" t="s">
        <v>11910</v>
      </c>
      <c r="N2423" t="s">
        <v>3364</v>
      </c>
      <c r="O2423" t="s">
        <v>15211</v>
      </c>
      <c r="P2423" t="s">
        <v>3363</v>
      </c>
      <c r="Q2423" t="s">
        <v>3368</v>
      </c>
      <c r="R2423" t="s">
        <v>3357</v>
      </c>
      <c r="S2423" t="s">
        <v>15211</v>
      </c>
      <c r="T2423" t="s">
        <v>3384</v>
      </c>
      <c r="U2423" t="s">
        <v>14294</v>
      </c>
      <c r="V2423" t="s">
        <v>15277</v>
      </c>
    </row>
    <row r="2424" spans="1:22" hidden="1">
      <c r="A2424" t="s">
        <v>15297</v>
      </c>
      <c r="B2424" t="s">
        <v>15442</v>
      </c>
      <c r="C2424" t="s">
        <v>15450</v>
      </c>
      <c r="D2424" t="s">
        <v>2419</v>
      </c>
      <c r="E2424" t="s">
        <v>3440</v>
      </c>
      <c r="F2424" t="s">
        <v>3442</v>
      </c>
      <c r="G2424" s="3">
        <v>34.878893353018</v>
      </c>
      <c r="H2424" s="3">
        <v>127.573165515458</v>
      </c>
      <c r="I2424" t="s">
        <v>6189</v>
      </c>
      <c r="J2424" t="s">
        <v>9545</v>
      </c>
      <c r="K2424" t="s">
        <v>11686</v>
      </c>
      <c r="L2424" t="s">
        <v>3366</v>
      </c>
      <c r="M2424" t="s">
        <v>11894</v>
      </c>
      <c r="N2424" t="s">
        <v>3365</v>
      </c>
      <c r="O2424" t="s">
        <v>3361</v>
      </c>
      <c r="P2424" t="s">
        <v>15211</v>
      </c>
      <c r="Q2424" t="s">
        <v>15211</v>
      </c>
      <c r="R2424" t="s">
        <v>15211</v>
      </c>
      <c r="S2424" t="s">
        <v>15211</v>
      </c>
      <c r="T2424" t="s">
        <v>3370</v>
      </c>
      <c r="U2424" t="s">
        <v>14295</v>
      </c>
      <c r="V2424" t="s">
        <v>15278</v>
      </c>
    </row>
    <row r="2425" spans="1:22" hidden="1">
      <c r="A2425" t="s">
        <v>15297</v>
      </c>
      <c r="B2425" t="s">
        <v>15442</v>
      </c>
      <c r="C2425" t="s">
        <v>15450</v>
      </c>
      <c r="D2425" t="s">
        <v>2420</v>
      </c>
      <c r="E2425" t="s">
        <v>3438</v>
      </c>
      <c r="F2425" t="s">
        <v>3453</v>
      </c>
      <c r="G2425" s="3">
        <v>34.878893378870202</v>
      </c>
      <c r="H2425" s="3">
        <v>127.573165515657</v>
      </c>
      <c r="I2425" t="s">
        <v>6190</v>
      </c>
      <c r="J2425" t="s">
        <v>9546</v>
      </c>
      <c r="K2425" t="s">
        <v>11687</v>
      </c>
      <c r="L2425" t="s">
        <v>3366</v>
      </c>
      <c r="M2425" t="s">
        <v>11894</v>
      </c>
      <c r="N2425" t="s">
        <v>3365</v>
      </c>
      <c r="O2425" t="s">
        <v>3361</v>
      </c>
      <c r="P2425" t="s">
        <v>15211</v>
      </c>
      <c r="Q2425" t="s">
        <v>15211</v>
      </c>
      <c r="R2425" t="s">
        <v>15211</v>
      </c>
      <c r="S2425" t="s">
        <v>15211</v>
      </c>
      <c r="T2425" t="s">
        <v>3370</v>
      </c>
      <c r="U2425" t="s">
        <v>14296</v>
      </c>
      <c r="V2425" t="s">
        <v>15278</v>
      </c>
    </row>
    <row r="2426" spans="1:22" hidden="1">
      <c r="A2426" t="s">
        <v>15297</v>
      </c>
      <c r="B2426" t="s">
        <v>15442</v>
      </c>
      <c r="C2426" t="s">
        <v>15450</v>
      </c>
      <c r="D2426" t="s">
        <v>2421</v>
      </c>
      <c r="E2426" t="s">
        <v>3427</v>
      </c>
      <c r="F2426" t="s">
        <v>3453</v>
      </c>
      <c r="G2426" s="3">
        <v>34.878893396587998</v>
      </c>
      <c r="H2426" s="3">
        <v>127.573165466574</v>
      </c>
      <c r="I2426" t="s">
        <v>6191</v>
      </c>
      <c r="J2426" t="s">
        <v>9547</v>
      </c>
      <c r="K2426" t="s">
        <v>11406</v>
      </c>
      <c r="L2426" t="s">
        <v>3366</v>
      </c>
      <c r="M2426" t="s">
        <v>11894</v>
      </c>
      <c r="N2426" t="s">
        <v>3365</v>
      </c>
      <c r="O2426" t="s">
        <v>3361</v>
      </c>
      <c r="P2426" t="s">
        <v>15211</v>
      </c>
      <c r="Q2426" t="s">
        <v>15211</v>
      </c>
      <c r="R2426" t="s">
        <v>15211</v>
      </c>
      <c r="S2426" t="s">
        <v>15211</v>
      </c>
      <c r="T2426" t="s">
        <v>3370</v>
      </c>
      <c r="U2426" t="s">
        <v>14297</v>
      </c>
      <c r="V2426" t="s">
        <v>15278</v>
      </c>
    </row>
    <row r="2427" spans="1:22" hidden="1">
      <c r="A2427" t="s">
        <v>15297</v>
      </c>
      <c r="B2427" t="s">
        <v>15442</v>
      </c>
      <c r="C2427" t="s">
        <v>15445</v>
      </c>
      <c r="D2427" t="s">
        <v>2422</v>
      </c>
      <c r="E2427" t="s">
        <v>3436</v>
      </c>
      <c r="F2427" t="s">
        <v>3452</v>
      </c>
      <c r="G2427" s="3">
        <v>34.878893055706797</v>
      </c>
      <c r="H2427" s="3">
        <v>127.573165721162</v>
      </c>
      <c r="I2427" t="s">
        <v>6192</v>
      </c>
      <c r="J2427" t="s">
        <v>9548</v>
      </c>
      <c r="K2427" t="s">
        <v>10821</v>
      </c>
      <c r="L2427" t="s">
        <v>3366</v>
      </c>
      <c r="M2427" t="s">
        <v>11890</v>
      </c>
      <c r="N2427" t="s">
        <v>3365</v>
      </c>
      <c r="O2427" t="s">
        <v>3360</v>
      </c>
      <c r="P2427" t="s">
        <v>15211</v>
      </c>
      <c r="Q2427" t="s">
        <v>15211</v>
      </c>
      <c r="R2427" t="s">
        <v>15211</v>
      </c>
      <c r="S2427" t="s">
        <v>15211</v>
      </c>
      <c r="T2427" t="s">
        <v>3369</v>
      </c>
      <c r="U2427" t="s">
        <v>14298</v>
      </c>
      <c r="V2427" t="s">
        <v>15279</v>
      </c>
    </row>
    <row r="2428" spans="1:22" hidden="1">
      <c r="A2428" t="s">
        <v>15297</v>
      </c>
      <c r="B2428" t="s">
        <v>15442</v>
      </c>
      <c r="C2428" t="s">
        <v>15445</v>
      </c>
      <c r="D2428" t="s">
        <v>2423</v>
      </c>
      <c r="E2428" t="s">
        <v>3425</v>
      </c>
      <c r="F2428" t="s">
        <v>3462</v>
      </c>
      <c r="G2428" s="3">
        <v>34.878893100231899</v>
      </c>
      <c r="H2428" s="3">
        <v>127.573165737287</v>
      </c>
      <c r="I2428" t="s">
        <v>6193</v>
      </c>
      <c r="J2428" t="s">
        <v>9549</v>
      </c>
      <c r="K2428" t="s">
        <v>10726</v>
      </c>
      <c r="L2428" t="s">
        <v>3366</v>
      </c>
      <c r="M2428" t="s">
        <v>11885</v>
      </c>
      <c r="N2428" t="s">
        <v>3365</v>
      </c>
      <c r="O2428" t="s">
        <v>3359</v>
      </c>
      <c r="P2428" t="s">
        <v>15211</v>
      </c>
      <c r="Q2428" t="s">
        <v>15211</v>
      </c>
      <c r="R2428" t="s">
        <v>15211</v>
      </c>
      <c r="S2428" t="s">
        <v>15211</v>
      </c>
      <c r="T2428" t="s">
        <v>3368</v>
      </c>
      <c r="U2428" t="s">
        <v>14299</v>
      </c>
      <c r="V2428" t="s">
        <v>15279</v>
      </c>
    </row>
    <row r="2429" spans="1:22" hidden="1">
      <c r="A2429" t="s">
        <v>15297</v>
      </c>
      <c r="B2429" t="s">
        <v>15442</v>
      </c>
      <c r="C2429" t="s">
        <v>15445</v>
      </c>
      <c r="D2429" t="s">
        <v>2424</v>
      </c>
      <c r="E2429" t="s">
        <v>3434</v>
      </c>
      <c r="F2429" t="s">
        <v>3450</v>
      </c>
      <c r="G2429" s="3">
        <v>34.878893103721097</v>
      </c>
      <c r="H2429" s="3">
        <v>127.57316573513801</v>
      </c>
      <c r="I2429" t="s">
        <v>6194</v>
      </c>
      <c r="J2429" t="s">
        <v>9550</v>
      </c>
      <c r="K2429" t="s">
        <v>11688</v>
      </c>
      <c r="L2429" t="s">
        <v>3366</v>
      </c>
      <c r="M2429" t="s">
        <v>11885</v>
      </c>
      <c r="N2429" t="s">
        <v>3365</v>
      </c>
      <c r="O2429" t="s">
        <v>3359</v>
      </c>
      <c r="P2429" t="s">
        <v>15211</v>
      </c>
      <c r="Q2429" t="s">
        <v>15211</v>
      </c>
      <c r="R2429" t="s">
        <v>15211</v>
      </c>
      <c r="S2429" t="s">
        <v>15211</v>
      </c>
      <c r="T2429" t="s">
        <v>3368</v>
      </c>
      <c r="U2429" t="s">
        <v>14300</v>
      </c>
      <c r="V2429" t="s">
        <v>15279</v>
      </c>
    </row>
    <row r="2430" spans="1:22" hidden="1">
      <c r="A2430" t="s">
        <v>15297</v>
      </c>
      <c r="B2430" t="s">
        <v>15442</v>
      </c>
      <c r="C2430" t="s">
        <v>15451</v>
      </c>
      <c r="D2430" t="s">
        <v>2425</v>
      </c>
      <c r="E2430" t="s">
        <v>3437</v>
      </c>
      <c r="F2430" t="s">
        <v>3434</v>
      </c>
      <c r="G2430" s="3">
        <v>34.878893194102702</v>
      </c>
      <c r="H2430" s="3">
        <v>127.573165679863</v>
      </c>
      <c r="I2430" t="s">
        <v>6195</v>
      </c>
      <c r="J2430" t="s">
        <v>9551</v>
      </c>
      <c r="K2430" t="s">
        <v>10659</v>
      </c>
      <c r="L2430" t="s">
        <v>3366</v>
      </c>
      <c r="M2430" t="s">
        <v>11913</v>
      </c>
      <c r="N2430" t="s">
        <v>3365</v>
      </c>
      <c r="O2430" t="s">
        <v>3360</v>
      </c>
      <c r="P2430" t="s">
        <v>3363</v>
      </c>
      <c r="Q2430" t="s">
        <v>3367</v>
      </c>
      <c r="R2430" t="s">
        <v>15211</v>
      </c>
      <c r="S2430" t="s">
        <v>15211</v>
      </c>
      <c r="T2430" t="s">
        <v>3387</v>
      </c>
      <c r="U2430" t="s">
        <v>14301</v>
      </c>
      <c r="V2430" t="s">
        <v>15280</v>
      </c>
    </row>
    <row r="2431" spans="1:22" hidden="1">
      <c r="A2431" t="s">
        <v>15297</v>
      </c>
      <c r="B2431" t="s">
        <v>15442</v>
      </c>
      <c r="C2431" t="s">
        <v>15451</v>
      </c>
      <c r="D2431" t="s">
        <v>2426</v>
      </c>
      <c r="E2431" t="s">
        <v>3437</v>
      </c>
      <c r="F2431" t="s">
        <v>3431</v>
      </c>
      <c r="G2431" s="3">
        <v>34.878893207844797</v>
      </c>
      <c r="H2431" s="3">
        <v>127.573165661594</v>
      </c>
      <c r="I2431" t="s">
        <v>6196</v>
      </c>
      <c r="J2431" t="s">
        <v>9552</v>
      </c>
      <c r="K2431" t="s">
        <v>11689</v>
      </c>
      <c r="L2431" t="s">
        <v>3366</v>
      </c>
      <c r="M2431" t="s">
        <v>11906</v>
      </c>
      <c r="N2431" t="s">
        <v>3365</v>
      </c>
      <c r="O2431" t="s">
        <v>3360</v>
      </c>
      <c r="P2431" t="s">
        <v>3363</v>
      </c>
      <c r="Q2431" t="s">
        <v>3368</v>
      </c>
      <c r="R2431" t="s">
        <v>15211</v>
      </c>
      <c r="S2431" t="s">
        <v>15211</v>
      </c>
      <c r="T2431" t="s">
        <v>3388</v>
      </c>
      <c r="U2431" t="s">
        <v>14302</v>
      </c>
      <c r="V2431" t="s">
        <v>15280</v>
      </c>
    </row>
    <row r="2432" spans="1:22" hidden="1">
      <c r="A2432" t="s">
        <v>15297</v>
      </c>
      <c r="B2432" t="s">
        <v>15442</v>
      </c>
      <c r="C2432" t="s">
        <v>15451</v>
      </c>
      <c r="D2432" t="s">
        <v>2427</v>
      </c>
      <c r="E2432" t="s">
        <v>3437</v>
      </c>
      <c r="F2432" t="s">
        <v>3431</v>
      </c>
      <c r="G2432" s="3">
        <v>34.878893207024397</v>
      </c>
      <c r="H2432" s="3">
        <v>127.573165683951</v>
      </c>
      <c r="I2432" t="s">
        <v>6197</v>
      </c>
      <c r="J2432" t="s">
        <v>9553</v>
      </c>
      <c r="K2432" t="s">
        <v>11690</v>
      </c>
      <c r="L2432" t="s">
        <v>3366</v>
      </c>
      <c r="M2432" t="s">
        <v>11906</v>
      </c>
      <c r="N2432" t="s">
        <v>3365</v>
      </c>
      <c r="O2432" t="s">
        <v>3360</v>
      </c>
      <c r="P2432" t="s">
        <v>3363</v>
      </c>
      <c r="Q2432" t="s">
        <v>3368</v>
      </c>
      <c r="R2432" t="s">
        <v>15211</v>
      </c>
      <c r="S2432" t="s">
        <v>15211</v>
      </c>
      <c r="T2432" t="s">
        <v>3388</v>
      </c>
      <c r="U2432" t="s">
        <v>14303</v>
      </c>
      <c r="V2432" t="s">
        <v>15280</v>
      </c>
    </row>
    <row r="2433" spans="1:22" hidden="1">
      <c r="A2433" t="s">
        <v>15439</v>
      </c>
      <c r="B2433" t="s">
        <v>15441</v>
      </c>
      <c r="C2433" t="s">
        <v>15445</v>
      </c>
      <c r="D2433" t="s">
        <v>2428</v>
      </c>
      <c r="E2433" t="s">
        <v>3434</v>
      </c>
      <c r="F2433" t="s">
        <v>3477</v>
      </c>
      <c r="G2433" s="3">
        <v>34.890180133811697</v>
      </c>
      <c r="H2433" s="3">
        <v>126.697321421808</v>
      </c>
      <c r="I2433" t="s">
        <v>6198</v>
      </c>
      <c r="J2433" t="s">
        <v>9554</v>
      </c>
      <c r="K2433" t="s">
        <v>11380</v>
      </c>
      <c r="L2433" t="s">
        <v>3366</v>
      </c>
      <c r="M2433" t="s">
        <v>11885</v>
      </c>
      <c r="N2433" t="s">
        <v>3362</v>
      </c>
      <c r="O2433" t="s">
        <v>3362</v>
      </c>
      <c r="P2433" t="s">
        <v>15211</v>
      </c>
      <c r="Q2433" t="s">
        <v>15211</v>
      </c>
      <c r="R2433" t="s">
        <v>15211</v>
      </c>
      <c r="S2433" t="s">
        <v>15211</v>
      </c>
      <c r="T2433" t="s">
        <v>3368</v>
      </c>
      <c r="U2433" t="s">
        <v>14304</v>
      </c>
      <c r="V2433" t="s">
        <v>15274</v>
      </c>
    </row>
    <row r="2434" spans="1:22" hidden="1">
      <c r="A2434" t="s">
        <v>15439</v>
      </c>
      <c r="B2434" t="s">
        <v>15441</v>
      </c>
      <c r="C2434" t="s">
        <v>15445</v>
      </c>
      <c r="D2434" t="s">
        <v>2429</v>
      </c>
      <c r="E2434" t="s">
        <v>3435</v>
      </c>
      <c r="F2434" t="s">
        <v>3477</v>
      </c>
      <c r="G2434" s="3">
        <v>34.890180129489003</v>
      </c>
      <c r="H2434" s="3">
        <v>126.697321402011</v>
      </c>
      <c r="I2434" t="s">
        <v>6199</v>
      </c>
      <c r="J2434" t="s">
        <v>9555</v>
      </c>
      <c r="K2434" t="s">
        <v>11691</v>
      </c>
      <c r="L2434" t="s">
        <v>3366</v>
      </c>
      <c r="M2434" t="s">
        <v>11885</v>
      </c>
      <c r="N2434" t="s">
        <v>3362</v>
      </c>
      <c r="O2434" t="s">
        <v>3362</v>
      </c>
      <c r="P2434" t="s">
        <v>15211</v>
      </c>
      <c r="Q2434" t="s">
        <v>15211</v>
      </c>
      <c r="R2434" t="s">
        <v>15211</v>
      </c>
      <c r="S2434" t="s">
        <v>15211</v>
      </c>
      <c r="T2434" t="s">
        <v>3368</v>
      </c>
      <c r="U2434" t="s">
        <v>14305</v>
      </c>
      <c r="V2434" t="s">
        <v>15274</v>
      </c>
    </row>
    <row r="2435" spans="1:22" hidden="1">
      <c r="A2435" t="s">
        <v>15439</v>
      </c>
      <c r="B2435" t="s">
        <v>15441</v>
      </c>
      <c r="C2435" t="s">
        <v>15445</v>
      </c>
      <c r="D2435" t="s">
        <v>2430</v>
      </c>
      <c r="E2435" t="s">
        <v>3435</v>
      </c>
      <c r="F2435" t="s">
        <v>3477</v>
      </c>
      <c r="G2435" s="3">
        <v>34.890180115991299</v>
      </c>
      <c r="H2435" s="3">
        <v>126.697321406445</v>
      </c>
      <c r="I2435" t="s">
        <v>6200</v>
      </c>
      <c r="J2435" t="s">
        <v>9556</v>
      </c>
      <c r="K2435" t="s">
        <v>11419</v>
      </c>
      <c r="L2435" t="s">
        <v>3366</v>
      </c>
      <c r="M2435" t="s">
        <v>11885</v>
      </c>
      <c r="N2435" t="s">
        <v>3362</v>
      </c>
      <c r="O2435" t="s">
        <v>3362</v>
      </c>
      <c r="P2435" t="s">
        <v>15211</v>
      </c>
      <c r="Q2435" t="s">
        <v>15211</v>
      </c>
      <c r="R2435" t="s">
        <v>15211</v>
      </c>
      <c r="S2435" t="s">
        <v>15211</v>
      </c>
      <c r="T2435" t="s">
        <v>3368</v>
      </c>
      <c r="U2435" t="s">
        <v>14306</v>
      </c>
      <c r="V2435" t="s">
        <v>15274</v>
      </c>
    </row>
    <row r="2436" spans="1:22" hidden="1">
      <c r="A2436" t="s">
        <v>15439</v>
      </c>
      <c r="B2436" t="s">
        <v>15441</v>
      </c>
      <c r="C2436" t="s">
        <v>15449</v>
      </c>
      <c r="D2436" t="s">
        <v>2431</v>
      </c>
      <c r="E2436" t="s">
        <v>3438</v>
      </c>
      <c r="F2436" t="s">
        <v>3442</v>
      </c>
      <c r="G2436" s="3">
        <v>34.890180087732702</v>
      </c>
      <c r="H2436" s="3">
        <v>126.69732152969</v>
      </c>
      <c r="I2436" t="s">
        <v>6201</v>
      </c>
      <c r="J2436" t="s">
        <v>9557</v>
      </c>
      <c r="K2436" t="s">
        <v>11692</v>
      </c>
      <c r="L2436" t="s">
        <v>3366</v>
      </c>
      <c r="M2436" t="s">
        <v>11907</v>
      </c>
      <c r="N2436" t="s">
        <v>3362</v>
      </c>
      <c r="O2436" t="s">
        <v>3362</v>
      </c>
      <c r="P2436" t="s">
        <v>3363</v>
      </c>
      <c r="Q2436" t="s">
        <v>3366</v>
      </c>
      <c r="R2436" t="s">
        <v>3357</v>
      </c>
      <c r="S2436" t="s">
        <v>15211</v>
      </c>
      <c r="T2436" t="s">
        <v>3386</v>
      </c>
      <c r="U2436" t="s">
        <v>14307</v>
      </c>
      <c r="V2436" t="s">
        <v>15277</v>
      </c>
    </row>
    <row r="2437" spans="1:22" hidden="1">
      <c r="A2437" t="s">
        <v>15439</v>
      </c>
      <c r="B2437" t="s">
        <v>15441</v>
      </c>
      <c r="C2437" t="s">
        <v>15449</v>
      </c>
      <c r="D2437" t="s">
        <v>2432</v>
      </c>
      <c r="E2437" t="s">
        <v>3438</v>
      </c>
      <c r="F2437" t="s">
        <v>3442</v>
      </c>
      <c r="G2437" s="3">
        <v>34.890180083788998</v>
      </c>
      <c r="H2437" s="3">
        <v>126.69732154823799</v>
      </c>
      <c r="I2437" t="s">
        <v>6202</v>
      </c>
      <c r="J2437" t="s">
        <v>9558</v>
      </c>
      <c r="K2437" t="s">
        <v>11692</v>
      </c>
      <c r="L2437" t="s">
        <v>3366</v>
      </c>
      <c r="M2437" t="s">
        <v>11907</v>
      </c>
      <c r="N2437" t="s">
        <v>3362</v>
      </c>
      <c r="O2437" t="s">
        <v>3362</v>
      </c>
      <c r="P2437" t="s">
        <v>3363</v>
      </c>
      <c r="Q2437" t="s">
        <v>3366</v>
      </c>
      <c r="R2437" t="s">
        <v>3357</v>
      </c>
      <c r="S2437" t="s">
        <v>15211</v>
      </c>
      <c r="T2437" t="s">
        <v>3386</v>
      </c>
      <c r="U2437" t="s">
        <v>14308</v>
      </c>
      <c r="V2437" t="s">
        <v>15277</v>
      </c>
    </row>
    <row r="2438" spans="1:22" hidden="1">
      <c r="A2438" t="s">
        <v>15439</v>
      </c>
      <c r="B2438" t="s">
        <v>15441</v>
      </c>
      <c r="C2438" t="s">
        <v>15449</v>
      </c>
      <c r="D2438" t="s">
        <v>2433</v>
      </c>
      <c r="E2438" t="s">
        <v>3438</v>
      </c>
      <c r="F2438" t="s">
        <v>3442</v>
      </c>
      <c r="G2438" s="3">
        <v>34.890180097571097</v>
      </c>
      <c r="H2438" s="3">
        <v>126.697321546331</v>
      </c>
      <c r="I2438" t="s">
        <v>6203</v>
      </c>
      <c r="J2438" t="s">
        <v>9559</v>
      </c>
      <c r="K2438" t="s">
        <v>11146</v>
      </c>
      <c r="L2438" t="s">
        <v>3366</v>
      </c>
      <c r="M2438" t="s">
        <v>11907</v>
      </c>
      <c r="N2438" t="s">
        <v>3362</v>
      </c>
      <c r="O2438" t="s">
        <v>3362</v>
      </c>
      <c r="P2438" t="s">
        <v>3363</v>
      </c>
      <c r="Q2438" t="s">
        <v>3366</v>
      </c>
      <c r="R2438" t="s">
        <v>3357</v>
      </c>
      <c r="S2438" t="s">
        <v>15211</v>
      </c>
      <c r="T2438" t="s">
        <v>3386</v>
      </c>
      <c r="U2438" t="s">
        <v>14309</v>
      </c>
      <c r="V2438" t="s">
        <v>15277</v>
      </c>
    </row>
    <row r="2439" spans="1:22" hidden="1">
      <c r="A2439" t="s">
        <v>15439</v>
      </c>
      <c r="B2439" t="s">
        <v>15442</v>
      </c>
      <c r="C2439" t="s">
        <v>15445</v>
      </c>
      <c r="D2439" t="s">
        <v>2434</v>
      </c>
      <c r="E2439" t="s">
        <v>3440</v>
      </c>
      <c r="F2439" t="s">
        <v>3453</v>
      </c>
      <c r="G2439" s="3">
        <v>34.8901801062134</v>
      </c>
      <c r="H2439" s="3">
        <v>126.697321599749</v>
      </c>
      <c r="I2439" t="s">
        <v>6204</v>
      </c>
      <c r="J2439" t="s">
        <v>9560</v>
      </c>
      <c r="K2439" t="s">
        <v>11693</v>
      </c>
      <c r="L2439" t="s">
        <v>3366</v>
      </c>
      <c r="M2439" t="s">
        <v>11885</v>
      </c>
      <c r="N2439" t="s">
        <v>3362</v>
      </c>
      <c r="O2439" t="s">
        <v>3362</v>
      </c>
      <c r="P2439" t="s">
        <v>15211</v>
      </c>
      <c r="Q2439" t="s">
        <v>15211</v>
      </c>
      <c r="R2439" t="s">
        <v>15211</v>
      </c>
      <c r="S2439" t="s">
        <v>15211</v>
      </c>
      <c r="T2439" t="s">
        <v>3368</v>
      </c>
      <c r="U2439" t="s">
        <v>14310</v>
      </c>
      <c r="V2439" t="s">
        <v>15279</v>
      </c>
    </row>
    <row r="2440" spans="1:22" hidden="1">
      <c r="A2440" t="s">
        <v>15439</v>
      </c>
      <c r="B2440" t="s">
        <v>15442</v>
      </c>
      <c r="C2440" t="s">
        <v>15445</v>
      </c>
      <c r="D2440" t="s">
        <v>2435</v>
      </c>
      <c r="E2440" t="s">
        <v>3427</v>
      </c>
      <c r="F2440" t="s">
        <v>3465</v>
      </c>
      <c r="G2440" s="3">
        <v>34.890180072552504</v>
      </c>
      <c r="H2440" s="3">
        <v>126.69732163275999</v>
      </c>
      <c r="I2440" t="s">
        <v>6205</v>
      </c>
      <c r="J2440" t="s">
        <v>9561</v>
      </c>
      <c r="K2440" t="s">
        <v>11513</v>
      </c>
      <c r="L2440" t="s">
        <v>3366</v>
      </c>
      <c r="M2440" t="s">
        <v>11885</v>
      </c>
      <c r="N2440" t="s">
        <v>3362</v>
      </c>
      <c r="O2440" t="s">
        <v>3362</v>
      </c>
      <c r="P2440" t="s">
        <v>15211</v>
      </c>
      <c r="Q2440" t="s">
        <v>15211</v>
      </c>
      <c r="R2440" t="s">
        <v>15211</v>
      </c>
      <c r="S2440" t="s">
        <v>15211</v>
      </c>
      <c r="T2440" t="s">
        <v>3368</v>
      </c>
      <c r="U2440" t="s">
        <v>14311</v>
      </c>
      <c r="V2440" t="s">
        <v>15279</v>
      </c>
    </row>
    <row r="2441" spans="1:22" hidden="1">
      <c r="A2441" t="s">
        <v>15439</v>
      </c>
      <c r="B2441" t="s">
        <v>15442</v>
      </c>
      <c r="C2441" t="s">
        <v>15445</v>
      </c>
      <c r="D2441" t="s">
        <v>2436</v>
      </c>
      <c r="E2441" t="s">
        <v>3428</v>
      </c>
      <c r="F2441" t="s">
        <v>3450</v>
      </c>
      <c r="G2441" s="3">
        <v>34.890180044694603</v>
      </c>
      <c r="H2441" s="3">
        <v>126.697321611511</v>
      </c>
      <c r="I2441" t="s">
        <v>6206</v>
      </c>
      <c r="J2441" t="s">
        <v>9562</v>
      </c>
      <c r="K2441" t="s">
        <v>11694</v>
      </c>
      <c r="L2441" t="s">
        <v>3366</v>
      </c>
      <c r="M2441" t="s">
        <v>11885</v>
      </c>
      <c r="N2441" t="s">
        <v>3362</v>
      </c>
      <c r="O2441" t="s">
        <v>3362</v>
      </c>
      <c r="P2441" t="s">
        <v>15211</v>
      </c>
      <c r="Q2441" t="s">
        <v>15211</v>
      </c>
      <c r="R2441" t="s">
        <v>15211</v>
      </c>
      <c r="S2441" t="s">
        <v>15211</v>
      </c>
      <c r="T2441" t="s">
        <v>3368</v>
      </c>
      <c r="U2441" t="s">
        <v>14312</v>
      </c>
      <c r="V2441" t="s">
        <v>15279</v>
      </c>
    </row>
    <row r="2442" spans="1:22" hidden="1">
      <c r="A2442" t="s">
        <v>15439</v>
      </c>
      <c r="B2442" t="s">
        <v>15442</v>
      </c>
      <c r="C2442" t="s">
        <v>15451</v>
      </c>
      <c r="D2442" t="s">
        <v>2437</v>
      </c>
      <c r="E2442" t="s">
        <v>3438</v>
      </c>
      <c r="F2442" t="s">
        <v>3430</v>
      </c>
      <c r="G2442" s="3">
        <v>34.890180091347901</v>
      </c>
      <c r="H2442" s="3">
        <v>126.697321588531</v>
      </c>
      <c r="I2442" t="s">
        <v>6207</v>
      </c>
      <c r="J2442" t="s">
        <v>9563</v>
      </c>
      <c r="K2442" t="s">
        <v>11189</v>
      </c>
      <c r="L2442" t="s">
        <v>3366</v>
      </c>
      <c r="M2442" t="s">
        <v>11907</v>
      </c>
      <c r="N2442" t="s">
        <v>3362</v>
      </c>
      <c r="O2442" t="s">
        <v>3362</v>
      </c>
      <c r="P2442" t="s">
        <v>3363</v>
      </c>
      <c r="Q2442" t="s">
        <v>3367</v>
      </c>
      <c r="R2442" t="s">
        <v>15211</v>
      </c>
      <c r="S2442" t="s">
        <v>15211</v>
      </c>
      <c r="T2442" t="s">
        <v>3386</v>
      </c>
      <c r="U2442" t="s">
        <v>14313</v>
      </c>
      <c r="V2442" t="s">
        <v>15280</v>
      </c>
    </row>
    <row r="2443" spans="1:22" hidden="1">
      <c r="A2443" t="s">
        <v>15439</v>
      </c>
      <c r="B2443" t="s">
        <v>15442</v>
      </c>
      <c r="C2443" t="s">
        <v>15451</v>
      </c>
      <c r="D2443" t="s">
        <v>2438</v>
      </c>
      <c r="E2443" t="s">
        <v>3438</v>
      </c>
      <c r="F2443" t="s">
        <v>3430</v>
      </c>
      <c r="G2443" s="3">
        <v>34.890180125092797</v>
      </c>
      <c r="H2443" s="3">
        <v>126.697321603277</v>
      </c>
      <c r="I2443" t="s">
        <v>6208</v>
      </c>
      <c r="J2443" t="s">
        <v>9564</v>
      </c>
      <c r="K2443" t="s">
        <v>11695</v>
      </c>
      <c r="L2443" t="s">
        <v>3366</v>
      </c>
      <c r="M2443" t="s">
        <v>11911</v>
      </c>
      <c r="N2443" t="s">
        <v>3362</v>
      </c>
      <c r="O2443" t="s">
        <v>3362</v>
      </c>
      <c r="P2443" t="s">
        <v>3363</v>
      </c>
      <c r="Q2443" t="s">
        <v>3366</v>
      </c>
      <c r="R2443" t="s">
        <v>15211</v>
      </c>
      <c r="S2443" t="s">
        <v>15211</v>
      </c>
      <c r="T2443" t="s">
        <v>3385</v>
      </c>
      <c r="U2443" t="s">
        <v>14314</v>
      </c>
      <c r="V2443" t="s">
        <v>15280</v>
      </c>
    </row>
    <row r="2444" spans="1:22" hidden="1">
      <c r="A2444" t="s">
        <v>15439</v>
      </c>
      <c r="B2444" t="s">
        <v>15442</v>
      </c>
      <c r="C2444" t="s">
        <v>15451</v>
      </c>
      <c r="D2444" t="s">
        <v>2439</v>
      </c>
      <c r="E2444" t="s">
        <v>3438</v>
      </c>
      <c r="F2444" t="s">
        <v>3430</v>
      </c>
      <c r="G2444" s="3">
        <v>34.890180144020697</v>
      </c>
      <c r="H2444" s="3">
        <v>126.697321567101</v>
      </c>
      <c r="I2444" t="s">
        <v>6209</v>
      </c>
      <c r="J2444" t="s">
        <v>9565</v>
      </c>
      <c r="K2444" t="s">
        <v>3734</v>
      </c>
      <c r="L2444" t="s">
        <v>3366</v>
      </c>
      <c r="M2444" t="s">
        <v>11907</v>
      </c>
      <c r="N2444" t="s">
        <v>3362</v>
      </c>
      <c r="O2444" t="s">
        <v>3362</v>
      </c>
      <c r="P2444" t="s">
        <v>3363</v>
      </c>
      <c r="Q2444" t="s">
        <v>3367</v>
      </c>
      <c r="R2444" t="s">
        <v>15211</v>
      </c>
      <c r="S2444" t="s">
        <v>15211</v>
      </c>
      <c r="T2444" t="s">
        <v>3386</v>
      </c>
      <c r="U2444" t="s">
        <v>14315</v>
      </c>
      <c r="V2444" t="s">
        <v>15280</v>
      </c>
    </row>
    <row r="2445" spans="1:22" ht="17.399999999999999" hidden="1">
      <c r="A2445" t="s">
        <v>15419</v>
      </c>
      <c r="B2445" t="s">
        <v>15441</v>
      </c>
      <c r="C2445" t="s">
        <v>15445</v>
      </c>
      <c r="D2445" t="s">
        <v>2440</v>
      </c>
      <c r="E2445" t="s">
        <v>3428</v>
      </c>
      <c r="F2445" t="s">
        <v>3434</v>
      </c>
      <c r="G2445" s="3">
        <v>34.6469709797489</v>
      </c>
      <c r="H2445" s="3">
        <v>127.199820524709</v>
      </c>
      <c r="I2445" t="s">
        <v>6210</v>
      </c>
      <c r="J2445" t="s">
        <v>9566</v>
      </c>
      <c r="K2445" t="s">
        <v>10517</v>
      </c>
      <c r="L2445" t="s">
        <v>3366</v>
      </c>
      <c r="M2445" t="s">
        <v>11901</v>
      </c>
      <c r="N2445" t="s">
        <v>3366</v>
      </c>
      <c r="O2445" t="s">
        <v>3363</v>
      </c>
      <c r="P2445" t="s">
        <v>15211</v>
      </c>
      <c r="Q2445" t="s">
        <v>15211</v>
      </c>
      <c r="R2445" t="s">
        <v>15211</v>
      </c>
      <c r="S2445" t="s">
        <v>15211</v>
      </c>
      <c r="T2445" t="s">
        <v>3373</v>
      </c>
      <c r="U2445" t="s">
        <v>14316</v>
      </c>
      <c r="V2445" t="s">
        <v>15274</v>
      </c>
    </row>
    <row r="2446" spans="1:22" ht="17.399999999999999" hidden="1">
      <c r="A2446" t="s">
        <v>15419</v>
      </c>
      <c r="B2446" t="s">
        <v>15441</v>
      </c>
      <c r="C2446" t="s">
        <v>15445</v>
      </c>
      <c r="D2446" t="s">
        <v>2441</v>
      </c>
      <c r="E2446" t="s">
        <v>3428</v>
      </c>
      <c r="F2446" t="s">
        <v>3434</v>
      </c>
      <c r="G2446" s="3">
        <v>34.646970982365502</v>
      </c>
      <c r="H2446" s="3">
        <v>127.199820490218</v>
      </c>
      <c r="I2446" t="s">
        <v>6211</v>
      </c>
      <c r="J2446" t="s">
        <v>9567</v>
      </c>
      <c r="K2446" t="s">
        <v>10518</v>
      </c>
      <c r="L2446" t="s">
        <v>3366</v>
      </c>
      <c r="M2446" t="s">
        <v>11901</v>
      </c>
      <c r="N2446" t="s">
        <v>3366</v>
      </c>
      <c r="O2446" t="s">
        <v>3363</v>
      </c>
      <c r="P2446" t="s">
        <v>15211</v>
      </c>
      <c r="Q2446" t="s">
        <v>15211</v>
      </c>
      <c r="R2446" t="s">
        <v>15211</v>
      </c>
      <c r="S2446" t="s">
        <v>15211</v>
      </c>
      <c r="T2446" t="s">
        <v>3373</v>
      </c>
      <c r="U2446" t="s">
        <v>14317</v>
      </c>
      <c r="V2446" t="s">
        <v>15274</v>
      </c>
    </row>
    <row r="2447" spans="1:22" ht="17.399999999999999" hidden="1">
      <c r="A2447" t="s">
        <v>15419</v>
      </c>
      <c r="B2447" t="s">
        <v>15441</v>
      </c>
      <c r="C2447" t="s">
        <v>15445</v>
      </c>
      <c r="D2447" t="s">
        <v>2442</v>
      </c>
      <c r="E2447" t="s">
        <v>3436</v>
      </c>
      <c r="F2447" t="s">
        <v>3435</v>
      </c>
      <c r="G2447" s="3">
        <v>34.646971000940802</v>
      </c>
      <c r="H2447" s="3">
        <v>127.199820504884</v>
      </c>
      <c r="I2447" t="s">
        <v>6212</v>
      </c>
      <c r="J2447" t="s">
        <v>9568</v>
      </c>
      <c r="K2447" t="s">
        <v>10518</v>
      </c>
      <c r="L2447" t="s">
        <v>3366</v>
      </c>
      <c r="M2447" t="s">
        <v>11901</v>
      </c>
      <c r="N2447" t="s">
        <v>3366</v>
      </c>
      <c r="O2447" t="s">
        <v>3363</v>
      </c>
      <c r="P2447" t="s">
        <v>15211</v>
      </c>
      <c r="Q2447" t="s">
        <v>15211</v>
      </c>
      <c r="R2447" t="s">
        <v>15211</v>
      </c>
      <c r="S2447" t="s">
        <v>15211</v>
      </c>
      <c r="T2447" t="s">
        <v>3373</v>
      </c>
      <c r="U2447" t="s">
        <v>14318</v>
      </c>
      <c r="V2447" t="s">
        <v>15274</v>
      </c>
    </row>
    <row r="2448" spans="1:22" ht="17.399999999999999" hidden="1">
      <c r="A2448" t="s">
        <v>15419</v>
      </c>
      <c r="B2448" t="s">
        <v>15441</v>
      </c>
      <c r="C2448" t="s">
        <v>15446</v>
      </c>
      <c r="D2448" t="s">
        <v>2443</v>
      </c>
      <c r="E2448" t="s">
        <v>3434</v>
      </c>
      <c r="F2448" t="s">
        <v>3441</v>
      </c>
      <c r="G2448" s="3">
        <v>34.646970940899998</v>
      </c>
      <c r="H2448" s="3">
        <v>127.199820417656</v>
      </c>
      <c r="I2448" t="s">
        <v>6213</v>
      </c>
      <c r="J2448" t="s">
        <v>9569</v>
      </c>
      <c r="K2448" t="s">
        <v>10621</v>
      </c>
      <c r="L2448" t="s">
        <v>3366</v>
      </c>
      <c r="M2448" t="s">
        <v>11903</v>
      </c>
      <c r="N2448" t="s">
        <v>3366</v>
      </c>
      <c r="O2448" t="s">
        <v>3362</v>
      </c>
      <c r="P2448" t="s">
        <v>15211</v>
      </c>
      <c r="Q2448" t="s">
        <v>15211</v>
      </c>
      <c r="R2448" t="s">
        <v>15211</v>
      </c>
      <c r="S2448" t="s">
        <v>15211</v>
      </c>
      <c r="T2448" t="s">
        <v>3372</v>
      </c>
      <c r="U2448" t="s">
        <v>14319</v>
      </c>
      <c r="V2448" t="s">
        <v>15275</v>
      </c>
    </row>
    <row r="2449" spans="1:22" ht="17.399999999999999" hidden="1">
      <c r="A2449" t="s">
        <v>15419</v>
      </c>
      <c r="B2449" t="s">
        <v>15441</v>
      </c>
      <c r="C2449" t="s">
        <v>15446</v>
      </c>
      <c r="D2449" t="s">
        <v>2444</v>
      </c>
      <c r="E2449" t="s">
        <v>3429</v>
      </c>
      <c r="F2449" t="s">
        <v>3453</v>
      </c>
      <c r="G2449" s="3">
        <v>34.6469709464928</v>
      </c>
      <c r="H2449" s="3">
        <v>127.199820400547</v>
      </c>
      <c r="I2449" t="s">
        <v>6214</v>
      </c>
      <c r="J2449" t="s">
        <v>9570</v>
      </c>
      <c r="K2449" t="s">
        <v>11696</v>
      </c>
      <c r="L2449" t="s">
        <v>3366</v>
      </c>
      <c r="M2449" t="s">
        <v>11901</v>
      </c>
      <c r="N2449" t="s">
        <v>3366</v>
      </c>
      <c r="O2449" t="s">
        <v>3362</v>
      </c>
      <c r="P2449" t="s">
        <v>15211</v>
      </c>
      <c r="Q2449" t="s">
        <v>15211</v>
      </c>
      <c r="R2449" t="s">
        <v>15211</v>
      </c>
      <c r="S2449" t="s">
        <v>15211</v>
      </c>
      <c r="T2449" t="s">
        <v>3372</v>
      </c>
      <c r="U2449" t="s">
        <v>14320</v>
      </c>
      <c r="V2449" t="s">
        <v>15275</v>
      </c>
    </row>
    <row r="2450" spans="1:22" ht="17.399999999999999" hidden="1">
      <c r="A2450" t="s">
        <v>15419</v>
      </c>
      <c r="B2450" t="s">
        <v>15441</v>
      </c>
      <c r="C2450" t="s">
        <v>15446</v>
      </c>
      <c r="D2450" t="s">
        <v>2445</v>
      </c>
      <c r="E2450" t="s">
        <v>3431</v>
      </c>
      <c r="F2450" t="s">
        <v>3442</v>
      </c>
      <c r="G2450" s="3">
        <v>34.6469710428536</v>
      </c>
      <c r="H2450" s="3">
        <v>127.199820332409</v>
      </c>
      <c r="I2450" t="s">
        <v>6215</v>
      </c>
      <c r="J2450" t="s">
        <v>9571</v>
      </c>
      <c r="K2450" t="s">
        <v>11696</v>
      </c>
      <c r="L2450" t="s">
        <v>3366</v>
      </c>
      <c r="M2450" t="s">
        <v>11901</v>
      </c>
      <c r="N2450" t="s">
        <v>3366</v>
      </c>
      <c r="O2450" t="s">
        <v>3363</v>
      </c>
      <c r="P2450" t="s">
        <v>15211</v>
      </c>
      <c r="Q2450" t="s">
        <v>15211</v>
      </c>
      <c r="R2450" t="s">
        <v>15211</v>
      </c>
      <c r="S2450" t="s">
        <v>15211</v>
      </c>
      <c r="T2450" t="s">
        <v>3373</v>
      </c>
      <c r="U2450" t="s">
        <v>14321</v>
      </c>
      <c r="V2450" t="s">
        <v>15275</v>
      </c>
    </row>
    <row r="2451" spans="1:22" ht="17.399999999999999" hidden="1">
      <c r="A2451" t="s">
        <v>15419</v>
      </c>
      <c r="B2451" t="s">
        <v>15441</v>
      </c>
      <c r="C2451" t="s">
        <v>15448</v>
      </c>
      <c r="D2451" t="s">
        <v>2446</v>
      </c>
      <c r="E2451" t="s">
        <v>3431</v>
      </c>
      <c r="F2451" t="s">
        <v>3484</v>
      </c>
      <c r="G2451" s="3">
        <v>34.646971255525401</v>
      </c>
      <c r="H2451" s="3">
        <v>127.19982045878101</v>
      </c>
      <c r="I2451" t="s">
        <v>6216</v>
      </c>
      <c r="J2451" t="s">
        <v>9572</v>
      </c>
      <c r="K2451" t="s">
        <v>11139</v>
      </c>
      <c r="L2451" t="s">
        <v>3366</v>
      </c>
      <c r="M2451" t="s">
        <v>11918</v>
      </c>
      <c r="N2451" t="s">
        <v>3366</v>
      </c>
      <c r="O2451" t="s">
        <v>3363</v>
      </c>
      <c r="P2451" t="s">
        <v>3363</v>
      </c>
      <c r="Q2451" t="s">
        <v>3367</v>
      </c>
      <c r="R2451" t="s">
        <v>3359</v>
      </c>
      <c r="S2451" t="s">
        <v>15211</v>
      </c>
      <c r="T2451" t="s">
        <v>3394</v>
      </c>
      <c r="U2451" t="s">
        <v>14322</v>
      </c>
      <c r="V2451" t="s">
        <v>15276</v>
      </c>
    </row>
    <row r="2452" spans="1:22" ht="17.399999999999999" hidden="1">
      <c r="A2452" t="s">
        <v>15419</v>
      </c>
      <c r="B2452" t="s">
        <v>15441</v>
      </c>
      <c r="C2452" t="s">
        <v>15448</v>
      </c>
      <c r="D2452" t="s">
        <v>2447</v>
      </c>
      <c r="E2452" t="s">
        <v>3425</v>
      </c>
      <c r="F2452" t="s">
        <v>3484</v>
      </c>
      <c r="G2452" s="3">
        <v>34.646971262034498</v>
      </c>
      <c r="H2452" s="3">
        <v>127.199820425243</v>
      </c>
      <c r="I2452" t="s">
        <v>6217</v>
      </c>
      <c r="J2452" t="s">
        <v>9573</v>
      </c>
      <c r="K2452" t="s">
        <v>3480</v>
      </c>
      <c r="L2452" t="s">
        <v>3366</v>
      </c>
      <c r="M2452" t="s">
        <v>11920</v>
      </c>
      <c r="N2452" t="s">
        <v>3366</v>
      </c>
      <c r="O2452" t="s">
        <v>3363</v>
      </c>
      <c r="P2452" t="s">
        <v>3363</v>
      </c>
      <c r="Q2452" t="s">
        <v>3368</v>
      </c>
      <c r="R2452" t="s">
        <v>3359</v>
      </c>
      <c r="S2452" t="s">
        <v>15211</v>
      </c>
      <c r="T2452" t="s">
        <v>3395</v>
      </c>
      <c r="U2452" t="s">
        <v>14323</v>
      </c>
      <c r="V2452" t="s">
        <v>15276</v>
      </c>
    </row>
    <row r="2453" spans="1:22" ht="17.399999999999999" hidden="1">
      <c r="A2453" t="s">
        <v>15419</v>
      </c>
      <c r="B2453" t="s">
        <v>15441</v>
      </c>
      <c r="C2453" t="s">
        <v>15448</v>
      </c>
      <c r="D2453" t="s">
        <v>2448</v>
      </c>
      <c r="E2453" t="s">
        <v>3425</v>
      </c>
      <c r="F2453" t="s">
        <v>3511</v>
      </c>
      <c r="G2453" s="3">
        <v>34.646971245181398</v>
      </c>
      <c r="H2453" s="3">
        <v>127.19982046537901</v>
      </c>
      <c r="I2453" t="s">
        <v>6218</v>
      </c>
      <c r="J2453" t="s">
        <v>9574</v>
      </c>
      <c r="K2453" t="s">
        <v>11697</v>
      </c>
      <c r="L2453" t="s">
        <v>3366</v>
      </c>
      <c r="M2453" t="s">
        <v>11920</v>
      </c>
      <c r="N2453" t="s">
        <v>3366</v>
      </c>
      <c r="O2453" t="s">
        <v>3363</v>
      </c>
      <c r="P2453" t="s">
        <v>3363</v>
      </c>
      <c r="Q2453" t="s">
        <v>3369</v>
      </c>
      <c r="R2453" t="s">
        <v>3359</v>
      </c>
      <c r="S2453" t="s">
        <v>15211</v>
      </c>
      <c r="T2453" t="s">
        <v>3396</v>
      </c>
      <c r="U2453" t="s">
        <v>14324</v>
      </c>
      <c r="V2453" t="s">
        <v>15276</v>
      </c>
    </row>
    <row r="2454" spans="1:22" ht="17.399999999999999" hidden="1">
      <c r="A2454" t="s">
        <v>15419</v>
      </c>
      <c r="B2454" t="s">
        <v>15441</v>
      </c>
      <c r="C2454" t="s">
        <v>15449</v>
      </c>
      <c r="D2454" t="s">
        <v>2449</v>
      </c>
      <c r="E2454" t="s">
        <v>3440</v>
      </c>
      <c r="F2454" t="s">
        <v>3434</v>
      </c>
      <c r="G2454" s="3">
        <v>34.646971184866302</v>
      </c>
      <c r="H2454" s="3">
        <v>127.199820501134</v>
      </c>
      <c r="I2454" t="s">
        <v>6219</v>
      </c>
      <c r="J2454" t="s">
        <v>9575</v>
      </c>
      <c r="K2454" t="s">
        <v>11121</v>
      </c>
      <c r="L2454" t="s">
        <v>3366</v>
      </c>
      <c r="M2454" t="s">
        <v>11904</v>
      </c>
      <c r="N2454" t="s">
        <v>3364</v>
      </c>
      <c r="O2454" t="s">
        <v>3361</v>
      </c>
      <c r="P2454" t="s">
        <v>3363</v>
      </c>
      <c r="Q2454" t="s">
        <v>3368</v>
      </c>
      <c r="R2454" t="s">
        <v>3357</v>
      </c>
      <c r="S2454" t="s">
        <v>15211</v>
      </c>
      <c r="T2454" t="s">
        <v>3389</v>
      </c>
      <c r="U2454" t="s">
        <v>14325</v>
      </c>
      <c r="V2454" t="s">
        <v>15277</v>
      </c>
    </row>
    <row r="2455" spans="1:22" ht="17.399999999999999" hidden="1">
      <c r="A2455" t="s">
        <v>15419</v>
      </c>
      <c r="B2455" t="s">
        <v>15441</v>
      </c>
      <c r="C2455" t="s">
        <v>15449</v>
      </c>
      <c r="D2455" t="s">
        <v>2450</v>
      </c>
      <c r="E2455" t="s">
        <v>3440</v>
      </c>
      <c r="F2455" t="s">
        <v>3434</v>
      </c>
      <c r="G2455" s="3">
        <v>34.646971171423601</v>
      </c>
      <c r="H2455" s="3">
        <v>127.19982049062899</v>
      </c>
      <c r="I2455" t="s">
        <v>6220</v>
      </c>
      <c r="J2455" t="s">
        <v>9576</v>
      </c>
      <c r="K2455" t="s">
        <v>11121</v>
      </c>
      <c r="L2455" t="s">
        <v>3366</v>
      </c>
      <c r="M2455" t="s">
        <v>11904</v>
      </c>
      <c r="N2455" t="s">
        <v>3364</v>
      </c>
      <c r="O2455" t="s">
        <v>3361</v>
      </c>
      <c r="P2455" t="s">
        <v>3363</v>
      </c>
      <c r="Q2455" t="s">
        <v>3368</v>
      </c>
      <c r="R2455" t="s">
        <v>3357</v>
      </c>
      <c r="S2455" t="s">
        <v>15211</v>
      </c>
      <c r="T2455" t="s">
        <v>3389</v>
      </c>
      <c r="U2455" t="s">
        <v>14326</v>
      </c>
      <c r="V2455" t="s">
        <v>15277</v>
      </c>
    </row>
    <row r="2456" spans="1:22" ht="17.399999999999999" hidden="1">
      <c r="A2456" t="s">
        <v>15419</v>
      </c>
      <c r="B2456" t="s">
        <v>15441</v>
      </c>
      <c r="C2456" t="s">
        <v>15449</v>
      </c>
      <c r="D2456" t="s">
        <v>2451</v>
      </c>
      <c r="E2456" t="s">
        <v>3437</v>
      </c>
      <c r="F2456" t="s">
        <v>3431</v>
      </c>
      <c r="G2456" s="3">
        <v>34.646971172998398</v>
      </c>
      <c r="H2456" s="3">
        <v>127.199820531691</v>
      </c>
      <c r="I2456" t="s">
        <v>6221</v>
      </c>
      <c r="J2456" t="s">
        <v>9577</v>
      </c>
      <c r="K2456" t="s">
        <v>3674</v>
      </c>
      <c r="L2456" t="s">
        <v>3366</v>
      </c>
      <c r="M2456" t="s">
        <v>11906</v>
      </c>
      <c r="N2456" t="s">
        <v>3364</v>
      </c>
      <c r="O2456" t="s">
        <v>3360</v>
      </c>
      <c r="P2456" t="s">
        <v>3363</v>
      </c>
      <c r="Q2456" t="s">
        <v>3368</v>
      </c>
      <c r="R2456" t="s">
        <v>3357</v>
      </c>
      <c r="S2456" t="s">
        <v>15211</v>
      </c>
      <c r="T2456" t="s">
        <v>3388</v>
      </c>
      <c r="U2456" t="s">
        <v>14327</v>
      </c>
      <c r="V2456" t="s">
        <v>15277</v>
      </c>
    </row>
    <row r="2457" spans="1:22" ht="17.399999999999999" hidden="1">
      <c r="A2457" t="s">
        <v>15419</v>
      </c>
      <c r="B2457" t="s">
        <v>15442</v>
      </c>
      <c r="C2457" t="s">
        <v>15450</v>
      </c>
      <c r="D2457" t="s">
        <v>2452</v>
      </c>
      <c r="E2457" t="s">
        <v>3438</v>
      </c>
      <c r="F2457" t="s">
        <v>3425</v>
      </c>
      <c r="G2457" s="3">
        <v>34.646970653861302</v>
      </c>
      <c r="H2457" s="3">
        <v>127.199820735836</v>
      </c>
      <c r="I2457" t="s">
        <v>6222</v>
      </c>
      <c r="J2457" t="s">
        <v>9578</v>
      </c>
      <c r="K2457" t="s">
        <v>11698</v>
      </c>
      <c r="L2457" t="s">
        <v>3366</v>
      </c>
      <c r="M2457" t="s">
        <v>11901</v>
      </c>
      <c r="N2457" t="s">
        <v>3366</v>
      </c>
      <c r="O2457" t="s">
        <v>3363</v>
      </c>
      <c r="P2457" t="s">
        <v>15211</v>
      </c>
      <c r="Q2457" t="s">
        <v>15211</v>
      </c>
      <c r="R2457" t="s">
        <v>15211</v>
      </c>
      <c r="S2457" t="s">
        <v>15211</v>
      </c>
      <c r="T2457" t="s">
        <v>3373</v>
      </c>
      <c r="U2457" t="s">
        <v>14328</v>
      </c>
      <c r="V2457" t="s">
        <v>15278</v>
      </c>
    </row>
    <row r="2458" spans="1:22" ht="17.399999999999999" hidden="1">
      <c r="A2458" t="s">
        <v>15419</v>
      </c>
      <c r="B2458" t="s">
        <v>15442</v>
      </c>
      <c r="C2458" t="s">
        <v>15450</v>
      </c>
      <c r="D2458" t="s">
        <v>2453</v>
      </c>
      <c r="E2458" t="s">
        <v>3438</v>
      </c>
      <c r="F2458" t="s">
        <v>3431</v>
      </c>
      <c r="G2458" s="3">
        <v>34.646970677437899</v>
      </c>
      <c r="H2458" s="3">
        <v>127.199820699158</v>
      </c>
      <c r="I2458" t="s">
        <v>6223</v>
      </c>
      <c r="J2458" t="s">
        <v>9579</v>
      </c>
      <c r="K2458" t="s">
        <v>11698</v>
      </c>
      <c r="L2458" t="s">
        <v>3366</v>
      </c>
      <c r="M2458" t="s">
        <v>11901</v>
      </c>
      <c r="N2458" t="s">
        <v>3366</v>
      </c>
      <c r="O2458" t="s">
        <v>3363</v>
      </c>
      <c r="P2458" t="s">
        <v>15211</v>
      </c>
      <c r="Q2458" t="s">
        <v>15211</v>
      </c>
      <c r="R2458" t="s">
        <v>15211</v>
      </c>
      <c r="S2458" t="s">
        <v>15211</v>
      </c>
      <c r="T2458" t="s">
        <v>3373</v>
      </c>
      <c r="U2458" t="s">
        <v>14329</v>
      </c>
      <c r="V2458" t="s">
        <v>15278</v>
      </c>
    </row>
    <row r="2459" spans="1:22" ht="17.399999999999999" hidden="1">
      <c r="A2459" t="s">
        <v>15419</v>
      </c>
      <c r="B2459" t="s">
        <v>15442</v>
      </c>
      <c r="C2459" t="s">
        <v>15450</v>
      </c>
      <c r="D2459" t="s">
        <v>2454</v>
      </c>
      <c r="E2459" t="s">
        <v>3427</v>
      </c>
      <c r="F2459" t="s">
        <v>3431</v>
      </c>
      <c r="G2459" s="3">
        <v>34.646970693099398</v>
      </c>
      <c r="H2459" s="3">
        <v>127.199820714826</v>
      </c>
      <c r="I2459" t="s">
        <v>6224</v>
      </c>
      <c r="J2459" t="s">
        <v>9580</v>
      </c>
      <c r="K2459" t="s">
        <v>11698</v>
      </c>
      <c r="L2459" t="s">
        <v>3366</v>
      </c>
      <c r="M2459" t="s">
        <v>11901</v>
      </c>
      <c r="N2459" t="s">
        <v>3366</v>
      </c>
      <c r="O2459" t="s">
        <v>3363</v>
      </c>
      <c r="P2459" t="s">
        <v>15211</v>
      </c>
      <c r="Q2459" t="s">
        <v>15211</v>
      </c>
      <c r="R2459" t="s">
        <v>15211</v>
      </c>
      <c r="S2459" t="s">
        <v>15211</v>
      </c>
      <c r="T2459" t="s">
        <v>3373</v>
      </c>
      <c r="U2459" t="s">
        <v>14330</v>
      </c>
      <c r="V2459" t="s">
        <v>15278</v>
      </c>
    </row>
    <row r="2460" spans="1:22" ht="17.399999999999999" hidden="1">
      <c r="A2460" t="s">
        <v>15419</v>
      </c>
      <c r="B2460" t="s">
        <v>15442</v>
      </c>
      <c r="C2460" t="s">
        <v>15445</v>
      </c>
      <c r="D2460" t="s">
        <v>2455</v>
      </c>
      <c r="E2460" t="s">
        <v>3439</v>
      </c>
      <c r="F2460" t="s">
        <v>3438</v>
      </c>
      <c r="G2460" s="3">
        <v>34.646971042438899</v>
      </c>
      <c r="H2460" s="3">
        <v>127.19982056708901</v>
      </c>
      <c r="I2460" t="s">
        <v>6225</v>
      </c>
      <c r="J2460" t="s">
        <v>9581</v>
      </c>
      <c r="K2460" t="s">
        <v>10876</v>
      </c>
      <c r="L2460" t="s">
        <v>3366</v>
      </c>
      <c r="M2460" t="s">
        <v>11903</v>
      </c>
      <c r="N2460" t="s">
        <v>3366</v>
      </c>
      <c r="O2460" t="s">
        <v>3362</v>
      </c>
      <c r="P2460" t="s">
        <v>15211</v>
      </c>
      <c r="Q2460" t="s">
        <v>15211</v>
      </c>
      <c r="R2460" t="s">
        <v>15211</v>
      </c>
      <c r="S2460" t="s">
        <v>15211</v>
      </c>
      <c r="T2460" t="s">
        <v>3372</v>
      </c>
      <c r="U2460" t="s">
        <v>14331</v>
      </c>
      <c r="V2460" t="s">
        <v>15279</v>
      </c>
    </row>
    <row r="2461" spans="1:22" ht="17.399999999999999" hidden="1">
      <c r="A2461" t="s">
        <v>15419</v>
      </c>
      <c r="B2461" t="s">
        <v>15442</v>
      </c>
      <c r="C2461" t="s">
        <v>15445</v>
      </c>
      <c r="D2461" t="s">
        <v>2456</v>
      </c>
      <c r="E2461" t="s">
        <v>3439</v>
      </c>
      <c r="F2461" t="s">
        <v>3427</v>
      </c>
      <c r="G2461" s="3">
        <v>34.646971040448904</v>
      </c>
      <c r="H2461" s="3">
        <v>127.199820581739</v>
      </c>
      <c r="I2461" t="s">
        <v>6226</v>
      </c>
      <c r="J2461" t="s">
        <v>9582</v>
      </c>
      <c r="K2461" t="s">
        <v>10876</v>
      </c>
      <c r="L2461" t="s">
        <v>3366</v>
      </c>
      <c r="M2461" t="s">
        <v>11903</v>
      </c>
      <c r="N2461" t="s">
        <v>3366</v>
      </c>
      <c r="O2461" t="s">
        <v>3362</v>
      </c>
      <c r="P2461" t="s">
        <v>15211</v>
      </c>
      <c r="Q2461" t="s">
        <v>15211</v>
      </c>
      <c r="R2461" t="s">
        <v>15211</v>
      </c>
      <c r="S2461" t="s">
        <v>15211</v>
      </c>
      <c r="T2461" t="s">
        <v>3372</v>
      </c>
      <c r="U2461" t="s">
        <v>14332</v>
      </c>
      <c r="V2461" t="s">
        <v>15279</v>
      </c>
    </row>
    <row r="2462" spans="1:22" ht="17.399999999999999" hidden="1">
      <c r="A2462" t="s">
        <v>15419</v>
      </c>
      <c r="B2462" t="s">
        <v>15442</v>
      </c>
      <c r="C2462" t="s">
        <v>15445</v>
      </c>
      <c r="D2462" t="s">
        <v>2457</v>
      </c>
      <c r="E2462" t="s">
        <v>3437</v>
      </c>
      <c r="F2462" t="s">
        <v>3427</v>
      </c>
      <c r="G2462" s="3">
        <v>34.646971045123799</v>
      </c>
      <c r="H2462" s="3">
        <v>127.199820590621</v>
      </c>
      <c r="I2462" t="s">
        <v>6227</v>
      </c>
      <c r="J2462" t="s">
        <v>9583</v>
      </c>
      <c r="K2462" t="s">
        <v>10876</v>
      </c>
      <c r="L2462" t="s">
        <v>3366</v>
      </c>
      <c r="M2462" t="s">
        <v>11903</v>
      </c>
      <c r="N2462" t="s">
        <v>3366</v>
      </c>
      <c r="O2462" t="s">
        <v>3362</v>
      </c>
      <c r="P2462" t="s">
        <v>15211</v>
      </c>
      <c r="Q2462" t="s">
        <v>15211</v>
      </c>
      <c r="R2462" t="s">
        <v>15211</v>
      </c>
      <c r="S2462" t="s">
        <v>15211</v>
      </c>
      <c r="T2462" t="s">
        <v>3372</v>
      </c>
      <c r="U2462" t="s">
        <v>14333</v>
      </c>
      <c r="V2462" t="s">
        <v>15279</v>
      </c>
    </row>
    <row r="2463" spans="1:22" ht="17.399999999999999" hidden="1">
      <c r="A2463" t="s">
        <v>15419</v>
      </c>
      <c r="B2463" t="s">
        <v>15442</v>
      </c>
      <c r="C2463" t="s">
        <v>15451</v>
      </c>
      <c r="D2463" t="s">
        <v>2458</v>
      </c>
      <c r="E2463" t="s">
        <v>3439</v>
      </c>
      <c r="F2463" t="s">
        <v>3436</v>
      </c>
      <c r="G2463" s="3">
        <v>34.646971127286797</v>
      </c>
      <c r="H2463" s="3">
        <v>127.199820609407</v>
      </c>
      <c r="I2463" t="s">
        <v>6228</v>
      </c>
      <c r="J2463" t="s">
        <v>9584</v>
      </c>
      <c r="K2463" t="s">
        <v>11699</v>
      </c>
      <c r="L2463" t="s">
        <v>3366</v>
      </c>
      <c r="M2463" t="s">
        <v>11916</v>
      </c>
      <c r="N2463" t="s">
        <v>3366</v>
      </c>
      <c r="O2463" t="s">
        <v>3362</v>
      </c>
      <c r="P2463" t="s">
        <v>3363</v>
      </c>
      <c r="Q2463" t="s">
        <v>3368</v>
      </c>
      <c r="R2463" t="s">
        <v>15211</v>
      </c>
      <c r="S2463" t="s">
        <v>15211</v>
      </c>
      <c r="T2463" t="s">
        <v>3391</v>
      </c>
      <c r="U2463" t="s">
        <v>14334</v>
      </c>
      <c r="V2463" t="s">
        <v>15280</v>
      </c>
    </row>
    <row r="2464" spans="1:22" ht="17.399999999999999" hidden="1">
      <c r="A2464" t="s">
        <v>15419</v>
      </c>
      <c r="B2464" t="s">
        <v>15442</v>
      </c>
      <c r="C2464" t="s">
        <v>15451</v>
      </c>
      <c r="D2464" t="s">
        <v>2459</v>
      </c>
      <c r="E2464" t="s">
        <v>3439</v>
      </c>
      <c r="F2464" t="s">
        <v>3436</v>
      </c>
      <c r="G2464" s="3">
        <v>34.646971130691398</v>
      </c>
      <c r="H2464" s="3">
        <v>127.199820618147</v>
      </c>
      <c r="I2464" t="s">
        <v>6229</v>
      </c>
      <c r="J2464" t="s">
        <v>9585</v>
      </c>
      <c r="K2464" t="s">
        <v>11059</v>
      </c>
      <c r="L2464" t="s">
        <v>3366</v>
      </c>
      <c r="M2464" t="s">
        <v>11905</v>
      </c>
      <c r="N2464" t="s">
        <v>3366</v>
      </c>
      <c r="O2464" t="s">
        <v>3362</v>
      </c>
      <c r="P2464" t="s">
        <v>3363</v>
      </c>
      <c r="Q2464" t="s">
        <v>3367</v>
      </c>
      <c r="R2464" t="s">
        <v>15211</v>
      </c>
      <c r="S2464" t="s">
        <v>15211</v>
      </c>
      <c r="T2464" t="s">
        <v>3390</v>
      </c>
      <c r="U2464" t="s">
        <v>14335</v>
      </c>
      <c r="V2464" t="s">
        <v>15280</v>
      </c>
    </row>
    <row r="2465" spans="1:22" ht="17.399999999999999" hidden="1">
      <c r="A2465" t="s">
        <v>15419</v>
      </c>
      <c r="B2465" t="s">
        <v>15442</v>
      </c>
      <c r="C2465" t="s">
        <v>15451</v>
      </c>
      <c r="D2465" t="s">
        <v>2460</v>
      </c>
      <c r="E2465" t="s">
        <v>3439</v>
      </c>
      <c r="F2465" t="s">
        <v>3436</v>
      </c>
      <c r="G2465" s="3">
        <v>34.6469711530697</v>
      </c>
      <c r="H2465" s="3">
        <v>127.199820594024</v>
      </c>
      <c r="I2465" t="s">
        <v>6230</v>
      </c>
      <c r="J2465" t="s">
        <v>9586</v>
      </c>
      <c r="K2465" t="s">
        <v>11074</v>
      </c>
      <c r="L2465" t="s">
        <v>3366</v>
      </c>
      <c r="M2465" t="s">
        <v>11905</v>
      </c>
      <c r="N2465" t="s">
        <v>3366</v>
      </c>
      <c r="O2465" t="s">
        <v>3362</v>
      </c>
      <c r="P2465" t="s">
        <v>3363</v>
      </c>
      <c r="Q2465" t="s">
        <v>3367</v>
      </c>
      <c r="R2465" t="s">
        <v>15211</v>
      </c>
      <c r="S2465" t="s">
        <v>15211</v>
      </c>
      <c r="T2465" t="s">
        <v>3390</v>
      </c>
      <c r="U2465" t="s">
        <v>14336</v>
      </c>
      <c r="V2465" t="s">
        <v>15280</v>
      </c>
    </row>
    <row r="2466" spans="1:22" hidden="1">
      <c r="A2466" t="s">
        <v>15295</v>
      </c>
      <c r="B2466" t="s">
        <v>15441</v>
      </c>
      <c r="C2466" t="s">
        <v>15445</v>
      </c>
      <c r="D2466" t="s">
        <v>2461</v>
      </c>
      <c r="E2466" t="s">
        <v>3461</v>
      </c>
      <c r="F2466" t="s">
        <v>3564</v>
      </c>
      <c r="G2466" s="3">
        <v>34.613955854668099</v>
      </c>
      <c r="H2466" s="3">
        <v>126.914533012235</v>
      </c>
      <c r="I2466" t="s">
        <v>6231</v>
      </c>
      <c r="J2466" t="s">
        <v>9587</v>
      </c>
      <c r="K2466" t="s">
        <v>11700</v>
      </c>
      <c r="L2466" t="s">
        <v>3366</v>
      </c>
      <c r="M2466" t="s">
        <v>11902</v>
      </c>
      <c r="N2466" t="s">
        <v>3362</v>
      </c>
      <c r="O2466" t="s">
        <v>3360</v>
      </c>
      <c r="P2466" t="s">
        <v>15211</v>
      </c>
      <c r="Q2466" t="s">
        <v>15211</v>
      </c>
      <c r="R2466" t="s">
        <v>15211</v>
      </c>
      <c r="S2466" t="s">
        <v>15211</v>
      </c>
      <c r="T2466" t="s">
        <v>3366</v>
      </c>
      <c r="U2466" t="s">
        <v>14337</v>
      </c>
      <c r="V2466" t="s">
        <v>15274</v>
      </c>
    </row>
    <row r="2467" spans="1:22" hidden="1">
      <c r="A2467" t="s">
        <v>15295</v>
      </c>
      <c r="B2467" t="s">
        <v>15441</v>
      </c>
      <c r="C2467" t="s">
        <v>15445</v>
      </c>
      <c r="D2467" t="s">
        <v>2462</v>
      </c>
      <c r="E2467" t="s">
        <v>3432</v>
      </c>
      <c r="F2467" t="s">
        <v>3540</v>
      </c>
      <c r="G2467" s="3">
        <v>34.6139558662748</v>
      </c>
      <c r="H2467" s="3">
        <v>126.91453301499701</v>
      </c>
      <c r="I2467" t="s">
        <v>6232</v>
      </c>
      <c r="J2467" t="s">
        <v>9588</v>
      </c>
      <c r="K2467" t="s">
        <v>11701</v>
      </c>
      <c r="L2467" t="s">
        <v>3366</v>
      </c>
      <c r="M2467" t="s">
        <v>11902</v>
      </c>
      <c r="N2467" t="s">
        <v>3362</v>
      </c>
      <c r="O2467" t="s">
        <v>3360</v>
      </c>
      <c r="P2467" t="s">
        <v>15211</v>
      </c>
      <c r="Q2467" t="s">
        <v>15211</v>
      </c>
      <c r="R2467" t="s">
        <v>15211</v>
      </c>
      <c r="S2467" t="s">
        <v>15211</v>
      </c>
      <c r="T2467" t="s">
        <v>3366</v>
      </c>
      <c r="U2467" t="s">
        <v>14338</v>
      </c>
      <c r="V2467" t="s">
        <v>15274</v>
      </c>
    </row>
    <row r="2468" spans="1:22" hidden="1">
      <c r="A2468" t="s">
        <v>15295</v>
      </c>
      <c r="B2468" t="s">
        <v>15441</v>
      </c>
      <c r="C2468" t="s">
        <v>15445</v>
      </c>
      <c r="D2468" t="s">
        <v>2463</v>
      </c>
      <c r="E2468" t="s">
        <v>3453</v>
      </c>
      <c r="F2468" t="s">
        <v>3590</v>
      </c>
      <c r="G2468" s="3">
        <v>34.613955863628597</v>
      </c>
      <c r="H2468" s="3">
        <v>126.914533028595</v>
      </c>
      <c r="I2468" t="s">
        <v>6233</v>
      </c>
      <c r="J2468" t="s">
        <v>9589</v>
      </c>
      <c r="K2468" t="s">
        <v>11702</v>
      </c>
      <c r="L2468" t="s">
        <v>3366</v>
      </c>
      <c r="M2468" t="s">
        <v>11902</v>
      </c>
      <c r="N2468" t="s">
        <v>3362</v>
      </c>
      <c r="O2468" t="s">
        <v>3360</v>
      </c>
      <c r="P2468" t="s">
        <v>15211</v>
      </c>
      <c r="Q2468" t="s">
        <v>15211</v>
      </c>
      <c r="R2468" t="s">
        <v>15211</v>
      </c>
      <c r="S2468" t="s">
        <v>15211</v>
      </c>
      <c r="T2468" t="s">
        <v>3366</v>
      </c>
      <c r="U2468" t="s">
        <v>14339</v>
      </c>
      <c r="V2468" t="s">
        <v>15274</v>
      </c>
    </row>
    <row r="2469" spans="1:22" hidden="1">
      <c r="A2469" t="s">
        <v>15295</v>
      </c>
      <c r="B2469" t="s">
        <v>15441</v>
      </c>
      <c r="C2469" t="s">
        <v>15446</v>
      </c>
      <c r="D2469" t="s">
        <v>2464</v>
      </c>
      <c r="E2469" t="s">
        <v>3462</v>
      </c>
      <c r="F2469" t="s">
        <v>3590</v>
      </c>
      <c r="G2469" s="3">
        <v>34.613955729504902</v>
      </c>
      <c r="H2469" s="3">
        <v>126.91453309192499</v>
      </c>
      <c r="I2469" t="s">
        <v>6234</v>
      </c>
      <c r="J2469" t="s">
        <v>9590</v>
      </c>
      <c r="K2469" t="s">
        <v>11703</v>
      </c>
      <c r="L2469" t="s">
        <v>3366</v>
      </c>
      <c r="M2469" t="s">
        <v>11902</v>
      </c>
      <c r="N2469" t="s">
        <v>3362</v>
      </c>
      <c r="O2469" t="s">
        <v>3360</v>
      </c>
      <c r="P2469" t="s">
        <v>15211</v>
      </c>
      <c r="Q2469" t="s">
        <v>15211</v>
      </c>
      <c r="R2469" t="s">
        <v>15211</v>
      </c>
      <c r="S2469" t="s">
        <v>15211</v>
      </c>
      <c r="T2469" t="s">
        <v>3366</v>
      </c>
      <c r="U2469" t="s">
        <v>14340</v>
      </c>
      <c r="V2469" t="s">
        <v>15275</v>
      </c>
    </row>
    <row r="2470" spans="1:22" hidden="1">
      <c r="A2470" t="s">
        <v>15295</v>
      </c>
      <c r="B2470" t="s">
        <v>15441</v>
      </c>
      <c r="C2470" t="s">
        <v>15446</v>
      </c>
      <c r="D2470" t="s">
        <v>2465</v>
      </c>
      <c r="E2470" t="s">
        <v>3461</v>
      </c>
      <c r="F2470" t="s">
        <v>3611</v>
      </c>
      <c r="G2470" s="3">
        <v>34.613955757813301</v>
      </c>
      <c r="H2470" s="3">
        <v>126.914533074467</v>
      </c>
      <c r="I2470" t="s">
        <v>6235</v>
      </c>
      <c r="J2470" t="s">
        <v>9591</v>
      </c>
      <c r="K2470" t="s">
        <v>11704</v>
      </c>
      <c r="L2470" t="s">
        <v>3366</v>
      </c>
      <c r="M2470" t="s">
        <v>11902</v>
      </c>
      <c r="N2470" t="s">
        <v>3362</v>
      </c>
      <c r="O2470" t="s">
        <v>3360</v>
      </c>
      <c r="P2470" t="s">
        <v>15211</v>
      </c>
      <c r="Q2470" t="s">
        <v>15211</v>
      </c>
      <c r="R2470" t="s">
        <v>15211</v>
      </c>
      <c r="S2470" t="s">
        <v>15211</v>
      </c>
      <c r="T2470" t="s">
        <v>3366</v>
      </c>
      <c r="U2470" t="s">
        <v>14341</v>
      </c>
      <c r="V2470" t="s">
        <v>15275</v>
      </c>
    </row>
    <row r="2471" spans="1:22" hidden="1">
      <c r="A2471" t="s">
        <v>15295</v>
      </c>
      <c r="B2471" t="s">
        <v>15441</v>
      </c>
      <c r="C2471" t="s">
        <v>15446</v>
      </c>
      <c r="D2471" t="s">
        <v>2466</v>
      </c>
      <c r="E2471" t="s">
        <v>3433</v>
      </c>
      <c r="F2471" t="s">
        <v>3611</v>
      </c>
      <c r="G2471" s="3">
        <v>34.613955802256498</v>
      </c>
      <c r="H2471" s="3">
        <v>126.914533000652</v>
      </c>
      <c r="I2471" t="s">
        <v>6236</v>
      </c>
      <c r="J2471" t="s">
        <v>9592</v>
      </c>
      <c r="K2471" t="s">
        <v>11705</v>
      </c>
      <c r="L2471" t="s">
        <v>3366</v>
      </c>
      <c r="M2471" t="s">
        <v>11902</v>
      </c>
      <c r="N2471" t="s">
        <v>3362</v>
      </c>
      <c r="O2471" t="s">
        <v>3360</v>
      </c>
      <c r="P2471" t="s">
        <v>15211</v>
      </c>
      <c r="Q2471" t="s">
        <v>15211</v>
      </c>
      <c r="R2471" t="s">
        <v>15211</v>
      </c>
      <c r="S2471" t="s">
        <v>15211</v>
      </c>
      <c r="T2471" t="s">
        <v>3366</v>
      </c>
      <c r="U2471" t="s">
        <v>14342</v>
      </c>
      <c r="V2471" t="s">
        <v>15275</v>
      </c>
    </row>
    <row r="2472" spans="1:22" hidden="1">
      <c r="A2472" t="s">
        <v>15295</v>
      </c>
      <c r="B2472" t="s">
        <v>15441</v>
      </c>
      <c r="C2472" t="s">
        <v>15448</v>
      </c>
      <c r="D2472" t="s">
        <v>2467</v>
      </c>
      <c r="E2472" t="s">
        <v>3434</v>
      </c>
      <c r="F2472" t="s">
        <v>3463</v>
      </c>
      <c r="G2472" s="3">
        <v>34.613955516607497</v>
      </c>
      <c r="H2472" s="3">
        <v>126.91453312962901</v>
      </c>
      <c r="I2472" t="s">
        <v>6237</v>
      </c>
      <c r="J2472" t="s">
        <v>9593</v>
      </c>
      <c r="K2472" t="s">
        <v>11706</v>
      </c>
      <c r="L2472" t="s">
        <v>3366</v>
      </c>
      <c r="M2472" t="s">
        <v>11912</v>
      </c>
      <c r="N2472" t="s">
        <v>3362</v>
      </c>
      <c r="O2472" t="s">
        <v>3360</v>
      </c>
      <c r="P2472" t="s">
        <v>3362</v>
      </c>
      <c r="Q2472" t="s">
        <v>3363</v>
      </c>
      <c r="R2472" t="s">
        <v>3359</v>
      </c>
      <c r="S2472" t="s">
        <v>15211</v>
      </c>
      <c r="T2472" t="s">
        <v>3382</v>
      </c>
      <c r="U2472" t="s">
        <v>14343</v>
      </c>
      <c r="V2472" t="s">
        <v>15276</v>
      </c>
    </row>
    <row r="2473" spans="1:22" hidden="1">
      <c r="A2473" t="s">
        <v>15295</v>
      </c>
      <c r="B2473" t="s">
        <v>15441</v>
      </c>
      <c r="C2473" t="s">
        <v>15448</v>
      </c>
      <c r="D2473" t="s">
        <v>2468</v>
      </c>
      <c r="E2473" t="s">
        <v>3434</v>
      </c>
      <c r="F2473" t="s">
        <v>3463</v>
      </c>
      <c r="G2473" s="3">
        <v>34.613955534272399</v>
      </c>
      <c r="H2473" s="3">
        <v>126.91453309878101</v>
      </c>
      <c r="I2473" t="s">
        <v>6238</v>
      </c>
      <c r="J2473" t="s">
        <v>9594</v>
      </c>
      <c r="K2473" t="s">
        <v>11686</v>
      </c>
      <c r="L2473" t="s">
        <v>3366</v>
      </c>
      <c r="M2473" t="s">
        <v>11912</v>
      </c>
      <c r="N2473" t="s">
        <v>3362</v>
      </c>
      <c r="O2473" t="s">
        <v>3360</v>
      </c>
      <c r="P2473" t="s">
        <v>3362</v>
      </c>
      <c r="Q2473" t="s">
        <v>3363</v>
      </c>
      <c r="R2473" t="s">
        <v>3359</v>
      </c>
      <c r="S2473" t="s">
        <v>15211</v>
      </c>
      <c r="T2473" t="s">
        <v>3382</v>
      </c>
      <c r="U2473" t="s">
        <v>14344</v>
      </c>
      <c r="V2473" t="s">
        <v>15276</v>
      </c>
    </row>
    <row r="2474" spans="1:22" hidden="1">
      <c r="A2474" t="s">
        <v>15295</v>
      </c>
      <c r="B2474" t="s">
        <v>15441</v>
      </c>
      <c r="C2474" t="s">
        <v>15448</v>
      </c>
      <c r="D2474" t="s">
        <v>2469</v>
      </c>
      <c r="E2474" t="s">
        <v>3434</v>
      </c>
      <c r="F2474" t="s">
        <v>3463</v>
      </c>
      <c r="G2474" s="3">
        <v>34.613955551409902</v>
      </c>
      <c r="H2474" s="3">
        <v>126.91453308802799</v>
      </c>
      <c r="I2474" t="s">
        <v>6239</v>
      </c>
      <c r="J2474" t="s">
        <v>9595</v>
      </c>
      <c r="K2474" t="s">
        <v>11687</v>
      </c>
      <c r="L2474" t="s">
        <v>3366</v>
      </c>
      <c r="M2474" t="s">
        <v>11912</v>
      </c>
      <c r="N2474" t="s">
        <v>3362</v>
      </c>
      <c r="O2474" t="s">
        <v>3360</v>
      </c>
      <c r="P2474" t="s">
        <v>3361</v>
      </c>
      <c r="Q2474" t="s">
        <v>3363</v>
      </c>
      <c r="R2474" t="s">
        <v>3359</v>
      </c>
      <c r="S2474" t="s">
        <v>15211</v>
      </c>
      <c r="T2474" t="s">
        <v>3381</v>
      </c>
      <c r="U2474" t="s">
        <v>14345</v>
      </c>
      <c r="V2474" t="s">
        <v>15276</v>
      </c>
    </row>
    <row r="2475" spans="1:22" hidden="1">
      <c r="A2475" t="s">
        <v>15295</v>
      </c>
      <c r="B2475" t="s">
        <v>15441</v>
      </c>
      <c r="C2475" t="s">
        <v>15449</v>
      </c>
      <c r="D2475" t="s">
        <v>2470</v>
      </c>
      <c r="E2475" t="s">
        <v>3438</v>
      </c>
      <c r="F2475" t="s">
        <v>3434</v>
      </c>
      <c r="G2475" s="3">
        <v>34.613955650280097</v>
      </c>
      <c r="H2475" s="3">
        <v>126.914532914432</v>
      </c>
      <c r="I2475" t="s">
        <v>6240</v>
      </c>
      <c r="J2475" t="s">
        <v>9596</v>
      </c>
      <c r="K2475" t="s">
        <v>11707</v>
      </c>
      <c r="L2475" t="s">
        <v>3366</v>
      </c>
      <c r="M2475" t="s">
        <v>11895</v>
      </c>
      <c r="N2475" t="s">
        <v>3361</v>
      </c>
      <c r="O2475" t="s">
        <v>15211</v>
      </c>
      <c r="P2475" t="s">
        <v>3361</v>
      </c>
      <c r="Q2475" t="s">
        <v>3359</v>
      </c>
      <c r="R2475" t="s">
        <v>3357</v>
      </c>
      <c r="S2475" t="s">
        <v>15211</v>
      </c>
      <c r="T2475" t="s">
        <v>3370</v>
      </c>
      <c r="U2475" t="s">
        <v>14346</v>
      </c>
      <c r="V2475" t="s">
        <v>15277</v>
      </c>
    </row>
    <row r="2476" spans="1:22" hidden="1">
      <c r="A2476" t="s">
        <v>15295</v>
      </c>
      <c r="B2476" t="s">
        <v>15441</v>
      </c>
      <c r="C2476" t="s">
        <v>15449</v>
      </c>
      <c r="D2476" t="s">
        <v>2471</v>
      </c>
      <c r="E2476" t="s">
        <v>3438</v>
      </c>
      <c r="F2476" t="s">
        <v>3435</v>
      </c>
      <c r="G2476" s="3">
        <v>34.613955626640902</v>
      </c>
      <c r="H2476" s="3">
        <v>126.914532935341</v>
      </c>
      <c r="I2476" t="s">
        <v>6241</v>
      </c>
      <c r="J2476" t="s">
        <v>9597</v>
      </c>
      <c r="K2476" t="s">
        <v>11708</v>
      </c>
      <c r="L2476" t="s">
        <v>3366</v>
      </c>
      <c r="M2476" t="s">
        <v>11895</v>
      </c>
      <c r="N2476" t="s">
        <v>3361</v>
      </c>
      <c r="O2476" t="s">
        <v>15211</v>
      </c>
      <c r="P2476" t="s">
        <v>3361</v>
      </c>
      <c r="Q2476" t="s">
        <v>3359</v>
      </c>
      <c r="R2476" t="s">
        <v>3357</v>
      </c>
      <c r="S2476" t="s">
        <v>15211</v>
      </c>
      <c r="T2476" t="s">
        <v>3370</v>
      </c>
      <c r="U2476" t="s">
        <v>14347</v>
      </c>
      <c r="V2476" t="s">
        <v>15277</v>
      </c>
    </row>
    <row r="2477" spans="1:22" hidden="1">
      <c r="A2477" t="s">
        <v>15295</v>
      </c>
      <c r="B2477" t="s">
        <v>15441</v>
      </c>
      <c r="C2477" t="s">
        <v>15449</v>
      </c>
      <c r="D2477" t="s">
        <v>2472</v>
      </c>
      <c r="E2477" t="s">
        <v>3438</v>
      </c>
      <c r="F2477" t="s">
        <v>3435</v>
      </c>
      <c r="G2477" s="3">
        <v>34.613955613693399</v>
      </c>
      <c r="H2477" s="3">
        <v>126.914532912898</v>
      </c>
      <c r="I2477" t="s">
        <v>6242</v>
      </c>
      <c r="J2477" t="s">
        <v>9598</v>
      </c>
      <c r="K2477" t="s">
        <v>11124</v>
      </c>
      <c r="L2477" t="s">
        <v>3366</v>
      </c>
      <c r="M2477" t="s">
        <v>11895</v>
      </c>
      <c r="N2477" t="s">
        <v>3361</v>
      </c>
      <c r="O2477" t="s">
        <v>15211</v>
      </c>
      <c r="P2477" t="s">
        <v>3361</v>
      </c>
      <c r="Q2477" t="s">
        <v>3359</v>
      </c>
      <c r="R2477" t="s">
        <v>3357</v>
      </c>
      <c r="S2477" t="s">
        <v>15211</v>
      </c>
      <c r="T2477" t="s">
        <v>3370</v>
      </c>
      <c r="U2477" t="s">
        <v>14348</v>
      </c>
      <c r="V2477" t="s">
        <v>15277</v>
      </c>
    </row>
    <row r="2478" spans="1:22" hidden="1">
      <c r="A2478" t="s">
        <v>15295</v>
      </c>
      <c r="B2478" t="s">
        <v>15442</v>
      </c>
      <c r="C2478" t="s">
        <v>15450</v>
      </c>
      <c r="D2478" t="s">
        <v>2473</v>
      </c>
      <c r="E2478" t="s">
        <v>3434</v>
      </c>
      <c r="F2478" t="s">
        <v>3462</v>
      </c>
      <c r="G2478" s="3">
        <v>34.613955990769099</v>
      </c>
      <c r="H2478" s="3">
        <v>126.91453301759699</v>
      </c>
      <c r="I2478" t="s">
        <v>6243</v>
      </c>
      <c r="J2478" t="s">
        <v>9599</v>
      </c>
      <c r="K2478" t="s">
        <v>11709</v>
      </c>
      <c r="L2478" t="s">
        <v>3366</v>
      </c>
      <c r="M2478" t="s">
        <v>11886</v>
      </c>
      <c r="N2478" t="s">
        <v>3362</v>
      </c>
      <c r="O2478" t="s">
        <v>3361</v>
      </c>
      <c r="P2478" t="s">
        <v>15211</v>
      </c>
      <c r="Q2478" t="s">
        <v>15211</v>
      </c>
      <c r="R2478" t="s">
        <v>15211</v>
      </c>
      <c r="S2478" t="s">
        <v>15211</v>
      </c>
      <c r="T2478" t="s">
        <v>3367</v>
      </c>
      <c r="U2478" t="s">
        <v>14349</v>
      </c>
      <c r="V2478" t="s">
        <v>15278</v>
      </c>
    </row>
    <row r="2479" spans="1:22" hidden="1">
      <c r="A2479" t="s">
        <v>15295</v>
      </c>
      <c r="B2479" t="s">
        <v>15442</v>
      </c>
      <c r="C2479" t="s">
        <v>15450</v>
      </c>
      <c r="D2479" t="s">
        <v>2474</v>
      </c>
      <c r="E2479" t="s">
        <v>3435</v>
      </c>
      <c r="F2479" t="s">
        <v>3462</v>
      </c>
      <c r="G2479" s="3">
        <v>34.6139559659998</v>
      </c>
      <c r="H2479" s="3">
        <v>126.91453304688</v>
      </c>
      <c r="I2479" t="s">
        <v>6244</v>
      </c>
      <c r="J2479" t="s">
        <v>9600</v>
      </c>
      <c r="K2479" t="s">
        <v>11710</v>
      </c>
      <c r="L2479" t="s">
        <v>3366</v>
      </c>
      <c r="M2479" t="s">
        <v>11886</v>
      </c>
      <c r="N2479" t="s">
        <v>3362</v>
      </c>
      <c r="O2479" t="s">
        <v>3361</v>
      </c>
      <c r="P2479" t="s">
        <v>15211</v>
      </c>
      <c r="Q2479" t="s">
        <v>15211</v>
      </c>
      <c r="R2479" t="s">
        <v>15211</v>
      </c>
      <c r="S2479" t="s">
        <v>15211</v>
      </c>
      <c r="T2479" t="s">
        <v>3367</v>
      </c>
      <c r="U2479" t="s">
        <v>14350</v>
      </c>
      <c r="V2479" t="s">
        <v>15278</v>
      </c>
    </row>
    <row r="2480" spans="1:22" hidden="1">
      <c r="A2480" t="s">
        <v>15295</v>
      </c>
      <c r="B2480" t="s">
        <v>15442</v>
      </c>
      <c r="C2480" t="s">
        <v>15450</v>
      </c>
      <c r="D2480" t="s">
        <v>2475</v>
      </c>
      <c r="E2480" t="s">
        <v>3435</v>
      </c>
      <c r="F2480" t="s">
        <v>3462</v>
      </c>
      <c r="G2480" s="3">
        <v>34.6139559567319</v>
      </c>
      <c r="H2480" s="3">
        <v>126.914533048533</v>
      </c>
      <c r="I2480" t="s">
        <v>6245</v>
      </c>
      <c r="J2480" t="s">
        <v>9601</v>
      </c>
      <c r="K2480" t="s">
        <v>11711</v>
      </c>
      <c r="L2480" t="s">
        <v>3366</v>
      </c>
      <c r="M2480" t="s">
        <v>11886</v>
      </c>
      <c r="N2480" t="s">
        <v>3362</v>
      </c>
      <c r="O2480" t="s">
        <v>3361</v>
      </c>
      <c r="P2480" t="s">
        <v>15211</v>
      </c>
      <c r="Q2480" t="s">
        <v>15211</v>
      </c>
      <c r="R2480" t="s">
        <v>15211</v>
      </c>
      <c r="S2480" t="s">
        <v>15211</v>
      </c>
      <c r="T2480" t="s">
        <v>3367</v>
      </c>
      <c r="U2480" t="s">
        <v>14351</v>
      </c>
      <c r="V2480" t="s">
        <v>15278</v>
      </c>
    </row>
    <row r="2481" spans="1:22" hidden="1">
      <c r="A2481" t="s">
        <v>15295</v>
      </c>
      <c r="B2481" t="s">
        <v>15442</v>
      </c>
      <c r="C2481" t="s">
        <v>15445</v>
      </c>
      <c r="D2481" t="s">
        <v>2476</v>
      </c>
      <c r="E2481" t="s">
        <v>3425</v>
      </c>
      <c r="F2481" t="s">
        <v>3453</v>
      </c>
      <c r="G2481" s="3">
        <v>34.613955734151602</v>
      </c>
      <c r="H2481" s="3">
        <v>126.914533066082</v>
      </c>
      <c r="I2481" t="s">
        <v>6246</v>
      </c>
      <c r="J2481" t="s">
        <v>9602</v>
      </c>
      <c r="K2481" t="s">
        <v>11712</v>
      </c>
      <c r="L2481" t="s">
        <v>3366</v>
      </c>
      <c r="M2481" t="s">
        <v>11902</v>
      </c>
      <c r="N2481" t="s">
        <v>3362</v>
      </c>
      <c r="O2481" t="s">
        <v>3360</v>
      </c>
      <c r="P2481" t="s">
        <v>15211</v>
      </c>
      <c r="Q2481" t="s">
        <v>15211</v>
      </c>
      <c r="R2481" t="s">
        <v>15211</v>
      </c>
      <c r="S2481" t="s">
        <v>15211</v>
      </c>
      <c r="T2481" t="s">
        <v>3366</v>
      </c>
      <c r="U2481" t="s">
        <v>14352</v>
      </c>
      <c r="V2481" t="s">
        <v>15279</v>
      </c>
    </row>
    <row r="2482" spans="1:22" hidden="1">
      <c r="A2482" t="s">
        <v>15295</v>
      </c>
      <c r="B2482" t="s">
        <v>15442</v>
      </c>
      <c r="C2482" t="s">
        <v>15445</v>
      </c>
      <c r="D2482" t="s">
        <v>2477</v>
      </c>
      <c r="E2482" t="s">
        <v>3431</v>
      </c>
      <c r="F2482" t="s">
        <v>3432</v>
      </c>
      <c r="G2482" s="3">
        <v>34.613955769645202</v>
      </c>
      <c r="H2482" s="3">
        <v>126.91453305692499</v>
      </c>
      <c r="I2482" t="s">
        <v>6247</v>
      </c>
      <c r="J2482" t="s">
        <v>9603</v>
      </c>
      <c r="K2482" t="s">
        <v>11713</v>
      </c>
      <c r="L2482" t="s">
        <v>3366</v>
      </c>
      <c r="M2482" t="s">
        <v>11902</v>
      </c>
      <c r="N2482" t="s">
        <v>3362</v>
      </c>
      <c r="O2482" t="s">
        <v>3360</v>
      </c>
      <c r="P2482" t="s">
        <v>15211</v>
      </c>
      <c r="Q2482" t="s">
        <v>15211</v>
      </c>
      <c r="R2482" t="s">
        <v>15211</v>
      </c>
      <c r="S2482" t="s">
        <v>15211</v>
      </c>
      <c r="T2482" t="s">
        <v>3366</v>
      </c>
      <c r="U2482" t="s">
        <v>14353</v>
      </c>
      <c r="V2482" t="s">
        <v>15279</v>
      </c>
    </row>
    <row r="2483" spans="1:22" hidden="1">
      <c r="A2483" t="s">
        <v>15295</v>
      </c>
      <c r="B2483" t="s">
        <v>15442</v>
      </c>
      <c r="C2483" t="s">
        <v>15445</v>
      </c>
      <c r="D2483" t="s">
        <v>2478</v>
      </c>
      <c r="E2483" t="s">
        <v>3435</v>
      </c>
      <c r="F2483" t="s">
        <v>3452</v>
      </c>
      <c r="G2483" s="3">
        <v>34.613955719666201</v>
      </c>
      <c r="H2483" s="3">
        <v>126.91453310735599</v>
      </c>
      <c r="I2483" t="s">
        <v>6248</v>
      </c>
      <c r="J2483" t="s">
        <v>9604</v>
      </c>
      <c r="K2483" t="s">
        <v>11714</v>
      </c>
      <c r="L2483" t="s">
        <v>3366</v>
      </c>
      <c r="M2483" t="s">
        <v>11902</v>
      </c>
      <c r="N2483" t="s">
        <v>3362</v>
      </c>
      <c r="O2483" t="s">
        <v>3360</v>
      </c>
      <c r="P2483" t="s">
        <v>15211</v>
      </c>
      <c r="Q2483" t="s">
        <v>15211</v>
      </c>
      <c r="R2483" t="s">
        <v>15211</v>
      </c>
      <c r="S2483" t="s">
        <v>15211</v>
      </c>
      <c r="T2483" t="s">
        <v>3366</v>
      </c>
      <c r="U2483" t="s">
        <v>14354</v>
      </c>
      <c r="V2483" t="s">
        <v>15279</v>
      </c>
    </row>
    <row r="2484" spans="1:22" hidden="1">
      <c r="A2484" t="s">
        <v>15295</v>
      </c>
      <c r="B2484" t="s">
        <v>15442</v>
      </c>
      <c r="C2484" t="s">
        <v>15451</v>
      </c>
      <c r="D2484" t="s">
        <v>2479</v>
      </c>
      <c r="E2484" t="s">
        <v>3440</v>
      </c>
      <c r="F2484" t="s">
        <v>3431</v>
      </c>
      <c r="G2484" s="3">
        <v>34.613955562977701</v>
      </c>
      <c r="H2484" s="3">
        <v>126.914532997446</v>
      </c>
      <c r="I2484" t="s">
        <v>6249</v>
      </c>
      <c r="J2484" t="s">
        <v>9605</v>
      </c>
      <c r="K2484" t="s">
        <v>11715</v>
      </c>
      <c r="L2484" t="s">
        <v>3366</v>
      </c>
      <c r="M2484" t="s">
        <v>11896</v>
      </c>
      <c r="N2484" t="s">
        <v>3362</v>
      </c>
      <c r="O2484" t="s">
        <v>3360</v>
      </c>
      <c r="P2484" t="s">
        <v>3361</v>
      </c>
      <c r="Q2484" t="s">
        <v>3363</v>
      </c>
      <c r="R2484" t="s">
        <v>15211</v>
      </c>
      <c r="S2484" t="s">
        <v>15211</v>
      </c>
      <c r="T2484" t="s">
        <v>3378</v>
      </c>
      <c r="U2484" t="s">
        <v>14355</v>
      </c>
      <c r="V2484" t="s">
        <v>15280</v>
      </c>
    </row>
    <row r="2485" spans="1:22" hidden="1">
      <c r="A2485" t="s">
        <v>15295</v>
      </c>
      <c r="B2485" t="s">
        <v>15442</v>
      </c>
      <c r="C2485" t="s">
        <v>15451</v>
      </c>
      <c r="D2485" t="s">
        <v>2480</v>
      </c>
      <c r="E2485" t="s">
        <v>3440</v>
      </c>
      <c r="F2485" t="s">
        <v>3431</v>
      </c>
      <c r="G2485" s="3">
        <v>34.613955574385798</v>
      </c>
      <c r="H2485" s="3">
        <v>126.91453298675501</v>
      </c>
      <c r="I2485" t="s">
        <v>6250</v>
      </c>
      <c r="J2485" t="s">
        <v>9606</v>
      </c>
      <c r="K2485" t="s">
        <v>10554</v>
      </c>
      <c r="L2485" t="s">
        <v>3366</v>
      </c>
      <c r="M2485" t="s">
        <v>11896</v>
      </c>
      <c r="N2485" t="s">
        <v>3362</v>
      </c>
      <c r="O2485" t="s">
        <v>3360</v>
      </c>
      <c r="P2485" t="s">
        <v>3361</v>
      </c>
      <c r="Q2485" t="s">
        <v>3363</v>
      </c>
      <c r="R2485" t="s">
        <v>15211</v>
      </c>
      <c r="S2485" t="s">
        <v>15211</v>
      </c>
      <c r="T2485" t="s">
        <v>3378</v>
      </c>
      <c r="U2485" t="s">
        <v>14356</v>
      </c>
      <c r="V2485" t="s">
        <v>15280</v>
      </c>
    </row>
    <row r="2486" spans="1:22" hidden="1">
      <c r="A2486" t="s">
        <v>15295</v>
      </c>
      <c r="B2486" t="s">
        <v>15442</v>
      </c>
      <c r="C2486" t="s">
        <v>15451</v>
      </c>
      <c r="D2486" t="s">
        <v>2481</v>
      </c>
      <c r="E2486" t="s">
        <v>3438</v>
      </c>
      <c r="F2486" t="s">
        <v>3431</v>
      </c>
      <c r="G2486" s="3">
        <v>34.613955545135603</v>
      </c>
      <c r="H2486" s="3">
        <v>126.91453299139999</v>
      </c>
      <c r="I2486" t="s">
        <v>6251</v>
      </c>
      <c r="J2486" t="s">
        <v>9607</v>
      </c>
      <c r="K2486" t="s">
        <v>10736</v>
      </c>
      <c r="L2486" t="s">
        <v>3366</v>
      </c>
      <c r="M2486" t="s">
        <v>11896</v>
      </c>
      <c r="N2486" t="s">
        <v>3362</v>
      </c>
      <c r="O2486" t="s">
        <v>3360</v>
      </c>
      <c r="P2486" t="s">
        <v>3361</v>
      </c>
      <c r="Q2486" t="s">
        <v>3363</v>
      </c>
      <c r="R2486" t="s">
        <v>15211</v>
      </c>
      <c r="S2486" t="s">
        <v>15211</v>
      </c>
      <c r="T2486" t="s">
        <v>3378</v>
      </c>
      <c r="U2486" t="s">
        <v>14357</v>
      </c>
      <c r="V2486" t="s">
        <v>15280</v>
      </c>
    </row>
    <row r="2487" spans="1:22" ht="15" hidden="1">
      <c r="A2487" t="s">
        <v>15420</v>
      </c>
      <c r="B2487" t="s">
        <v>15441</v>
      </c>
      <c r="C2487" t="s">
        <v>15445</v>
      </c>
      <c r="D2487" t="s">
        <v>2482</v>
      </c>
      <c r="E2487" t="s">
        <v>3442</v>
      </c>
      <c r="F2487" t="s">
        <v>3452</v>
      </c>
      <c r="G2487" s="3">
        <v>34.704652422916503</v>
      </c>
      <c r="H2487" s="3">
        <v>127.133191321011</v>
      </c>
      <c r="I2487" t="s">
        <v>6252</v>
      </c>
      <c r="J2487" t="s">
        <v>9608</v>
      </c>
      <c r="K2487" t="s">
        <v>10765</v>
      </c>
      <c r="L2487" t="s">
        <v>3366</v>
      </c>
      <c r="M2487" t="s">
        <v>11886</v>
      </c>
      <c r="N2487" t="s">
        <v>3364</v>
      </c>
      <c r="O2487" t="s">
        <v>3359</v>
      </c>
      <c r="P2487" t="s">
        <v>15211</v>
      </c>
      <c r="Q2487" t="s">
        <v>15211</v>
      </c>
      <c r="R2487" t="s">
        <v>15211</v>
      </c>
      <c r="S2487" t="s">
        <v>15211</v>
      </c>
      <c r="T2487" t="s">
        <v>3367</v>
      </c>
      <c r="U2487" t="s">
        <v>14358</v>
      </c>
      <c r="V2487" t="s">
        <v>15274</v>
      </c>
    </row>
    <row r="2488" spans="1:22" ht="15" hidden="1">
      <c r="A2488" t="s">
        <v>15420</v>
      </c>
      <c r="B2488" t="s">
        <v>15441</v>
      </c>
      <c r="C2488" t="s">
        <v>15445</v>
      </c>
      <c r="D2488" t="s">
        <v>2483</v>
      </c>
      <c r="E2488" t="s">
        <v>3442</v>
      </c>
      <c r="F2488" t="s">
        <v>3461</v>
      </c>
      <c r="G2488" s="3">
        <v>34.704652430376001</v>
      </c>
      <c r="H2488" s="3">
        <v>127.133191343701</v>
      </c>
      <c r="I2488" t="s">
        <v>6253</v>
      </c>
      <c r="J2488" t="s">
        <v>9609</v>
      </c>
      <c r="K2488" t="s">
        <v>11221</v>
      </c>
      <c r="L2488" t="s">
        <v>3366</v>
      </c>
      <c r="M2488" t="s">
        <v>11886</v>
      </c>
      <c r="N2488" t="s">
        <v>3364</v>
      </c>
      <c r="O2488" t="s">
        <v>3359</v>
      </c>
      <c r="P2488" t="s">
        <v>15211</v>
      </c>
      <c r="Q2488" t="s">
        <v>15211</v>
      </c>
      <c r="R2488" t="s">
        <v>15211</v>
      </c>
      <c r="S2488" t="s">
        <v>15211</v>
      </c>
      <c r="T2488" t="s">
        <v>3367</v>
      </c>
      <c r="U2488" t="s">
        <v>14359</v>
      </c>
      <c r="V2488" t="s">
        <v>15274</v>
      </c>
    </row>
    <row r="2489" spans="1:22" ht="15" hidden="1">
      <c r="A2489" t="s">
        <v>15420</v>
      </c>
      <c r="B2489" t="s">
        <v>15441</v>
      </c>
      <c r="C2489" t="s">
        <v>15445</v>
      </c>
      <c r="D2489" t="s">
        <v>2484</v>
      </c>
      <c r="E2489" t="s">
        <v>3442</v>
      </c>
      <c r="F2489" t="s">
        <v>3461</v>
      </c>
      <c r="G2489" s="3">
        <v>34.704652429643602</v>
      </c>
      <c r="H2489" s="3">
        <v>127.133191358445</v>
      </c>
      <c r="I2489" t="s">
        <v>6254</v>
      </c>
      <c r="J2489" t="s">
        <v>9610</v>
      </c>
      <c r="K2489" t="s">
        <v>11503</v>
      </c>
      <c r="L2489" t="s">
        <v>3366</v>
      </c>
      <c r="M2489" t="s">
        <v>11886</v>
      </c>
      <c r="N2489" t="s">
        <v>3364</v>
      </c>
      <c r="O2489" t="s">
        <v>3359</v>
      </c>
      <c r="P2489" t="s">
        <v>15211</v>
      </c>
      <c r="Q2489" t="s">
        <v>15211</v>
      </c>
      <c r="R2489" t="s">
        <v>15211</v>
      </c>
      <c r="S2489" t="s">
        <v>15211</v>
      </c>
      <c r="T2489" t="s">
        <v>3367</v>
      </c>
      <c r="U2489" t="s">
        <v>14360</v>
      </c>
      <c r="V2489" t="s">
        <v>15274</v>
      </c>
    </row>
    <row r="2490" spans="1:22" ht="15" hidden="1">
      <c r="A2490" t="s">
        <v>15420</v>
      </c>
      <c r="B2490" t="s">
        <v>15441</v>
      </c>
      <c r="C2490" t="s">
        <v>15446</v>
      </c>
      <c r="D2490" t="s">
        <v>2485</v>
      </c>
      <c r="E2490" t="s">
        <v>3429</v>
      </c>
      <c r="F2490" t="s">
        <v>3462</v>
      </c>
      <c r="G2490" s="3">
        <v>34.704652365577502</v>
      </c>
      <c r="H2490" s="3">
        <v>127.133191275095</v>
      </c>
      <c r="I2490" t="s">
        <v>6255</v>
      </c>
      <c r="J2490" t="s">
        <v>9611</v>
      </c>
      <c r="K2490" t="s">
        <v>10485</v>
      </c>
      <c r="L2490" t="s">
        <v>3366</v>
      </c>
      <c r="M2490" t="s">
        <v>11886</v>
      </c>
      <c r="N2490" t="s">
        <v>3364</v>
      </c>
      <c r="O2490" t="s">
        <v>3359</v>
      </c>
      <c r="P2490" t="s">
        <v>15211</v>
      </c>
      <c r="Q2490" t="s">
        <v>15211</v>
      </c>
      <c r="R2490" t="s">
        <v>15211</v>
      </c>
      <c r="S2490" t="s">
        <v>15211</v>
      </c>
      <c r="T2490" t="s">
        <v>3367</v>
      </c>
      <c r="U2490" t="s">
        <v>14361</v>
      </c>
      <c r="V2490" t="s">
        <v>15275</v>
      </c>
    </row>
    <row r="2491" spans="1:22" ht="15" hidden="1">
      <c r="A2491" t="s">
        <v>15420</v>
      </c>
      <c r="B2491" t="s">
        <v>15441</v>
      </c>
      <c r="C2491" t="s">
        <v>15446</v>
      </c>
      <c r="D2491" t="s">
        <v>2486</v>
      </c>
      <c r="E2491" t="s">
        <v>3429</v>
      </c>
      <c r="F2491" t="s">
        <v>3461</v>
      </c>
      <c r="G2491" s="3">
        <v>34.704652351900101</v>
      </c>
      <c r="H2491" s="3">
        <v>127.133191283291</v>
      </c>
      <c r="I2491" t="s">
        <v>6256</v>
      </c>
      <c r="J2491" t="s">
        <v>9612</v>
      </c>
      <c r="K2491" t="s">
        <v>11190</v>
      </c>
      <c r="L2491" t="s">
        <v>3366</v>
      </c>
      <c r="M2491" t="s">
        <v>11886</v>
      </c>
      <c r="N2491" t="s">
        <v>3364</v>
      </c>
      <c r="O2491" t="s">
        <v>3359</v>
      </c>
      <c r="P2491" t="s">
        <v>15211</v>
      </c>
      <c r="Q2491" t="s">
        <v>15211</v>
      </c>
      <c r="R2491" t="s">
        <v>15211</v>
      </c>
      <c r="S2491" t="s">
        <v>15211</v>
      </c>
      <c r="T2491" t="s">
        <v>3367</v>
      </c>
      <c r="U2491" t="s">
        <v>14362</v>
      </c>
      <c r="V2491" t="s">
        <v>15275</v>
      </c>
    </row>
    <row r="2492" spans="1:22" ht="15" hidden="1">
      <c r="A2492" t="s">
        <v>15420</v>
      </c>
      <c r="B2492" t="s">
        <v>15441</v>
      </c>
      <c r="C2492" t="s">
        <v>15446</v>
      </c>
      <c r="D2492" t="s">
        <v>2487</v>
      </c>
      <c r="E2492" t="s">
        <v>3429</v>
      </c>
      <c r="F2492" t="s">
        <v>3461</v>
      </c>
      <c r="G2492" s="3">
        <v>34.704652374907198</v>
      </c>
      <c r="H2492" s="3">
        <v>127.133191306543</v>
      </c>
      <c r="I2492" t="s">
        <v>6257</v>
      </c>
      <c r="J2492" t="s">
        <v>9613</v>
      </c>
      <c r="K2492" t="s">
        <v>11062</v>
      </c>
      <c r="L2492" t="s">
        <v>3366</v>
      </c>
      <c r="M2492" t="s">
        <v>11886</v>
      </c>
      <c r="N2492" t="s">
        <v>3364</v>
      </c>
      <c r="O2492" t="s">
        <v>3359</v>
      </c>
      <c r="P2492" t="s">
        <v>15211</v>
      </c>
      <c r="Q2492" t="s">
        <v>15211</v>
      </c>
      <c r="R2492" t="s">
        <v>15211</v>
      </c>
      <c r="S2492" t="s">
        <v>15211</v>
      </c>
      <c r="T2492" t="s">
        <v>3367</v>
      </c>
      <c r="U2492" t="s">
        <v>14363</v>
      </c>
      <c r="V2492" t="s">
        <v>15275</v>
      </c>
    </row>
    <row r="2493" spans="1:22" ht="15" hidden="1">
      <c r="A2493" t="s">
        <v>15420</v>
      </c>
      <c r="B2493" t="s">
        <v>15441</v>
      </c>
      <c r="C2493" t="s">
        <v>15448</v>
      </c>
      <c r="D2493" t="s">
        <v>2488</v>
      </c>
      <c r="E2493" t="s">
        <v>3431</v>
      </c>
      <c r="F2493" t="s">
        <v>3590</v>
      </c>
      <c r="G2493" s="3">
        <v>34.704652304797101</v>
      </c>
      <c r="H2493" s="3">
        <v>127.133191351356</v>
      </c>
      <c r="I2493" t="s">
        <v>6258</v>
      </c>
      <c r="J2493" t="s">
        <v>9614</v>
      </c>
      <c r="K2493" t="s">
        <v>10806</v>
      </c>
      <c r="L2493" t="s">
        <v>3366</v>
      </c>
      <c r="M2493" t="s">
        <v>11906</v>
      </c>
      <c r="N2493" t="s">
        <v>3364</v>
      </c>
      <c r="O2493" t="s">
        <v>3359</v>
      </c>
      <c r="P2493" t="s">
        <v>3361</v>
      </c>
      <c r="Q2493" t="s">
        <v>3369</v>
      </c>
      <c r="R2493" t="s">
        <v>3359</v>
      </c>
      <c r="S2493" t="s">
        <v>15211</v>
      </c>
      <c r="T2493" t="s">
        <v>3388</v>
      </c>
      <c r="U2493" t="s">
        <v>14364</v>
      </c>
      <c r="V2493" t="s">
        <v>15276</v>
      </c>
    </row>
    <row r="2494" spans="1:22" ht="15" hidden="1">
      <c r="A2494" t="s">
        <v>15420</v>
      </c>
      <c r="B2494" t="s">
        <v>15441</v>
      </c>
      <c r="C2494" t="s">
        <v>15448</v>
      </c>
      <c r="D2494" t="s">
        <v>2489</v>
      </c>
      <c r="E2494" t="s">
        <v>3431</v>
      </c>
      <c r="F2494" t="s">
        <v>3611</v>
      </c>
      <c r="G2494" s="3">
        <v>34.704652289971399</v>
      </c>
      <c r="H2494" s="3">
        <v>127.133191387671</v>
      </c>
      <c r="I2494" t="s">
        <v>6259</v>
      </c>
      <c r="J2494" t="s">
        <v>9615</v>
      </c>
      <c r="K2494" t="s">
        <v>10665</v>
      </c>
      <c r="L2494" t="s">
        <v>3366</v>
      </c>
      <c r="M2494" t="s">
        <v>11906</v>
      </c>
      <c r="N2494" t="s">
        <v>3364</v>
      </c>
      <c r="O2494" t="s">
        <v>3359</v>
      </c>
      <c r="P2494" t="s">
        <v>3361</v>
      </c>
      <c r="Q2494" t="s">
        <v>3369</v>
      </c>
      <c r="R2494" t="s">
        <v>3359</v>
      </c>
      <c r="S2494" t="s">
        <v>15211</v>
      </c>
      <c r="T2494" t="s">
        <v>3388</v>
      </c>
      <c r="U2494" t="s">
        <v>14365</v>
      </c>
      <c r="V2494" t="s">
        <v>15276</v>
      </c>
    </row>
    <row r="2495" spans="1:22" ht="15" hidden="1">
      <c r="A2495" t="s">
        <v>15420</v>
      </c>
      <c r="B2495" t="s">
        <v>15441</v>
      </c>
      <c r="C2495" t="s">
        <v>15448</v>
      </c>
      <c r="D2495" t="s">
        <v>2490</v>
      </c>
      <c r="E2495" t="s">
        <v>3431</v>
      </c>
      <c r="F2495" t="s">
        <v>3611</v>
      </c>
      <c r="G2495" s="3">
        <v>34.704652264417</v>
      </c>
      <c r="H2495" s="3">
        <v>127.13319135512</v>
      </c>
      <c r="I2495" t="s">
        <v>6260</v>
      </c>
      <c r="J2495" t="s">
        <v>9616</v>
      </c>
      <c r="K2495" t="s">
        <v>11188</v>
      </c>
      <c r="L2495" t="s">
        <v>3366</v>
      </c>
      <c r="M2495" t="s">
        <v>11904</v>
      </c>
      <c r="N2495" t="s">
        <v>3363</v>
      </c>
      <c r="O2495" t="s">
        <v>3359</v>
      </c>
      <c r="P2495" t="s">
        <v>3361</v>
      </c>
      <c r="Q2495" t="s">
        <v>3371</v>
      </c>
      <c r="R2495" t="s">
        <v>3359</v>
      </c>
      <c r="S2495" t="s">
        <v>15211</v>
      </c>
      <c r="T2495" t="s">
        <v>3389</v>
      </c>
      <c r="U2495" t="s">
        <v>14366</v>
      </c>
      <c r="V2495" t="s">
        <v>15276</v>
      </c>
    </row>
    <row r="2496" spans="1:22" ht="15" hidden="1">
      <c r="A2496" t="s">
        <v>15420</v>
      </c>
      <c r="B2496" t="s">
        <v>15441</v>
      </c>
      <c r="C2496" t="s">
        <v>15449</v>
      </c>
      <c r="D2496" t="s">
        <v>2491</v>
      </c>
      <c r="E2496" t="s">
        <v>3425</v>
      </c>
      <c r="F2496" t="s">
        <v>3433</v>
      </c>
      <c r="G2496" s="3">
        <v>34.704652273214897</v>
      </c>
      <c r="H2496" s="3">
        <v>127.133191373269</v>
      </c>
      <c r="I2496" t="s">
        <v>6261</v>
      </c>
      <c r="J2496" t="s">
        <v>9617</v>
      </c>
      <c r="K2496" t="s">
        <v>10811</v>
      </c>
      <c r="L2496" t="s">
        <v>3366</v>
      </c>
      <c r="M2496" t="s">
        <v>11912</v>
      </c>
      <c r="N2496" t="s">
        <v>3361</v>
      </c>
      <c r="O2496" t="s">
        <v>3358</v>
      </c>
      <c r="P2496" t="s">
        <v>3361</v>
      </c>
      <c r="Q2496" t="s">
        <v>3369</v>
      </c>
      <c r="R2496" t="s">
        <v>3357</v>
      </c>
      <c r="S2496" t="s">
        <v>15211</v>
      </c>
      <c r="T2496" t="s">
        <v>3382</v>
      </c>
      <c r="U2496" t="s">
        <v>14367</v>
      </c>
      <c r="V2496" t="s">
        <v>15277</v>
      </c>
    </row>
    <row r="2497" spans="1:22" ht="15" hidden="1">
      <c r="A2497" t="s">
        <v>15420</v>
      </c>
      <c r="B2497" t="s">
        <v>15441</v>
      </c>
      <c r="C2497" t="s">
        <v>15449</v>
      </c>
      <c r="D2497" t="s">
        <v>2492</v>
      </c>
      <c r="E2497" t="s">
        <v>3425</v>
      </c>
      <c r="F2497" t="s">
        <v>3433</v>
      </c>
      <c r="G2497" s="3">
        <v>34.704652286598296</v>
      </c>
      <c r="H2497" s="3">
        <v>127.133191371343</v>
      </c>
      <c r="I2497" t="s">
        <v>6262</v>
      </c>
      <c r="J2497" t="s">
        <v>9618</v>
      </c>
      <c r="K2497" t="s">
        <v>11405</v>
      </c>
      <c r="L2497" t="s">
        <v>3366</v>
      </c>
      <c r="M2497" t="s">
        <v>11912</v>
      </c>
      <c r="N2497" t="s">
        <v>3361</v>
      </c>
      <c r="O2497" t="s">
        <v>3358</v>
      </c>
      <c r="P2497" t="s">
        <v>3361</v>
      </c>
      <c r="Q2497" t="s">
        <v>3369</v>
      </c>
      <c r="R2497" t="s">
        <v>3357</v>
      </c>
      <c r="S2497" t="s">
        <v>15211</v>
      </c>
      <c r="T2497" t="s">
        <v>3382</v>
      </c>
      <c r="U2497" t="s">
        <v>14368</v>
      </c>
      <c r="V2497" t="s">
        <v>15277</v>
      </c>
    </row>
    <row r="2498" spans="1:22" ht="15" hidden="1">
      <c r="A2498" t="s">
        <v>15420</v>
      </c>
      <c r="B2498" t="s">
        <v>15441</v>
      </c>
      <c r="C2498" t="s">
        <v>15449</v>
      </c>
      <c r="D2498" t="s">
        <v>2493</v>
      </c>
      <c r="E2498" t="s">
        <v>3425</v>
      </c>
      <c r="F2498" t="s">
        <v>3462</v>
      </c>
      <c r="G2498" s="3">
        <v>34.704652292696899</v>
      </c>
      <c r="H2498" s="3">
        <v>127.133191388105</v>
      </c>
      <c r="I2498" t="s">
        <v>6263</v>
      </c>
      <c r="J2498" t="s">
        <v>9619</v>
      </c>
      <c r="K2498" t="s">
        <v>11405</v>
      </c>
      <c r="L2498" t="s">
        <v>3366</v>
      </c>
      <c r="M2498" t="s">
        <v>11912</v>
      </c>
      <c r="N2498" t="s">
        <v>3361</v>
      </c>
      <c r="O2498" t="s">
        <v>3358</v>
      </c>
      <c r="P2498" t="s">
        <v>3361</v>
      </c>
      <c r="Q2498" t="s">
        <v>3369</v>
      </c>
      <c r="R2498" t="s">
        <v>3357</v>
      </c>
      <c r="S2498" t="s">
        <v>15211</v>
      </c>
      <c r="T2498" t="s">
        <v>3382</v>
      </c>
      <c r="U2498" t="s">
        <v>14369</v>
      </c>
      <c r="V2498" t="s">
        <v>15277</v>
      </c>
    </row>
    <row r="2499" spans="1:22" ht="15" hidden="1">
      <c r="A2499" t="s">
        <v>15420</v>
      </c>
      <c r="B2499" t="s">
        <v>15442</v>
      </c>
      <c r="C2499" t="s">
        <v>15445</v>
      </c>
      <c r="D2499" t="s">
        <v>2494</v>
      </c>
      <c r="E2499" t="s">
        <v>3440</v>
      </c>
      <c r="F2499" t="s">
        <v>3428</v>
      </c>
      <c r="G2499" s="3">
        <v>34.704652288863002</v>
      </c>
      <c r="H2499" s="3">
        <v>127.13319159372401</v>
      </c>
      <c r="I2499" t="s">
        <v>6264</v>
      </c>
      <c r="J2499" t="s">
        <v>9620</v>
      </c>
      <c r="K2499" t="s">
        <v>11394</v>
      </c>
      <c r="L2499" t="s">
        <v>3366</v>
      </c>
      <c r="M2499" t="s">
        <v>11890</v>
      </c>
      <c r="N2499" t="s">
        <v>3366</v>
      </c>
      <c r="O2499" t="s">
        <v>3359</v>
      </c>
      <c r="P2499" t="s">
        <v>15211</v>
      </c>
      <c r="Q2499" t="s">
        <v>15211</v>
      </c>
      <c r="R2499" t="s">
        <v>15211</v>
      </c>
      <c r="S2499" t="s">
        <v>15211</v>
      </c>
      <c r="T2499" t="s">
        <v>3369</v>
      </c>
      <c r="U2499" t="s">
        <v>14370</v>
      </c>
      <c r="V2499" t="s">
        <v>15279</v>
      </c>
    </row>
    <row r="2500" spans="1:22" ht="15" hidden="1">
      <c r="A2500" t="s">
        <v>15420</v>
      </c>
      <c r="B2500" t="s">
        <v>15442</v>
      </c>
      <c r="C2500" t="s">
        <v>15445</v>
      </c>
      <c r="D2500" t="s">
        <v>2495</v>
      </c>
      <c r="E2500" t="s">
        <v>3438</v>
      </c>
      <c r="F2500" t="s">
        <v>3428</v>
      </c>
      <c r="G2500" s="3">
        <v>34.704652228944397</v>
      </c>
      <c r="H2500" s="3">
        <v>127.133191594479</v>
      </c>
      <c r="I2500" t="s">
        <v>6265</v>
      </c>
      <c r="J2500" t="s">
        <v>9621</v>
      </c>
      <c r="K2500" t="s">
        <v>10912</v>
      </c>
      <c r="L2500" t="s">
        <v>3366</v>
      </c>
      <c r="M2500" t="s">
        <v>11890</v>
      </c>
      <c r="N2500" t="s">
        <v>3366</v>
      </c>
      <c r="O2500" t="s">
        <v>3359</v>
      </c>
      <c r="P2500" t="s">
        <v>15211</v>
      </c>
      <c r="Q2500" t="s">
        <v>15211</v>
      </c>
      <c r="R2500" t="s">
        <v>15211</v>
      </c>
      <c r="S2500" t="s">
        <v>15211</v>
      </c>
      <c r="T2500" t="s">
        <v>3369</v>
      </c>
      <c r="U2500" t="s">
        <v>14371</v>
      </c>
      <c r="V2500" t="s">
        <v>15279</v>
      </c>
    </row>
    <row r="2501" spans="1:22" ht="15" hidden="1">
      <c r="A2501" t="s">
        <v>15420</v>
      </c>
      <c r="B2501" t="s">
        <v>15442</v>
      </c>
      <c r="C2501" t="s">
        <v>15445</v>
      </c>
      <c r="D2501" t="s">
        <v>2496</v>
      </c>
      <c r="E2501" t="s">
        <v>3438</v>
      </c>
      <c r="F2501" t="s">
        <v>3436</v>
      </c>
      <c r="G2501" s="3">
        <v>34.7046523048569</v>
      </c>
      <c r="H2501" s="3">
        <v>127.133191600817</v>
      </c>
      <c r="I2501" t="s">
        <v>6266</v>
      </c>
      <c r="J2501" t="s">
        <v>9622</v>
      </c>
      <c r="K2501" t="s">
        <v>10565</v>
      </c>
      <c r="L2501" t="s">
        <v>3366</v>
      </c>
      <c r="M2501" t="s">
        <v>11890</v>
      </c>
      <c r="N2501" t="s">
        <v>3366</v>
      </c>
      <c r="O2501" t="s">
        <v>3359</v>
      </c>
      <c r="P2501" t="s">
        <v>15211</v>
      </c>
      <c r="Q2501" t="s">
        <v>15211</v>
      </c>
      <c r="R2501" t="s">
        <v>15211</v>
      </c>
      <c r="S2501" t="s">
        <v>15211</v>
      </c>
      <c r="T2501" t="s">
        <v>3369</v>
      </c>
      <c r="U2501" t="s">
        <v>14372</v>
      </c>
      <c r="V2501" t="s">
        <v>15279</v>
      </c>
    </row>
    <row r="2502" spans="1:22" ht="15" hidden="1">
      <c r="A2502" t="s">
        <v>15420</v>
      </c>
      <c r="B2502" t="s">
        <v>15442</v>
      </c>
      <c r="C2502" t="s">
        <v>15451</v>
      </c>
      <c r="D2502" t="s">
        <v>2497</v>
      </c>
      <c r="E2502" t="s">
        <v>3440</v>
      </c>
      <c r="F2502" t="s">
        <v>3431</v>
      </c>
      <c r="G2502" s="3">
        <v>34.7046522676753</v>
      </c>
      <c r="H2502" s="3">
        <v>127.13319148887</v>
      </c>
      <c r="I2502" t="s">
        <v>6267</v>
      </c>
      <c r="J2502" t="s">
        <v>9623</v>
      </c>
      <c r="K2502" t="s">
        <v>11716</v>
      </c>
      <c r="L2502" t="s">
        <v>3366</v>
      </c>
      <c r="M2502" t="s">
        <v>11907</v>
      </c>
      <c r="N2502" t="s">
        <v>3366</v>
      </c>
      <c r="O2502" t="s">
        <v>3359</v>
      </c>
      <c r="P2502" t="s">
        <v>3361</v>
      </c>
      <c r="Q2502" t="s">
        <v>3368</v>
      </c>
      <c r="R2502" t="s">
        <v>15211</v>
      </c>
      <c r="S2502" t="s">
        <v>15211</v>
      </c>
      <c r="T2502" t="s">
        <v>3386</v>
      </c>
      <c r="U2502" t="s">
        <v>14373</v>
      </c>
      <c r="V2502" t="s">
        <v>15280</v>
      </c>
    </row>
    <row r="2503" spans="1:22" ht="15" hidden="1">
      <c r="A2503" t="s">
        <v>15420</v>
      </c>
      <c r="B2503" t="s">
        <v>15442</v>
      </c>
      <c r="C2503" t="s">
        <v>15451</v>
      </c>
      <c r="D2503" t="s">
        <v>2498</v>
      </c>
      <c r="E2503" t="s">
        <v>3440</v>
      </c>
      <c r="F2503" t="s">
        <v>3431</v>
      </c>
      <c r="G2503" s="3">
        <v>34.7046522764416</v>
      </c>
      <c r="H2503" s="3">
        <v>127.13319147724999</v>
      </c>
      <c r="I2503" t="s">
        <v>6268</v>
      </c>
      <c r="J2503" t="s">
        <v>9624</v>
      </c>
      <c r="K2503" t="s">
        <v>11717</v>
      </c>
      <c r="L2503" t="s">
        <v>3366</v>
      </c>
      <c r="M2503" t="s">
        <v>11913</v>
      </c>
      <c r="N2503" t="s">
        <v>3366</v>
      </c>
      <c r="O2503" t="s">
        <v>3359</v>
      </c>
      <c r="P2503" t="s">
        <v>3361</v>
      </c>
      <c r="Q2503" t="s">
        <v>3369</v>
      </c>
      <c r="R2503" t="s">
        <v>15211</v>
      </c>
      <c r="S2503" t="s">
        <v>15211</v>
      </c>
      <c r="T2503" t="s">
        <v>3387</v>
      </c>
      <c r="U2503" t="s">
        <v>14374</v>
      </c>
      <c r="V2503" t="s">
        <v>15280</v>
      </c>
    </row>
    <row r="2504" spans="1:22" ht="15" hidden="1">
      <c r="A2504" t="s">
        <v>15420</v>
      </c>
      <c r="B2504" t="s">
        <v>15442</v>
      </c>
      <c r="C2504" t="s">
        <v>15451</v>
      </c>
      <c r="D2504" t="s">
        <v>2499</v>
      </c>
      <c r="E2504" t="s">
        <v>3437</v>
      </c>
      <c r="F2504" t="s">
        <v>3425</v>
      </c>
      <c r="G2504" s="3">
        <v>34.704652256484003</v>
      </c>
      <c r="H2504" s="3">
        <v>127.13319152370801</v>
      </c>
      <c r="I2504" t="s">
        <v>6269</v>
      </c>
      <c r="J2504" t="s">
        <v>9625</v>
      </c>
      <c r="K2504" t="s">
        <v>3757</v>
      </c>
      <c r="L2504" t="s">
        <v>3366</v>
      </c>
      <c r="M2504" t="s">
        <v>11913</v>
      </c>
      <c r="N2504" t="s">
        <v>3366</v>
      </c>
      <c r="O2504" t="s">
        <v>3359</v>
      </c>
      <c r="P2504" t="s">
        <v>3361</v>
      </c>
      <c r="Q2504" t="s">
        <v>3369</v>
      </c>
      <c r="R2504" t="s">
        <v>15211</v>
      </c>
      <c r="S2504" t="s">
        <v>15211</v>
      </c>
      <c r="T2504" t="s">
        <v>3387</v>
      </c>
      <c r="U2504" t="s">
        <v>14375</v>
      </c>
      <c r="V2504" t="s">
        <v>15280</v>
      </c>
    </row>
    <row r="2505" spans="1:22" ht="15" hidden="1">
      <c r="A2505" t="s">
        <v>15420</v>
      </c>
      <c r="B2505" t="s">
        <v>15442</v>
      </c>
      <c r="C2505" t="s">
        <v>15450</v>
      </c>
      <c r="D2505" t="s">
        <v>2500</v>
      </c>
      <c r="E2505" t="s">
        <v>3452</v>
      </c>
      <c r="F2505" t="s">
        <v>3476</v>
      </c>
      <c r="G2505" s="3">
        <v>34.7046520260714</v>
      </c>
      <c r="H2505" s="3">
        <v>127.13319179571801</v>
      </c>
      <c r="I2505" t="s">
        <v>6270</v>
      </c>
      <c r="J2505" t="s">
        <v>9626</v>
      </c>
      <c r="K2505" t="s">
        <v>10865</v>
      </c>
      <c r="L2505" t="s">
        <v>3366</v>
      </c>
      <c r="M2505" t="s">
        <v>11895</v>
      </c>
      <c r="N2505" t="s">
        <v>3366</v>
      </c>
      <c r="O2505" t="s">
        <v>3361</v>
      </c>
      <c r="P2505" t="s">
        <v>15211</v>
      </c>
      <c r="Q2505" t="s">
        <v>15211</v>
      </c>
      <c r="R2505" t="s">
        <v>15211</v>
      </c>
      <c r="S2505" t="s">
        <v>15211</v>
      </c>
      <c r="T2505" t="s">
        <v>3371</v>
      </c>
      <c r="U2505" t="s">
        <v>14376</v>
      </c>
      <c r="V2505" t="s">
        <v>15278</v>
      </c>
    </row>
    <row r="2506" spans="1:22" ht="15" hidden="1">
      <c r="A2506" t="s">
        <v>15420</v>
      </c>
      <c r="B2506" t="s">
        <v>15442</v>
      </c>
      <c r="C2506" t="s">
        <v>15450</v>
      </c>
      <c r="D2506" t="s">
        <v>2501</v>
      </c>
      <c r="E2506" t="s">
        <v>3441</v>
      </c>
      <c r="F2506" t="s">
        <v>3449</v>
      </c>
      <c r="G2506" s="3">
        <v>34.704652018172403</v>
      </c>
      <c r="H2506" s="3">
        <v>127.13319178828399</v>
      </c>
      <c r="I2506" t="s">
        <v>6271</v>
      </c>
      <c r="J2506" t="s">
        <v>9627</v>
      </c>
      <c r="K2506" t="s">
        <v>10865</v>
      </c>
      <c r="L2506" t="s">
        <v>3366</v>
      </c>
      <c r="M2506" t="s">
        <v>11895</v>
      </c>
      <c r="N2506" t="s">
        <v>3366</v>
      </c>
      <c r="O2506" t="s">
        <v>3361</v>
      </c>
      <c r="P2506" t="s">
        <v>15211</v>
      </c>
      <c r="Q2506" t="s">
        <v>15211</v>
      </c>
      <c r="R2506" t="s">
        <v>15211</v>
      </c>
      <c r="S2506" t="s">
        <v>15211</v>
      </c>
      <c r="T2506" t="s">
        <v>3371</v>
      </c>
      <c r="U2506" t="s">
        <v>14377</v>
      </c>
      <c r="V2506" t="s">
        <v>15278</v>
      </c>
    </row>
    <row r="2507" spans="1:22" ht="15" hidden="1">
      <c r="A2507" t="s">
        <v>15420</v>
      </c>
      <c r="B2507" t="s">
        <v>15442</v>
      </c>
      <c r="C2507" t="s">
        <v>15450</v>
      </c>
      <c r="D2507" t="s">
        <v>2502</v>
      </c>
      <c r="E2507" t="s">
        <v>3431</v>
      </c>
      <c r="F2507" t="s">
        <v>3429</v>
      </c>
      <c r="G2507" s="3">
        <v>34.7046520158665</v>
      </c>
      <c r="H2507" s="3">
        <v>127.13319177211</v>
      </c>
      <c r="I2507" t="s">
        <v>6272</v>
      </c>
      <c r="J2507" t="s">
        <v>9628</v>
      </c>
      <c r="K2507" t="s">
        <v>11718</v>
      </c>
      <c r="L2507" t="s">
        <v>3366</v>
      </c>
      <c r="M2507" t="s">
        <v>11895</v>
      </c>
      <c r="N2507" t="s">
        <v>3366</v>
      </c>
      <c r="O2507" t="s">
        <v>3361</v>
      </c>
      <c r="P2507" t="s">
        <v>15211</v>
      </c>
      <c r="Q2507" t="s">
        <v>15211</v>
      </c>
      <c r="R2507" t="s">
        <v>15211</v>
      </c>
      <c r="S2507" t="s">
        <v>15211</v>
      </c>
      <c r="T2507" t="s">
        <v>3371</v>
      </c>
      <c r="U2507" t="s">
        <v>14378</v>
      </c>
      <c r="V2507" t="s">
        <v>15278</v>
      </c>
    </row>
    <row r="2508" spans="1:22" ht="15" hidden="1">
      <c r="A2508" t="s">
        <v>15430</v>
      </c>
      <c r="B2508" t="s">
        <v>15441</v>
      </c>
      <c r="C2508" t="s">
        <v>15445</v>
      </c>
      <c r="D2508" t="s">
        <v>2503</v>
      </c>
      <c r="E2508" t="s">
        <v>3438</v>
      </c>
      <c r="F2508" t="s">
        <v>3436</v>
      </c>
      <c r="G2508" s="3">
        <v>34.997769042219801</v>
      </c>
      <c r="H2508" s="3">
        <v>127.79439214716299</v>
      </c>
      <c r="I2508" t="s">
        <v>6273</v>
      </c>
      <c r="J2508" t="s">
        <v>9629</v>
      </c>
      <c r="K2508" t="s">
        <v>10603</v>
      </c>
      <c r="L2508" t="s">
        <v>3366</v>
      </c>
      <c r="M2508" t="s">
        <v>11894</v>
      </c>
      <c r="N2508" t="s">
        <v>3366</v>
      </c>
      <c r="O2508" t="s">
        <v>3361</v>
      </c>
      <c r="P2508" t="s">
        <v>15211</v>
      </c>
      <c r="Q2508" t="s">
        <v>15211</v>
      </c>
      <c r="R2508" t="s">
        <v>15211</v>
      </c>
      <c r="S2508" t="s">
        <v>15211</v>
      </c>
      <c r="T2508" t="s">
        <v>3371</v>
      </c>
      <c r="U2508" t="s">
        <v>14379</v>
      </c>
      <c r="V2508" t="s">
        <v>15274</v>
      </c>
    </row>
    <row r="2509" spans="1:22" ht="15" hidden="1">
      <c r="A2509" t="s">
        <v>15430</v>
      </c>
      <c r="B2509" t="s">
        <v>15441</v>
      </c>
      <c r="C2509" t="s">
        <v>15445</v>
      </c>
      <c r="D2509" t="s">
        <v>2504</v>
      </c>
      <c r="E2509" t="s">
        <v>3427</v>
      </c>
      <c r="F2509" t="s">
        <v>3436</v>
      </c>
      <c r="G2509" s="3">
        <v>34.997769056478298</v>
      </c>
      <c r="H2509" s="3">
        <v>127.79439213354399</v>
      </c>
      <c r="I2509" t="s">
        <v>6274</v>
      </c>
      <c r="J2509" t="s">
        <v>9630</v>
      </c>
      <c r="K2509" t="s">
        <v>11262</v>
      </c>
      <c r="L2509" t="s">
        <v>3366</v>
      </c>
      <c r="M2509" t="s">
        <v>11894</v>
      </c>
      <c r="N2509" t="s">
        <v>3366</v>
      </c>
      <c r="O2509" t="s">
        <v>3360</v>
      </c>
      <c r="P2509" t="s">
        <v>15211</v>
      </c>
      <c r="Q2509" t="s">
        <v>15211</v>
      </c>
      <c r="R2509" t="s">
        <v>15211</v>
      </c>
      <c r="S2509" t="s">
        <v>15211</v>
      </c>
      <c r="T2509" t="s">
        <v>3370</v>
      </c>
      <c r="U2509" t="s">
        <v>14380</v>
      </c>
      <c r="V2509" t="s">
        <v>15274</v>
      </c>
    </row>
    <row r="2510" spans="1:22" ht="15" hidden="1">
      <c r="A2510" t="s">
        <v>15430</v>
      </c>
      <c r="B2510" t="s">
        <v>15441</v>
      </c>
      <c r="C2510" t="s">
        <v>15445</v>
      </c>
      <c r="D2510" t="s">
        <v>2505</v>
      </c>
      <c r="E2510" t="s">
        <v>3427</v>
      </c>
      <c r="F2510" t="s">
        <v>3436</v>
      </c>
      <c r="G2510" s="3">
        <v>34.997769050232797</v>
      </c>
      <c r="H2510" s="3">
        <v>127.79439211607701</v>
      </c>
      <c r="I2510" t="s">
        <v>6275</v>
      </c>
      <c r="J2510" t="s">
        <v>9631</v>
      </c>
      <c r="K2510" t="s">
        <v>11719</v>
      </c>
      <c r="L2510" t="s">
        <v>3366</v>
      </c>
      <c r="M2510" t="s">
        <v>11894</v>
      </c>
      <c r="N2510" t="s">
        <v>3366</v>
      </c>
      <c r="O2510" t="s">
        <v>3360</v>
      </c>
      <c r="P2510" t="s">
        <v>15211</v>
      </c>
      <c r="Q2510" t="s">
        <v>15211</v>
      </c>
      <c r="R2510" t="s">
        <v>15211</v>
      </c>
      <c r="S2510" t="s">
        <v>15211</v>
      </c>
      <c r="T2510" t="s">
        <v>3370</v>
      </c>
      <c r="U2510" t="s">
        <v>14381</v>
      </c>
      <c r="V2510" t="s">
        <v>15274</v>
      </c>
    </row>
    <row r="2511" spans="1:22" ht="15" hidden="1">
      <c r="A2511" t="s">
        <v>15430</v>
      </c>
      <c r="B2511" t="s">
        <v>15441</v>
      </c>
      <c r="C2511" t="s">
        <v>15446</v>
      </c>
      <c r="D2511" t="s">
        <v>2506</v>
      </c>
      <c r="E2511" t="s">
        <v>3425</v>
      </c>
      <c r="F2511" t="s">
        <v>3434</v>
      </c>
      <c r="G2511" s="3">
        <v>34.997769114832202</v>
      </c>
      <c r="H2511" s="3">
        <v>127.794392170401</v>
      </c>
      <c r="I2511" t="s">
        <v>6276</v>
      </c>
      <c r="J2511" t="s">
        <v>9632</v>
      </c>
      <c r="K2511" t="s">
        <v>11308</v>
      </c>
      <c r="L2511" t="s">
        <v>3366</v>
      </c>
      <c r="M2511" t="s">
        <v>11895</v>
      </c>
      <c r="N2511" t="s">
        <v>3366</v>
      </c>
      <c r="O2511" t="s">
        <v>3361</v>
      </c>
      <c r="P2511" t="s">
        <v>15211</v>
      </c>
      <c r="Q2511" t="s">
        <v>15211</v>
      </c>
      <c r="R2511" t="s">
        <v>15211</v>
      </c>
      <c r="S2511" t="s">
        <v>15211</v>
      </c>
      <c r="T2511" t="s">
        <v>3371</v>
      </c>
      <c r="U2511" t="s">
        <v>14382</v>
      </c>
      <c r="V2511" t="s">
        <v>15275</v>
      </c>
    </row>
    <row r="2512" spans="1:22" ht="15" hidden="1">
      <c r="A2512" t="s">
        <v>15430</v>
      </c>
      <c r="B2512" t="s">
        <v>15441</v>
      </c>
      <c r="C2512" t="s">
        <v>15446</v>
      </c>
      <c r="D2512" t="s">
        <v>2507</v>
      </c>
      <c r="E2512" t="s">
        <v>3425</v>
      </c>
      <c r="F2512" t="s">
        <v>3434</v>
      </c>
      <c r="G2512" s="3">
        <v>34.997769129121203</v>
      </c>
      <c r="H2512" s="3">
        <v>127.79439216008601</v>
      </c>
      <c r="I2512" t="s">
        <v>6277</v>
      </c>
      <c r="J2512" t="s">
        <v>9633</v>
      </c>
      <c r="K2512" t="s">
        <v>11308</v>
      </c>
      <c r="L2512" t="s">
        <v>3366</v>
      </c>
      <c r="M2512" t="s">
        <v>11895</v>
      </c>
      <c r="N2512" t="s">
        <v>3366</v>
      </c>
      <c r="O2512" t="s">
        <v>3361</v>
      </c>
      <c r="P2512" t="s">
        <v>15211</v>
      </c>
      <c r="Q2512" t="s">
        <v>15211</v>
      </c>
      <c r="R2512" t="s">
        <v>15211</v>
      </c>
      <c r="S2512" t="s">
        <v>15211</v>
      </c>
      <c r="T2512" t="s">
        <v>3371</v>
      </c>
      <c r="U2512" t="s">
        <v>14383</v>
      </c>
      <c r="V2512" t="s">
        <v>15275</v>
      </c>
    </row>
    <row r="2513" spans="1:22" ht="15" hidden="1">
      <c r="A2513" t="s">
        <v>15430</v>
      </c>
      <c r="B2513" t="s">
        <v>15441</v>
      </c>
      <c r="C2513" t="s">
        <v>15446</v>
      </c>
      <c r="D2513" t="s">
        <v>2508</v>
      </c>
      <c r="E2513" t="s">
        <v>3425</v>
      </c>
      <c r="F2513" t="s">
        <v>3434</v>
      </c>
      <c r="G2513" s="3">
        <v>34.997769133353103</v>
      </c>
      <c r="H2513" s="3">
        <v>127.794392138269</v>
      </c>
      <c r="I2513" t="s">
        <v>6278</v>
      </c>
      <c r="J2513" t="s">
        <v>9634</v>
      </c>
      <c r="K2513" t="s">
        <v>3718</v>
      </c>
      <c r="L2513" t="s">
        <v>3366</v>
      </c>
      <c r="M2513" t="s">
        <v>11895</v>
      </c>
      <c r="N2513" t="s">
        <v>3366</v>
      </c>
      <c r="O2513" t="s">
        <v>3361</v>
      </c>
      <c r="P2513" t="s">
        <v>15211</v>
      </c>
      <c r="Q2513" t="s">
        <v>15211</v>
      </c>
      <c r="R2513" t="s">
        <v>15211</v>
      </c>
      <c r="S2513" t="s">
        <v>15211</v>
      </c>
      <c r="T2513" t="s">
        <v>3371</v>
      </c>
      <c r="U2513" t="s">
        <v>14384</v>
      </c>
      <c r="V2513" t="s">
        <v>15275</v>
      </c>
    </row>
    <row r="2514" spans="1:22" ht="15" hidden="1">
      <c r="A2514" t="s">
        <v>15430</v>
      </c>
      <c r="B2514" t="s">
        <v>15441</v>
      </c>
      <c r="C2514" t="s">
        <v>15448</v>
      </c>
      <c r="D2514" t="s">
        <v>2509</v>
      </c>
      <c r="E2514" t="s">
        <v>3425</v>
      </c>
      <c r="F2514" t="s">
        <v>3613</v>
      </c>
      <c r="G2514" s="3">
        <v>34.997769145552702</v>
      </c>
      <c r="H2514" s="3">
        <v>127.794392245647</v>
      </c>
      <c r="I2514" t="s">
        <v>6279</v>
      </c>
      <c r="J2514" t="s">
        <v>9635</v>
      </c>
      <c r="K2514" t="s">
        <v>3666</v>
      </c>
      <c r="L2514" t="s">
        <v>3366</v>
      </c>
      <c r="M2514" t="s">
        <v>11918</v>
      </c>
      <c r="N2514" t="s">
        <v>3366</v>
      </c>
      <c r="O2514" t="s">
        <v>3360</v>
      </c>
      <c r="P2514" t="s">
        <v>3364</v>
      </c>
      <c r="Q2514" t="s">
        <v>3369</v>
      </c>
      <c r="R2514" t="s">
        <v>3359</v>
      </c>
      <c r="S2514" t="s">
        <v>15211</v>
      </c>
      <c r="T2514" t="s">
        <v>3394</v>
      </c>
      <c r="U2514" t="s">
        <v>14385</v>
      </c>
      <c r="V2514" t="s">
        <v>15276</v>
      </c>
    </row>
    <row r="2515" spans="1:22" ht="15" hidden="1">
      <c r="A2515" t="s">
        <v>15430</v>
      </c>
      <c r="B2515" t="s">
        <v>15441</v>
      </c>
      <c r="C2515" t="s">
        <v>15448</v>
      </c>
      <c r="D2515" t="s">
        <v>2510</v>
      </c>
      <c r="E2515" t="s">
        <v>3425</v>
      </c>
      <c r="F2515" t="s">
        <v>3611</v>
      </c>
      <c r="G2515" s="3">
        <v>34.997769163027897</v>
      </c>
      <c r="H2515" s="3">
        <v>127.79439224821</v>
      </c>
      <c r="I2515" t="s">
        <v>6280</v>
      </c>
      <c r="J2515" t="s">
        <v>9636</v>
      </c>
      <c r="K2515" t="s">
        <v>10614</v>
      </c>
      <c r="L2515" t="s">
        <v>3366</v>
      </c>
      <c r="M2515" t="s">
        <v>11918</v>
      </c>
      <c r="N2515" t="s">
        <v>3366</v>
      </c>
      <c r="O2515" t="s">
        <v>3360</v>
      </c>
      <c r="P2515" t="s">
        <v>3364</v>
      </c>
      <c r="Q2515" t="s">
        <v>3369</v>
      </c>
      <c r="R2515" t="s">
        <v>3359</v>
      </c>
      <c r="S2515" t="s">
        <v>15211</v>
      </c>
      <c r="T2515" t="s">
        <v>3394</v>
      </c>
      <c r="U2515" t="s">
        <v>14386</v>
      </c>
      <c r="V2515" t="s">
        <v>15276</v>
      </c>
    </row>
    <row r="2516" spans="1:22" ht="15" hidden="1">
      <c r="A2516" t="s">
        <v>15430</v>
      </c>
      <c r="B2516" t="s">
        <v>15441</v>
      </c>
      <c r="C2516" t="s">
        <v>15448</v>
      </c>
      <c r="D2516" t="s">
        <v>2511</v>
      </c>
      <c r="E2516" t="s">
        <v>3425</v>
      </c>
      <c r="F2516" t="s">
        <v>3477</v>
      </c>
      <c r="G2516" s="3">
        <v>34.997769159543502</v>
      </c>
      <c r="H2516" s="3">
        <v>127.79439225533601</v>
      </c>
      <c r="I2516" t="s">
        <v>6281</v>
      </c>
      <c r="J2516" t="s">
        <v>9637</v>
      </c>
      <c r="K2516" t="s">
        <v>10614</v>
      </c>
      <c r="L2516" t="s">
        <v>3366</v>
      </c>
      <c r="M2516" t="s">
        <v>11918</v>
      </c>
      <c r="N2516" t="s">
        <v>3366</v>
      </c>
      <c r="O2516" t="s">
        <v>3360</v>
      </c>
      <c r="P2516" t="s">
        <v>3364</v>
      </c>
      <c r="Q2516" t="s">
        <v>3369</v>
      </c>
      <c r="R2516" t="s">
        <v>3359</v>
      </c>
      <c r="S2516" t="s">
        <v>15211</v>
      </c>
      <c r="T2516" t="s">
        <v>3394</v>
      </c>
      <c r="U2516" t="s">
        <v>14387</v>
      </c>
      <c r="V2516" t="s">
        <v>15276</v>
      </c>
    </row>
    <row r="2517" spans="1:22" ht="15" hidden="1">
      <c r="A2517" t="s">
        <v>15430</v>
      </c>
      <c r="B2517" t="s">
        <v>15441</v>
      </c>
      <c r="C2517" t="s">
        <v>15448</v>
      </c>
      <c r="D2517" t="s">
        <v>2512</v>
      </c>
      <c r="E2517" t="s">
        <v>3425</v>
      </c>
      <c r="F2517" t="s">
        <v>3466</v>
      </c>
      <c r="G2517" s="3">
        <v>34.997769155874799</v>
      </c>
      <c r="H2517" s="3">
        <v>127.79439226552699</v>
      </c>
      <c r="I2517" t="s">
        <v>6282</v>
      </c>
      <c r="J2517" t="s">
        <v>9638</v>
      </c>
      <c r="K2517" t="s">
        <v>10613</v>
      </c>
      <c r="L2517" t="s">
        <v>3366</v>
      </c>
      <c r="M2517" t="s">
        <v>11918</v>
      </c>
      <c r="N2517" t="s">
        <v>3366</v>
      </c>
      <c r="O2517" t="s">
        <v>3360</v>
      </c>
      <c r="P2517" t="s">
        <v>3364</v>
      </c>
      <c r="Q2517" t="s">
        <v>3369</v>
      </c>
      <c r="R2517" t="s">
        <v>3359</v>
      </c>
      <c r="S2517" t="s">
        <v>15211</v>
      </c>
      <c r="T2517" t="s">
        <v>3394</v>
      </c>
      <c r="U2517" t="s">
        <v>14388</v>
      </c>
      <c r="V2517" t="s">
        <v>15276</v>
      </c>
    </row>
    <row r="2518" spans="1:22" ht="15" hidden="1">
      <c r="A2518" t="s">
        <v>15430</v>
      </c>
      <c r="B2518" t="s">
        <v>15441</v>
      </c>
      <c r="C2518" t="s">
        <v>15448</v>
      </c>
      <c r="D2518" t="s">
        <v>2513</v>
      </c>
      <c r="E2518" t="s">
        <v>3425</v>
      </c>
      <c r="F2518" t="s">
        <v>3466</v>
      </c>
      <c r="G2518" s="3">
        <v>34.997769171197298</v>
      </c>
      <c r="H2518" s="3">
        <v>127.794392224248</v>
      </c>
      <c r="I2518" t="s">
        <v>6283</v>
      </c>
      <c r="J2518" t="s">
        <v>9639</v>
      </c>
      <c r="K2518" t="s">
        <v>10613</v>
      </c>
      <c r="L2518" t="s">
        <v>3366</v>
      </c>
      <c r="M2518" t="s">
        <v>11918</v>
      </c>
      <c r="N2518" t="s">
        <v>3366</v>
      </c>
      <c r="O2518" t="s">
        <v>3360</v>
      </c>
      <c r="P2518" t="s">
        <v>3364</v>
      </c>
      <c r="Q2518" t="s">
        <v>3369</v>
      </c>
      <c r="R2518" t="s">
        <v>3359</v>
      </c>
      <c r="S2518" t="s">
        <v>15211</v>
      </c>
      <c r="T2518" t="s">
        <v>3394</v>
      </c>
      <c r="U2518" t="s">
        <v>14386</v>
      </c>
      <c r="V2518" t="s">
        <v>15276</v>
      </c>
    </row>
    <row r="2519" spans="1:22" ht="15" hidden="1">
      <c r="A2519" t="s">
        <v>15430</v>
      </c>
      <c r="B2519" t="s">
        <v>15441</v>
      </c>
      <c r="C2519" t="s">
        <v>15448</v>
      </c>
      <c r="D2519" t="s">
        <v>2514</v>
      </c>
      <c r="E2519" t="s">
        <v>3425</v>
      </c>
      <c r="F2519" t="s">
        <v>3476</v>
      </c>
      <c r="G2519" s="3">
        <v>34.997769170239003</v>
      </c>
      <c r="H2519" s="3">
        <v>127.794392202297</v>
      </c>
      <c r="I2519" t="s">
        <v>6284</v>
      </c>
      <c r="J2519" t="s">
        <v>9640</v>
      </c>
      <c r="K2519" t="s">
        <v>10613</v>
      </c>
      <c r="L2519" t="s">
        <v>3366</v>
      </c>
      <c r="M2519" t="s">
        <v>11918</v>
      </c>
      <c r="N2519" t="s">
        <v>3366</v>
      </c>
      <c r="O2519" t="s">
        <v>3360</v>
      </c>
      <c r="P2519" t="s">
        <v>3364</v>
      </c>
      <c r="Q2519" t="s">
        <v>3369</v>
      </c>
      <c r="R2519" t="s">
        <v>3359</v>
      </c>
      <c r="S2519" t="s">
        <v>15211</v>
      </c>
      <c r="T2519" t="s">
        <v>3394</v>
      </c>
      <c r="U2519" t="s">
        <v>14389</v>
      </c>
      <c r="V2519" t="s">
        <v>15276</v>
      </c>
    </row>
    <row r="2520" spans="1:22" ht="15" hidden="1">
      <c r="A2520" t="s">
        <v>15430</v>
      </c>
      <c r="B2520" t="s">
        <v>15442</v>
      </c>
      <c r="C2520" t="s">
        <v>15445</v>
      </c>
      <c r="D2520" t="s">
        <v>2515</v>
      </c>
      <c r="E2520" t="s">
        <v>3436</v>
      </c>
      <c r="F2520" t="s">
        <v>3442</v>
      </c>
      <c r="G2520" s="3">
        <v>34.997769195505199</v>
      </c>
      <c r="H2520" s="3">
        <v>127.794392310399</v>
      </c>
      <c r="I2520" t="s">
        <v>6285</v>
      </c>
      <c r="J2520" t="s">
        <v>9641</v>
      </c>
      <c r="K2520" t="s">
        <v>3682</v>
      </c>
      <c r="L2520" t="s">
        <v>3366</v>
      </c>
      <c r="M2520" t="s">
        <v>11894</v>
      </c>
      <c r="N2520" t="s">
        <v>3366</v>
      </c>
      <c r="O2520" t="s">
        <v>3360</v>
      </c>
      <c r="P2520" t="s">
        <v>15211</v>
      </c>
      <c r="Q2520" t="s">
        <v>15211</v>
      </c>
      <c r="R2520" t="s">
        <v>15211</v>
      </c>
      <c r="S2520" t="s">
        <v>15211</v>
      </c>
      <c r="T2520" t="s">
        <v>3370</v>
      </c>
      <c r="U2520" t="s">
        <v>14390</v>
      </c>
      <c r="V2520" t="s">
        <v>15279</v>
      </c>
    </row>
    <row r="2521" spans="1:22" ht="15" hidden="1">
      <c r="A2521" t="s">
        <v>15430</v>
      </c>
      <c r="B2521" t="s">
        <v>15442</v>
      </c>
      <c r="C2521" t="s">
        <v>15445</v>
      </c>
      <c r="D2521" t="s">
        <v>2516</v>
      </c>
      <c r="E2521" t="s">
        <v>3428</v>
      </c>
      <c r="F2521" t="s">
        <v>3430</v>
      </c>
      <c r="G2521" s="3">
        <v>34.997769187515999</v>
      </c>
      <c r="H2521" s="3">
        <v>127.794392310086</v>
      </c>
      <c r="I2521" t="s">
        <v>6286</v>
      </c>
      <c r="J2521" t="s">
        <v>9642</v>
      </c>
      <c r="K2521" t="s">
        <v>3682</v>
      </c>
      <c r="L2521" t="s">
        <v>3366</v>
      </c>
      <c r="M2521" t="s">
        <v>11894</v>
      </c>
      <c r="N2521" t="s">
        <v>3366</v>
      </c>
      <c r="O2521" t="s">
        <v>3360</v>
      </c>
      <c r="P2521" t="s">
        <v>15211</v>
      </c>
      <c r="Q2521" t="s">
        <v>15211</v>
      </c>
      <c r="R2521" t="s">
        <v>15211</v>
      </c>
      <c r="S2521" t="s">
        <v>15211</v>
      </c>
      <c r="T2521" t="s">
        <v>3370</v>
      </c>
      <c r="U2521" t="s">
        <v>14389</v>
      </c>
      <c r="V2521" t="s">
        <v>15279</v>
      </c>
    </row>
    <row r="2522" spans="1:22" ht="15" hidden="1">
      <c r="A2522" t="s">
        <v>15430</v>
      </c>
      <c r="B2522" t="s">
        <v>15442</v>
      </c>
      <c r="C2522" t="s">
        <v>15445</v>
      </c>
      <c r="D2522" t="s">
        <v>2517</v>
      </c>
      <c r="E2522" t="s">
        <v>3427</v>
      </c>
      <c r="F2522" t="s">
        <v>3435</v>
      </c>
      <c r="G2522" s="3">
        <v>34.997769140560202</v>
      </c>
      <c r="H2522" s="3">
        <v>127.79439231667099</v>
      </c>
      <c r="I2522" t="s">
        <v>6287</v>
      </c>
      <c r="J2522" t="s">
        <v>9643</v>
      </c>
      <c r="K2522" t="s">
        <v>10771</v>
      </c>
      <c r="L2522" t="s">
        <v>3366</v>
      </c>
      <c r="M2522" t="s">
        <v>11894</v>
      </c>
      <c r="N2522" t="s">
        <v>3366</v>
      </c>
      <c r="O2522" t="s">
        <v>3360</v>
      </c>
      <c r="P2522" t="s">
        <v>15211</v>
      </c>
      <c r="Q2522" t="s">
        <v>15211</v>
      </c>
      <c r="R2522" t="s">
        <v>15211</v>
      </c>
      <c r="S2522" t="s">
        <v>15211</v>
      </c>
      <c r="T2522" t="s">
        <v>3370</v>
      </c>
      <c r="U2522" t="s">
        <v>14391</v>
      </c>
      <c r="V2522" t="s">
        <v>15279</v>
      </c>
    </row>
    <row r="2523" spans="1:22" ht="15" hidden="1">
      <c r="A2523" t="s">
        <v>15430</v>
      </c>
      <c r="B2523" t="s">
        <v>15442</v>
      </c>
      <c r="C2523" t="s">
        <v>15451</v>
      </c>
      <c r="D2523" t="s">
        <v>2518</v>
      </c>
      <c r="E2523" t="s">
        <v>3437</v>
      </c>
      <c r="F2523" t="s">
        <v>3428</v>
      </c>
      <c r="G2523" s="3">
        <v>34.997769205306902</v>
      </c>
      <c r="H2523" s="3">
        <v>127.794392273279</v>
      </c>
      <c r="I2523" t="s">
        <v>6288</v>
      </c>
      <c r="J2523" t="s">
        <v>9644</v>
      </c>
      <c r="K2523" t="s">
        <v>3734</v>
      </c>
      <c r="L2523" t="s">
        <v>3366</v>
      </c>
      <c r="M2523" t="s">
        <v>11913</v>
      </c>
      <c r="N2523" t="s">
        <v>3366</v>
      </c>
      <c r="O2523" t="s">
        <v>3360</v>
      </c>
      <c r="P2523" t="s">
        <v>3364</v>
      </c>
      <c r="Q2523" t="s">
        <v>3365</v>
      </c>
      <c r="R2523" t="s">
        <v>15211</v>
      </c>
      <c r="S2523" t="s">
        <v>15211</v>
      </c>
      <c r="T2523" t="s">
        <v>3387</v>
      </c>
      <c r="U2523" t="s">
        <v>14392</v>
      </c>
      <c r="V2523" t="s">
        <v>15280</v>
      </c>
    </row>
    <row r="2524" spans="1:22" ht="15" hidden="1">
      <c r="A2524" t="s">
        <v>15430</v>
      </c>
      <c r="B2524" t="s">
        <v>15442</v>
      </c>
      <c r="C2524" t="s">
        <v>15451</v>
      </c>
      <c r="D2524" t="s">
        <v>2519</v>
      </c>
      <c r="E2524" t="s">
        <v>3437</v>
      </c>
      <c r="F2524" t="s">
        <v>3428</v>
      </c>
      <c r="G2524" s="3">
        <v>34.997769185412402</v>
      </c>
      <c r="H2524" s="3">
        <v>127.79439224618299</v>
      </c>
      <c r="I2524" t="s">
        <v>6289</v>
      </c>
      <c r="J2524" t="s">
        <v>9645</v>
      </c>
      <c r="K2524" t="s">
        <v>3734</v>
      </c>
      <c r="L2524" t="s">
        <v>3366</v>
      </c>
      <c r="M2524" t="s">
        <v>11913</v>
      </c>
      <c r="N2524" t="s">
        <v>3366</v>
      </c>
      <c r="O2524" t="s">
        <v>3360</v>
      </c>
      <c r="P2524" t="s">
        <v>3364</v>
      </c>
      <c r="Q2524" t="s">
        <v>3365</v>
      </c>
      <c r="R2524" t="s">
        <v>15211</v>
      </c>
      <c r="S2524" t="s">
        <v>15211</v>
      </c>
      <c r="T2524" t="s">
        <v>3387</v>
      </c>
      <c r="U2524" t="s">
        <v>14393</v>
      </c>
      <c r="V2524" t="s">
        <v>15280</v>
      </c>
    </row>
    <row r="2525" spans="1:22" ht="15" hidden="1">
      <c r="A2525" t="s">
        <v>15430</v>
      </c>
      <c r="B2525" t="s">
        <v>15442</v>
      </c>
      <c r="C2525" t="s">
        <v>15451</v>
      </c>
      <c r="D2525" t="s">
        <v>2520</v>
      </c>
      <c r="E2525" t="s">
        <v>3437</v>
      </c>
      <c r="F2525" t="s">
        <v>3428</v>
      </c>
      <c r="G2525" s="3">
        <v>34.997769166928599</v>
      </c>
      <c r="H2525" s="3">
        <v>127.794392271505</v>
      </c>
      <c r="I2525" t="s">
        <v>6290</v>
      </c>
      <c r="J2525" t="s">
        <v>9646</v>
      </c>
      <c r="K2525" t="s">
        <v>3734</v>
      </c>
      <c r="L2525" t="s">
        <v>3366</v>
      </c>
      <c r="M2525" t="s">
        <v>11913</v>
      </c>
      <c r="N2525" t="s">
        <v>3366</v>
      </c>
      <c r="O2525" t="s">
        <v>3360</v>
      </c>
      <c r="P2525" t="s">
        <v>3364</v>
      </c>
      <c r="Q2525" t="s">
        <v>3365</v>
      </c>
      <c r="R2525" t="s">
        <v>15211</v>
      </c>
      <c r="S2525" t="s">
        <v>15211</v>
      </c>
      <c r="T2525" t="s">
        <v>3387</v>
      </c>
      <c r="U2525" t="s">
        <v>14394</v>
      </c>
      <c r="V2525" t="s">
        <v>15280</v>
      </c>
    </row>
    <row r="2526" spans="1:22" ht="17.399999999999999" hidden="1">
      <c r="A2526" t="s">
        <v>15436</v>
      </c>
      <c r="B2526" t="s">
        <v>15441</v>
      </c>
      <c r="C2526" t="s">
        <v>15445</v>
      </c>
      <c r="D2526" t="s">
        <v>2521</v>
      </c>
      <c r="E2526" t="s">
        <v>3430</v>
      </c>
      <c r="F2526" t="s">
        <v>3478</v>
      </c>
      <c r="G2526" s="3">
        <v>34.929459498881997</v>
      </c>
      <c r="H2526" s="3">
        <v>126.31439803537501</v>
      </c>
      <c r="I2526" t="s">
        <v>6291</v>
      </c>
      <c r="J2526" t="s">
        <v>9647</v>
      </c>
      <c r="K2526" t="s">
        <v>10956</v>
      </c>
      <c r="L2526" t="s">
        <v>3366</v>
      </c>
      <c r="M2526" t="s">
        <v>11895</v>
      </c>
      <c r="N2526" t="s">
        <v>3364</v>
      </c>
      <c r="O2526" t="s">
        <v>3363</v>
      </c>
      <c r="P2526" t="s">
        <v>15211</v>
      </c>
      <c r="Q2526" t="s">
        <v>15211</v>
      </c>
      <c r="R2526" t="s">
        <v>15211</v>
      </c>
      <c r="S2526" t="s">
        <v>15211</v>
      </c>
      <c r="T2526" t="s">
        <v>3371</v>
      </c>
      <c r="U2526" t="s">
        <v>14395</v>
      </c>
      <c r="V2526" t="s">
        <v>15274</v>
      </c>
    </row>
    <row r="2527" spans="1:22" ht="17.399999999999999" hidden="1">
      <c r="A2527" t="s">
        <v>15436</v>
      </c>
      <c r="B2527" t="s">
        <v>15441</v>
      </c>
      <c r="C2527" t="s">
        <v>15445</v>
      </c>
      <c r="D2527" t="s">
        <v>2522</v>
      </c>
      <c r="E2527" t="s">
        <v>3430</v>
      </c>
      <c r="F2527" t="s">
        <v>3478</v>
      </c>
      <c r="G2527" s="3">
        <v>34.929459491055702</v>
      </c>
      <c r="H2527" s="3">
        <v>126.314398038143</v>
      </c>
      <c r="I2527" t="s">
        <v>6292</v>
      </c>
      <c r="J2527" t="s">
        <v>9648</v>
      </c>
      <c r="K2527" t="s">
        <v>11508</v>
      </c>
      <c r="L2527" t="s">
        <v>3366</v>
      </c>
      <c r="M2527" t="s">
        <v>11895</v>
      </c>
      <c r="N2527" t="s">
        <v>3364</v>
      </c>
      <c r="O2527" t="s">
        <v>3363</v>
      </c>
      <c r="P2527" t="s">
        <v>15211</v>
      </c>
      <c r="Q2527" t="s">
        <v>15211</v>
      </c>
      <c r="R2527" t="s">
        <v>15211</v>
      </c>
      <c r="S2527" t="s">
        <v>15211</v>
      </c>
      <c r="T2527" t="s">
        <v>3371</v>
      </c>
      <c r="U2527" t="s">
        <v>14396</v>
      </c>
      <c r="V2527" t="s">
        <v>15274</v>
      </c>
    </row>
    <row r="2528" spans="1:22" ht="17.399999999999999" hidden="1">
      <c r="A2528" t="s">
        <v>15436</v>
      </c>
      <c r="B2528" t="s">
        <v>15441</v>
      </c>
      <c r="C2528" t="s">
        <v>15445</v>
      </c>
      <c r="D2528" t="s">
        <v>2523</v>
      </c>
      <c r="E2528" t="s">
        <v>3442</v>
      </c>
      <c r="F2528" t="s">
        <v>3478</v>
      </c>
      <c r="G2528" s="3">
        <v>34.929459447801896</v>
      </c>
      <c r="H2528" s="3">
        <v>126.314398028646</v>
      </c>
      <c r="I2528" t="s">
        <v>6293</v>
      </c>
      <c r="J2528" t="s">
        <v>9649</v>
      </c>
      <c r="K2528" t="s">
        <v>11720</v>
      </c>
      <c r="L2528" t="s">
        <v>3366</v>
      </c>
      <c r="M2528" t="s">
        <v>11895</v>
      </c>
      <c r="N2528" t="s">
        <v>3364</v>
      </c>
      <c r="O2528" t="s">
        <v>3363</v>
      </c>
      <c r="P2528" t="s">
        <v>15211</v>
      </c>
      <c r="Q2528" t="s">
        <v>15211</v>
      </c>
      <c r="R2528" t="s">
        <v>15211</v>
      </c>
      <c r="S2528" t="s">
        <v>15211</v>
      </c>
      <c r="T2528" t="s">
        <v>3371</v>
      </c>
      <c r="U2528" t="s">
        <v>14397</v>
      </c>
      <c r="V2528" t="s">
        <v>15274</v>
      </c>
    </row>
    <row r="2529" spans="1:22" ht="17.399999999999999" hidden="1">
      <c r="A2529" t="s">
        <v>15436</v>
      </c>
      <c r="B2529" t="s">
        <v>15441</v>
      </c>
      <c r="C2529" t="s">
        <v>15449</v>
      </c>
      <c r="D2529" t="s">
        <v>2524</v>
      </c>
      <c r="E2529" t="s">
        <v>3428</v>
      </c>
      <c r="F2529" t="s">
        <v>3432</v>
      </c>
      <c r="G2529" s="3">
        <v>34.929459325296001</v>
      </c>
      <c r="H2529" s="3">
        <v>126.31439798101999</v>
      </c>
      <c r="I2529" t="s">
        <v>6294</v>
      </c>
      <c r="J2529" t="s">
        <v>9650</v>
      </c>
      <c r="K2529" t="s">
        <v>11025</v>
      </c>
      <c r="L2529" t="s">
        <v>3366</v>
      </c>
      <c r="M2529" t="s">
        <v>11913</v>
      </c>
      <c r="N2529" t="s">
        <v>3365</v>
      </c>
      <c r="O2529" t="s">
        <v>3361</v>
      </c>
      <c r="P2529" t="s">
        <v>3363</v>
      </c>
      <c r="Q2529" t="s">
        <v>3365</v>
      </c>
      <c r="R2529" t="s">
        <v>3357</v>
      </c>
      <c r="S2529" t="s">
        <v>15211</v>
      </c>
      <c r="T2529" t="s">
        <v>3387</v>
      </c>
      <c r="U2529" t="s">
        <v>14398</v>
      </c>
      <c r="V2529" t="s">
        <v>15277</v>
      </c>
    </row>
    <row r="2530" spans="1:22" ht="17.399999999999999" hidden="1">
      <c r="A2530" t="s">
        <v>15436</v>
      </c>
      <c r="B2530" t="s">
        <v>15441</v>
      </c>
      <c r="C2530" t="s">
        <v>15449</v>
      </c>
      <c r="D2530" t="s">
        <v>2525</v>
      </c>
      <c r="E2530" t="s">
        <v>3428</v>
      </c>
      <c r="F2530" t="s">
        <v>3432</v>
      </c>
      <c r="G2530" s="3">
        <v>34.929459309730603</v>
      </c>
      <c r="H2530" s="3">
        <v>126.314397940248</v>
      </c>
      <c r="I2530" t="s">
        <v>6295</v>
      </c>
      <c r="J2530" t="s">
        <v>9651</v>
      </c>
      <c r="K2530" t="s">
        <v>11288</v>
      </c>
      <c r="L2530" t="s">
        <v>3366</v>
      </c>
      <c r="M2530" t="s">
        <v>11907</v>
      </c>
      <c r="N2530" t="s">
        <v>3365</v>
      </c>
      <c r="O2530" t="s">
        <v>3361</v>
      </c>
      <c r="P2530" t="s">
        <v>3363</v>
      </c>
      <c r="Q2530" t="s">
        <v>3365</v>
      </c>
      <c r="R2530" t="s">
        <v>3357</v>
      </c>
      <c r="S2530" t="s">
        <v>15211</v>
      </c>
      <c r="T2530" t="s">
        <v>3387</v>
      </c>
      <c r="U2530" t="s">
        <v>14399</v>
      </c>
      <c r="V2530" t="s">
        <v>15277</v>
      </c>
    </row>
    <row r="2531" spans="1:22" ht="17.399999999999999" hidden="1">
      <c r="A2531" t="s">
        <v>15436</v>
      </c>
      <c r="B2531" t="s">
        <v>15441</v>
      </c>
      <c r="C2531" t="s">
        <v>15449</v>
      </c>
      <c r="D2531" t="s">
        <v>2526</v>
      </c>
      <c r="E2531" t="s">
        <v>3428</v>
      </c>
      <c r="F2531" t="s">
        <v>3433</v>
      </c>
      <c r="G2531" s="3">
        <v>34.929459313561097</v>
      </c>
      <c r="H2531" s="3">
        <v>126.314397910045</v>
      </c>
      <c r="I2531" t="s">
        <v>6296</v>
      </c>
      <c r="J2531" t="s">
        <v>9652</v>
      </c>
      <c r="K2531" t="s">
        <v>11681</v>
      </c>
      <c r="L2531" t="s">
        <v>3366</v>
      </c>
      <c r="M2531" t="s">
        <v>11907</v>
      </c>
      <c r="N2531" t="s">
        <v>3365</v>
      </c>
      <c r="O2531" t="s">
        <v>3360</v>
      </c>
      <c r="P2531" t="s">
        <v>3363</v>
      </c>
      <c r="Q2531" t="s">
        <v>3365</v>
      </c>
      <c r="R2531" t="s">
        <v>3357</v>
      </c>
      <c r="S2531" t="s">
        <v>15211</v>
      </c>
      <c r="T2531" t="s">
        <v>3386</v>
      </c>
      <c r="U2531" t="s">
        <v>14400</v>
      </c>
      <c r="V2531" t="s">
        <v>15277</v>
      </c>
    </row>
    <row r="2532" spans="1:22" ht="17.399999999999999" hidden="1">
      <c r="A2532" t="s">
        <v>15436</v>
      </c>
      <c r="B2532" t="s">
        <v>15442</v>
      </c>
      <c r="C2532" t="s">
        <v>15450</v>
      </c>
      <c r="D2532" t="s">
        <v>2527</v>
      </c>
      <c r="E2532" t="s">
        <v>3431</v>
      </c>
      <c r="F2532" t="s">
        <v>3462</v>
      </c>
      <c r="G2532" s="3">
        <v>34.929458963505297</v>
      </c>
      <c r="H2532" s="3">
        <v>126.31439835501</v>
      </c>
      <c r="I2532" t="s">
        <v>6297</v>
      </c>
      <c r="J2532" t="s">
        <v>9653</v>
      </c>
      <c r="K2532" t="s">
        <v>11197</v>
      </c>
      <c r="L2532" t="s">
        <v>3366</v>
      </c>
      <c r="M2532" t="s">
        <v>11894</v>
      </c>
      <c r="N2532" t="s">
        <v>3364</v>
      </c>
      <c r="O2532" t="s">
        <v>3362</v>
      </c>
      <c r="P2532" t="s">
        <v>15211</v>
      </c>
      <c r="Q2532" t="s">
        <v>15211</v>
      </c>
      <c r="R2532" t="s">
        <v>15211</v>
      </c>
      <c r="S2532" t="s">
        <v>15211</v>
      </c>
      <c r="T2532" t="s">
        <v>3370</v>
      </c>
      <c r="U2532" t="s">
        <v>14401</v>
      </c>
      <c r="V2532" t="s">
        <v>15278</v>
      </c>
    </row>
    <row r="2533" spans="1:22" ht="17.399999999999999" hidden="1">
      <c r="A2533" t="s">
        <v>15436</v>
      </c>
      <c r="B2533" t="s">
        <v>15442</v>
      </c>
      <c r="C2533" t="s">
        <v>15450</v>
      </c>
      <c r="D2533" t="s">
        <v>2528</v>
      </c>
      <c r="E2533" t="s">
        <v>3435</v>
      </c>
      <c r="F2533" t="s">
        <v>3465</v>
      </c>
      <c r="G2533" s="3">
        <v>34.929458973626403</v>
      </c>
      <c r="H2533" s="3">
        <v>126.31439830972</v>
      </c>
      <c r="I2533" t="s">
        <v>6298</v>
      </c>
      <c r="J2533" t="s">
        <v>9654</v>
      </c>
      <c r="K2533" t="s">
        <v>10901</v>
      </c>
      <c r="L2533" t="s">
        <v>3366</v>
      </c>
      <c r="M2533" t="s">
        <v>11895</v>
      </c>
      <c r="N2533" t="s">
        <v>3364</v>
      </c>
      <c r="O2533" t="s">
        <v>3362</v>
      </c>
      <c r="P2533" t="s">
        <v>15211</v>
      </c>
      <c r="Q2533" t="s">
        <v>15211</v>
      </c>
      <c r="R2533" t="s">
        <v>15211</v>
      </c>
      <c r="S2533" t="s">
        <v>15211</v>
      </c>
      <c r="T2533" t="s">
        <v>3370</v>
      </c>
      <c r="U2533" t="s">
        <v>14402</v>
      </c>
      <c r="V2533" t="s">
        <v>15278</v>
      </c>
    </row>
    <row r="2534" spans="1:22" ht="17.399999999999999" hidden="1">
      <c r="A2534" t="s">
        <v>15436</v>
      </c>
      <c r="B2534" t="s">
        <v>15442</v>
      </c>
      <c r="C2534" t="s">
        <v>15450</v>
      </c>
      <c r="D2534" t="s">
        <v>2529</v>
      </c>
      <c r="E2534" t="s">
        <v>3435</v>
      </c>
      <c r="F2534" t="s">
        <v>3450</v>
      </c>
      <c r="G2534" s="3">
        <v>34.929458993520001</v>
      </c>
      <c r="H2534" s="3">
        <v>126.314398343112</v>
      </c>
      <c r="I2534" t="s">
        <v>6299</v>
      </c>
      <c r="J2534" t="s">
        <v>9655</v>
      </c>
      <c r="K2534" t="s">
        <v>10901</v>
      </c>
      <c r="L2534" t="s">
        <v>3366</v>
      </c>
      <c r="M2534" t="s">
        <v>11895</v>
      </c>
      <c r="N2534" t="s">
        <v>3364</v>
      </c>
      <c r="O2534" t="s">
        <v>3362</v>
      </c>
      <c r="P2534" t="s">
        <v>15211</v>
      </c>
      <c r="Q2534" t="s">
        <v>15211</v>
      </c>
      <c r="R2534" t="s">
        <v>15211</v>
      </c>
      <c r="S2534" t="s">
        <v>15211</v>
      </c>
      <c r="T2534" t="s">
        <v>3370</v>
      </c>
      <c r="U2534" t="s">
        <v>14403</v>
      </c>
      <c r="V2534" t="s">
        <v>15278</v>
      </c>
    </row>
    <row r="2535" spans="1:22" ht="17.399999999999999" hidden="1">
      <c r="A2535" t="s">
        <v>15436</v>
      </c>
      <c r="B2535" t="s">
        <v>15442</v>
      </c>
      <c r="C2535" t="s">
        <v>15445</v>
      </c>
      <c r="D2535" t="s">
        <v>2530</v>
      </c>
      <c r="E2535" t="s">
        <v>3436</v>
      </c>
      <c r="F2535" t="s">
        <v>3430</v>
      </c>
      <c r="G2535" s="3">
        <v>34.929459329534701</v>
      </c>
      <c r="H2535" s="3">
        <v>126.31439806830799</v>
      </c>
      <c r="I2535" t="s">
        <v>6300</v>
      </c>
      <c r="J2535" t="s">
        <v>9656</v>
      </c>
      <c r="K2535" t="s">
        <v>11501</v>
      </c>
      <c r="L2535" t="s">
        <v>3366</v>
      </c>
      <c r="M2535" t="s">
        <v>11894</v>
      </c>
      <c r="N2535" t="s">
        <v>3364</v>
      </c>
      <c r="O2535" t="s">
        <v>3362</v>
      </c>
      <c r="P2535" t="s">
        <v>15211</v>
      </c>
      <c r="Q2535" t="s">
        <v>15211</v>
      </c>
      <c r="R2535" t="s">
        <v>15211</v>
      </c>
      <c r="S2535" t="s">
        <v>15211</v>
      </c>
      <c r="T2535" t="s">
        <v>3370</v>
      </c>
      <c r="U2535" t="s">
        <v>14404</v>
      </c>
      <c r="V2535" t="s">
        <v>15279</v>
      </c>
    </row>
    <row r="2536" spans="1:22" ht="17.399999999999999" hidden="1">
      <c r="A2536" t="s">
        <v>15436</v>
      </c>
      <c r="B2536" t="s">
        <v>15442</v>
      </c>
      <c r="C2536" t="s">
        <v>15445</v>
      </c>
      <c r="D2536" t="s">
        <v>2531</v>
      </c>
      <c r="E2536" t="s">
        <v>3425</v>
      </c>
      <c r="F2536" t="s">
        <v>3442</v>
      </c>
      <c r="G2536" s="3">
        <v>34.929459353247502</v>
      </c>
      <c r="H2536" s="3">
        <v>126.31439802874699</v>
      </c>
      <c r="I2536" t="s">
        <v>6301</v>
      </c>
      <c r="J2536" t="s">
        <v>9657</v>
      </c>
      <c r="K2536" t="s">
        <v>11721</v>
      </c>
      <c r="L2536" t="s">
        <v>3366</v>
      </c>
      <c r="M2536" t="s">
        <v>11894</v>
      </c>
      <c r="N2536" t="s">
        <v>3364</v>
      </c>
      <c r="O2536" t="s">
        <v>3362</v>
      </c>
      <c r="P2536" t="s">
        <v>15211</v>
      </c>
      <c r="Q2536" t="s">
        <v>15211</v>
      </c>
      <c r="R2536" t="s">
        <v>15211</v>
      </c>
      <c r="S2536" t="s">
        <v>15211</v>
      </c>
      <c r="T2536" t="s">
        <v>3370</v>
      </c>
      <c r="U2536" t="s">
        <v>14405</v>
      </c>
      <c r="V2536" t="s">
        <v>15279</v>
      </c>
    </row>
    <row r="2537" spans="1:22" ht="17.399999999999999" hidden="1">
      <c r="A2537" t="s">
        <v>15436</v>
      </c>
      <c r="B2537" t="s">
        <v>15442</v>
      </c>
      <c r="C2537" t="s">
        <v>15445</v>
      </c>
      <c r="D2537" t="s">
        <v>2532</v>
      </c>
      <c r="E2537" t="s">
        <v>3431</v>
      </c>
      <c r="F2537" t="s">
        <v>3433</v>
      </c>
      <c r="G2537" s="3">
        <v>34.929459395378402</v>
      </c>
      <c r="H2537" s="3">
        <v>126.314398059621</v>
      </c>
      <c r="I2537" t="s">
        <v>6302</v>
      </c>
      <c r="J2537" t="s">
        <v>9658</v>
      </c>
      <c r="K2537" t="s">
        <v>11722</v>
      </c>
      <c r="L2537" t="s">
        <v>3366</v>
      </c>
      <c r="M2537" t="s">
        <v>11894</v>
      </c>
      <c r="N2537" t="s">
        <v>3364</v>
      </c>
      <c r="O2537" t="s">
        <v>3362</v>
      </c>
      <c r="P2537" t="s">
        <v>15211</v>
      </c>
      <c r="Q2537" t="s">
        <v>15211</v>
      </c>
      <c r="R2537" t="s">
        <v>15211</v>
      </c>
      <c r="S2537" t="s">
        <v>15211</v>
      </c>
      <c r="T2537" t="s">
        <v>3370</v>
      </c>
      <c r="U2537" t="s">
        <v>14406</v>
      </c>
      <c r="V2537" t="s">
        <v>15279</v>
      </c>
    </row>
    <row r="2538" spans="1:22" ht="17.399999999999999" hidden="1">
      <c r="A2538" t="s">
        <v>15436</v>
      </c>
      <c r="B2538" t="s">
        <v>15442</v>
      </c>
      <c r="C2538" t="s">
        <v>15451</v>
      </c>
      <c r="D2538" t="s">
        <v>2533</v>
      </c>
      <c r="E2538" t="s">
        <v>3427</v>
      </c>
      <c r="F2538" t="s">
        <v>3442</v>
      </c>
      <c r="G2538" s="3">
        <v>34.929459290033002</v>
      </c>
      <c r="H2538" s="3">
        <v>126.314397966409</v>
      </c>
      <c r="I2538" t="s">
        <v>6303</v>
      </c>
      <c r="J2538" t="s">
        <v>9659</v>
      </c>
      <c r="K2538" t="s">
        <v>10954</v>
      </c>
      <c r="L2538" t="s">
        <v>3366</v>
      </c>
      <c r="M2538" t="s">
        <v>11905</v>
      </c>
      <c r="N2538" t="s">
        <v>3364</v>
      </c>
      <c r="O2538" t="s">
        <v>3362</v>
      </c>
      <c r="P2538" t="s">
        <v>3363</v>
      </c>
      <c r="Q2538" t="s">
        <v>3369</v>
      </c>
      <c r="R2538" t="s">
        <v>15211</v>
      </c>
      <c r="S2538" t="s">
        <v>15211</v>
      </c>
      <c r="T2538" t="s">
        <v>3390</v>
      </c>
      <c r="U2538" t="s">
        <v>14407</v>
      </c>
      <c r="V2538" t="s">
        <v>15280</v>
      </c>
    </row>
    <row r="2539" spans="1:22" ht="17.399999999999999" hidden="1">
      <c r="A2539" t="s">
        <v>15436</v>
      </c>
      <c r="B2539" t="s">
        <v>15442</v>
      </c>
      <c r="C2539" t="s">
        <v>15451</v>
      </c>
      <c r="D2539" t="s">
        <v>2534</v>
      </c>
      <c r="E2539" t="s">
        <v>3427</v>
      </c>
      <c r="F2539" t="s">
        <v>3442</v>
      </c>
      <c r="G2539" s="3">
        <v>34.929459293746802</v>
      </c>
      <c r="H2539" s="3">
        <v>126.314397931957</v>
      </c>
      <c r="I2539" t="s">
        <v>6304</v>
      </c>
      <c r="J2539" t="s">
        <v>9660</v>
      </c>
      <c r="K2539" t="s">
        <v>10635</v>
      </c>
      <c r="L2539" t="s">
        <v>3366</v>
      </c>
      <c r="M2539" t="s">
        <v>11905</v>
      </c>
      <c r="N2539" t="s">
        <v>3364</v>
      </c>
      <c r="O2539" t="s">
        <v>3362</v>
      </c>
      <c r="P2539" t="s">
        <v>3363</v>
      </c>
      <c r="Q2539" t="s">
        <v>3369</v>
      </c>
      <c r="R2539" t="s">
        <v>15211</v>
      </c>
      <c r="S2539" t="s">
        <v>15211</v>
      </c>
      <c r="T2539" t="s">
        <v>3390</v>
      </c>
      <c r="U2539" t="s">
        <v>14408</v>
      </c>
      <c r="V2539" t="s">
        <v>15280</v>
      </c>
    </row>
    <row r="2540" spans="1:22" ht="17.399999999999999" hidden="1">
      <c r="A2540" t="s">
        <v>15436</v>
      </c>
      <c r="B2540" t="s">
        <v>15442</v>
      </c>
      <c r="C2540" t="s">
        <v>15451</v>
      </c>
      <c r="D2540" t="s">
        <v>2535</v>
      </c>
      <c r="E2540" t="s">
        <v>3427</v>
      </c>
      <c r="F2540" t="s">
        <v>3442</v>
      </c>
      <c r="G2540" s="3">
        <v>34.929459278562398</v>
      </c>
      <c r="H2540" s="3">
        <v>126.314397957911</v>
      </c>
      <c r="I2540" t="s">
        <v>6305</v>
      </c>
      <c r="J2540" t="s">
        <v>9661</v>
      </c>
      <c r="K2540" t="s">
        <v>10635</v>
      </c>
      <c r="L2540" t="s">
        <v>3366</v>
      </c>
      <c r="M2540" t="s">
        <v>11905</v>
      </c>
      <c r="N2540" t="s">
        <v>3364</v>
      </c>
      <c r="O2540" t="s">
        <v>3362</v>
      </c>
      <c r="P2540" t="s">
        <v>3363</v>
      </c>
      <c r="Q2540" t="s">
        <v>3369</v>
      </c>
      <c r="R2540" t="s">
        <v>15211</v>
      </c>
      <c r="S2540" t="s">
        <v>15211</v>
      </c>
      <c r="T2540" t="s">
        <v>3390</v>
      </c>
      <c r="U2540" t="s">
        <v>14409</v>
      </c>
      <c r="V2540" t="s">
        <v>15280</v>
      </c>
    </row>
    <row r="2541" spans="1:22" ht="17.399999999999999" hidden="1">
      <c r="A2541" t="s">
        <v>15431</v>
      </c>
      <c r="B2541" t="s">
        <v>15441</v>
      </c>
      <c r="C2541" t="s">
        <v>15445</v>
      </c>
      <c r="D2541" t="s">
        <v>2536</v>
      </c>
      <c r="E2541" t="s">
        <v>3435</v>
      </c>
      <c r="F2541" t="s">
        <v>3476</v>
      </c>
      <c r="G2541" s="3">
        <v>34.793105032484497</v>
      </c>
      <c r="H2541" s="3">
        <v>126.169151804561</v>
      </c>
      <c r="I2541" t="s">
        <v>6306</v>
      </c>
      <c r="J2541" t="s">
        <v>9662</v>
      </c>
      <c r="K2541" t="s">
        <v>10855</v>
      </c>
      <c r="L2541" t="s">
        <v>3366</v>
      </c>
      <c r="M2541" t="s">
        <v>11885</v>
      </c>
      <c r="N2541" t="s">
        <v>3361</v>
      </c>
      <c r="O2541" t="s">
        <v>3363</v>
      </c>
      <c r="P2541" t="s">
        <v>15211</v>
      </c>
      <c r="Q2541" t="s">
        <v>15211</v>
      </c>
      <c r="R2541" t="s">
        <v>15211</v>
      </c>
      <c r="S2541" t="s">
        <v>15211</v>
      </c>
      <c r="T2541" t="s">
        <v>3368</v>
      </c>
      <c r="U2541" t="s">
        <v>14410</v>
      </c>
      <c r="V2541" t="s">
        <v>15274</v>
      </c>
    </row>
    <row r="2542" spans="1:22" ht="17.399999999999999" hidden="1">
      <c r="A2542" t="s">
        <v>15431</v>
      </c>
      <c r="B2542" t="s">
        <v>15441</v>
      </c>
      <c r="C2542" t="s">
        <v>15445</v>
      </c>
      <c r="D2542" t="s">
        <v>2537</v>
      </c>
      <c r="E2542" t="s">
        <v>3429</v>
      </c>
      <c r="F2542" t="s">
        <v>3466</v>
      </c>
      <c r="G2542" s="3">
        <v>34.793105018642699</v>
      </c>
      <c r="H2542" s="3">
        <v>126.16915177445</v>
      </c>
      <c r="I2542" t="s">
        <v>6307</v>
      </c>
      <c r="J2542" t="s">
        <v>9663</v>
      </c>
      <c r="K2542" t="s">
        <v>11723</v>
      </c>
      <c r="L2542" t="s">
        <v>3366</v>
      </c>
      <c r="M2542" t="s">
        <v>11890</v>
      </c>
      <c r="N2542" t="s">
        <v>3362</v>
      </c>
      <c r="O2542" t="s">
        <v>3363</v>
      </c>
      <c r="P2542" t="s">
        <v>15211</v>
      </c>
      <c r="Q2542" t="s">
        <v>15211</v>
      </c>
      <c r="R2542" t="s">
        <v>15211</v>
      </c>
      <c r="S2542" t="s">
        <v>15211</v>
      </c>
      <c r="T2542" t="s">
        <v>3369</v>
      </c>
      <c r="U2542" t="s">
        <v>14411</v>
      </c>
      <c r="V2542" t="s">
        <v>15274</v>
      </c>
    </row>
    <row r="2543" spans="1:22" ht="17.399999999999999" hidden="1">
      <c r="A2543" t="s">
        <v>15431</v>
      </c>
      <c r="B2543" t="s">
        <v>15441</v>
      </c>
      <c r="C2543" t="s">
        <v>15445</v>
      </c>
      <c r="D2543" t="s">
        <v>2538</v>
      </c>
      <c r="E2543" t="s">
        <v>3435</v>
      </c>
      <c r="F2543" t="s">
        <v>3476</v>
      </c>
      <c r="G2543" s="3">
        <v>34.793104997167198</v>
      </c>
      <c r="H2543" s="3">
        <v>126.169151754433</v>
      </c>
      <c r="I2543" t="s">
        <v>6308</v>
      </c>
      <c r="J2543" t="s">
        <v>9664</v>
      </c>
      <c r="K2543" t="s">
        <v>11711</v>
      </c>
      <c r="L2543" t="s">
        <v>3366</v>
      </c>
      <c r="M2543" t="s">
        <v>11890</v>
      </c>
      <c r="N2543" t="s">
        <v>3362</v>
      </c>
      <c r="O2543" t="s">
        <v>3363</v>
      </c>
      <c r="P2543" t="s">
        <v>15211</v>
      </c>
      <c r="Q2543" t="s">
        <v>15211</v>
      </c>
      <c r="R2543" t="s">
        <v>15211</v>
      </c>
      <c r="S2543" t="s">
        <v>15211</v>
      </c>
      <c r="T2543" t="s">
        <v>3369</v>
      </c>
      <c r="U2543" t="s">
        <v>14412</v>
      </c>
      <c r="V2543" t="s">
        <v>15274</v>
      </c>
    </row>
    <row r="2544" spans="1:22" ht="17.399999999999999" hidden="1">
      <c r="A2544" t="s">
        <v>15431</v>
      </c>
      <c r="B2544" t="s">
        <v>15441</v>
      </c>
      <c r="C2544" t="s">
        <v>15448</v>
      </c>
      <c r="D2544" t="s">
        <v>2539</v>
      </c>
      <c r="E2544" t="s">
        <v>3439</v>
      </c>
      <c r="F2544" t="s">
        <v>3431</v>
      </c>
      <c r="G2544" s="3">
        <v>34.793104938036599</v>
      </c>
      <c r="H2544" s="3">
        <v>126.169151533743</v>
      </c>
      <c r="I2544" t="s">
        <v>6309</v>
      </c>
      <c r="J2544" t="s">
        <v>9665</v>
      </c>
      <c r="K2544" t="s">
        <v>3528</v>
      </c>
      <c r="L2544" t="s">
        <v>3366</v>
      </c>
      <c r="M2544" t="s">
        <v>11913</v>
      </c>
      <c r="N2544" t="s">
        <v>3361</v>
      </c>
      <c r="O2544" t="s">
        <v>3363</v>
      </c>
      <c r="P2544" t="s">
        <v>3362</v>
      </c>
      <c r="Q2544" t="s">
        <v>3367</v>
      </c>
      <c r="R2544" t="s">
        <v>3358</v>
      </c>
      <c r="S2544" t="s">
        <v>15211</v>
      </c>
      <c r="T2544" t="s">
        <v>3387</v>
      </c>
      <c r="U2544" t="s">
        <v>14413</v>
      </c>
      <c r="V2544" t="s">
        <v>15276</v>
      </c>
    </row>
    <row r="2545" spans="1:22" ht="17.399999999999999" hidden="1">
      <c r="A2545" t="s">
        <v>15431</v>
      </c>
      <c r="B2545" t="s">
        <v>15441</v>
      </c>
      <c r="C2545" t="s">
        <v>15448</v>
      </c>
      <c r="D2545" t="s">
        <v>2540</v>
      </c>
      <c r="E2545" t="s">
        <v>3439</v>
      </c>
      <c r="F2545" t="s">
        <v>3434</v>
      </c>
      <c r="G2545" s="3">
        <v>34.793104939020999</v>
      </c>
      <c r="H2545" s="3">
        <v>126.169151498365</v>
      </c>
      <c r="I2545" t="s">
        <v>6310</v>
      </c>
      <c r="J2545" t="s">
        <v>9666</v>
      </c>
      <c r="K2545" t="s">
        <v>11401</v>
      </c>
      <c r="L2545" t="s">
        <v>3366</v>
      </c>
      <c r="M2545" t="s">
        <v>11913</v>
      </c>
      <c r="N2545" t="s">
        <v>3361</v>
      </c>
      <c r="O2545" t="s">
        <v>3363</v>
      </c>
      <c r="P2545" t="s">
        <v>3362</v>
      </c>
      <c r="Q2545" t="s">
        <v>3367</v>
      </c>
      <c r="R2545" t="s">
        <v>3358</v>
      </c>
      <c r="S2545" t="s">
        <v>15211</v>
      </c>
      <c r="T2545" t="s">
        <v>3387</v>
      </c>
      <c r="U2545" t="s">
        <v>14414</v>
      </c>
      <c r="V2545" t="s">
        <v>15276</v>
      </c>
    </row>
    <row r="2546" spans="1:22" ht="17.399999999999999" hidden="1">
      <c r="A2546" t="s">
        <v>15431</v>
      </c>
      <c r="B2546" t="s">
        <v>15441</v>
      </c>
      <c r="C2546" t="s">
        <v>15448</v>
      </c>
      <c r="D2546" t="s">
        <v>2541</v>
      </c>
      <c r="E2546" t="s">
        <v>3437</v>
      </c>
      <c r="F2546" t="s">
        <v>3435</v>
      </c>
      <c r="G2546" s="3">
        <v>34.793104944137497</v>
      </c>
      <c r="H2546" s="3">
        <v>126.16915152339099</v>
      </c>
      <c r="I2546" t="s">
        <v>6311</v>
      </c>
      <c r="J2546" t="s">
        <v>9667</v>
      </c>
      <c r="K2546" t="s">
        <v>11341</v>
      </c>
      <c r="L2546" t="s">
        <v>3366</v>
      </c>
      <c r="M2546" t="s">
        <v>11906</v>
      </c>
      <c r="N2546" t="s">
        <v>3362</v>
      </c>
      <c r="O2546" t="s">
        <v>3363</v>
      </c>
      <c r="P2546" t="s">
        <v>3362</v>
      </c>
      <c r="Q2546" t="s">
        <v>3367</v>
      </c>
      <c r="R2546" t="s">
        <v>3358</v>
      </c>
      <c r="S2546" t="s">
        <v>15211</v>
      </c>
      <c r="T2546" t="s">
        <v>3388</v>
      </c>
      <c r="U2546" t="s">
        <v>14415</v>
      </c>
      <c r="V2546" t="s">
        <v>15276</v>
      </c>
    </row>
    <row r="2547" spans="1:22" ht="17.399999999999999" hidden="1">
      <c r="A2547" t="s">
        <v>15431</v>
      </c>
      <c r="B2547" t="s">
        <v>15441</v>
      </c>
      <c r="C2547" t="s">
        <v>15449</v>
      </c>
      <c r="D2547" t="s">
        <v>2542</v>
      </c>
      <c r="E2547" t="s">
        <v>3437</v>
      </c>
      <c r="F2547" t="s">
        <v>3425</v>
      </c>
      <c r="G2547" s="3">
        <v>34.793104945085901</v>
      </c>
      <c r="H2547" s="3">
        <v>126.169151507129</v>
      </c>
      <c r="I2547" t="s">
        <v>6312</v>
      </c>
      <c r="J2547" t="s">
        <v>9668</v>
      </c>
      <c r="K2547" t="s">
        <v>11012</v>
      </c>
      <c r="L2547" t="s">
        <v>3366</v>
      </c>
      <c r="M2547" t="s">
        <v>11907</v>
      </c>
      <c r="N2547" t="s">
        <v>3362</v>
      </c>
      <c r="O2547" t="s">
        <v>3362</v>
      </c>
      <c r="P2547" t="s">
        <v>3362</v>
      </c>
      <c r="Q2547" t="s">
        <v>3367</v>
      </c>
      <c r="R2547" t="s">
        <v>3357</v>
      </c>
      <c r="S2547" t="s">
        <v>15211</v>
      </c>
      <c r="T2547" t="s">
        <v>3386</v>
      </c>
      <c r="U2547" t="s">
        <v>14416</v>
      </c>
      <c r="V2547" t="s">
        <v>15277</v>
      </c>
    </row>
    <row r="2548" spans="1:22" ht="17.399999999999999" hidden="1">
      <c r="A2548" t="s">
        <v>15431</v>
      </c>
      <c r="B2548" t="s">
        <v>15441</v>
      </c>
      <c r="C2548" t="s">
        <v>15449</v>
      </c>
      <c r="D2548" t="s">
        <v>2543</v>
      </c>
      <c r="E2548" t="s">
        <v>3437</v>
      </c>
      <c r="F2548" t="s">
        <v>3436</v>
      </c>
      <c r="G2548" s="3">
        <v>34.793104930813797</v>
      </c>
      <c r="H2548" s="3">
        <v>126.169151490404</v>
      </c>
      <c r="I2548" t="s">
        <v>6313</v>
      </c>
      <c r="J2548" t="s">
        <v>9669</v>
      </c>
      <c r="K2548" t="s">
        <v>10847</v>
      </c>
      <c r="L2548" t="s">
        <v>3366</v>
      </c>
      <c r="M2548" t="s">
        <v>11911</v>
      </c>
      <c r="N2548" t="s">
        <v>3362</v>
      </c>
      <c r="O2548" t="s">
        <v>3361</v>
      </c>
      <c r="P2548" t="s">
        <v>3362</v>
      </c>
      <c r="Q2548" t="s">
        <v>3367</v>
      </c>
      <c r="R2548" t="s">
        <v>3357</v>
      </c>
      <c r="S2548" t="s">
        <v>15211</v>
      </c>
      <c r="T2548" t="s">
        <v>3385</v>
      </c>
      <c r="U2548" t="s">
        <v>14417</v>
      </c>
      <c r="V2548" t="s">
        <v>15277</v>
      </c>
    </row>
    <row r="2549" spans="1:22" ht="17.399999999999999" hidden="1">
      <c r="A2549" t="s">
        <v>15431</v>
      </c>
      <c r="B2549" t="s">
        <v>15441</v>
      </c>
      <c r="C2549" t="s">
        <v>15449</v>
      </c>
      <c r="D2549" t="s">
        <v>2544</v>
      </c>
      <c r="E2549" t="s">
        <v>3437</v>
      </c>
      <c r="F2549" t="s">
        <v>3428</v>
      </c>
      <c r="G2549" s="3">
        <v>34.793104930755597</v>
      </c>
      <c r="H2549" s="3">
        <v>126.16915151309701</v>
      </c>
      <c r="I2549" t="s">
        <v>6314</v>
      </c>
      <c r="J2549" t="s">
        <v>9670</v>
      </c>
      <c r="K2549" t="s">
        <v>11343</v>
      </c>
      <c r="L2549" t="s">
        <v>3366</v>
      </c>
      <c r="M2549" t="s">
        <v>11910</v>
      </c>
      <c r="N2549" t="s">
        <v>3362</v>
      </c>
      <c r="O2549" t="s">
        <v>3361</v>
      </c>
      <c r="P2549" t="s">
        <v>3362</v>
      </c>
      <c r="Q2549" t="s">
        <v>3367</v>
      </c>
      <c r="R2549" t="s">
        <v>3357</v>
      </c>
      <c r="S2549" t="s">
        <v>15211</v>
      </c>
      <c r="T2549" t="s">
        <v>3385</v>
      </c>
      <c r="U2549" t="s">
        <v>14418</v>
      </c>
      <c r="V2549" t="s">
        <v>15277</v>
      </c>
    </row>
    <row r="2550" spans="1:22" ht="17.399999999999999" hidden="1">
      <c r="A2550" t="s">
        <v>15431</v>
      </c>
      <c r="B2550" t="s">
        <v>15442</v>
      </c>
      <c r="C2550" t="s">
        <v>15450</v>
      </c>
      <c r="D2550" t="s">
        <v>2545</v>
      </c>
      <c r="E2550" t="s">
        <v>3438</v>
      </c>
      <c r="F2550" t="s">
        <v>3429</v>
      </c>
      <c r="G2550" s="3">
        <v>34.793104999329302</v>
      </c>
      <c r="H2550" s="3">
        <v>126.16915145511</v>
      </c>
      <c r="I2550" t="s">
        <v>6315</v>
      </c>
      <c r="J2550" t="s">
        <v>9671</v>
      </c>
      <c r="K2550" t="s">
        <v>11235</v>
      </c>
      <c r="L2550" t="s">
        <v>3366</v>
      </c>
      <c r="M2550" t="s">
        <v>11885</v>
      </c>
      <c r="N2550" t="s">
        <v>3361</v>
      </c>
      <c r="O2550" t="s">
        <v>3363</v>
      </c>
      <c r="P2550" t="s">
        <v>15211</v>
      </c>
      <c r="Q2550" t="s">
        <v>15211</v>
      </c>
      <c r="R2550" t="s">
        <v>15211</v>
      </c>
      <c r="S2550" t="s">
        <v>15211</v>
      </c>
      <c r="T2550" t="s">
        <v>3368</v>
      </c>
      <c r="U2550" t="s">
        <v>14419</v>
      </c>
      <c r="V2550" t="s">
        <v>15278</v>
      </c>
    </row>
    <row r="2551" spans="1:22" ht="17.399999999999999" hidden="1">
      <c r="A2551" t="s">
        <v>15431</v>
      </c>
      <c r="B2551" t="s">
        <v>15442</v>
      </c>
      <c r="C2551" t="s">
        <v>15450</v>
      </c>
      <c r="D2551" t="s">
        <v>2546</v>
      </c>
      <c r="E2551" t="s">
        <v>3438</v>
      </c>
      <c r="F2551" t="s">
        <v>3429</v>
      </c>
      <c r="G2551" s="3">
        <v>34.793104994410399</v>
      </c>
      <c r="H2551" s="3">
        <v>126.169151435611</v>
      </c>
      <c r="I2551" t="s">
        <v>6316</v>
      </c>
      <c r="J2551" t="s">
        <v>9672</v>
      </c>
      <c r="K2551" t="s">
        <v>10540</v>
      </c>
      <c r="L2551" t="s">
        <v>3366</v>
      </c>
      <c r="M2551" t="s">
        <v>11885</v>
      </c>
      <c r="N2551" t="s">
        <v>3361</v>
      </c>
      <c r="O2551" t="s">
        <v>3363</v>
      </c>
      <c r="P2551" t="s">
        <v>15211</v>
      </c>
      <c r="Q2551" t="s">
        <v>15211</v>
      </c>
      <c r="R2551" t="s">
        <v>15211</v>
      </c>
      <c r="S2551" t="s">
        <v>15211</v>
      </c>
      <c r="T2551" t="s">
        <v>3368</v>
      </c>
      <c r="U2551" t="s">
        <v>14420</v>
      </c>
      <c r="V2551" t="s">
        <v>15278</v>
      </c>
    </row>
    <row r="2552" spans="1:22" ht="17.399999999999999" hidden="1">
      <c r="A2552" t="s">
        <v>15431</v>
      </c>
      <c r="B2552" t="s">
        <v>15442</v>
      </c>
      <c r="C2552" t="s">
        <v>15450</v>
      </c>
      <c r="D2552" t="s">
        <v>2547</v>
      </c>
      <c r="E2552" t="s">
        <v>3427</v>
      </c>
      <c r="F2552" t="s">
        <v>3430</v>
      </c>
      <c r="G2552" s="3">
        <v>34.793104998902798</v>
      </c>
      <c r="H2552" s="3">
        <v>126.16915143231201</v>
      </c>
      <c r="I2552" t="s">
        <v>6317</v>
      </c>
      <c r="J2552" t="s">
        <v>9673</v>
      </c>
      <c r="K2552" t="s">
        <v>11724</v>
      </c>
      <c r="L2552" t="s">
        <v>3366</v>
      </c>
      <c r="M2552" t="s">
        <v>11885</v>
      </c>
      <c r="N2552" t="s">
        <v>3361</v>
      </c>
      <c r="O2552" t="s">
        <v>3363</v>
      </c>
      <c r="P2552" t="s">
        <v>15211</v>
      </c>
      <c r="Q2552" t="s">
        <v>15211</v>
      </c>
      <c r="R2552" t="s">
        <v>15211</v>
      </c>
      <c r="S2552" t="s">
        <v>15211</v>
      </c>
      <c r="T2552" t="s">
        <v>3368</v>
      </c>
      <c r="U2552" t="s">
        <v>14421</v>
      </c>
      <c r="V2552" t="s">
        <v>15278</v>
      </c>
    </row>
    <row r="2553" spans="1:22" ht="17.399999999999999" hidden="1">
      <c r="A2553" t="s">
        <v>15431</v>
      </c>
      <c r="B2553" t="s">
        <v>15442</v>
      </c>
      <c r="C2553" t="s">
        <v>15445</v>
      </c>
      <c r="D2553" t="s">
        <v>2548</v>
      </c>
      <c r="E2553" t="s">
        <v>3428</v>
      </c>
      <c r="F2553" t="s">
        <v>3441</v>
      </c>
      <c r="G2553" s="3">
        <v>34.793105043514402</v>
      </c>
      <c r="H2553" s="3">
        <v>126.169151511387</v>
      </c>
      <c r="I2553" t="s">
        <v>6318</v>
      </c>
      <c r="J2553" t="s">
        <v>9674</v>
      </c>
      <c r="K2553" t="s">
        <v>11725</v>
      </c>
      <c r="L2553" t="s">
        <v>3366</v>
      </c>
      <c r="M2553" t="s">
        <v>11885</v>
      </c>
      <c r="N2553" t="s">
        <v>3361</v>
      </c>
      <c r="O2553" t="s">
        <v>3362</v>
      </c>
      <c r="P2553" t="s">
        <v>15211</v>
      </c>
      <c r="Q2553" t="s">
        <v>15211</v>
      </c>
      <c r="R2553" t="s">
        <v>15211</v>
      </c>
      <c r="S2553" t="s">
        <v>15211</v>
      </c>
      <c r="T2553" t="s">
        <v>3367</v>
      </c>
      <c r="U2553" t="s">
        <v>14422</v>
      </c>
      <c r="V2553" t="s">
        <v>15279</v>
      </c>
    </row>
    <row r="2554" spans="1:22" ht="17.399999999999999" hidden="1">
      <c r="A2554" t="s">
        <v>15431</v>
      </c>
      <c r="B2554" t="s">
        <v>15442</v>
      </c>
      <c r="C2554" t="s">
        <v>15445</v>
      </c>
      <c r="D2554" t="s">
        <v>2549</v>
      </c>
      <c r="E2554" t="s">
        <v>3441</v>
      </c>
      <c r="F2554" t="s">
        <v>3432</v>
      </c>
      <c r="G2554" s="3">
        <v>34.793105033713303</v>
      </c>
      <c r="H2554" s="3">
        <v>126.16915150025</v>
      </c>
      <c r="I2554" t="s">
        <v>6319</v>
      </c>
      <c r="J2554" t="s">
        <v>9675</v>
      </c>
      <c r="K2554" t="s">
        <v>10625</v>
      </c>
      <c r="L2554" t="s">
        <v>3366</v>
      </c>
      <c r="M2554" t="s">
        <v>11886</v>
      </c>
      <c r="N2554" t="s">
        <v>3361</v>
      </c>
      <c r="O2554" t="s">
        <v>3362</v>
      </c>
      <c r="P2554" t="s">
        <v>15211</v>
      </c>
      <c r="Q2554" t="s">
        <v>15211</v>
      </c>
      <c r="R2554" t="s">
        <v>15211</v>
      </c>
      <c r="S2554" t="s">
        <v>15211</v>
      </c>
      <c r="T2554" t="s">
        <v>3367</v>
      </c>
      <c r="U2554" t="s">
        <v>14423</v>
      </c>
      <c r="V2554" t="s">
        <v>15279</v>
      </c>
    </row>
    <row r="2555" spans="1:22" ht="17.399999999999999" hidden="1">
      <c r="A2555" t="s">
        <v>15431</v>
      </c>
      <c r="B2555" t="s">
        <v>15442</v>
      </c>
      <c r="C2555" t="s">
        <v>15445</v>
      </c>
      <c r="D2555" t="s">
        <v>2550</v>
      </c>
      <c r="E2555" t="s">
        <v>3425</v>
      </c>
      <c r="F2555" t="s">
        <v>3453</v>
      </c>
      <c r="G2555" s="3">
        <v>34.793105016305503</v>
      </c>
      <c r="H2555" s="3">
        <v>126.169151445458</v>
      </c>
      <c r="I2555" t="s">
        <v>6320</v>
      </c>
      <c r="J2555" t="s">
        <v>9676</v>
      </c>
      <c r="K2555" t="s">
        <v>11289</v>
      </c>
      <c r="L2555" t="s">
        <v>3366</v>
      </c>
      <c r="M2555" t="s">
        <v>11886</v>
      </c>
      <c r="N2555" t="s">
        <v>3362</v>
      </c>
      <c r="O2555" t="s">
        <v>3362</v>
      </c>
      <c r="P2555" t="s">
        <v>15211</v>
      </c>
      <c r="Q2555" t="s">
        <v>15211</v>
      </c>
      <c r="R2555" t="s">
        <v>15211</v>
      </c>
      <c r="S2555" t="s">
        <v>15211</v>
      </c>
      <c r="T2555" t="s">
        <v>3368</v>
      </c>
      <c r="U2555" t="s">
        <v>14424</v>
      </c>
      <c r="V2555" t="s">
        <v>15279</v>
      </c>
    </row>
    <row r="2556" spans="1:22" ht="17.399999999999999" hidden="1">
      <c r="A2556" t="s">
        <v>15431</v>
      </c>
      <c r="B2556" t="s">
        <v>15442</v>
      </c>
      <c r="C2556" t="s">
        <v>15451</v>
      </c>
      <c r="D2556" t="s">
        <v>2551</v>
      </c>
      <c r="E2556" t="s">
        <v>3440</v>
      </c>
      <c r="F2556" t="s">
        <v>3425</v>
      </c>
      <c r="G2556" s="3">
        <v>34.793104979776203</v>
      </c>
      <c r="H2556" s="3">
        <v>126.16915151841</v>
      </c>
      <c r="I2556" t="s">
        <v>6321</v>
      </c>
      <c r="J2556" t="s">
        <v>9677</v>
      </c>
      <c r="K2556" t="s">
        <v>11726</v>
      </c>
      <c r="L2556" t="s">
        <v>3366</v>
      </c>
      <c r="M2556" t="s">
        <v>11913</v>
      </c>
      <c r="N2556" t="s">
        <v>3362</v>
      </c>
      <c r="O2556" t="s">
        <v>3362</v>
      </c>
      <c r="P2556" t="s">
        <v>3363</v>
      </c>
      <c r="Q2556" t="s">
        <v>3368</v>
      </c>
      <c r="R2556" t="s">
        <v>15211</v>
      </c>
      <c r="S2556" t="s">
        <v>15211</v>
      </c>
      <c r="T2556" t="s">
        <v>3387</v>
      </c>
      <c r="U2556" t="s">
        <v>14425</v>
      </c>
      <c r="V2556" t="s">
        <v>15280</v>
      </c>
    </row>
    <row r="2557" spans="1:22" ht="17.399999999999999" hidden="1">
      <c r="A2557" t="s">
        <v>15431</v>
      </c>
      <c r="B2557" t="s">
        <v>15442</v>
      </c>
      <c r="C2557" t="s">
        <v>15451</v>
      </c>
      <c r="D2557" t="s">
        <v>2552</v>
      </c>
      <c r="E2557" t="s">
        <v>3440</v>
      </c>
      <c r="F2557" t="s">
        <v>3425</v>
      </c>
      <c r="G2557" s="3">
        <v>34.793104968957003</v>
      </c>
      <c r="H2557" s="3">
        <v>126.16915150099101</v>
      </c>
      <c r="I2557" t="s">
        <v>6322</v>
      </c>
      <c r="J2557" t="s">
        <v>9678</v>
      </c>
      <c r="K2557" t="s">
        <v>11726</v>
      </c>
      <c r="L2557" t="s">
        <v>3366</v>
      </c>
      <c r="M2557" t="s">
        <v>11913</v>
      </c>
      <c r="N2557" t="s">
        <v>3362</v>
      </c>
      <c r="O2557" t="s">
        <v>3362</v>
      </c>
      <c r="P2557" t="s">
        <v>3363</v>
      </c>
      <c r="Q2557" t="s">
        <v>3368</v>
      </c>
      <c r="R2557" t="s">
        <v>15211</v>
      </c>
      <c r="S2557" t="s">
        <v>15211</v>
      </c>
      <c r="T2557" t="s">
        <v>3387</v>
      </c>
      <c r="U2557" t="s">
        <v>14426</v>
      </c>
      <c r="V2557" t="s">
        <v>15280</v>
      </c>
    </row>
    <row r="2558" spans="1:22" ht="17.399999999999999" hidden="1">
      <c r="A2558" t="s">
        <v>15431</v>
      </c>
      <c r="B2558" t="s">
        <v>15442</v>
      </c>
      <c r="C2558" t="s">
        <v>15451</v>
      </c>
      <c r="D2558" t="s">
        <v>2553</v>
      </c>
      <c r="E2558" t="s">
        <v>3440</v>
      </c>
      <c r="F2558" t="s">
        <v>3431</v>
      </c>
      <c r="G2558" s="3">
        <v>34.793104964906099</v>
      </c>
      <c r="H2558" s="3">
        <v>126.169151504127</v>
      </c>
      <c r="I2558" t="s">
        <v>6323</v>
      </c>
      <c r="J2558" t="s">
        <v>9679</v>
      </c>
      <c r="K2558" t="s">
        <v>11726</v>
      </c>
      <c r="L2558" t="s">
        <v>3366</v>
      </c>
      <c r="M2558" t="s">
        <v>11913</v>
      </c>
      <c r="N2558" t="s">
        <v>3362</v>
      </c>
      <c r="O2558" t="s">
        <v>3362</v>
      </c>
      <c r="P2558" t="s">
        <v>3363</v>
      </c>
      <c r="Q2558" t="s">
        <v>3368</v>
      </c>
      <c r="R2558" t="s">
        <v>15211</v>
      </c>
      <c r="S2558" t="s">
        <v>15211</v>
      </c>
      <c r="T2558" t="s">
        <v>3387</v>
      </c>
      <c r="U2558" t="s">
        <v>14427</v>
      </c>
      <c r="V2558" t="s">
        <v>15280</v>
      </c>
    </row>
    <row r="2559" spans="1:22" ht="17.399999999999999" hidden="1">
      <c r="A2559" t="s">
        <v>15421</v>
      </c>
      <c r="B2559" t="s">
        <v>15441</v>
      </c>
      <c r="C2559" t="s">
        <v>15445</v>
      </c>
      <c r="D2559" t="s">
        <v>2554</v>
      </c>
      <c r="E2559" t="s">
        <v>3441</v>
      </c>
      <c r="F2559" t="s">
        <v>3462</v>
      </c>
      <c r="G2559" s="3">
        <v>35.060651473811099</v>
      </c>
      <c r="H2559" s="3">
        <v>126.271091275404</v>
      </c>
      <c r="I2559" t="s">
        <v>6324</v>
      </c>
      <c r="J2559" t="s">
        <v>9680</v>
      </c>
      <c r="K2559" t="s">
        <v>10948</v>
      </c>
      <c r="L2559" t="s">
        <v>3366</v>
      </c>
      <c r="M2559" t="s">
        <v>11894</v>
      </c>
      <c r="N2559" t="s">
        <v>3365</v>
      </c>
      <c r="O2559" t="s">
        <v>3361</v>
      </c>
      <c r="P2559" t="s">
        <v>15211</v>
      </c>
      <c r="Q2559" t="s">
        <v>15211</v>
      </c>
      <c r="R2559" t="s">
        <v>15211</v>
      </c>
      <c r="S2559" t="s">
        <v>15211</v>
      </c>
      <c r="T2559" t="s">
        <v>3370</v>
      </c>
      <c r="U2559" t="s">
        <v>14428</v>
      </c>
      <c r="V2559" t="s">
        <v>15274</v>
      </c>
    </row>
    <row r="2560" spans="1:22" ht="17.399999999999999" hidden="1">
      <c r="A2560" t="s">
        <v>15421</v>
      </c>
      <c r="B2560" t="s">
        <v>15441</v>
      </c>
      <c r="C2560" t="s">
        <v>15445</v>
      </c>
      <c r="D2560" t="s">
        <v>2555</v>
      </c>
      <c r="E2560" t="s">
        <v>3442</v>
      </c>
      <c r="F2560" t="s">
        <v>3461</v>
      </c>
      <c r="G2560" s="3">
        <v>35.060651487822902</v>
      </c>
      <c r="H2560" s="3">
        <v>126.27109128790001</v>
      </c>
      <c r="I2560" t="s">
        <v>6325</v>
      </c>
      <c r="J2560" t="s">
        <v>9681</v>
      </c>
      <c r="K2560" t="s">
        <v>10948</v>
      </c>
      <c r="L2560" t="s">
        <v>3366</v>
      </c>
      <c r="M2560" t="s">
        <v>11894</v>
      </c>
      <c r="N2560" t="s">
        <v>3365</v>
      </c>
      <c r="O2560" t="s">
        <v>3361</v>
      </c>
      <c r="P2560" t="s">
        <v>15211</v>
      </c>
      <c r="Q2560" t="s">
        <v>15211</v>
      </c>
      <c r="R2560" t="s">
        <v>15211</v>
      </c>
      <c r="S2560" t="s">
        <v>15211</v>
      </c>
      <c r="T2560" t="s">
        <v>3370</v>
      </c>
      <c r="U2560" t="s">
        <v>14429</v>
      </c>
      <c r="V2560" t="s">
        <v>15274</v>
      </c>
    </row>
    <row r="2561" spans="1:22" ht="17.399999999999999" hidden="1">
      <c r="A2561" t="s">
        <v>15421</v>
      </c>
      <c r="B2561" t="s">
        <v>15441</v>
      </c>
      <c r="C2561" t="s">
        <v>15445</v>
      </c>
      <c r="D2561" t="s">
        <v>2556</v>
      </c>
      <c r="E2561" t="s">
        <v>3442</v>
      </c>
      <c r="F2561" t="s">
        <v>3461</v>
      </c>
      <c r="G2561" s="3">
        <v>35.0606515151472</v>
      </c>
      <c r="H2561" s="3">
        <v>126.27109127626601</v>
      </c>
      <c r="I2561" t="s">
        <v>6326</v>
      </c>
      <c r="J2561" t="s">
        <v>9682</v>
      </c>
      <c r="K2561" t="s">
        <v>10948</v>
      </c>
      <c r="L2561" t="s">
        <v>3366</v>
      </c>
      <c r="M2561" t="s">
        <v>11894</v>
      </c>
      <c r="N2561" t="s">
        <v>3365</v>
      </c>
      <c r="O2561" t="s">
        <v>3361</v>
      </c>
      <c r="P2561" t="s">
        <v>15211</v>
      </c>
      <c r="Q2561" t="s">
        <v>15211</v>
      </c>
      <c r="R2561" t="s">
        <v>15211</v>
      </c>
      <c r="S2561" t="s">
        <v>15211</v>
      </c>
      <c r="T2561" t="s">
        <v>3370</v>
      </c>
      <c r="U2561" t="s">
        <v>14430</v>
      </c>
      <c r="V2561" t="s">
        <v>15274</v>
      </c>
    </row>
    <row r="2562" spans="1:22" ht="17.399999999999999" hidden="1">
      <c r="A2562" t="s">
        <v>15421</v>
      </c>
      <c r="B2562" t="s">
        <v>15441</v>
      </c>
      <c r="C2562" t="s">
        <v>15446</v>
      </c>
      <c r="D2562" t="s">
        <v>2557</v>
      </c>
      <c r="E2562" t="s">
        <v>3441</v>
      </c>
      <c r="F2562" t="s">
        <v>3461</v>
      </c>
      <c r="G2562" s="3">
        <v>35.060651736807799</v>
      </c>
      <c r="H2562" s="3">
        <v>126.271091330613</v>
      </c>
      <c r="I2562" t="s">
        <v>6327</v>
      </c>
      <c r="J2562" t="s">
        <v>9683</v>
      </c>
      <c r="K2562" t="s">
        <v>10620</v>
      </c>
      <c r="L2562" t="s">
        <v>3366</v>
      </c>
      <c r="M2562" t="s">
        <v>11894</v>
      </c>
      <c r="N2562" t="s">
        <v>3365</v>
      </c>
      <c r="O2562" t="s">
        <v>3361</v>
      </c>
      <c r="P2562" t="s">
        <v>15211</v>
      </c>
      <c r="Q2562" t="s">
        <v>15211</v>
      </c>
      <c r="R2562" t="s">
        <v>15211</v>
      </c>
      <c r="S2562" t="s">
        <v>15211</v>
      </c>
      <c r="T2562" t="s">
        <v>3370</v>
      </c>
      <c r="U2562" t="s">
        <v>14431</v>
      </c>
      <c r="V2562" t="s">
        <v>15275</v>
      </c>
    </row>
    <row r="2563" spans="1:22" ht="17.399999999999999" hidden="1">
      <c r="A2563" t="s">
        <v>15421</v>
      </c>
      <c r="B2563" t="s">
        <v>15441</v>
      </c>
      <c r="C2563" t="s">
        <v>15446</v>
      </c>
      <c r="D2563" t="s">
        <v>2558</v>
      </c>
      <c r="E2563" t="s">
        <v>3441</v>
      </c>
      <c r="F2563" t="s">
        <v>3461</v>
      </c>
      <c r="G2563" s="3">
        <v>35.060651744534198</v>
      </c>
      <c r="H2563" s="3">
        <v>126.271091330115</v>
      </c>
      <c r="I2563" t="s">
        <v>6328</v>
      </c>
      <c r="J2563" t="s">
        <v>9684</v>
      </c>
      <c r="K2563" t="s">
        <v>10620</v>
      </c>
      <c r="L2563" t="s">
        <v>3366</v>
      </c>
      <c r="M2563" t="s">
        <v>11894</v>
      </c>
      <c r="N2563" t="s">
        <v>3365</v>
      </c>
      <c r="O2563" t="s">
        <v>3361</v>
      </c>
      <c r="P2563" t="s">
        <v>15211</v>
      </c>
      <c r="Q2563" t="s">
        <v>15211</v>
      </c>
      <c r="R2563" t="s">
        <v>15211</v>
      </c>
      <c r="S2563" t="s">
        <v>15211</v>
      </c>
      <c r="T2563" t="s">
        <v>3370</v>
      </c>
      <c r="U2563" t="s">
        <v>14432</v>
      </c>
      <c r="V2563" t="s">
        <v>15275</v>
      </c>
    </row>
    <row r="2564" spans="1:22" ht="17.399999999999999" hidden="1">
      <c r="A2564" t="s">
        <v>15421</v>
      </c>
      <c r="B2564" t="s">
        <v>15441</v>
      </c>
      <c r="C2564" t="s">
        <v>15446</v>
      </c>
      <c r="D2564" t="s">
        <v>2559</v>
      </c>
      <c r="E2564" t="s">
        <v>3441</v>
      </c>
      <c r="F2564" t="s">
        <v>3461</v>
      </c>
      <c r="G2564" s="3">
        <v>35.060651737910597</v>
      </c>
      <c r="H2564" s="3">
        <v>126.271091331844</v>
      </c>
      <c r="I2564" t="s">
        <v>6329</v>
      </c>
      <c r="J2564" t="s">
        <v>9685</v>
      </c>
      <c r="K2564" t="s">
        <v>10651</v>
      </c>
      <c r="L2564" t="s">
        <v>3366</v>
      </c>
      <c r="M2564" t="s">
        <v>11894</v>
      </c>
      <c r="N2564" t="s">
        <v>3365</v>
      </c>
      <c r="O2564" t="s">
        <v>3361</v>
      </c>
      <c r="P2564" t="s">
        <v>15211</v>
      </c>
      <c r="Q2564" t="s">
        <v>15211</v>
      </c>
      <c r="R2564" t="s">
        <v>15211</v>
      </c>
      <c r="S2564" t="s">
        <v>15211</v>
      </c>
      <c r="T2564" t="s">
        <v>3370</v>
      </c>
      <c r="U2564" t="s">
        <v>14433</v>
      </c>
      <c r="V2564" t="s">
        <v>15275</v>
      </c>
    </row>
    <row r="2565" spans="1:22" ht="17.399999999999999" hidden="1">
      <c r="A2565" t="s">
        <v>15421</v>
      </c>
      <c r="B2565" t="s">
        <v>15441</v>
      </c>
      <c r="C2565" t="s">
        <v>15448</v>
      </c>
      <c r="D2565" t="s">
        <v>2560</v>
      </c>
      <c r="E2565" t="s">
        <v>3430</v>
      </c>
      <c r="F2565" t="s">
        <v>3458</v>
      </c>
      <c r="G2565" s="3">
        <v>35.0606517151598</v>
      </c>
      <c r="H2565" s="3">
        <v>126.27109132297301</v>
      </c>
      <c r="I2565" t="s">
        <v>6330</v>
      </c>
      <c r="J2565" t="s">
        <v>9686</v>
      </c>
      <c r="K2565" t="s">
        <v>10844</v>
      </c>
      <c r="L2565" t="s">
        <v>3367</v>
      </c>
      <c r="M2565" t="s">
        <v>11904</v>
      </c>
      <c r="N2565" t="s">
        <v>3365</v>
      </c>
      <c r="O2565" t="s">
        <v>3361</v>
      </c>
      <c r="P2565" t="s">
        <v>3363</v>
      </c>
      <c r="Q2565" t="s">
        <v>3366</v>
      </c>
      <c r="R2565" t="s">
        <v>3358</v>
      </c>
      <c r="S2565" t="s">
        <v>15211</v>
      </c>
      <c r="T2565" t="s">
        <v>3389</v>
      </c>
      <c r="U2565" t="s">
        <v>14434</v>
      </c>
      <c r="V2565" t="s">
        <v>15276</v>
      </c>
    </row>
    <row r="2566" spans="1:22" ht="17.399999999999999" hidden="1">
      <c r="A2566" t="s">
        <v>15421</v>
      </c>
      <c r="B2566" t="s">
        <v>15441</v>
      </c>
      <c r="C2566" t="s">
        <v>15448</v>
      </c>
      <c r="D2566" t="s">
        <v>2561</v>
      </c>
      <c r="E2566" t="s">
        <v>3429</v>
      </c>
      <c r="F2566" t="s">
        <v>3563</v>
      </c>
      <c r="G2566" s="3">
        <v>35.060651711726898</v>
      </c>
      <c r="H2566" s="3">
        <v>126.271091356874</v>
      </c>
      <c r="I2566" t="s">
        <v>6331</v>
      </c>
      <c r="J2566" t="s">
        <v>9687</v>
      </c>
      <c r="K2566" t="s">
        <v>10844</v>
      </c>
      <c r="L2566" t="s">
        <v>3366</v>
      </c>
      <c r="M2566" t="s">
        <v>11904</v>
      </c>
      <c r="N2566" t="s">
        <v>3365</v>
      </c>
      <c r="O2566" t="s">
        <v>3361</v>
      </c>
      <c r="P2566" t="s">
        <v>3363</v>
      </c>
      <c r="Q2566" t="s">
        <v>3366</v>
      </c>
      <c r="R2566" t="s">
        <v>3358</v>
      </c>
      <c r="S2566" t="s">
        <v>15211</v>
      </c>
      <c r="T2566" t="s">
        <v>3389</v>
      </c>
      <c r="U2566" t="s">
        <v>14435</v>
      </c>
      <c r="V2566" t="s">
        <v>15276</v>
      </c>
    </row>
    <row r="2567" spans="1:22" ht="17.399999999999999" hidden="1">
      <c r="A2567" t="s">
        <v>15421</v>
      </c>
      <c r="B2567" t="s">
        <v>15441</v>
      </c>
      <c r="C2567" t="s">
        <v>15448</v>
      </c>
      <c r="D2567" t="s">
        <v>2562</v>
      </c>
      <c r="E2567" t="s">
        <v>3429</v>
      </c>
      <c r="F2567" t="s">
        <v>3563</v>
      </c>
      <c r="G2567" s="3">
        <v>35.060651686163098</v>
      </c>
      <c r="H2567" s="3">
        <v>126.27109132807399</v>
      </c>
      <c r="I2567" t="s">
        <v>6332</v>
      </c>
      <c r="J2567" t="s">
        <v>9688</v>
      </c>
      <c r="K2567" t="s">
        <v>10844</v>
      </c>
      <c r="L2567" t="s">
        <v>3366</v>
      </c>
      <c r="M2567" t="s">
        <v>11904</v>
      </c>
      <c r="N2567" t="s">
        <v>3365</v>
      </c>
      <c r="O2567" t="s">
        <v>3361</v>
      </c>
      <c r="P2567" t="s">
        <v>3363</v>
      </c>
      <c r="Q2567" t="s">
        <v>3366</v>
      </c>
      <c r="R2567" t="s">
        <v>3358</v>
      </c>
      <c r="S2567" t="s">
        <v>15211</v>
      </c>
      <c r="T2567" t="s">
        <v>3389</v>
      </c>
      <c r="U2567" t="s">
        <v>14436</v>
      </c>
      <c r="V2567" t="s">
        <v>15276</v>
      </c>
    </row>
    <row r="2568" spans="1:22" ht="17.399999999999999" hidden="1">
      <c r="A2568" t="s">
        <v>15421</v>
      </c>
      <c r="B2568" t="s">
        <v>15441</v>
      </c>
      <c r="C2568" t="s">
        <v>15449</v>
      </c>
      <c r="D2568" t="s">
        <v>2563</v>
      </c>
      <c r="E2568" t="s">
        <v>3435</v>
      </c>
      <c r="F2568" t="s">
        <v>3465</v>
      </c>
      <c r="G2568" s="3">
        <v>35.0606516185278</v>
      </c>
      <c r="H2568" s="3">
        <v>126.27109113307</v>
      </c>
      <c r="I2568" t="s">
        <v>6333</v>
      </c>
      <c r="J2568" t="s">
        <v>9689</v>
      </c>
      <c r="K2568" t="s">
        <v>11727</v>
      </c>
      <c r="L2568" t="s">
        <v>3366</v>
      </c>
      <c r="M2568" t="s">
        <v>11910</v>
      </c>
      <c r="N2568" t="s">
        <v>3363</v>
      </c>
      <c r="O2568" t="s">
        <v>3360</v>
      </c>
      <c r="P2568" t="s">
        <v>3363</v>
      </c>
      <c r="Q2568" t="s">
        <v>3365</v>
      </c>
      <c r="R2568" t="s">
        <v>3357</v>
      </c>
      <c r="S2568" t="s">
        <v>15211</v>
      </c>
      <c r="T2568" t="s">
        <v>3384</v>
      </c>
      <c r="U2568" t="s">
        <v>14437</v>
      </c>
      <c r="V2568" t="s">
        <v>15277</v>
      </c>
    </row>
    <row r="2569" spans="1:22" ht="17.399999999999999" hidden="1">
      <c r="A2569" t="s">
        <v>15421</v>
      </c>
      <c r="B2569" t="s">
        <v>15441</v>
      </c>
      <c r="C2569" t="s">
        <v>15449</v>
      </c>
      <c r="D2569" t="s">
        <v>2564</v>
      </c>
      <c r="E2569" t="s">
        <v>3435</v>
      </c>
      <c r="F2569" t="s">
        <v>3465</v>
      </c>
      <c r="G2569" s="3">
        <v>35.060651598689802</v>
      </c>
      <c r="H2569" s="3">
        <v>126.271091109035</v>
      </c>
      <c r="I2569" t="s">
        <v>6334</v>
      </c>
      <c r="J2569" t="s">
        <v>9690</v>
      </c>
      <c r="K2569" t="s">
        <v>11259</v>
      </c>
      <c r="L2569" t="s">
        <v>3366</v>
      </c>
      <c r="M2569" t="s">
        <v>11914</v>
      </c>
      <c r="N2569" t="s">
        <v>3363</v>
      </c>
      <c r="O2569" t="s">
        <v>3359</v>
      </c>
      <c r="P2569" t="s">
        <v>3363</v>
      </c>
      <c r="Q2569" t="s">
        <v>3365</v>
      </c>
      <c r="R2569" t="s">
        <v>3357</v>
      </c>
      <c r="S2569" t="s">
        <v>15211</v>
      </c>
      <c r="T2569" t="s">
        <v>3383</v>
      </c>
      <c r="U2569" t="s">
        <v>14438</v>
      </c>
      <c r="V2569" t="s">
        <v>15277</v>
      </c>
    </row>
    <row r="2570" spans="1:22" ht="17.399999999999999" hidden="1">
      <c r="A2570" t="s">
        <v>15421</v>
      </c>
      <c r="B2570" t="s">
        <v>15441</v>
      </c>
      <c r="C2570" t="s">
        <v>15449</v>
      </c>
      <c r="D2570" t="s">
        <v>2565</v>
      </c>
      <c r="E2570" t="s">
        <v>3435</v>
      </c>
      <c r="F2570" t="s">
        <v>3465</v>
      </c>
      <c r="G2570" s="3">
        <v>35.060651623818103</v>
      </c>
      <c r="H2570" s="3">
        <v>126.271091102732</v>
      </c>
      <c r="I2570" t="s">
        <v>6335</v>
      </c>
      <c r="J2570" t="s">
        <v>9691</v>
      </c>
      <c r="K2570" t="s">
        <v>10925</v>
      </c>
      <c r="L2570" t="s">
        <v>3366</v>
      </c>
      <c r="M2570" t="s">
        <v>11914</v>
      </c>
      <c r="N2570" t="s">
        <v>3363</v>
      </c>
      <c r="O2570" t="s">
        <v>3359</v>
      </c>
      <c r="P2570" t="s">
        <v>3363</v>
      </c>
      <c r="Q2570" t="s">
        <v>3365</v>
      </c>
      <c r="R2570" t="s">
        <v>3357</v>
      </c>
      <c r="S2570" t="s">
        <v>15211</v>
      </c>
      <c r="T2570" t="s">
        <v>3383</v>
      </c>
      <c r="U2570" t="s">
        <v>14439</v>
      </c>
      <c r="V2570" t="s">
        <v>15277</v>
      </c>
    </row>
    <row r="2571" spans="1:22" ht="17.399999999999999" hidden="1">
      <c r="A2571" t="s">
        <v>15421</v>
      </c>
      <c r="B2571" t="s">
        <v>15442</v>
      </c>
      <c r="C2571" t="s">
        <v>15450</v>
      </c>
      <c r="D2571" t="s">
        <v>2566</v>
      </c>
      <c r="E2571" t="s">
        <v>3437</v>
      </c>
      <c r="F2571" t="s">
        <v>3425</v>
      </c>
      <c r="G2571" s="3">
        <v>35.060651926233298</v>
      </c>
      <c r="H2571" s="3">
        <v>126.271090875167</v>
      </c>
      <c r="I2571" t="s">
        <v>6336</v>
      </c>
      <c r="J2571" t="s">
        <v>9692</v>
      </c>
      <c r="K2571" t="s">
        <v>11728</v>
      </c>
      <c r="L2571" t="s">
        <v>3366</v>
      </c>
      <c r="M2571" t="s">
        <v>11894</v>
      </c>
      <c r="N2571" t="s">
        <v>3365</v>
      </c>
      <c r="O2571" t="s">
        <v>3361</v>
      </c>
      <c r="P2571" t="s">
        <v>15211</v>
      </c>
      <c r="Q2571" t="s">
        <v>15211</v>
      </c>
      <c r="R2571" t="s">
        <v>15211</v>
      </c>
      <c r="S2571" t="s">
        <v>15211</v>
      </c>
      <c r="T2571" t="s">
        <v>3370</v>
      </c>
      <c r="U2571" t="s">
        <v>14440</v>
      </c>
      <c r="V2571" t="s">
        <v>15278</v>
      </c>
    </row>
    <row r="2572" spans="1:22" ht="17.399999999999999" hidden="1">
      <c r="A2572" t="s">
        <v>15421</v>
      </c>
      <c r="B2572" t="s">
        <v>15442</v>
      </c>
      <c r="C2572" t="s">
        <v>15450</v>
      </c>
      <c r="D2572" t="s">
        <v>2567</v>
      </c>
      <c r="E2572" t="s">
        <v>3437</v>
      </c>
      <c r="F2572" t="s">
        <v>3425</v>
      </c>
      <c r="G2572" s="3">
        <v>35.0606519395104</v>
      </c>
      <c r="H2572" s="3">
        <v>126.27109086228501</v>
      </c>
      <c r="I2572" t="s">
        <v>6337</v>
      </c>
      <c r="J2572" t="s">
        <v>9693</v>
      </c>
      <c r="K2572" t="s">
        <v>11728</v>
      </c>
      <c r="L2572" t="s">
        <v>3366</v>
      </c>
      <c r="M2572" t="s">
        <v>11894</v>
      </c>
      <c r="N2572" t="s">
        <v>3365</v>
      </c>
      <c r="O2572" t="s">
        <v>3361</v>
      </c>
      <c r="P2572" t="s">
        <v>15211</v>
      </c>
      <c r="Q2572" t="s">
        <v>15211</v>
      </c>
      <c r="R2572" t="s">
        <v>15211</v>
      </c>
      <c r="S2572" t="s">
        <v>15211</v>
      </c>
      <c r="T2572" t="s">
        <v>3370</v>
      </c>
      <c r="U2572" t="s">
        <v>14441</v>
      </c>
      <c r="V2572" t="s">
        <v>15278</v>
      </c>
    </row>
    <row r="2573" spans="1:22" ht="17.399999999999999" hidden="1">
      <c r="A2573" t="s">
        <v>15421</v>
      </c>
      <c r="B2573" t="s">
        <v>15442</v>
      </c>
      <c r="C2573" t="s">
        <v>15450</v>
      </c>
      <c r="D2573" t="s">
        <v>2568</v>
      </c>
      <c r="E2573" t="s">
        <v>3440</v>
      </c>
      <c r="F2573" t="s">
        <v>3431</v>
      </c>
      <c r="G2573" s="3">
        <v>35.060651944455699</v>
      </c>
      <c r="H2573" s="3">
        <v>126.271090886739</v>
      </c>
      <c r="I2573" t="s">
        <v>6338</v>
      </c>
      <c r="J2573" t="s">
        <v>9694</v>
      </c>
      <c r="K2573" t="s">
        <v>11353</v>
      </c>
      <c r="L2573" t="s">
        <v>3366</v>
      </c>
      <c r="M2573" t="s">
        <v>11894</v>
      </c>
      <c r="N2573" t="s">
        <v>3365</v>
      </c>
      <c r="O2573" t="s">
        <v>3361</v>
      </c>
      <c r="P2573" t="s">
        <v>15211</v>
      </c>
      <c r="Q2573" t="s">
        <v>15211</v>
      </c>
      <c r="R2573" t="s">
        <v>15211</v>
      </c>
      <c r="S2573" t="s">
        <v>15211</v>
      </c>
      <c r="T2573" t="s">
        <v>3370</v>
      </c>
      <c r="U2573" t="s">
        <v>14442</v>
      </c>
      <c r="V2573" t="s">
        <v>15278</v>
      </c>
    </row>
    <row r="2574" spans="1:22" ht="17.399999999999999" hidden="1">
      <c r="A2574" t="s">
        <v>15421</v>
      </c>
      <c r="B2574" t="s">
        <v>15442</v>
      </c>
      <c r="C2574" t="s">
        <v>15445</v>
      </c>
      <c r="D2574" t="s">
        <v>2569</v>
      </c>
      <c r="E2574" t="s">
        <v>3437</v>
      </c>
      <c r="F2574" t="s">
        <v>3425</v>
      </c>
      <c r="G2574" s="3">
        <v>35.060651950433197</v>
      </c>
      <c r="H2574" s="3">
        <v>126.271091099651</v>
      </c>
      <c r="I2574" t="s">
        <v>6339</v>
      </c>
      <c r="J2574" t="s">
        <v>9695</v>
      </c>
      <c r="K2574" t="s">
        <v>11632</v>
      </c>
      <c r="L2574" t="s">
        <v>3366</v>
      </c>
      <c r="M2574" t="s">
        <v>11894</v>
      </c>
      <c r="N2574" t="s">
        <v>3365</v>
      </c>
      <c r="O2574" t="s">
        <v>3361</v>
      </c>
      <c r="P2574" t="s">
        <v>15211</v>
      </c>
      <c r="Q2574" t="s">
        <v>15211</v>
      </c>
      <c r="R2574" t="s">
        <v>15211</v>
      </c>
      <c r="S2574" t="s">
        <v>15211</v>
      </c>
      <c r="T2574" t="s">
        <v>3370</v>
      </c>
      <c r="U2574" t="s">
        <v>14443</v>
      </c>
      <c r="V2574" t="s">
        <v>15279</v>
      </c>
    </row>
    <row r="2575" spans="1:22" ht="17.399999999999999" hidden="1">
      <c r="A2575" t="s">
        <v>15421</v>
      </c>
      <c r="B2575" t="s">
        <v>15442</v>
      </c>
      <c r="C2575" t="s">
        <v>15445</v>
      </c>
      <c r="D2575" t="s">
        <v>2570</v>
      </c>
      <c r="E2575" t="s">
        <v>3440</v>
      </c>
      <c r="F2575" t="s">
        <v>3425</v>
      </c>
      <c r="G2575" s="3">
        <v>35.060651973024399</v>
      </c>
      <c r="H2575" s="3">
        <v>126.27109110724901</v>
      </c>
      <c r="I2575" t="s">
        <v>6340</v>
      </c>
      <c r="J2575" t="s">
        <v>9696</v>
      </c>
      <c r="K2575" t="s">
        <v>11632</v>
      </c>
      <c r="L2575" t="s">
        <v>3366</v>
      </c>
      <c r="M2575" t="s">
        <v>11894</v>
      </c>
      <c r="N2575" t="s">
        <v>3365</v>
      </c>
      <c r="O2575" t="s">
        <v>3361</v>
      </c>
      <c r="P2575" t="s">
        <v>15211</v>
      </c>
      <c r="Q2575" t="s">
        <v>15211</v>
      </c>
      <c r="R2575" t="s">
        <v>15211</v>
      </c>
      <c r="S2575" t="s">
        <v>15211</v>
      </c>
      <c r="T2575" t="s">
        <v>3370</v>
      </c>
      <c r="U2575" t="s">
        <v>14444</v>
      </c>
      <c r="V2575" t="s">
        <v>15279</v>
      </c>
    </row>
    <row r="2576" spans="1:22" ht="17.399999999999999" hidden="1">
      <c r="A2576" t="s">
        <v>15421</v>
      </c>
      <c r="B2576" t="s">
        <v>15442</v>
      </c>
      <c r="C2576" t="s">
        <v>15445</v>
      </c>
      <c r="D2576" t="s">
        <v>2571</v>
      </c>
      <c r="E2576" t="s">
        <v>3427</v>
      </c>
      <c r="F2576" t="s">
        <v>3434</v>
      </c>
      <c r="G2576" s="3">
        <v>35.060651987313399</v>
      </c>
      <c r="H2576" s="3">
        <v>126.27109111716599</v>
      </c>
      <c r="I2576" t="s">
        <v>6341</v>
      </c>
      <c r="J2576" t="s">
        <v>9697</v>
      </c>
      <c r="K2576" t="s">
        <v>11632</v>
      </c>
      <c r="L2576" t="s">
        <v>3366</v>
      </c>
      <c r="M2576" t="s">
        <v>11894</v>
      </c>
      <c r="N2576" t="s">
        <v>3365</v>
      </c>
      <c r="O2576" t="s">
        <v>3361</v>
      </c>
      <c r="P2576" t="s">
        <v>15211</v>
      </c>
      <c r="Q2576" t="s">
        <v>15211</v>
      </c>
      <c r="R2576" t="s">
        <v>15211</v>
      </c>
      <c r="S2576" t="s">
        <v>15211</v>
      </c>
      <c r="T2576" t="s">
        <v>3370</v>
      </c>
      <c r="U2576" t="s">
        <v>14445</v>
      </c>
      <c r="V2576" t="s">
        <v>15279</v>
      </c>
    </row>
    <row r="2577" spans="1:22" ht="17.399999999999999" hidden="1">
      <c r="A2577" t="s">
        <v>15421</v>
      </c>
      <c r="B2577" t="s">
        <v>15442</v>
      </c>
      <c r="C2577" t="s">
        <v>15451</v>
      </c>
      <c r="D2577" t="s">
        <v>2572</v>
      </c>
      <c r="E2577" t="s">
        <v>3427</v>
      </c>
      <c r="F2577" t="s">
        <v>3431</v>
      </c>
      <c r="G2577" s="3">
        <v>35.0606519292107</v>
      </c>
      <c r="H2577" s="3">
        <v>126.27109112264201</v>
      </c>
      <c r="I2577" t="s">
        <v>6342</v>
      </c>
      <c r="J2577" t="s">
        <v>9698</v>
      </c>
      <c r="K2577" t="s">
        <v>11729</v>
      </c>
      <c r="L2577" t="s">
        <v>3366</v>
      </c>
      <c r="M2577" t="s">
        <v>11904</v>
      </c>
      <c r="N2577" t="s">
        <v>3365</v>
      </c>
      <c r="O2577" t="s">
        <v>3361</v>
      </c>
      <c r="P2577" t="s">
        <v>3364</v>
      </c>
      <c r="Q2577" t="s">
        <v>3367</v>
      </c>
      <c r="R2577" t="s">
        <v>15211</v>
      </c>
      <c r="S2577" t="s">
        <v>15211</v>
      </c>
      <c r="T2577" t="s">
        <v>3389</v>
      </c>
      <c r="U2577" t="s">
        <v>14446</v>
      </c>
      <c r="V2577" t="s">
        <v>15280</v>
      </c>
    </row>
    <row r="2578" spans="1:22" ht="17.399999999999999" hidden="1">
      <c r="A2578" t="s">
        <v>15421</v>
      </c>
      <c r="B2578" t="s">
        <v>15442</v>
      </c>
      <c r="C2578" t="s">
        <v>15451</v>
      </c>
      <c r="D2578" t="s">
        <v>2573</v>
      </c>
      <c r="E2578" t="s">
        <v>3425</v>
      </c>
      <c r="F2578" t="s">
        <v>3429</v>
      </c>
      <c r="G2578" s="3">
        <v>35.060651907645301</v>
      </c>
      <c r="H2578" s="3">
        <v>126.271091095681</v>
      </c>
      <c r="I2578" t="s">
        <v>6343</v>
      </c>
      <c r="J2578" t="s">
        <v>9699</v>
      </c>
      <c r="K2578" t="s">
        <v>11729</v>
      </c>
      <c r="L2578" t="s">
        <v>3366</v>
      </c>
      <c r="M2578" t="s">
        <v>11904</v>
      </c>
      <c r="N2578" t="s">
        <v>3365</v>
      </c>
      <c r="O2578" t="s">
        <v>3361</v>
      </c>
      <c r="P2578" t="s">
        <v>3364</v>
      </c>
      <c r="Q2578" t="s">
        <v>3367</v>
      </c>
      <c r="R2578" t="s">
        <v>15211</v>
      </c>
      <c r="S2578" t="s">
        <v>15211</v>
      </c>
      <c r="T2578" t="s">
        <v>3389</v>
      </c>
      <c r="U2578" t="s">
        <v>14441</v>
      </c>
      <c r="V2578" t="s">
        <v>15280</v>
      </c>
    </row>
    <row r="2579" spans="1:22" ht="17.399999999999999" hidden="1">
      <c r="A2579" t="s">
        <v>15421</v>
      </c>
      <c r="B2579" t="s">
        <v>15442</v>
      </c>
      <c r="C2579" t="s">
        <v>15451</v>
      </c>
      <c r="D2579" t="s">
        <v>2574</v>
      </c>
      <c r="E2579" t="s">
        <v>3425</v>
      </c>
      <c r="F2579" t="s">
        <v>3430</v>
      </c>
      <c r="G2579" s="3">
        <v>35.060651925058004</v>
      </c>
      <c r="H2579" s="3">
        <v>126.271091087114</v>
      </c>
      <c r="I2579" t="s">
        <v>6344</v>
      </c>
      <c r="J2579" t="s">
        <v>9700</v>
      </c>
      <c r="K2579" t="s">
        <v>11729</v>
      </c>
      <c r="L2579" t="s">
        <v>3366</v>
      </c>
      <c r="M2579" t="s">
        <v>11904</v>
      </c>
      <c r="N2579" t="s">
        <v>3365</v>
      </c>
      <c r="O2579" t="s">
        <v>3361</v>
      </c>
      <c r="P2579" t="s">
        <v>3364</v>
      </c>
      <c r="Q2579" t="s">
        <v>3367</v>
      </c>
      <c r="R2579" t="s">
        <v>15211</v>
      </c>
      <c r="S2579" t="s">
        <v>15211</v>
      </c>
      <c r="T2579" t="s">
        <v>3389</v>
      </c>
      <c r="U2579" t="s">
        <v>14447</v>
      </c>
      <c r="V2579" t="s">
        <v>15280</v>
      </c>
    </row>
    <row r="2580" spans="1:22" hidden="1">
      <c r="A2580" t="s">
        <v>15302</v>
      </c>
      <c r="B2580" t="s">
        <v>15441</v>
      </c>
      <c r="C2580" t="s">
        <v>15445</v>
      </c>
      <c r="D2580" t="s">
        <v>2575</v>
      </c>
      <c r="E2580" t="s">
        <v>3429</v>
      </c>
      <c r="F2580" t="s">
        <v>3465</v>
      </c>
      <c r="G2580" s="3">
        <v>35.127110517250202</v>
      </c>
      <c r="H2580" s="3">
        <v>126.32897044564</v>
      </c>
      <c r="I2580" t="s">
        <v>6345</v>
      </c>
      <c r="J2580" t="s">
        <v>9701</v>
      </c>
      <c r="K2580" t="s">
        <v>10576</v>
      </c>
      <c r="L2580" t="s">
        <v>3366</v>
      </c>
      <c r="M2580" t="s">
        <v>11894</v>
      </c>
      <c r="N2580" t="s">
        <v>3364</v>
      </c>
      <c r="O2580" t="s">
        <v>3362</v>
      </c>
      <c r="P2580" t="s">
        <v>15211</v>
      </c>
      <c r="Q2580" t="s">
        <v>15211</v>
      </c>
      <c r="R2580" t="s">
        <v>15211</v>
      </c>
      <c r="S2580" t="s">
        <v>15211</v>
      </c>
      <c r="T2580" t="s">
        <v>3370</v>
      </c>
      <c r="U2580" t="s">
        <v>14448</v>
      </c>
      <c r="V2580" t="s">
        <v>15274</v>
      </c>
    </row>
    <row r="2581" spans="1:22" hidden="1">
      <c r="A2581" t="s">
        <v>15302</v>
      </c>
      <c r="B2581" t="s">
        <v>15441</v>
      </c>
      <c r="C2581" t="s">
        <v>15445</v>
      </c>
      <c r="D2581" t="s">
        <v>2576</v>
      </c>
      <c r="E2581" t="s">
        <v>3429</v>
      </c>
      <c r="F2581" t="s">
        <v>3465</v>
      </c>
      <c r="G2581" s="3">
        <v>35.127110507198502</v>
      </c>
      <c r="H2581" s="3">
        <v>126.328970387505</v>
      </c>
      <c r="I2581" t="s">
        <v>6346</v>
      </c>
      <c r="J2581" t="s">
        <v>9702</v>
      </c>
      <c r="K2581" t="s">
        <v>11370</v>
      </c>
      <c r="L2581" t="s">
        <v>3366</v>
      </c>
      <c r="M2581" t="s">
        <v>11890</v>
      </c>
      <c r="N2581" t="s">
        <v>3364</v>
      </c>
      <c r="O2581" t="s">
        <v>3362</v>
      </c>
      <c r="P2581" t="s">
        <v>15211</v>
      </c>
      <c r="Q2581" t="s">
        <v>15211</v>
      </c>
      <c r="R2581" t="s">
        <v>15211</v>
      </c>
      <c r="S2581" t="s">
        <v>15211</v>
      </c>
      <c r="T2581" t="s">
        <v>3370</v>
      </c>
      <c r="U2581" t="s">
        <v>14449</v>
      </c>
      <c r="V2581" t="s">
        <v>15274</v>
      </c>
    </row>
    <row r="2582" spans="1:22" hidden="1">
      <c r="A2582" t="s">
        <v>15302</v>
      </c>
      <c r="B2582" t="s">
        <v>15441</v>
      </c>
      <c r="C2582" t="s">
        <v>15445</v>
      </c>
      <c r="D2582" t="s">
        <v>2577</v>
      </c>
      <c r="E2582" t="s">
        <v>3430</v>
      </c>
      <c r="F2582" t="s">
        <v>3465</v>
      </c>
      <c r="G2582" s="3">
        <v>35.1271104882698</v>
      </c>
      <c r="H2582" s="3">
        <v>126.328970436175</v>
      </c>
      <c r="I2582" t="s">
        <v>6347</v>
      </c>
      <c r="J2582" t="s">
        <v>9703</v>
      </c>
      <c r="K2582" t="s">
        <v>11574</v>
      </c>
      <c r="L2582" t="s">
        <v>3366</v>
      </c>
      <c r="M2582" t="s">
        <v>11890</v>
      </c>
      <c r="N2582" t="s">
        <v>3363</v>
      </c>
      <c r="O2582" t="s">
        <v>3362</v>
      </c>
      <c r="P2582" t="s">
        <v>15211</v>
      </c>
      <c r="Q2582" t="s">
        <v>15211</v>
      </c>
      <c r="R2582" t="s">
        <v>15211</v>
      </c>
      <c r="S2582" t="s">
        <v>15211</v>
      </c>
      <c r="T2582" t="s">
        <v>3369</v>
      </c>
      <c r="U2582" t="s">
        <v>14450</v>
      </c>
      <c r="V2582" t="s">
        <v>15274</v>
      </c>
    </row>
    <row r="2583" spans="1:22" hidden="1">
      <c r="A2583" t="s">
        <v>15302</v>
      </c>
      <c r="B2583" t="s">
        <v>15441</v>
      </c>
      <c r="C2583" t="s">
        <v>15446</v>
      </c>
      <c r="D2583" t="s">
        <v>2578</v>
      </c>
      <c r="E2583" t="s">
        <v>3442</v>
      </c>
      <c r="F2583" t="s">
        <v>3462</v>
      </c>
      <c r="G2583" s="3">
        <v>35.127110549882701</v>
      </c>
      <c r="H2583" s="3">
        <v>126.328970445097</v>
      </c>
      <c r="I2583" t="s">
        <v>6348</v>
      </c>
      <c r="J2583" t="s">
        <v>9704</v>
      </c>
      <c r="K2583" t="s">
        <v>10564</v>
      </c>
      <c r="L2583" t="s">
        <v>3366</v>
      </c>
      <c r="M2583" t="s">
        <v>11894</v>
      </c>
      <c r="N2583" t="s">
        <v>3363</v>
      </c>
      <c r="O2583" t="s">
        <v>3362</v>
      </c>
      <c r="P2583" t="s">
        <v>15211</v>
      </c>
      <c r="Q2583" t="s">
        <v>15211</v>
      </c>
      <c r="R2583" t="s">
        <v>15211</v>
      </c>
      <c r="S2583" t="s">
        <v>15211</v>
      </c>
      <c r="T2583" t="s">
        <v>3369</v>
      </c>
      <c r="U2583" t="s">
        <v>14451</v>
      </c>
      <c r="V2583" t="s">
        <v>15275</v>
      </c>
    </row>
    <row r="2584" spans="1:22" hidden="1">
      <c r="A2584" t="s">
        <v>15302</v>
      </c>
      <c r="B2584" t="s">
        <v>15441</v>
      </c>
      <c r="C2584" t="s">
        <v>15446</v>
      </c>
      <c r="D2584" t="s">
        <v>2579</v>
      </c>
      <c r="E2584" t="s">
        <v>3442</v>
      </c>
      <c r="F2584" t="s">
        <v>3452</v>
      </c>
      <c r="G2584" s="3">
        <v>35.127110564719501</v>
      </c>
      <c r="H2584" s="3">
        <v>126.328970528318</v>
      </c>
      <c r="I2584" t="s">
        <v>6349</v>
      </c>
      <c r="J2584" t="s">
        <v>9705</v>
      </c>
      <c r="K2584" t="s">
        <v>10690</v>
      </c>
      <c r="L2584" t="s">
        <v>3366</v>
      </c>
      <c r="M2584" t="s">
        <v>11894</v>
      </c>
      <c r="N2584" t="s">
        <v>3364</v>
      </c>
      <c r="O2584" t="s">
        <v>3362</v>
      </c>
      <c r="P2584" t="s">
        <v>15211</v>
      </c>
      <c r="Q2584" t="s">
        <v>15211</v>
      </c>
      <c r="R2584" t="s">
        <v>15211</v>
      </c>
      <c r="S2584" t="s">
        <v>15211</v>
      </c>
      <c r="T2584" t="s">
        <v>3370</v>
      </c>
      <c r="U2584" t="s">
        <v>14452</v>
      </c>
      <c r="V2584" t="s">
        <v>15275</v>
      </c>
    </row>
    <row r="2585" spans="1:22" hidden="1">
      <c r="A2585" t="s">
        <v>15302</v>
      </c>
      <c r="B2585" t="s">
        <v>15441</v>
      </c>
      <c r="C2585" t="s">
        <v>15446</v>
      </c>
      <c r="D2585" t="s">
        <v>2580</v>
      </c>
      <c r="E2585" t="s">
        <v>3442</v>
      </c>
      <c r="F2585" t="s">
        <v>3452</v>
      </c>
      <c r="G2585" s="3">
        <v>35.127110526715803</v>
      </c>
      <c r="H2585" s="3">
        <v>126.32897049952</v>
      </c>
      <c r="I2585" t="s">
        <v>6350</v>
      </c>
      <c r="J2585" t="s">
        <v>9706</v>
      </c>
      <c r="K2585" t="s">
        <v>11282</v>
      </c>
      <c r="L2585" t="s">
        <v>3366</v>
      </c>
      <c r="M2585" t="s">
        <v>11894</v>
      </c>
      <c r="N2585" t="s">
        <v>3364</v>
      </c>
      <c r="O2585" t="s">
        <v>3362</v>
      </c>
      <c r="P2585" t="s">
        <v>15211</v>
      </c>
      <c r="Q2585" t="s">
        <v>15211</v>
      </c>
      <c r="R2585" t="s">
        <v>15211</v>
      </c>
      <c r="S2585" t="s">
        <v>15211</v>
      </c>
      <c r="T2585" t="s">
        <v>3370</v>
      </c>
      <c r="U2585" t="s">
        <v>14453</v>
      </c>
      <c r="V2585" t="s">
        <v>15275</v>
      </c>
    </row>
    <row r="2586" spans="1:22" hidden="1">
      <c r="A2586" t="s">
        <v>15302</v>
      </c>
      <c r="B2586" t="s">
        <v>15441</v>
      </c>
      <c r="C2586" t="s">
        <v>15449</v>
      </c>
      <c r="D2586" t="s">
        <v>2581</v>
      </c>
      <c r="E2586" t="s">
        <v>3434</v>
      </c>
      <c r="F2586" t="s">
        <v>3461</v>
      </c>
      <c r="G2586" s="3">
        <v>35.127110571738001</v>
      </c>
      <c r="H2586" s="3">
        <v>126.328970391284</v>
      </c>
      <c r="I2586" t="s">
        <v>6351</v>
      </c>
      <c r="J2586" t="s">
        <v>9707</v>
      </c>
      <c r="K2586" t="s">
        <v>11730</v>
      </c>
      <c r="L2586" t="s">
        <v>3366</v>
      </c>
      <c r="M2586" t="s">
        <v>11913</v>
      </c>
      <c r="N2586" t="s">
        <v>3363</v>
      </c>
      <c r="O2586" t="s">
        <v>3362</v>
      </c>
      <c r="P2586" t="s">
        <v>3362</v>
      </c>
      <c r="Q2586" t="s">
        <v>3367</v>
      </c>
      <c r="R2586" t="s">
        <v>3357</v>
      </c>
      <c r="S2586" t="s">
        <v>15211</v>
      </c>
      <c r="T2586" t="s">
        <v>3387</v>
      </c>
      <c r="U2586" t="s">
        <v>14454</v>
      </c>
      <c r="V2586" t="s">
        <v>15277</v>
      </c>
    </row>
    <row r="2587" spans="1:22" hidden="1">
      <c r="A2587" t="s">
        <v>15302</v>
      </c>
      <c r="B2587" t="s">
        <v>15441</v>
      </c>
      <c r="C2587" t="s">
        <v>15449</v>
      </c>
      <c r="D2587" t="s">
        <v>2582</v>
      </c>
      <c r="E2587" t="s">
        <v>3435</v>
      </c>
      <c r="F2587" t="s">
        <v>3426</v>
      </c>
      <c r="G2587" s="3">
        <v>35.127110527700502</v>
      </c>
      <c r="H2587" s="3">
        <v>126.32897036803899</v>
      </c>
      <c r="I2587" t="s">
        <v>6352</v>
      </c>
      <c r="J2587" t="s">
        <v>9708</v>
      </c>
      <c r="K2587" t="s">
        <v>11730</v>
      </c>
      <c r="L2587" t="s">
        <v>3366</v>
      </c>
      <c r="M2587" t="s">
        <v>11913</v>
      </c>
      <c r="N2587" t="s">
        <v>3363</v>
      </c>
      <c r="O2587" t="s">
        <v>3362</v>
      </c>
      <c r="P2587" t="s">
        <v>3362</v>
      </c>
      <c r="Q2587" t="s">
        <v>3367</v>
      </c>
      <c r="R2587" t="s">
        <v>3357</v>
      </c>
      <c r="S2587" t="s">
        <v>15211</v>
      </c>
      <c r="T2587" t="s">
        <v>3387</v>
      </c>
      <c r="U2587" t="s">
        <v>14455</v>
      </c>
      <c r="V2587" t="s">
        <v>15277</v>
      </c>
    </row>
    <row r="2588" spans="1:22" hidden="1">
      <c r="A2588" t="s">
        <v>15302</v>
      </c>
      <c r="B2588" t="s">
        <v>15441</v>
      </c>
      <c r="C2588" t="s">
        <v>15449</v>
      </c>
      <c r="D2588" t="s">
        <v>2583</v>
      </c>
      <c r="E2588" t="s">
        <v>3435</v>
      </c>
      <c r="F2588" t="s">
        <v>3426</v>
      </c>
      <c r="G2588" s="3">
        <v>35.127110554880304</v>
      </c>
      <c r="H2588" s="3">
        <v>126.32897037551299</v>
      </c>
      <c r="I2588" t="s">
        <v>6353</v>
      </c>
      <c r="J2588" t="s">
        <v>9709</v>
      </c>
      <c r="K2588" t="s">
        <v>3668</v>
      </c>
      <c r="L2588" t="s">
        <v>3366</v>
      </c>
      <c r="M2588" t="s">
        <v>11907</v>
      </c>
      <c r="N2588" t="s">
        <v>3363</v>
      </c>
      <c r="O2588" t="s">
        <v>3361</v>
      </c>
      <c r="P2588" t="s">
        <v>3362</v>
      </c>
      <c r="Q2588" t="s">
        <v>3367</v>
      </c>
      <c r="R2588" t="s">
        <v>3357</v>
      </c>
      <c r="S2588" t="s">
        <v>15211</v>
      </c>
      <c r="T2588" t="s">
        <v>3386</v>
      </c>
      <c r="U2588" t="s">
        <v>14456</v>
      </c>
      <c r="V2588" t="s">
        <v>15277</v>
      </c>
    </row>
    <row r="2589" spans="1:22" hidden="1">
      <c r="A2589" t="s">
        <v>15302</v>
      </c>
      <c r="B2589" t="s">
        <v>15442</v>
      </c>
      <c r="C2589" t="s">
        <v>15450</v>
      </c>
      <c r="D2589" t="s">
        <v>2584</v>
      </c>
      <c r="E2589" t="s">
        <v>3436</v>
      </c>
      <c r="F2589" t="s">
        <v>3442</v>
      </c>
      <c r="G2589" s="3">
        <v>35.127110741482802</v>
      </c>
      <c r="H2589" s="3">
        <v>126.328969852002</v>
      </c>
      <c r="I2589" t="s">
        <v>6354</v>
      </c>
      <c r="J2589" t="s">
        <v>9710</v>
      </c>
      <c r="K2589" t="s">
        <v>10690</v>
      </c>
      <c r="L2589" t="s">
        <v>3366</v>
      </c>
      <c r="M2589" t="s">
        <v>11895</v>
      </c>
      <c r="N2589" t="s">
        <v>3366</v>
      </c>
      <c r="O2589" t="s">
        <v>3361</v>
      </c>
      <c r="P2589" t="s">
        <v>15211</v>
      </c>
      <c r="Q2589" t="s">
        <v>15211</v>
      </c>
      <c r="R2589" t="s">
        <v>15211</v>
      </c>
      <c r="S2589" t="s">
        <v>15211</v>
      </c>
      <c r="T2589" t="s">
        <v>3371</v>
      </c>
      <c r="U2589" t="s">
        <v>14457</v>
      </c>
      <c r="V2589" t="s">
        <v>15278</v>
      </c>
    </row>
    <row r="2590" spans="1:22" hidden="1">
      <c r="A2590" t="s">
        <v>15302</v>
      </c>
      <c r="B2590" t="s">
        <v>15442</v>
      </c>
      <c r="C2590" t="s">
        <v>15450</v>
      </c>
      <c r="D2590" t="s">
        <v>2585</v>
      </c>
      <c r="E2590" t="s">
        <v>3425</v>
      </c>
      <c r="F2590" t="s">
        <v>3441</v>
      </c>
      <c r="G2590" s="3">
        <v>35.127110773817797</v>
      </c>
      <c r="H2590" s="3">
        <v>126.32896983234799</v>
      </c>
      <c r="I2590" t="s">
        <v>6355</v>
      </c>
      <c r="J2590" t="s">
        <v>9711</v>
      </c>
      <c r="K2590" t="s">
        <v>10690</v>
      </c>
      <c r="L2590" t="s">
        <v>3366</v>
      </c>
      <c r="M2590" t="s">
        <v>11895</v>
      </c>
      <c r="N2590" t="s">
        <v>3366</v>
      </c>
      <c r="O2590" t="s">
        <v>3361</v>
      </c>
      <c r="P2590" t="s">
        <v>15211</v>
      </c>
      <c r="Q2590" t="s">
        <v>15211</v>
      </c>
      <c r="R2590" t="s">
        <v>15211</v>
      </c>
      <c r="S2590" t="s">
        <v>15211</v>
      </c>
      <c r="T2590" t="s">
        <v>3371</v>
      </c>
      <c r="U2590" t="s">
        <v>14458</v>
      </c>
      <c r="V2590" t="s">
        <v>15278</v>
      </c>
    </row>
    <row r="2591" spans="1:22" hidden="1">
      <c r="A2591" t="s">
        <v>15302</v>
      </c>
      <c r="B2591" t="s">
        <v>15442</v>
      </c>
      <c r="C2591" t="s">
        <v>15450</v>
      </c>
      <c r="D2591" t="s">
        <v>2586</v>
      </c>
      <c r="E2591" t="s">
        <v>3425</v>
      </c>
      <c r="F2591" t="s">
        <v>3441</v>
      </c>
      <c r="G2591" s="3">
        <v>35.127110769776202</v>
      </c>
      <c r="H2591" s="3">
        <v>126.32896979620099</v>
      </c>
      <c r="I2591" t="s">
        <v>6356</v>
      </c>
      <c r="J2591" t="s">
        <v>9712</v>
      </c>
      <c r="K2591" t="s">
        <v>10690</v>
      </c>
      <c r="L2591" t="s">
        <v>3366</v>
      </c>
      <c r="M2591" t="s">
        <v>11895</v>
      </c>
      <c r="N2591" t="s">
        <v>3366</v>
      </c>
      <c r="O2591" t="s">
        <v>3361</v>
      </c>
      <c r="P2591" t="s">
        <v>15211</v>
      </c>
      <c r="Q2591" t="s">
        <v>15211</v>
      </c>
      <c r="R2591" t="s">
        <v>15211</v>
      </c>
      <c r="S2591" t="s">
        <v>15211</v>
      </c>
      <c r="T2591" t="s">
        <v>3371</v>
      </c>
      <c r="U2591" t="s">
        <v>14459</v>
      </c>
      <c r="V2591" t="s">
        <v>15278</v>
      </c>
    </row>
    <row r="2592" spans="1:22" hidden="1">
      <c r="A2592" t="s">
        <v>15302</v>
      </c>
      <c r="B2592" t="s">
        <v>15442</v>
      </c>
      <c r="C2592" t="s">
        <v>15445</v>
      </c>
      <c r="D2592" t="s">
        <v>2587</v>
      </c>
      <c r="E2592" t="s">
        <v>3427</v>
      </c>
      <c r="F2592" t="s">
        <v>3434</v>
      </c>
      <c r="G2592" s="3">
        <v>35.127110730901201</v>
      </c>
      <c r="H2592" s="3">
        <v>126.328970202317</v>
      </c>
      <c r="I2592" t="s">
        <v>6357</v>
      </c>
      <c r="J2592" t="s">
        <v>9713</v>
      </c>
      <c r="K2592" t="s">
        <v>11282</v>
      </c>
      <c r="L2592" t="s">
        <v>3366</v>
      </c>
      <c r="M2592" t="s">
        <v>11895</v>
      </c>
      <c r="N2592" t="s">
        <v>3366</v>
      </c>
      <c r="O2592" t="s">
        <v>3361</v>
      </c>
      <c r="P2592" t="s">
        <v>15211</v>
      </c>
      <c r="Q2592" t="s">
        <v>15211</v>
      </c>
      <c r="R2592" t="s">
        <v>15211</v>
      </c>
      <c r="S2592" t="s">
        <v>15211</v>
      </c>
      <c r="T2592" t="s">
        <v>3371</v>
      </c>
      <c r="U2592" t="s">
        <v>14460</v>
      </c>
      <c r="V2592" t="s">
        <v>15279</v>
      </c>
    </row>
    <row r="2593" spans="1:22" hidden="1">
      <c r="A2593" t="s">
        <v>15302</v>
      </c>
      <c r="B2593" t="s">
        <v>15442</v>
      </c>
      <c r="C2593" t="s">
        <v>15445</v>
      </c>
      <c r="D2593" t="s">
        <v>2588</v>
      </c>
      <c r="E2593" t="s">
        <v>3428</v>
      </c>
      <c r="F2593" t="s">
        <v>3434</v>
      </c>
      <c r="G2593" s="3">
        <v>35.127110675450297</v>
      </c>
      <c r="H2593" s="3">
        <v>126.328970223033</v>
      </c>
      <c r="I2593" t="s">
        <v>6358</v>
      </c>
      <c r="J2593" t="s">
        <v>9714</v>
      </c>
      <c r="K2593" t="s">
        <v>11282</v>
      </c>
      <c r="L2593" t="s">
        <v>3366</v>
      </c>
      <c r="M2593" t="s">
        <v>11895</v>
      </c>
      <c r="N2593" t="s">
        <v>3366</v>
      </c>
      <c r="O2593" t="s">
        <v>3361</v>
      </c>
      <c r="P2593" t="s">
        <v>15211</v>
      </c>
      <c r="Q2593" t="s">
        <v>15211</v>
      </c>
      <c r="R2593" t="s">
        <v>15211</v>
      </c>
      <c r="S2593" t="s">
        <v>15211</v>
      </c>
      <c r="T2593" t="s">
        <v>3371</v>
      </c>
      <c r="U2593" t="s">
        <v>14461</v>
      </c>
      <c r="V2593" t="s">
        <v>15279</v>
      </c>
    </row>
    <row r="2594" spans="1:22" hidden="1">
      <c r="A2594" t="s">
        <v>15302</v>
      </c>
      <c r="B2594" t="s">
        <v>15442</v>
      </c>
      <c r="C2594" t="s">
        <v>15445</v>
      </c>
      <c r="D2594" t="s">
        <v>2589</v>
      </c>
      <c r="E2594" t="s">
        <v>3436</v>
      </c>
      <c r="F2594" t="s">
        <v>3429</v>
      </c>
      <c r="G2594" s="3">
        <v>35.127110703548801</v>
      </c>
      <c r="H2594" s="3">
        <v>126.328970222438</v>
      </c>
      <c r="I2594" t="s">
        <v>6359</v>
      </c>
      <c r="J2594" t="s">
        <v>9715</v>
      </c>
      <c r="K2594" t="s">
        <v>11282</v>
      </c>
      <c r="L2594" t="s">
        <v>3366</v>
      </c>
      <c r="M2594" t="s">
        <v>11895</v>
      </c>
      <c r="N2594" t="s">
        <v>3366</v>
      </c>
      <c r="O2594" t="s">
        <v>3361</v>
      </c>
      <c r="P2594" t="s">
        <v>15211</v>
      </c>
      <c r="Q2594" t="s">
        <v>15211</v>
      </c>
      <c r="R2594" t="s">
        <v>15211</v>
      </c>
      <c r="S2594" t="s">
        <v>15211</v>
      </c>
      <c r="T2594" t="s">
        <v>3371</v>
      </c>
      <c r="U2594" t="s">
        <v>14462</v>
      </c>
      <c r="V2594" t="s">
        <v>15279</v>
      </c>
    </row>
    <row r="2595" spans="1:22" hidden="1">
      <c r="A2595" t="s">
        <v>15302</v>
      </c>
      <c r="B2595" t="s">
        <v>15442</v>
      </c>
      <c r="C2595" t="s">
        <v>15451</v>
      </c>
      <c r="D2595" t="s">
        <v>2590</v>
      </c>
      <c r="E2595" t="s">
        <v>3428</v>
      </c>
      <c r="F2595" t="s">
        <v>3429</v>
      </c>
      <c r="G2595" s="3">
        <v>35.127110684878197</v>
      </c>
      <c r="H2595" s="3">
        <v>126.328970182379</v>
      </c>
      <c r="I2595" t="s">
        <v>6360</v>
      </c>
      <c r="J2595" t="s">
        <v>9716</v>
      </c>
      <c r="K2595" t="s">
        <v>10802</v>
      </c>
      <c r="L2595" t="s">
        <v>3366</v>
      </c>
      <c r="M2595" t="s">
        <v>11905</v>
      </c>
      <c r="N2595" t="s">
        <v>3366</v>
      </c>
      <c r="O2595" t="s">
        <v>3361</v>
      </c>
      <c r="P2595" t="s">
        <v>3362</v>
      </c>
      <c r="Q2595" t="s">
        <v>3369</v>
      </c>
      <c r="R2595" t="s">
        <v>15211</v>
      </c>
      <c r="S2595" t="s">
        <v>15211</v>
      </c>
      <c r="T2595" t="s">
        <v>3390</v>
      </c>
      <c r="U2595" t="s">
        <v>14463</v>
      </c>
      <c r="V2595" t="s">
        <v>15280</v>
      </c>
    </row>
    <row r="2596" spans="1:22" hidden="1">
      <c r="A2596" t="s">
        <v>15302</v>
      </c>
      <c r="B2596" t="s">
        <v>15442</v>
      </c>
      <c r="C2596" t="s">
        <v>15451</v>
      </c>
      <c r="D2596" t="s">
        <v>2591</v>
      </c>
      <c r="E2596" t="s">
        <v>3428</v>
      </c>
      <c r="F2596" t="s">
        <v>3429</v>
      </c>
      <c r="G2596" s="3">
        <v>35.127110635519401</v>
      </c>
      <c r="H2596" s="3">
        <v>126.32897019041501</v>
      </c>
      <c r="I2596" t="s">
        <v>6361</v>
      </c>
      <c r="J2596" t="s">
        <v>9717</v>
      </c>
      <c r="K2596" t="s">
        <v>10802</v>
      </c>
      <c r="L2596" t="s">
        <v>3366</v>
      </c>
      <c r="M2596" t="s">
        <v>11905</v>
      </c>
      <c r="N2596" t="s">
        <v>3366</v>
      </c>
      <c r="O2596" t="s">
        <v>3361</v>
      </c>
      <c r="P2596" t="s">
        <v>3362</v>
      </c>
      <c r="Q2596" t="s">
        <v>3369</v>
      </c>
      <c r="R2596" t="s">
        <v>15211</v>
      </c>
      <c r="S2596" t="s">
        <v>15211</v>
      </c>
      <c r="T2596" t="s">
        <v>3390</v>
      </c>
      <c r="U2596" t="s">
        <v>14464</v>
      </c>
      <c r="V2596" t="s">
        <v>15280</v>
      </c>
    </row>
    <row r="2597" spans="1:22" hidden="1">
      <c r="A2597" t="s">
        <v>15302</v>
      </c>
      <c r="B2597" t="s">
        <v>15442</v>
      </c>
      <c r="C2597" t="s">
        <v>15451</v>
      </c>
      <c r="D2597" t="s">
        <v>2592</v>
      </c>
      <c r="E2597" t="s">
        <v>3428</v>
      </c>
      <c r="F2597" t="s">
        <v>3429</v>
      </c>
      <c r="G2597" s="3">
        <v>35.127110644472602</v>
      </c>
      <c r="H2597" s="3">
        <v>126.328970199119</v>
      </c>
      <c r="I2597" t="s">
        <v>6362</v>
      </c>
      <c r="J2597" t="s">
        <v>9718</v>
      </c>
      <c r="K2597" t="s">
        <v>10802</v>
      </c>
      <c r="L2597" t="s">
        <v>3366</v>
      </c>
      <c r="M2597" t="s">
        <v>11905</v>
      </c>
      <c r="N2597" t="s">
        <v>3366</v>
      </c>
      <c r="O2597" t="s">
        <v>3361</v>
      </c>
      <c r="P2597" t="s">
        <v>3362</v>
      </c>
      <c r="Q2597" t="s">
        <v>3369</v>
      </c>
      <c r="R2597" t="s">
        <v>15211</v>
      </c>
      <c r="S2597" t="s">
        <v>15211</v>
      </c>
      <c r="T2597" t="s">
        <v>3390</v>
      </c>
      <c r="U2597" t="s">
        <v>14465</v>
      </c>
      <c r="V2597" t="s">
        <v>15280</v>
      </c>
    </row>
    <row r="2598" spans="1:22" hidden="1">
      <c r="A2598" t="s">
        <v>15422</v>
      </c>
      <c r="B2598" t="s">
        <v>15441</v>
      </c>
      <c r="C2598" t="s">
        <v>15445</v>
      </c>
      <c r="D2598" t="s">
        <v>2593</v>
      </c>
      <c r="E2598" t="s">
        <v>3430</v>
      </c>
      <c r="F2598" t="s">
        <v>3461</v>
      </c>
      <c r="G2598" s="3">
        <v>35.267288661291303</v>
      </c>
      <c r="H2598" s="3">
        <v>126.55187334812599</v>
      </c>
      <c r="I2598" t="s">
        <v>6363</v>
      </c>
      <c r="J2598" t="s">
        <v>9719</v>
      </c>
      <c r="K2598" t="s">
        <v>11361</v>
      </c>
      <c r="L2598" t="s">
        <v>3366</v>
      </c>
      <c r="M2598" t="s">
        <v>11890</v>
      </c>
      <c r="N2598" t="s">
        <v>3364</v>
      </c>
      <c r="O2598" t="s">
        <v>3361</v>
      </c>
      <c r="P2598" t="s">
        <v>15211</v>
      </c>
      <c r="Q2598" t="s">
        <v>15211</v>
      </c>
      <c r="R2598" t="s">
        <v>15211</v>
      </c>
      <c r="S2598" t="s">
        <v>15211</v>
      </c>
      <c r="T2598" t="s">
        <v>3369</v>
      </c>
      <c r="U2598" t="s">
        <v>14466</v>
      </c>
      <c r="V2598" t="s">
        <v>15274</v>
      </c>
    </row>
    <row r="2599" spans="1:22" hidden="1">
      <c r="A2599" t="s">
        <v>15422</v>
      </c>
      <c r="B2599" t="s">
        <v>15441</v>
      </c>
      <c r="C2599" t="s">
        <v>15445</v>
      </c>
      <c r="D2599" t="s">
        <v>2594</v>
      </c>
      <c r="E2599" t="s">
        <v>3430</v>
      </c>
      <c r="F2599" t="s">
        <v>3462</v>
      </c>
      <c r="G2599" s="3">
        <v>35.267288654103801</v>
      </c>
      <c r="H2599" s="3">
        <v>126.551873328166</v>
      </c>
      <c r="I2599" t="s">
        <v>6364</v>
      </c>
      <c r="J2599" t="s">
        <v>9720</v>
      </c>
      <c r="K2599" t="s">
        <v>11361</v>
      </c>
      <c r="L2599" t="s">
        <v>3366</v>
      </c>
      <c r="M2599" t="s">
        <v>11890</v>
      </c>
      <c r="N2599" t="s">
        <v>3364</v>
      </c>
      <c r="O2599" t="s">
        <v>3361</v>
      </c>
      <c r="P2599" t="s">
        <v>15211</v>
      </c>
      <c r="Q2599" t="s">
        <v>15211</v>
      </c>
      <c r="R2599" t="s">
        <v>15211</v>
      </c>
      <c r="S2599" t="s">
        <v>15211</v>
      </c>
      <c r="T2599" t="s">
        <v>3369</v>
      </c>
      <c r="U2599" t="s">
        <v>14467</v>
      </c>
      <c r="V2599" t="s">
        <v>15274</v>
      </c>
    </row>
    <row r="2600" spans="1:22" hidden="1">
      <c r="A2600" t="s">
        <v>15422</v>
      </c>
      <c r="B2600" t="s">
        <v>15441</v>
      </c>
      <c r="C2600" t="s">
        <v>15445</v>
      </c>
      <c r="D2600" t="s">
        <v>2595</v>
      </c>
      <c r="E2600" t="s">
        <v>3442</v>
      </c>
      <c r="F2600" t="s">
        <v>3426</v>
      </c>
      <c r="G2600" s="3">
        <v>35.267288670589799</v>
      </c>
      <c r="H2600" s="3">
        <v>126.55187328405999</v>
      </c>
      <c r="I2600" t="s">
        <v>6365</v>
      </c>
      <c r="J2600" t="s">
        <v>9721</v>
      </c>
      <c r="K2600" t="s">
        <v>11005</v>
      </c>
      <c r="L2600" t="s">
        <v>3366</v>
      </c>
      <c r="M2600" t="s">
        <v>11890</v>
      </c>
      <c r="N2600" t="s">
        <v>3364</v>
      </c>
      <c r="O2600" t="s">
        <v>3361</v>
      </c>
      <c r="P2600" t="s">
        <v>15211</v>
      </c>
      <c r="Q2600" t="s">
        <v>15211</v>
      </c>
      <c r="R2600" t="s">
        <v>15211</v>
      </c>
      <c r="S2600" t="s">
        <v>15211</v>
      </c>
      <c r="T2600" t="s">
        <v>3369</v>
      </c>
      <c r="U2600" t="s">
        <v>14468</v>
      </c>
      <c r="V2600" t="s">
        <v>15274</v>
      </c>
    </row>
    <row r="2601" spans="1:22" hidden="1">
      <c r="A2601" t="s">
        <v>15422</v>
      </c>
      <c r="B2601" t="s">
        <v>15441</v>
      </c>
      <c r="C2601" t="s">
        <v>15446</v>
      </c>
      <c r="D2601" t="s">
        <v>2596</v>
      </c>
      <c r="E2601" t="s">
        <v>3441</v>
      </c>
      <c r="F2601" t="s">
        <v>3452</v>
      </c>
      <c r="G2601" s="3">
        <v>35.2672883601115</v>
      </c>
      <c r="H2601" s="3">
        <v>126.551873271188</v>
      </c>
      <c r="I2601" t="s">
        <v>6366</v>
      </c>
      <c r="J2601" t="s">
        <v>9722</v>
      </c>
      <c r="K2601" t="s">
        <v>10662</v>
      </c>
      <c r="L2601" t="s">
        <v>3366</v>
      </c>
      <c r="M2601" t="s">
        <v>11890</v>
      </c>
      <c r="N2601" t="s">
        <v>3364</v>
      </c>
      <c r="O2601" t="s">
        <v>3361</v>
      </c>
      <c r="P2601" t="s">
        <v>15211</v>
      </c>
      <c r="Q2601" t="s">
        <v>15211</v>
      </c>
      <c r="R2601" t="s">
        <v>15211</v>
      </c>
      <c r="S2601" t="s">
        <v>15211</v>
      </c>
      <c r="T2601" t="s">
        <v>3369</v>
      </c>
      <c r="U2601" t="s">
        <v>14469</v>
      </c>
      <c r="V2601" t="s">
        <v>15275</v>
      </c>
    </row>
    <row r="2602" spans="1:22" hidden="1">
      <c r="A2602" t="s">
        <v>15422</v>
      </c>
      <c r="B2602" t="s">
        <v>15441</v>
      </c>
      <c r="C2602" t="s">
        <v>15446</v>
      </c>
      <c r="D2602" t="s">
        <v>2597</v>
      </c>
      <c r="E2602" t="s">
        <v>3441</v>
      </c>
      <c r="F2602" t="s">
        <v>3452</v>
      </c>
      <c r="G2602" s="3">
        <v>35.2672883977678</v>
      </c>
      <c r="H2602" s="3">
        <v>126.55187323581799</v>
      </c>
      <c r="I2602" t="s">
        <v>6367</v>
      </c>
      <c r="J2602" t="s">
        <v>9723</v>
      </c>
      <c r="K2602" t="s">
        <v>10662</v>
      </c>
      <c r="L2602" t="s">
        <v>3366</v>
      </c>
      <c r="M2602" t="s">
        <v>11890</v>
      </c>
      <c r="N2602" t="s">
        <v>3364</v>
      </c>
      <c r="O2602" t="s">
        <v>3361</v>
      </c>
      <c r="P2602" t="s">
        <v>15211</v>
      </c>
      <c r="Q2602" t="s">
        <v>15211</v>
      </c>
      <c r="R2602" t="s">
        <v>15211</v>
      </c>
      <c r="S2602" t="s">
        <v>15211</v>
      </c>
      <c r="T2602" t="s">
        <v>3369</v>
      </c>
      <c r="U2602" t="s">
        <v>14470</v>
      </c>
      <c r="V2602" t="s">
        <v>15275</v>
      </c>
    </row>
    <row r="2603" spans="1:22" hidden="1">
      <c r="A2603" t="s">
        <v>15422</v>
      </c>
      <c r="B2603" t="s">
        <v>15441</v>
      </c>
      <c r="C2603" t="s">
        <v>15446</v>
      </c>
      <c r="D2603" t="s">
        <v>2598</v>
      </c>
      <c r="E2603" t="s">
        <v>3426</v>
      </c>
      <c r="F2603" t="s">
        <v>3450</v>
      </c>
      <c r="G2603" s="3">
        <v>35.267288414937703</v>
      </c>
      <c r="H2603" s="3">
        <v>126.551873226236</v>
      </c>
      <c r="I2603" t="s">
        <v>6368</v>
      </c>
      <c r="J2603" t="s">
        <v>9724</v>
      </c>
      <c r="K2603" t="s">
        <v>10662</v>
      </c>
      <c r="L2603" t="s">
        <v>3366</v>
      </c>
      <c r="M2603" t="s">
        <v>11890</v>
      </c>
      <c r="N2603" t="s">
        <v>3364</v>
      </c>
      <c r="O2603" t="s">
        <v>3361</v>
      </c>
      <c r="P2603" t="s">
        <v>15211</v>
      </c>
      <c r="Q2603" t="s">
        <v>15211</v>
      </c>
      <c r="R2603" t="s">
        <v>15211</v>
      </c>
      <c r="S2603" t="s">
        <v>15211</v>
      </c>
      <c r="T2603" t="s">
        <v>3369</v>
      </c>
      <c r="U2603" t="s">
        <v>14471</v>
      </c>
      <c r="V2603" t="s">
        <v>15275</v>
      </c>
    </row>
    <row r="2604" spans="1:22" hidden="1">
      <c r="A2604" t="s">
        <v>15422</v>
      </c>
      <c r="B2604" t="s">
        <v>15441</v>
      </c>
      <c r="C2604" t="s">
        <v>15448</v>
      </c>
      <c r="D2604" t="s">
        <v>2599</v>
      </c>
      <c r="E2604" t="s">
        <v>3427</v>
      </c>
      <c r="F2604" t="s">
        <v>3442</v>
      </c>
      <c r="G2604" s="3">
        <v>35.267288663320201</v>
      </c>
      <c r="H2604" s="3">
        <v>126.551873382785</v>
      </c>
      <c r="I2604" t="s">
        <v>6369</v>
      </c>
      <c r="J2604" t="s">
        <v>9725</v>
      </c>
      <c r="K2604" t="s">
        <v>11116</v>
      </c>
      <c r="L2604" t="s">
        <v>3366</v>
      </c>
      <c r="M2604" t="s">
        <v>11904</v>
      </c>
      <c r="N2604" t="s">
        <v>3366</v>
      </c>
      <c r="O2604" t="s">
        <v>3361</v>
      </c>
      <c r="P2604" t="s">
        <v>3362</v>
      </c>
      <c r="Q2604" t="s">
        <v>3366</v>
      </c>
      <c r="R2604" t="s">
        <v>3358</v>
      </c>
      <c r="S2604" t="s">
        <v>15211</v>
      </c>
      <c r="T2604" t="s">
        <v>3389</v>
      </c>
      <c r="U2604" t="s">
        <v>14472</v>
      </c>
      <c r="V2604" t="s">
        <v>15276</v>
      </c>
    </row>
    <row r="2605" spans="1:22" hidden="1">
      <c r="A2605" t="s">
        <v>15422</v>
      </c>
      <c r="B2605" t="s">
        <v>15441</v>
      </c>
      <c r="C2605" t="s">
        <v>15448</v>
      </c>
      <c r="D2605" t="s">
        <v>2600</v>
      </c>
      <c r="E2605" t="s">
        <v>3427</v>
      </c>
      <c r="F2605" t="s">
        <v>3442</v>
      </c>
      <c r="G2605" s="3">
        <v>35.267288701837103</v>
      </c>
      <c r="H2605" s="3">
        <v>126.551873343629</v>
      </c>
      <c r="I2605" t="s">
        <v>6370</v>
      </c>
      <c r="J2605" t="s">
        <v>9726</v>
      </c>
      <c r="K2605" t="s">
        <v>11731</v>
      </c>
      <c r="L2605" t="s">
        <v>3366</v>
      </c>
      <c r="M2605" t="s">
        <v>11905</v>
      </c>
      <c r="N2605" t="s">
        <v>3366</v>
      </c>
      <c r="O2605" t="s">
        <v>3361</v>
      </c>
      <c r="P2605" t="s">
        <v>3362</v>
      </c>
      <c r="Q2605" t="s">
        <v>3366</v>
      </c>
      <c r="R2605" t="s">
        <v>3358</v>
      </c>
      <c r="S2605" t="s">
        <v>15211</v>
      </c>
      <c r="T2605" t="s">
        <v>3389</v>
      </c>
      <c r="U2605" t="s">
        <v>14473</v>
      </c>
      <c r="V2605" t="s">
        <v>15276</v>
      </c>
    </row>
    <row r="2606" spans="1:22" hidden="1">
      <c r="A2606" t="s">
        <v>15422</v>
      </c>
      <c r="B2606" t="s">
        <v>15441</v>
      </c>
      <c r="C2606" t="s">
        <v>15448</v>
      </c>
      <c r="D2606" t="s">
        <v>2601</v>
      </c>
      <c r="E2606" t="s">
        <v>3427</v>
      </c>
      <c r="F2606" t="s">
        <v>3430</v>
      </c>
      <c r="G2606" s="3">
        <v>35.267288687643102</v>
      </c>
      <c r="H2606" s="3">
        <v>126.55187338235901</v>
      </c>
      <c r="I2606" t="s">
        <v>6371</v>
      </c>
      <c r="J2606" t="s">
        <v>9727</v>
      </c>
      <c r="K2606" t="s">
        <v>11732</v>
      </c>
      <c r="L2606" t="s">
        <v>3366</v>
      </c>
      <c r="M2606" t="s">
        <v>11905</v>
      </c>
      <c r="N2606" t="s">
        <v>3366</v>
      </c>
      <c r="O2606" t="s">
        <v>3361</v>
      </c>
      <c r="P2606" t="s">
        <v>3362</v>
      </c>
      <c r="Q2606" t="s">
        <v>3367</v>
      </c>
      <c r="R2606" t="s">
        <v>3358</v>
      </c>
      <c r="S2606" t="s">
        <v>15211</v>
      </c>
      <c r="T2606" t="s">
        <v>3390</v>
      </c>
      <c r="U2606" t="s">
        <v>14474</v>
      </c>
      <c r="V2606" t="s">
        <v>15276</v>
      </c>
    </row>
    <row r="2607" spans="1:22" hidden="1">
      <c r="A2607" t="s">
        <v>15422</v>
      </c>
      <c r="B2607" t="s">
        <v>15441</v>
      </c>
      <c r="C2607" t="s">
        <v>15449</v>
      </c>
      <c r="D2607" t="s">
        <v>2602</v>
      </c>
      <c r="E2607" t="s">
        <v>3440</v>
      </c>
      <c r="F2607" t="s">
        <v>3425</v>
      </c>
      <c r="G2607" s="3">
        <v>35.267288616772802</v>
      </c>
      <c r="H2607" s="3">
        <v>126.551873527973</v>
      </c>
      <c r="I2607" t="s">
        <v>6372</v>
      </c>
      <c r="J2607" t="s">
        <v>9728</v>
      </c>
      <c r="K2607" t="s">
        <v>11012</v>
      </c>
      <c r="L2607" t="s">
        <v>3366</v>
      </c>
      <c r="M2607" t="s">
        <v>11913</v>
      </c>
      <c r="N2607" t="s">
        <v>3364</v>
      </c>
      <c r="O2607" t="s">
        <v>3361</v>
      </c>
      <c r="P2607" t="s">
        <v>3362</v>
      </c>
      <c r="Q2607" t="s">
        <v>3367</v>
      </c>
      <c r="R2607" t="s">
        <v>3357</v>
      </c>
      <c r="S2607" t="s">
        <v>15211</v>
      </c>
      <c r="T2607" t="s">
        <v>3387</v>
      </c>
      <c r="U2607" t="s">
        <v>14475</v>
      </c>
      <c r="V2607" t="s">
        <v>15277</v>
      </c>
    </row>
    <row r="2608" spans="1:22" hidden="1">
      <c r="A2608" t="s">
        <v>15422</v>
      </c>
      <c r="B2608" t="s">
        <v>15441</v>
      </c>
      <c r="C2608" t="s">
        <v>15449</v>
      </c>
      <c r="D2608" t="s">
        <v>2603</v>
      </c>
      <c r="E2608" t="s">
        <v>3440</v>
      </c>
      <c r="F2608" t="s">
        <v>3425</v>
      </c>
      <c r="G2608" s="3">
        <v>35.267288605700003</v>
      </c>
      <c r="H2608" s="3">
        <v>126.55187355640101</v>
      </c>
      <c r="I2608" t="s">
        <v>6373</v>
      </c>
      <c r="J2608" t="s">
        <v>9729</v>
      </c>
      <c r="K2608" t="s">
        <v>11012</v>
      </c>
      <c r="L2608" t="s">
        <v>3366</v>
      </c>
      <c r="M2608" t="s">
        <v>11913</v>
      </c>
      <c r="N2608" t="s">
        <v>3364</v>
      </c>
      <c r="O2608" t="s">
        <v>3361</v>
      </c>
      <c r="P2608" t="s">
        <v>3362</v>
      </c>
      <c r="Q2608" t="s">
        <v>3367</v>
      </c>
      <c r="R2608" t="s">
        <v>3357</v>
      </c>
      <c r="S2608" t="s">
        <v>15211</v>
      </c>
      <c r="T2608" t="s">
        <v>3387</v>
      </c>
      <c r="U2608" t="s">
        <v>14476</v>
      </c>
      <c r="V2608" t="s">
        <v>15277</v>
      </c>
    </row>
    <row r="2609" spans="1:22" hidden="1">
      <c r="A2609" t="s">
        <v>15422</v>
      </c>
      <c r="B2609" t="s">
        <v>15441</v>
      </c>
      <c r="C2609" t="s">
        <v>15449</v>
      </c>
      <c r="D2609" t="s">
        <v>2604</v>
      </c>
      <c r="E2609" t="s">
        <v>3440</v>
      </c>
      <c r="F2609" t="s">
        <v>3425</v>
      </c>
      <c r="G2609" s="3">
        <v>35.267288615110402</v>
      </c>
      <c r="H2609" s="3">
        <v>126.55187357798999</v>
      </c>
      <c r="I2609" t="s">
        <v>6374</v>
      </c>
      <c r="J2609" t="s">
        <v>9730</v>
      </c>
      <c r="K2609" t="s">
        <v>11587</v>
      </c>
      <c r="L2609" t="s">
        <v>3366</v>
      </c>
      <c r="M2609" t="s">
        <v>11907</v>
      </c>
      <c r="N2609" t="s">
        <v>3364</v>
      </c>
      <c r="O2609" t="s">
        <v>3360</v>
      </c>
      <c r="P2609" t="s">
        <v>3362</v>
      </c>
      <c r="Q2609" t="s">
        <v>3367</v>
      </c>
      <c r="R2609" t="s">
        <v>3357</v>
      </c>
      <c r="S2609" t="s">
        <v>15211</v>
      </c>
      <c r="T2609" t="s">
        <v>3386</v>
      </c>
      <c r="U2609" t="s">
        <v>14477</v>
      </c>
      <c r="V2609" t="s">
        <v>15277</v>
      </c>
    </row>
    <row r="2610" spans="1:22" hidden="1">
      <c r="A2610" t="s">
        <v>15422</v>
      </c>
      <c r="B2610" t="s">
        <v>15442</v>
      </c>
      <c r="C2610" t="s">
        <v>15450</v>
      </c>
      <c r="D2610" t="s">
        <v>2605</v>
      </c>
      <c r="E2610" t="s">
        <v>3430</v>
      </c>
      <c r="F2610" t="s">
        <v>3452</v>
      </c>
      <c r="G2610" s="3">
        <v>35.2672884541727</v>
      </c>
      <c r="H2610" s="3">
        <v>126.551873445749</v>
      </c>
      <c r="I2610" t="s">
        <v>6375</v>
      </c>
      <c r="J2610" t="s">
        <v>9731</v>
      </c>
      <c r="K2610" t="s">
        <v>11128</v>
      </c>
      <c r="L2610" t="s">
        <v>3366</v>
      </c>
      <c r="M2610" t="s">
        <v>11890</v>
      </c>
      <c r="N2610" t="s">
        <v>3364</v>
      </c>
      <c r="O2610" t="s">
        <v>3361</v>
      </c>
      <c r="P2610" t="s">
        <v>15211</v>
      </c>
      <c r="Q2610" t="s">
        <v>15211</v>
      </c>
      <c r="R2610" t="s">
        <v>15211</v>
      </c>
      <c r="S2610" t="s">
        <v>15211</v>
      </c>
      <c r="T2610" t="s">
        <v>3369</v>
      </c>
      <c r="U2610" t="s">
        <v>14478</v>
      </c>
      <c r="V2610" t="s">
        <v>15278</v>
      </c>
    </row>
    <row r="2611" spans="1:22" hidden="1">
      <c r="A2611" t="s">
        <v>15422</v>
      </c>
      <c r="B2611" t="s">
        <v>15442</v>
      </c>
      <c r="C2611" t="s">
        <v>15450</v>
      </c>
      <c r="D2611" t="s">
        <v>2606</v>
      </c>
      <c r="E2611" t="s">
        <v>3430</v>
      </c>
      <c r="F2611" t="s">
        <v>3461</v>
      </c>
      <c r="G2611" s="3">
        <v>35.267288488411303</v>
      </c>
      <c r="H2611" s="3">
        <v>126.551873418178</v>
      </c>
      <c r="I2611" t="s">
        <v>6376</v>
      </c>
      <c r="J2611" t="s">
        <v>9732</v>
      </c>
      <c r="K2611" t="s">
        <v>10762</v>
      </c>
      <c r="L2611" t="s">
        <v>3366</v>
      </c>
      <c r="M2611" t="s">
        <v>11890</v>
      </c>
      <c r="N2611" t="s">
        <v>3364</v>
      </c>
      <c r="O2611" t="s">
        <v>3361</v>
      </c>
      <c r="P2611" t="s">
        <v>15211</v>
      </c>
      <c r="Q2611" t="s">
        <v>15211</v>
      </c>
      <c r="R2611" t="s">
        <v>15211</v>
      </c>
      <c r="S2611" t="s">
        <v>15211</v>
      </c>
      <c r="T2611" t="s">
        <v>3369</v>
      </c>
      <c r="U2611" t="s">
        <v>14479</v>
      </c>
      <c r="V2611" t="s">
        <v>15278</v>
      </c>
    </row>
    <row r="2612" spans="1:22" hidden="1">
      <c r="A2612" t="s">
        <v>15422</v>
      </c>
      <c r="B2612" t="s">
        <v>15442</v>
      </c>
      <c r="C2612" t="s">
        <v>15450</v>
      </c>
      <c r="D2612" t="s">
        <v>2607</v>
      </c>
      <c r="E2612" t="s">
        <v>3430</v>
      </c>
      <c r="F2612" t="s">
        <v>3461</v>
      </c>
      <c r="G2612" s="3">
        <v>35.267288557480903</v>
      </c>
      <c r="H2612" s="3">
        <v>126.55187340783699</v>
      </c>
      <c r="I2612" t="s">
        <v>6377</v>
      </c>
      <c r="J2612" t="s">
        <v>9733</v>
      </c>
      <c r="K2612" t="s">
        <v>11128</v>
      </c>
      <c r="L2612" t="s">
        <v>3366</v>
      </c>
      <c r="M2612" t="s">
        <v>11890</v>
      </c>
      <c r="N2612" t="s">
        <v>3364</v>
      </c>
      <c r="O2612" t="s">
        <v>3361</v>
      </c>
      <c r="P2612" t="s">
        <v>15211</v>
      </c>
      <c r="Q2612" t="s">
        <v>15211</v>
      </c>
      <c r="R2612" t="s">
        <v>15211</v>
      </c>
      <c r="S2612" t="s">
        <v>15211</v>
      </c>
      <c r="T2612" t="s">
        <v>3369</v>
      </c>
      <c r="U2612" t="s">
        <v>14480</v>
      </c>
      <c r="V2612" t="s">
        <v>15278</v>
      </c>
    </row>
    <row r="2613" spans="1:22" hidden="1">
      <c r="A2613" t="s">
        <v>15422</v>
      </c>
      <c r="B2613" t="s">
        <v>15442</v>
      </c>
      <c r="C2613" t="s">
        <v>15445</v>
      </c>
      <c r="D2613" t="s">
        <v>2608</v>
      </c>
      <c r="E2613" t="s">
        <v>3438</v>
      </c>
      <c r="F2613" t="s">
        <v>3434</v>
      </c>
      <c r="G2613" s="3">
        <v>35.267288683805702</v>
      </c>
      <c r="H2613" s="3">
        <v>126.551873394372</v>
      </c>
      <c r="I2613" t="s">
        <v>6378</v>
      </c>
      <c r="J2613" t="s">
        <v>9734</v>
      </c>
      <c r="K2613" t="s">
        <v>11352</v>
      </c>
      <c r="L2613" t="s">
        <v>3366</v>
      </c>
      <c r="M2613" t="s">
        <v>11890</v>
      </c>
      <c r="N2613" t="s">
        <v>3365</v>
      </c>
      <c r="O2613" t="s">
        <v>3361</v>
      </c>
      <c r="P2613" t="s">
        <v>15211</v>
      </c>
      <c r="Q2613" t="s">
        <v>15211</v>
      </c>
      <c r="R2613" t="s">
        <v>15211</v>
      </c>
      <c r="S2613" t="s">
        <v>15211</v>
      </c>
      <c r="T2613" t="s">
        <v>3370</v>
      </c>
      <c r="U2613" t="s">
        <v>14481</v>
      </c>
      <c r="V2613" t="s">
        <v>15279</v>
      </c>
    </row>
    <row r="2614" spans="1:22" hidden="1">
      <c r="A2614" t="s">
        <v>15422</v>
      </c>
      <c r="B2614" t="s">
        <v>15442</v>
      </c>
      <c r="C2614" t="s">
        <v>15445</v>
      </c>
      <c r="D2614" t="s">
        <v>2609</v>
      </c>
      <c r="E2614" t="s">
        <v>3438</v>
      </c>
      <c r="F2614" t="s">
        <v>3435</v>
      </c>
      <c r="G2614" s="3">
        <v>35.267288661350001</v>
      </c>
      <c r="H2614" s="3">
        <v>126.55187339801699</v>
      </c>
      <c r="I2614" t="s">
        <v>6379</v>
      </c>
      <c r="J2614" t="s">
        <v>9735</v>
      </c>
      <c r="K2614" t="s">
        <v>11424</v>
      </c>
      <c r="L2614" t="s">
        <v>3366</v>
      </c>
      <c r="M2614" t="s">
        <v>11890</v>
      </c>
      <c r="N2614" t="s">
        <v>3364</v>
      </c>
      <c r="O2614" t="s">
        <v>3361</v>
      </c>
      <c r="P2614" t="s">
        <v>15211</v>
      </c>
      <c r="Q2614" t="s">
        <v>15211</v>
      </c>
      <c r="R2614" t="s">
        <v>15211</v>
      </c>
      <c r="S2614" t="s">
        <v>15211</v>
      </c>
      <c r="T2614" t="s">
        <v>3369</v>
      </c>
      <c r="U2614" t="s">
        <v>14482</v>
      </c>
      <c r="V2614" t="s">
        <v>15279</v>
      </c>
    </row>
    <row r="2615" spans="1:22" hidden="1">
      <c r="A2615" t="s">
        <v>15422</v>
      </c>
      <c r="B2615" t="s">
        <v>15442</v>
      </c>
      <c r="C2615" t="s">
        <v>15445</v>
      </c>
      <c r="D2615" t="s">
        <v>2610</v>
      </c>
      <c r="E2615" t="s">
        <v>3438</v>
      </c>
      <c r="F2615" t="s">
        <v>3435</v>
      </c>
      <c r="G2615" s="3">
        <v>35.267288685373003</v>
      </c>
      <c r="H2615" s="3">
        <v>126.551873359853</v>
      </c>
      <c r="I2615" t="s">
        <v>6380</v>
      </c>
      <c r="J2615" t="s">
        <v>9736</v>
      </c>
      <c r="K2615" t="s">
        <v>10966</v>
      </c>
      <c r="L2615" t="s">
        <v>3366</v>
      </c>
      <c r="M2615" t="s">
        <v>11890</v>
      </c>
      <c r="N2615" t="s">
        <v>3364</v>
      </c>
      <c r="O2615" t="s">
        <v>3361</v>
      </c>
      <c r="P2615" t="s">
        <v>15211</v>
      </c>
      <c r="Q2615" t="s">
        <v>15211</v>
      </c>
      <c r="R2615" t="s">
        <v>15211</v>
      </c>
      <c r="S2615" t="s">
        <v>15211</v>
      </c>
      <c r="T2615" t="s">
        <v>3369</v>
      </c>
      <c r="U2615" t="s">
        <v>14483</v>
      </c>
      <c r="V2615" t="s">
        <v>15279</v>
      </c>
    </row>
    <row r="2616" spans="1:22" hidden="1">
      <c r="A2616" t="s">
        <v>15422</v>
      </c>
      <c r="B2616" t="s">
        <v>15442</v>
      </c>
      <c r="C2616" t="s">
        <v>15451</v>
      </c>
      <c r="D2616" t="s">
        <v>2611</v>
      </c>
      <c r="E2616" t="s">
        <v>3440</v>
      </c>
      <c r="F2616" t="s">
        <v>3425</v>
      </c>
      <c r="G2616" s="3">
        <v>35.267288884009801</v>
      </c>
      <c r="H2616" s="3">
        <v>126.55187341046999</v>
      </c>
      <c r="I2616" t="s">
        <v>6381</v>
      </c>
      <c r="J2616" t="s">
        <v>9737</v>
      </c>
      <c r="K2616" t="s">
        <v>10692</v>
      </c>
      <c r="L2616" t="s">
        <v>3366</v>
      </c>
      <c r="M2616" t="s">
        <v>11905</v>
      </c>
      <c r="N2616" t="s">
        <v>3365</v>
      </c>
      <c r="O2616" t="s">
        <v>3361</v>
      </c>
      <c r="P2616" t="s">
        <v>3362</v>
      </c>
      <c r="Q2616" t="s">
        <v>3370</v>
      </c>
      <c r="R2616" t="s">
        <v>15211</v>
      </c>
      <c r="S2616" t="s">
        <v>15211</v>
      </c>
      <c r="T2616" t="s">
        <v>3390</v>
      </c>
      <c r="U2616" t="s">
        <v>14484</v>
      </c>
      <c r="V2616" t="s">
        <v>15280</v>
      </c>
    </row>
    <row r="2617" spans="1:22" hidden="1">
      <c r="A2617" t="s">
        <v>15422</v>
      </c>
      <c r="B2617" t="s">
        <v>15442</v>
      </c>
      <c r="C2617" t="s">
        <v>15451</v>
      </c>
      <c r="D2617" t="s">
        <v>2612</v>
      </c>
      <c r="E2617" t="s">
        <v>3440</v>
      </c>
      <c r="F2617" t="s">
        <v>3425</v>
      </c>
      <c r="G2617" s="3">
        <v>35.267288887177003</v>
      </c>
      <c r="H2617" s="3">
        <v>126.551873441742</v>
      </c>
      <c r="I2617" t="s">
        <v>6382</v>
      </c>
      <c r="J2617" t="s">
        <v>9738</v>
      </c>
      <c r="K2617" t="s">
        <v>11733</v>
      </c>
      <c r="L2617" t="s">
        <v>3366</v>
      </c>
      <c r="M2617" t="s">
        <v>11904</v>
      </c>
      <c r="N2617" t="s">
        <v>3365</v>
      </c>
      <c r="O2617" t="s">
        <v>3361</v>
      </c>
      <c r="P2617" t="s">
        <v>3362</v>
      </c>
      <c r="Q2617" t="s">
        <v>3370</v>
      </c>
      <c r="R2617" t="s">
        <v>15211</v>
      </c>
      <c r="S2617" t="s">
        <v>15211</v>
      </c>
      <c r="T2617" t="s">
        <v>3390</v>
      </c>
      <c r="U2617" t="s">
        <v>14485</v>
      </c>
      <c r="V2617" t="s">
        <v>15280</v>
      </c>
    </row>
    <row r="2618" spans="1:22" hidden="1">
      <c r="A2618" t="s">
        <v>15422</v>
      </c>
      <c r="B2618" t="s">
        <v>15442</v>
      </c>
      <c r="C2618" t="s">
        <v>15451</v>
      </c>
      <c r="D2618" t="s">
        <v>2613</v>
      </c>
      <c r="E2618" t="s">
        <v>3440</v>
      </c>
      <c r="F2618" t="s">
        <v>3431</v>
      </c>
      <c r="G2618" s="3">
        <v>35.267288886597598</v>
      </c>
      <c r="H2618" s="3">
        <v>126.55187344965699</v>
      </c>
      <c r="I2618" t="s">
        <v>6383</v>
      </c>
      <c r="J2618" t="s">
        <v>9739</v>
      </c>
      <c r="K2618" t="s">
        <v>3480</v>
      </c>
      <c r="L2618" t="s">
        <v>3366</v>
      </c>
      <c r="M2618" t="s">
        <v>11904</v>
      </c>
      <c r="N2618" t="s">
        <v>3364</v>
      </c>
      <c r="O2618" t="s">
        <v>3361</v>
      </c>
      <c r="P2618" t="s">
        <v>3362</v>
      </c>
      <c r="Q2618" t="s">
        <v>3370</v>
      </c>
      <c r="R2618" t="s">
        <v>15211</v>
      </c>
      <c r="S2618" t="s">
        <v>15211</v>
      </c>
      <c r="T2618" t="s">
        <v>3389</v>
      </c>
      <c r="U2618" t="s">
        <v>14485</v>
      </c>
      <c r="V2618" t="s">
        <v>15280</v>
      </c>
    </row>
    <row r="2619" spans="1:22" hidden="1">
      <c r="A2619" t="s">
        <v>15298</v>
      </c>
      <c r="B2619" t="s">
        <v>15441</v>
      </c>
      <c r="C2619" t="s">
        <v>15445</v>
      </c>
      <c r="D2619" t="s">
        <v>2614</v>
      </c>
      <c r="E2619" t="s">
        <v>3429</v>
      </c>
      <c r="F2619" t="s">
        <v>3426</v>
      </c>
      <c r="G2619" s="3">
        <v>34.826555759574603</v>
      </c>
      <c r="H2619" s="3">
        <v>127.731598570293</v>
      </c>
      <c r="I2619" t="s">
        <v>6384</v>
      </c>
      <c r="J2619" t="s">
        <v>9740</v>
      </c>
      <c r="K2619" t="s">
        <v>10991</v>
      </c>
      <c r="L2619" t="s">
        <v>3366</v>
      </c>
      <c r="M2619" t="s">
        <v>11886</v>
      </c>
      <c r="N2619" t="s">
        <v>3362</v>
      </c>
      <c r="O2619" t="s">
        <v>3361</v>
      </c>
      <c r="P2619" t="s">
        <v>15211</v>
      </c>
      <c r="Q2619" t="s">
        <v>15211</v>
      </c>
      <c r="R2619" t="s">
        <v>15211</v>
      </c>
      <c r="S2619" t="s">
        <v>15211</v>
      </c>
      <c r="T2619" t="s">
        <v>3367</v>
      </c>
      <c r="U2619" t="s">
        <v>14486</v>
      </c>
      <c r="V2619" t="s">
        <v>15274</v>
      </c>
    </row>
    <row r="2620" spans="1:22" hidden="1">
      <c r="A2620" t="s">
        <v>15298</v>
      </c>
      <c r="B2620" t="s">
        <v>15441</v>
      </c>
      <c r="C2620" t="s">
        <v>15445</v>
      </c>
      <c r="D2620" t="s">
        <v>2615</v>
      </c>
      <c r="E2620" t="s">
        <v>3429</v>
      </c>
      <c r="F2620" t="s">
        <v>3462</v>
      </c>
      <c r="G2620" s="3">
        <v>34.826555760293402</v>
      </c>
      <c r="H2620" s="3">
        <v>127.731598577672</v>
      </c>
      <c r="I2620" t="s">
        <v>6385</v>
      </c>
      <c r="J2620" t="s">
        <v>9741</v>
      </c>
      <c r="K2620" t="s">
        <v>10991</v>
      </c>
      <c r="L2620" t="s">
        <v>3366</v>
      </c>
      <c r="M2620" t="s">
        <v>11886</v>
      </c>
      <c r="N2620" t="s">
        <v>3362</v>
      </c>
      <c r="O2620" t="s">
        <v>3361</v>
      </c>
      <c r="P2620" t="s">
        <v>15211</v>
      </c>
      <c r="Q2620" t="s">
        <v>15211</v>
      </c>
      <c r="R2620" t="s">
        <v>15211</v>
      </c>
      <c r="S2620" t="s">
        <v>15211</v>
      </c>
      <c r="T2620" t="s">
        <v>3367</v>
      </c>
      <c r="U2620" t="s">
        <v>14487</v>
      </c>
      <c r="V2620" t="s">
        <v>15274</v>
      </c>
    </row>
    <row r="2621" spans="1:22" hidden="1">
      <c r="A2621" t="s">
        <v>15298</v>
      </c>
      <c r="B2621" t="s">
        <v>15441</v>
      </c>
      <c r="C2621" t="s">
        <v>15445</v>
      </c>
      <c r="D2621" t="s">
        <v>2616</v>
      </c>
      <c r="E2621" t="s">
        <v>3429</v>
      </c>
      <c r="F2621" t="s">
        <v>3462</v>
      </c>
      <c r="G2621" s="3">
        <v>34.826555741980101</v>
      </c>
      <c r="H2621" s="3">
        <v>127.731598577055</v>
      </c>
      <c r="I2621" t="s">
        <v>6386</v>
      </c>
      <c r="J2621" t="s">
        <v>9742</v>
      </c>
      <c r="K2621" t="s">
        <v>10991</v>
      </c>
      <c r="L2621" t="s">
        <v>3366</v>
      </c>
      <c r="M2621" t="s">
        <v>11886</v>
      </c>
      <c r="N2621" t="s">
        <v>3362</v>
      </c>
      <c r="O2621" t="s">
        <v>3361</v>
      </c>
      <c r="P2621" t="s">
        <v>15211</v>
      </c>
      <c r="Q2621" t="s">
        <v>15211</v>
      </c>
      <c r="R2621" t="s">
        <v>15211</v>
      </c>
      <c r="S2621" t="s">
        <v>15211</v>
      </c>
      <c r="T2621" t="s">
        <v>3367</v>
      </c>
      <c r="U2621" t="s">
        <v>14488</v>
      </c>
      <c r="V2621" t="s">
        <v>15274</v>
      </c>
    </row>
    <row r="2622" spans="1:22" hidden="1">
      <c r="A2622" t="s">
        <v>15298</v>
      </c>
      <c r="B2622" t="s">
        <v>15441</v>
      </c>
      <c r="C2622" t="s">
        <v>15446</v>
      </c>
      <c r="D2622" t="s">
        <v>2617</v>
      </c>
      <c r="E2622" t="s">
        <v>3442</v>
      </c>
      <c r="F2622" t="s">
        <v>3484</v>
      </c>
      <c r="G2622" s="3">
        <v>34.826555675678698</v>
      </c>
      <c r="H2622" s="3">
        <v>127.73159847935899</v>
      </c>
      <c r="I2622" t="s">
        <v>6387</v>
      </c>
      <c r="J2622" t="s">
        <v>9743</v>
      </c>
      <c r="K2622" t="s">
        <v>10710</v>
      </c>
      <c r="L2622" t="s">
        <v>3366</v>
      </c>
      <c r="M2622" t="s">
        <v>11886</v>
      </c>
      <c r="N2622" t="s">
        <v>3362</v>
      </c>
      <c r="O2622" t="s">
        <v>3361</v>
      </c>
      <c r="P2622" t="s">
        <v>15211</v>
      </c>
      <c r="Q2622" t="s">
        <v>15211</v>
      </c>
      <c r="R2622" t="s">
        <v>15211</v>
      </c>
      <c r="S2622" t="s">
        <v>15211</v>
      </c>
      <c r="T2622" t="s">
        <v>3367</v>
      </c>
      <c r="U2622" t="s">
        <v>14489</v>
      </c>
      <c r="V2622" t="s">
        <v>15275</v>
      </c>
    </row>
    <row r="2623" spans="1:22" hidden="1">
      <c r="A2623" t="s">
        <v>15298</v>
      </c>
      <c r="B2623" t="s">
        <v>15441</v>
      </c>
      <c r="C2623" t="s">
        <v>15446</v>
      </c>
      <c r="D2623" t="s">
        <v>2618</v>
      </c>
      <c r="E2623" t="s">
        <v>3442</v>
      </c>
      <c r="F2623" t="s">
        <v>3579</v>
      </c>
      <c r="G2623" s="3">
        <v>34.826555656635797</v>
      </c>
      <c r="H2623" s="3">
        <v>127.731598528234</v>
      </c>
      <c r="I2623" t="s">
        <v>6388</v>
      </c>
      <c r="J2623" t="s">
        <v>9744</v>
      </c>
      <c r="K2623" t="s">
        <v>10822</v>
      </c>
      <c r="L2623" t="s">
        <v>3366</v>
      </c>
      <c r="M2623" t="s">
        <v>11886</v>
      </c>
      <c r="N2623" t="s">
        <v>3362</v>
      </c>
      <c r="O2623" t="s">
        <v>3361</v>
      </c>
      <c r="P2623" t="s">
        <v>15211</v>
      </c>
      <c r="Q2623" t="s">
        <v>15211</v>
      </c>
      <c r="R2623" t="s">
        <v>15211</v>
      </c>
      <c r="S2623" t="s">
        <v>15211</v>
      </c>
      <c r="T2623" t="s">
        <v>3367</v>
      </c>
      <c r="U2623" t="s">
        <v>14490</v>
      </c>
      <c r="V2623" t="s">
        <v>15275</v>
      </c>
    </row>
    <row r="2624" spans="1:22" hidden="1">
      <c r="A2624" t="s">
        <v>15298</v>
      </c>
      <c r="B2624" t="s">
        <v>15441</v>
      </c>
      <c r="C2624" t="s">
        <v>15446</v>
      </c>
      <c r="D2624" t="s">
        <v>2619</v>
      </c>
      <c r="E2624" t="s">
        <v>3441</v>
      </c>
      <c r="F2624" t="s">
        <v>3515</v>
      </c>
      <c r="G2624" s="3">
        <v>34.826555657994803</v>
      </c>
      <c r="H2624" s="3">
        <v>127.731598547137</v>
      </c>
      <c r="I2624" t="s">
        <v>6389</v>
      </c>
      <c r="J2624" t="s">
        <v>9745</v>
      </c>
      <c r="K2624" t="s">
        <v>11734</v>
      </c>
      <c r="L2624" t="s">
        <v>3366</v>
      </c>
      <c r="M2624" t="s">
        <v>11886</v>
      </c>
      <c r="N2624" t="s">
        <v>3362</v>
      </c>
      <c r="O2624" t="s">
        <v>3361</v>
      </c>
      <c r="P2624" t="s">
        <v>15211</v>
      </c>
      <c r="Q2624" t="s">
        <v>15211</v>
      </c>
      <c r="R2624" t="s">
        <v>15211</v>
      </c>
      <c r="S2624" t="s">
        <v>15211</v>
      </c>
      <c r="T2624" t="s">
        <v>3367</v>
      </c>
      <c r="U2624" t="s">
        <v>14491</v>
      </c>
      <c r="V2624" t="s">
        <v>15275</v>
      </c>
    </row>
    <row r="2625" spans="1:22" hidden="1">
      <c r="A2625" t="s">
        <v>15298</v>
      </c>
      <c r="B2625" t="s">
        <v>15441</v>
      </c>
      <c r="C2625" t="s">
        <v>15448</v>
      </c>
      <c r="D2625" t="s">
        <v>2620</v>
      </c>
      <c r="E2625" t="s">
        <v>3442</v>
      </c>
      <c r="F2625" t="s">
        <v>3563</v>
      </c>
      <c r="G2625" s="3">
        <v>34.826555826118998</v>
      </c>
      <c r="H2625" s="3">
        <v>127.731598519325</v>
      </c>
      <c r="I2625" t="s">
        <v>6390</v>
      </c>
      <c r="J2625" t="s">
        <v>9746</v>
      </c>
      <c r="K2625" t="s">
        <v>11735</v>
      </c>
      <c r="L2625" t="s">
        <v>3366</v>
      </c>
      <c r="M2625" t="s">
        <v>11906</v>
      </c>
      <c r="N2625" t="s">
        <v>3362</v>
      </c>
      <c r="O2625" t="s">
        <v>3361</v>
      </c>
      <c r="P2625" t="s">
        <v>3365</v>
      </c>
      <c r="Q2625" t="s">
        <v>3367</v>
      </c>
      <c r="R2625" t="s">
        <v>3357</v>
      </c>
      <c r="S2625" t="s">
        <v>15211</v>
      </c>
      <c r="T2625" t="s">
        <v>3388</v>
      </c>
      <c r="U2625" t="s">
        <v>14492</v>
      </c>
      <c r="V2625" t="s">
        <v>15276</v>
      </c>
    </row>
    <row r="2626" spans="1:22" hidden="1">
      <c r="A2626" t="s">
        <v>15298</v>
      </c>
      <c r="B2626" t="s">
        <v>15441</v>
      </c>
      <c r="C2626" t="s">
        <v>15448</v>
      </c>
      <c r="D2626" t="s">
        <v>2621</v>
      </c>
      <c r="E2626" t="s">
        <v>3442</v>
      </c>
      <c r="F2626" t="s">
        <v>3458</v>
      </c>
      <c r="G2626" s="3">
        <v>34.826555832083997</v>
      </c>
      <c r="H2626" s="3">
        <v>127.731598505221</v>
      </c>
      <c r="I2626" t="s">
        <v>6391</v>
      </c>
      <c r="J2626" t="s">
        <v>9747</v>
      </c>
      <c r="K2626" t="s">
        <v>11735</v>
      </c>
      <c r="L2626" t="s">
        <v>3366</v>
      </c>
      <c r="M2626" t="s">
        <v>11906</v>
      </c>
      <c r="N2626" t="s">
        <v>3362</v>
      </c>
      <c r="O2626" t="s">
        <v>3361</v>
      </c>
      <c r="P2626" t="s">
        <v>3365</v>
      </c>
      <c r="Q2626" t="s">
        <v>3367</v>
      </c>
      <c r="R2626" t="s">
        <v>3357</v>
      </c>
      <c r="S2626" t="s">
        <v>15211</v>
      </c>
      <c r="T2626" t="s">
        <v>3388</v>
      </c>
      <c r="U2626" t="s">
        <v>14493</v>
      </c>
      <c r="V2626" t="s">
        <v>15276</v>
      </c>
    </row>
    <row r="2627" spans="1:22" hidden="1">
      <c r="A2627" t="s">
        <v>15298</v>
      </c>
      <c r="B2627" t="s">
        <v>15441</v>
      </c>
      <c r="C2627" t="s">
        <v>15448</v>
      </c>
      <c r="D2627" t="s">
        <v>2622</v>
      </c>
      <c r="E2627" t="s">
        <v>3442</v>
      </c>
      <c r="F2627" t="s">
        <v>3458</v>
      </c>
      <c r="G2627" s="3">
        <v>34.826555828499401</v>
      </c>
      <c r="H2627" s="3">
        <v>127.731598517663</v>
      </c>
      <c r="I2627" t="s">
        <v>6392</v>
      </c>
      <c r="J2627" t="s">
        <v>9748</v>
      </c>
      <c r="K2627" t="s">
        <v>11735</v>
      </c>
      <c r="L2627" t="s">
        <v>3366</v>
      </c>
      <c r="M2627" t="s">
        <v>11906</v>
      </c>
      <c r="N2627" t="s">
        <v>3362</v>
      </c>
      <c r="O2627" t="s">
        <v>3361</v>
      </c>
      <c r="P2627" t="s">
        <v>3365</v>
      </c>
      <c r="Q2627" t="s">
        <v>3367</v>
      </c>
      <c r="R2627" t="s">
        <v>3357</v>
      </c>
      <c r="S2627" t="s">
        <v>15211</v>
      </c>
      <c r="T2627" t="s">
        <v>3388</v>
      </c>
      <c r="U2627" t="s">
        <v>14494</v>
      </c>
      <c r="V2627" t="s">
        <v>15276</v>
      </c>
    </row>
    <row r="2628" spans="1:22" hidden="1">
      <c r="A2628" t="s">
        <v>15298</v>
      </c>
      <c r="B2628" t="s">
        <v>15441</v>
      </c>
      <c r="C2628" t="s">
        <v>15449</v>
      </c>
      <c r="D2628" t="s">
        <v>2623</v>
      </c>
      <c r="E2628" t="s">
        <v>3425</v>
      </c>
      <c r="F2628" t="s">
        <v>3442</v>
      </c>
      <c r="G2628" s="3">
        <v>34.826555827113097</v>
      </c>
      <c r="H2628" s="3">
        <v>127.731598481538</v>
      </c>
      <c r="I2628" t="s">
        <v>6393</v>
      </c>
      <c r="J2628" t="s">
        <v>9749</v>
      </c>
      <c r="K2628" t="s">
        <v>11736</v>
      </c>
      <c r="L2628" t="s">
        <v>3366</v>
      </c>
      <c r="M2628" t="s">
        <v>11913</v>
      </c>
      <c r="N2628" t="s">
        <v>3362</v>
      </c>
      <c r="O2628" t="s">
        <v>3361</v>
      </c>
      <c r="P2628" t="s">
        <v>3365</v>
      </c>
      <c r="Q2628" t="s">
        <v>3367</v>
      </c>
      <c r="R2628" t="s">
        <v>15211</v>
      </c>
      <c r="S2628" t="s">
        <v>15211</v>
      </c>
      <c r="T2628" t="s">
        <v>3387</v>
      </c>
      <c r="U2628" t="s">
        <v>14495</v>
      </c>
      <c r="V2628" t="s">
        <v>15277</v>
      </c>
    </row>
    <row r="2629" spans="1:22" hidden="1">
      <c r="A2629" t="s">
        <v>15298</v>
      </c>
      <c r="B2629" t="s">
        <v>15441</v>
      </c>
      <c r="C2629" t="s">
        <v>15449</v>
      </c>
      <c r="D2629" t="s">
        <v>2624</v>
      </c>
      <c r="E2629" t="s">
        <v>3436</v>
      </c>
      <c r="F2629" t="s">
        <v>3442</v>
      </c>
      <c r="G2629" s="3">
        <v>34.826555772722898</v>
      </c>
      <c r="H2629" s="3">
        <v>127.73159852825</v>
      </c>
      <c r="I2629" t="s">
        <v>6394</v>
      </c>
      <c r="J2629" t="s">
        <v>9750</v>
      </c>
      <c r="K2629" t="s">
        <v>11737</v>
      </c>
      <c r="L2629" t="s">
        <v>3366</v>
      </c>
      <c r="M2629" t="s">
        <v>11907</v>
      </c>
      <c r="N2629" t="s">
        <v>3362</v>
      </c>
      <c r="O2629" t="s">
        <v>3360</v>
      </c>
      <c r="P2629" t="s">
        <v>3365</v>
      </c>
      <c r="Q2629" t="s">
        <v>3367</v>
      </c>
      <c r="R2629" t="s">
        <v>15211</v>
      </c>
      <c r="S2629" t="s">
        <v>15211</v>
      </c>
      <c r="T2629" t="s">
        <v>3386</v>
      </c>
      <c r="U2629" t="s">
        <v>14496</v>
      </c>
      <c r="V2629" t="s">
        <v>15277</v>
      </c>
    </row>
    <row r="2630" spans="1:22" hidden="1">
      <c r="A2630" t="s">
        <v>15298</v>
      </c>
      <c r="B2630" t="s">
        <v>15441</v>
      </c>
      <c r="C2630" t="s">
        <v>15449</v>
      </c>
      <c r="D2630" t="s">
        <v>2625</v>
      </c>
      <c r="E2630" t="s">
        <v>3436</v>
      </c>
      <c r="F2630" t="s">
        <v>3441</v>
      </c>
      <c r="G2630" s="3">
        <v>34.826555767363203</v>
      </c>
      <c r="H2630" s="3">
        <v>127.73159851438901</v>
      </c>
      <c r="I2630" t="s">
        <v>6395</v>
      </c>
      <c r="J2630" t="s">
        <v>9751</v>
      </c>
      <c r="K2630" t="s">
        <v>3560</v>
      </c>
      <c r="L2630" t="s">
        <v>3366</v>
      </c>
      <c r="M2630" t="s">
        <v>11913</v>
      </c>
      <c r="N2630" t="s">
        <v>3362</v>
      </c>
      <c r="O2630" t="s">
        <v>3360</v>
      </c>
      <c r="P2630" t="s">
        <v>3365</v>
      </c>
      <c r="Q2630" t="s">
        <v>3367</v>
      </c>
      <c r="R2630" t="s">
        <v>15211</v>
      </c>
      <c r="S2630" t="s">
        <v>15211</v>
      </c>
      <c r="T2630" t="s">
        <v>3386</v>
      </c>
      <c r="U2630" t="s">
        <v>14497</v>
      </c>
      <c r="V2630" t="s">
        <v>15277</v>
      </c>
    </row>
    <row r="2631" spans="1:22" hidden="1">
      <c r="A2631" t="s">
        <v>15298</v>
      </c>
      <c r="B2631" t="s">
        <v>15442</v>
      </c>
      <c r="C2631" t="s">
        <v>15445</v>
      </c>
      <c r="D2631" t="s">
        <v>2626</v>
      </c>
      <c r="E2631" t="s">
        <v>3440</v>
      </c>
      <c r="F2631" t="s">
        <v>3434</v>
      </c>
      <c r="G2631" s="3">
        <v>34.826555833402097</v>
      </c>
      <c r="H2631" s="3">
        <v>127.731598593537</v>
      </c>
      <c r="I2631" t="s">
        <v>6396</v>
      </c>
      <c r="J2631" t="s">
        <v>9752</v>
      </c>
      <c r="K2631" t="s">
        <v>11485</v>
      </c>
      <c r="L2631" t="s">
        <v>3366</v>
      </c>
      <c r="M2631" t="s">
        <v>11885</v>
      </c>
      <c r="N2631" t="s">
        <v>3363</v>
      </c>
      <c r="O2631" t="s">
        <v>3361</v>
      </c>
      <c r="P2631" t="s">
        <v>15211</v>
      </c>
      <c r="Q2631" t="s">
        <v>15211</v>
      </c>
      <c r="R2631" t="s">
        <v>15211</v>
      </c>
      <c r="S2631" t="s">
        <v>15211</v>
      </c>
      <c r="T2631" t="s">
        <v>3368</v>
      </c>
      <c r="U2631" t="s">
        <v>14498</v>
      </c>
      <c r="V2631" t="s">
        <v>15279</v>
      </c>
    </row>
    <row r="2632" spans="1:22" hidden="1">
      <c r="A2632" t="s">
        <v>15298</v>
      </c>
      <c r="B2632" t="s">
        <v>15442</v>
      </c>
      <c r="C2632" t="s">
        <v>15445</v>
      </c>
      <c r="D2632" t="s">
        <v>2627</v>
      </c>
      <c r="E2632" t="s">
        <v>3438</v>
      </c>
      <c r="F2632" t="s">
        <v>3429</v>
      </c>
      <c r="G2632" s="3">
        <v>34.826555843832502</v>
      </c>
      <c r="H2632" s="3">
        <v>127.73159853307401</v>
      </c>
      <c r="I2632" t="s">
        <v>6397</v>
      </c>
      <c r="J2632" t="s">
        <v>9753</v>
      </c>
      <c r="K2632" t="s">
        <v>10747</v>
      </c>
      <c r="L2632" t="s">
        <v>3366</v>
      </c>
      <c r="M2632" t="s">
        <v>11886</v>
      </c>
      <c r="N2632" t="s">
        <v>3362</v>
      </c>
      <c r="O2632" t="s">
        <v>3361</v>
      </c>
      <c r="P2632" t="s">
        <v>15211</v>
      </c>
      <c r="Q2632" t="s">
        <v>15211</v>
      </c>
      <c r="R2632" t="s">
        <v>15211</v>
      </c>
      <c r="S2632" t="s">
        <v>15211</v>
      </c>
      <c r="T2632" t="s">
        <v>3367</v>
      </c>
      <c r="U2632" t="s">
        <v>14499</v>
      </c>
      <c r="V2632" t="s">
        <v>15279</v>
      </c>
    </row>
    <row r="2633" spans="1:22" hidden="1">
      <c r="A2633" t="s">
        <v>15298</v>
      </c>
      <c r="B2633" t="s">
        <v>15442</v>
      </c>
      <c r="C2633" t="s">
        <v>15445</v>
      </c>
      <c r="D2633" t="s">
        <v>2628</v>
      </c>
      <c r="E2633" t="s">
        <v>3438</v>
      </c>
      <c r="F2633" t="s">
        <v>3430</v>
      </c>
      <c r="G2633" s="3">
        <v>34.826555643381198</v>
      </c>
      <c r="H2633" s="3">
        <v>127.731598636827</v>
      </c>
      <c r="I2633" t="s">
        <v>6398</v>
      </c>
      <c r="J2633" t="s">
        <v>9754</v>
      </c>
      <c r="K2633" t="s">
        <v>10747</v>
      </c>
      <c r="L2633" t="s">
        <v>3366</v>
      </c>
      <c r="M2633" t="s">
        <v>11886</v>
      </c>
      <c r="N2633" t="s">
        <v>3362</v>
      </c>
      <c r="O2633" t="s">
        <v>3361</v>
      </c>
      <c r="P2633" t="s">
        <v>15211</v>
      </c>
      <c r="Q2633" t="s">
        <v>15211</v>
      </c>
      <c r="R2633" t="s">
        <v>15211</v>
      </c>
      <c r="S2633" t="s">
        <v>15211</v>
      </c>
      <c r="T2633" t="s">
        <v>3367</v>
      </c>
      <c r="U2633" t="s">
        <v>14500</v>
      </c>
      <c r="V2633" t="s">
        <v>15279</v>
      </c>
    </row>
    <row r="2634" spans="1:22" hidden="1">
      <c r="A2634" t="s">
        <v>15298</v>
      </c>
      <c r="B2634" t="s">
        <v>15442</v>
      </c>
      <c r="C2634" t="s">
        <v>15451</v>
      </c>
      <c r="D2634" t="s">
        <v>2629</v>
      </c>
      <c r="E2634" t="s">
        <v>3427</v>
      </c>
      <c r="F2634" t="s">
        <v>3430</v>
      </c>
      <c r="G2634" s="3">
        <v>34.826555741205901</v>
      </c>
      <c r="H2634" s="3">
        <v>127.731598574267</v>
      </c>
      <c r="I2634" t="s">
        <v>6399</v>
      </c>
      <c r="J2634" t="s">
        <v>9755</v>
      </c>
      <c r="K2634" t="s">
        <v>11726</v>
      </c>
      <c r="L2634" t="s">
        <v>3366</v>
      </c>
      <c r="M2634" t="s">
        <v>11906</v>
      </c>
      <c r="N2634" t="s">
        <v>3362</v>
      </c>
      <c r="O2634" t="s">
        <v>3361</v>
      </c>
      <c r="P2634" t="s">
        <v>3365</v>
      </c>
      <c r="Q2634" t="s">
        <v>3368</v>
      </c>
      <c r="R2634" t="s">
        <v>15211</v>
      </c>
      <c r="S2634" t="s">
        <v>15211</v>
      </c>
      <c r="T2634" t="s">
        <v>3388</v>
      </c>
      <c r="U2634" t="s">
        <v>14501</v>
      </c>
      <c r="V2634" t="s">
        <v>15280</v>
      </c>
    </row>
    <row r="2635" spans="1:22" hidden="1">
      <c r="A2635" t="s">
        <v>15298</v>
      </c>
      <c r="B2635" t="s">
        <v>15442</v>
      </c>
      <c r="C2635" t="s">
        <v>15451</v>
      </c>
      <c r="D2635" t="s">
        <v>2630</v>
      </c>
      <c r="E2635" t="s">
        <v>3438</v>
      </c>
      <c r="F2635" t="s">
        <v>3430</v>
      </c>
      <c r="G2635" s="3">
        <v>34.826555741936197</v>
      </c>
      <c r="H2635" s="3">
        <v>127.731598558172</v>
      </c>
      <c r="I2635" t="s">
        <v>6400</v>
      </c>
      <c r="J2635" t="s">
        <v>9756</v>
      </c>
      <c r="K2635" t="s">
        <v>11586</v>
      </c>
      <c r="L2635" t="s">
        <v>3366</v>
      </c>
      <c r="M2635" t="s">
        <v>11906</v>
      </c>
      <c r="N2635" t="s">
        <v>3362</v>
      </c>
      <c r="O2635" t="s">
        <v>3361</v>
      </c>
      <c r="P2635" t="s">
        <v>3365</v>
      </c>
      <c r="Q2635" t="s">
        <v>3368</v>
      </c>
      <c r="R2635" t="s">
        <v>15211</v>
      </c>
      <c r="S2635" t="s">
        <v>15211</v>
      </c>
      <c r="T2635" t="s">
        <v>3388</v>
      </c>
      <c r="U2635" t="s">
        <v>14502</v>
      </c>
      <c r="V2635" t="s">
        <v>15280</v>
      </c>
    </row>
    <row r="2636" spans="1:22" hidden="1">
      <c r="A2636" t="s">
        <v>15298</v>
      </c>
      <c r="B2636" t="s">
        <v>15442</v>
      </c>
      <c r="C2636" t="s">
        <v>15451</v>
      </c>
      <c r="D2636" t="s">
        <v>2631</v>
      </c>
      <c r="E2636" t="s">
        <v>3438</v>
      </c>
      <c r="F2636" t="s">
        <v>3430</v>
      </c>
      <c r="G2636" s="3">
        <v>34.826555751338603</v>
      </c>
      <c r="H2636" s="3">
        <v>127.73159855231</v>
      </c>
      <c r="I2636" t="s">
        <v>6401</v>
      </c>
      <c r="J2636" t="s">
        <v>9757</v>
      </c>
      <c r="K2636" t="s">
        <v>11586</v>
      </c>
      <c r="L2636" t="s">
        <v>3366</v>
      </c>
      <c r="M2636" t="s">
        <v>11906</v>
      </c>
      <c r="N2636" t="s">
        <v>3362</v>
      </c>
      <c r="O2636" t="s">
        <v>3361</v>
      </c>
      <c r="P2636" t="s">
        <v>3365</v>
      </c>
      <c r="Q2636" t="s">
        <v>3368</v>
      </c>
      <c r="R2636" t="s">
        <v>15211</v>
      </c>
      <c r="S2636" t="s">
        <v>15211</v>
      </c>
      <c r="T2636" t="s">
        <v>3388</v>
      </c>
      <c r="U2636" t="s">
        <v>14503</v>
      </c>
      <c r="V2636" t="s">
        <v>15280</v>
      </c>
    </row>
    <row r="2637" spans="1:22" hidden="1">
      <c r="A2637" t="s">
        <v>15298</v>
      </c>
      <c r="B2637" t="s">
        <v>15442</v>
      </c>
      <c r="C2637" t="s">
        <v>15450</v>
      </c>
      <c r="D2637" t="s">
        <v>2632</v>
      </c>
      <c r="E2637" t="s">
        <v>3462</v>
      </c>
      <c r="F2637" t="s">
        <v>3540</v>
      </c>
      <c r="G2637" s="3">
        <v>34.826555733791601</v>
      </c>
      <c r="H2637" s="3">
        <v>127.731599013044</v>
      </c>
      <c r="I2637" t="s">
        <v>6402</v>
      </c>
      <c r="J2637" t="s">
        <v>9758</v>
      </c>
      <c r="K2637" t="s">
        <v>10664</v>
      </c>
      <c r="L2637" t="s">
        <v>3366</v>
      </c>
      <c r="M2637" t="s">
        <v>11894</v>
      </c>
      <c r="N2637" t="s">
        <v>3362</v>
      </c>
      <c r="O2637" t="s">
        <v>3364</v>
      </c>
      <c r="P2637" t="s">
        <v>15211</v>
      </c>
      <c r="Q2637" t="s">
        <v>15211</v>
      </c>
      <c r="R2637" t="s">
        <v>15211</v>
      </c>
      <c r="S2637" t="s">
        <v>15211</v>
      </c>
      <c r="T2637" t="s">
        <v>3370</v>
      </c>
      <c r="U2637" t="s">
        <v>14504</v>
      </c>
      <c r="V2637" t="s">
        <v>15278</v>
      </c>
    </row>
    <row r="2638" spans="1:22" hidden="1">
      <c r="A2638" t="s">
        <v>15298</v>
      </c>
      <c r="B2638" t="s">
        <v>15442</v>
      </c>
      <c r="C2638" t="s">
        <v>15450</v>
      </c>
      <c r="D2638" t="s">
        <v>2633</v>
      </c>
      <c r="E2638" t="s">
        <v>3432</v>
      </c>
      <c r="F2638" t="s">
        <v>3467</v>
      </c>
      <c r="G2638" s="3">
        <v>34.826555708789499</v>
      </c>
      <c r="H2638" s="3">
        <v>127.731599004722</v>
      </c>
      <c r="I2638" t="s">
        <v>6403</v>
      </c>
      <c r="J2638" t="s">
        <v>9759</v>
      </c>
      <c r="K2638" t="s">
        <v>10664</v>
      </c>
      <c r="L2638" t="s">
        <v>3366</v>
      </c>
      <c r="M2638" t="s">
        <v>11894</v>
      </c>
      <c r="N2638" t="s">
        <v>3362</v>
      </c>
      <c r="O2638" t="s">
        <v>3364</v>
      </c>
      <c r="P2638" t="s">
        <v>15211</v>
      </c>
      <c r="Q2638" t="s">
        <v>15211</v>
      </c>
      <c r="R2638" t="s">
        <v>15211</v>
      </c>
      <c r="S2638" t="s">
        <v>15211</v>
      </c>
      <c r="T2638" t="s">
        <v>3370</v>
      </c>
      <c r="U2638" t="s">
        <v>14504</v>
      </c>
      <c r="V2638" t="s">
        <v>15278</v>
      </c>
    </row>
    <row r="2639" spans="1:22" ht="15" hidden="1">
      <c r="A2639" t="s">
        <v>15437</v>
      </c>
      <c r="B2639" t="s">
        <v>15441</v>
      </c>
      <c r="C2639" t="s">
        <v>15445</v>
      </c>
      <c r="D2639" t="s">
        <v>2634</v>
      </c>
      <c r="E2639" t="s">
        <v>3431</v>
      </c>
      <c r="F2639" t="s">
        <v>3460</v>
      </c>
      <c r="G2639" s="3">
        <v>34.6825902817423</v>
      </c>
      <c r="H2639" s="3">
        <v>126.717362488272</v>
      </c>
      <c r="I2639" t="s">
        <v>6404</v>
      </c>
      <c r="J2639" t="s">
        <v>9760</v>
      </c>
      <c r="K2639" t="s">
        <v>11738</v>
      </c>
      <c r="L2639" t="s">
        <v>3366</v>
      </c>
      <c r="M2639" t="s">
        <v>11885</v>
      </c>
      <c r="N2639" t="s">
        <v>3363</v>
      </c>
      <c r="O2639" t="s">
        <v>3361</v>
      </c>
      <c r="P2639" t="s">
        <v>15211</v>
      </c>
      <c r="Q2639" t="s">
        <v>15211</v>
      </c>
      <c r="R2639" t="s">
        <v>15211</v>
      </c>
      <c r="S2639" t="s">
        <v>15211</v>
      </c>
      <c r="T2639" t="s">
        <v>3368</v>
      </c>
      <c r="U2639" t="s">
        <v>14505</v>
      </c>
      <c r="V2639" t="s">
        <v>15274</v>
      </c>
    </row>
    <row r="2640" spans="1:22" ht="15" hidden="1">
      <c r="A2640" t="s">
        <v>15437</v>
      </c>
      <c r="B2640" t="s">
        <v>15441</v>
      </c>
      <c r="C2640" t="s">
        <v>15445</v>
      </c>
      <c r="D2640" t="s">
        <v>2635</v>
      </c>
      <c r="E2640" t="s">
        <v>3431</v>
      </c>
      <c r="F2640" t="s">
        <v>3460</v>
      </c>
      <c r="G2640" s="3">
        <v>34.682590285610701</v>
      </c>
      <c r="H2640" s="3">
        <v>126.717362482236</v>
      </c>
      <c r="I2640" t="s">
        <v>6405</v>
      </c>
      <c r="J2640" t="s">
        <v>9761</v>
      </c>
      <c r="K2640" t="s">
        <v>11739</v>
      </c>
      <c r="L2640" t="s">
        <v>3366</v>
      </c>
      <c r="M2640" t="s">
        <v>11885</v>
      </c>
      <c r="N2640" t="s">
        <v>3363</v>
      </c>
      <c r="O2640" t="s">
        <v>3361</v>
      </c>
      <c r="P2640" t="s">
        <v>15211</v>
      </c>
      <c r="Q2640" t="s">
        <v>15211</v>
      </c>
      <c r="R2640" t="s">
        <v>15211</v>
      </c>
      <c r="S2640" t="s">
        <v>15211</v>
      </c>
      <c r="T2640" t="s">
        <v>3368</v>
      </c>
      <c r="U2640" t="s">
        <v>14506</v>
      </c>
      <c r="V2640" t="s">
        <v>15274</v>
      </c>
    </row>
    <row r="2641" spans="1:22" ht="15" hidden="1">
      <c r="A2641" t="s">
        <v>15437</v>
      </c>
      <c r="B2641" t="s">
        <v>15441</v>
      </c>
      <c r="C2641" t="s">
        <v>15445</v>
      </c>
      <c r="D2641" t="s">
        <v>2636</v>
      </c>
      <c r="E2641" t="s">
        <v>3431</v>
      </c>
      <c r="F2641" t="s">
        <v>3460</v>
      </c>
      <c r="G2641" s="3">
        <v>34.682590283569297</v>
      </c>
      <c r="H2641" s="3">
        <v>126.717362497427</v>
      </c>
      <c r="I2641" t="s">
        <v>6406</v>
      </c>
      <c r="J2641" t="s">
        <v>9762</v>
      </c>
      <c r="K2641" t="s">
        <v>11554</v>
      </c>
      <c r="L2641" t="s">
        <v>3366</v>
      </c>
      <c r="M2641" t="s">
        <v>11885</v>
      </c>
      <c r="N2641" t="s">
        <v>3363</v>
      </c>
      <c r="O2641" t="s">
        <v>3361</v>
      </c>
      <c r="P2641" t="s">
        <v>15211</v>
      </c>
      <c r="Q2641" t="s">
        <v>15211</v>
      </c>
      <c r="R2641" t="s">
        <v>15211</v>
      </c>
      <c r="S2641" t="s">
        <v>15211</v>
      </c>
      <c r="T2641" t="s">
        <v>3368</v>
      </c>
      <c r="U2641" t="s">
        <v>14507</v>
      </c>
      <c r="V2641" t="s">
        <v>15274</v>
      </c>
    </row>
    <row r="2642" spans="1:22" ht="15" hidden="1">
      <c r="A2642" t="s">
        <v>15437</v>
      </c>
      <c r="B2642" t="s">
        <v>15441</v>
      </c>
      <c r="C2642" t="s">
        <v>15446</v>
      </c>
      <c r="D2642" t="s">
        <v>2637</v>
      </c>
      <c r="E2642" t="s">
        <v>3436</v>
      </c>
      <c r="F2642" t="s">
        <v>3450</v>
      </c>
      <c r="G2642" s="3">
        <v>34.682590325228702</v>
      </c>
      <c r="H2642" s="3">
        <v>126.71736256843199</v>
      </c>
      <c r="I2642" t="s">
        <v>6407</v>
      </c>
      <c r="J2642" t="s">
        <v>9763</v>
      </c>
      <c r="K2642" t="s">
        <v>10654</v>
      </c>
      <c r="L2642" t="s">
        <v>3366</v>
      </c>
      <c r="M2642" t="s">
        <v>11885</v>
      </c>
      <c r="N2642" t="s">
        <v>3363</v>
      </c>
      <c r="O2642" t="s">
        <v>3361</v>
      </c>
      <c r="P2642" t="s">
        <v>15211</v>
      </c>
      <c r="Q2642" t="s">
        <v>15211</v>
      </c>
      <c r="R2642" t="s">
        <v>15211</v>
      </c>
      <c r="S2642" t="s">
        <v>15211</v>
      </c>
      <c r="T2642" t="s">
        <v>3368</v>
      </c>
      <c r="U2642" t="s">
        <v>14508</v>
      </c>
      <c r="V2642" t="s">
        <v>15275</v>
      </c>
    </row>
    <row r="2643" spans="1:22" ht="15" hidden="1">
      <c r="A2643" t="s">
        <v>15437</v>
      </c>
      <c r="B2643" t="s">
        <v>15441</v>
      </c>
      <c r="C2643" t="s">
        <v>15446</v>
      </c>
      <c r="D2643" t="s">
        <v>2638</v>
      </c>
      <c r="E2643" t="s">
        <v>3436</v>
      </c>
      <c r="F2643" t="s">
        <v>3465</v>
      </c>
      <c r="G2643" s="3">
        <v>34.682590289922601</v>
      </c>
      <c r="H2643" s="3">
        <v>126.71736257196299</v>
      </c>
      <c r="I2643" t="s">
        <v>6408</v>
      </c>
      <c r="J2643" t="s">
        <v>9764</v>
      </c>
      <c r="K2643" t="s">
        <v>11649</v>
      </c>
      <c r="L2643" t="s">
        <v>3366</v>
      </c>
      <c r="M2643" t="s">
        <v>11885</v>
      </c>
      <c r="N2643" t="s">
        <v>3363</v>
      </c>
      <c r="O2643" t="s">
        <v>3361</v>
      </c>
      <c r="P2643" t="s">
        <v>15211</v>
      </c>
      <c r="Q2643" t="s">
        <v>15211</v>
      </c>
      <c r="R2643" t="s">
        <v>15211</v>
      </c>
      <c r="S2643" t="s">
        <v>15211</v>
      </c>
      <c r="T2643" t="s">
        <v>3368</v>
      </c>
      <c r="U2643" t="s">
        <v>14509</v>
      </c>
      <c r="V2643" t="s">
        <v>15275</v>
      </c>
    </row>
    <row r="2644" spans="1:22" ht="15" hidden="1">
      <c r="A2644" t="s">
        <v>15437</v>
      </c>
      <c r="B2644" t="s">
        <v>15441</v>
      </c>
      <c r="C2644" t="s">
        <v>15446</v>
      </c>
      <c r="D2644" t="s">
        <v>2639</v>
      </c>
      <c r="E2644" t="s">
        <v>3436</v>
      </c>
      <c r="F2644" t="s">
        <v>3465</v>
      </c>
      <c r="G2644" s="3">
        <v>34.682590272854299</v>
      </c>
      <c r="H2644" s="3">
        <v>126.717362529459</v>
      </c>
      <c r="I2644" t="s">
        <v>6409</v>
      </c>
      <c r="J2644" t="s">
        <v>9765</v>
      </c>
      <c r="K2644" t="s">
        <v>10959</v>
      </c>
      <c r="L2644" t="s">
        <v>3366</v>
      </c>
      <c r="M2644" t="s">
        <v>11885</v>
      </c>
      <c r="N2644" t="s">
        <v>3363</v>
      </c>
      <c r="O2644" t="s">
        <v>3361</v>
      </c>
      <c r="P2644" t="s">
        <v>15211</v>
      </c>
      <c r="Q2644" t="s">
        <v>15211</v>
      </c>
      <c r="R2644" t="s">
        <v>15211</v>
      </c>
      <c r="S2644" t="s">
        <v>15211</v>
      </c>
      <c r="T2644" t="s">
        <v>3368</v>
      </c>
      <c r="U2644" t="s">
        <v>14510</v>
      </c>
      <c r="V2644" t="s">
        <v>15275</v>
      </c>
    </row>
    <row r="2645" spans="1:22" ht="15" hidden="1">
      <c r="A2645" t="s">
        <v>15437</v>
      </c>
      <c r="B2645" t="s">
        <v>15441</v>
      </c>
      <c r="C2645" t="s">
        <v>15449</v>
      </c>
      <c r="D2645" t="s">
        <v>2640</v>
      </c>
      <c r="E2645" t="s">
        <v>3440</v>
      </c>
      <c r="F2645" t="s">
        <v>3453</v>
      </c>
      <c r="G2645" s="3">
        <v>34.6825902691252</v>
      </c>
      <c r="H2645" s="3">
        <v>126.717362330719</v>
      </c>
      <c r="I2645" t="s">
        <v>6410</v>
      </c>
      <c r="J2645" t="s">
        <v>9766</v>
      </c>
      <c r="K2645" t="s">
        <v>11537</v>
      </c>
      <c r="L2645" t="s">
        <v>3366</v>
      </c>
      <c r="M2645" t="s">
        <v>11899</v>
      </c>
      <c r="N2645" t="s">
        <v>3362</v>
      </c>
      <c r="O2645" t="s">
        <v>3359</v>
      </c>
      <c r="P2645" t="s">
        <v>3361</v>
      </c>
      <c r="Q2645" t="s">
        <v>3360</v>
      </c>
      <c r="R2645" t="s">
        <v>3357</v>
      </c>
      <c r="S2645" t="s">
        <v>15211</v>
      </c>
      <c r="T2645" t="s">
        <v>3375</v>
      </c>
      <c r="U2645" t="s">
        <v>14511</v>
      </c>
      <c r="V2645" t="s">
        <v>15277</v>
      </c>
    </row>
    <row r="2646" spans="1:22" ht="15" hidden="1">
      <c r="A2646" t="s">
        <v>15437</v>
      </c>
      <c r="B2646" t="s">
        <v>15441</v>
      </c>
      <c r="C2646" t="s">
        <v>15449</v>
      </c>
      <c r="D2646" t="s">
        <v>2641</v>
      </c>
      <c r="E2646" t="s">
        <v>3440</v>
      </c>
      <c r="F2646" t="s">
        <v>3453</v>
      </c>
      <c r="G2646" s="3">
        <v>34.682590289950603</v>
      </c>
      <c r="H2646" s="3">
        <v>126.717362322659</v>
      </c>
      <c r="I2646" t="s">
        <v>6411</v>
      </c>
      <c r="J2646" t="s">
        <v>9767</v>
      </c>
      <c r="K2646" t="s">
        <v>11537</v>
      </c>
      <c r="L2646" t="s">
        <v>3366</v>
      </c>
      <c r="M2646" t="s">
        <v>11899</v>
      </c>
      <c r="N2646" t="s">
        <v>3362</v>
      </c>
      <c r="O2646" t="s">
        <v>3359</v>
      </c>
      <c r="P2646" t="s">
        <v>3361</v>
      </c>
      <c r="Q2646" t="s">
        <v>3360</v>
      </c>
      <c r="R2646" t="s">
        <v>3357</v>
      </c>
      <c r="S2646" t="s">
        <v>15211</v>
      </c>
      <c r="T2646" t="s">
        <v>3375</v>
      </c>
      <c r="U2646" t="s">
        <v>14512</v>
      </c>
      <c r="V2646" t="s">
        <v>15277</v>
      </c>
    </row>
    <row r="2647" spans="1:22" ht="15" hidden="1">
      <c r="A2647" t="s">
        <v>15437</v>
      </c>
      <c r="B2647" t="s">
        <v>15441</v>
      </c>
      <c r="C2647" t="s">
        <v>15449</v>
      </c>
      <c r="D2647" t="s">
        <v>2642</v>
      </c>
      <c r="E2647" t="s">
        <v>3438</v>
      </c>
      <c r="F2647" t="s">
        <v>3432</v>
      </c>
      <c r="G2647" s="3">
        <v>34.682590288718401</v>
      </c>
      <c r="H2647" s="3">
        <v>126.717362295629</v>
      </c>
      <c r="I2647" t="s">
        <v>6412</v>
      </c>
      <c r="J2647" t="s">
        <v>9768</v>
      </c>
      <c r="K2647" t="s">
        <v>11740</v>
      </c>
      <c r="L2647" t="s">
        <v>3366</v>
      </c>
      <c r="M2647" t="s">
        <v>11898</v>
      </c>
      <c r="N2647" t="s">
        <v>3361</v>
      </c>
      <c r="O2647" t="s">
        <v>3359</v>
      </c>
      <c r="P2647" t="s">
        <v>3361</v>
      </c>
      <c r="Q2647" t="s">
        <v>3360</v>
      </c>
      <c r="R2647" t="s">
        <v>3357</v>
      </c>
      <c r="S2647" t="s">
        <v>15211</v>
      </c>
      <c r="T2647" t="s">
        <v>3374</v>
      </c>
      <c r="U2647" t="s">
        <v>14513</v>
      </c>
      <c r="V2647" t="s">
        <v>15277</v>
      </c>
    </row>
    <row r="2648" spans="1:22" ht="15" hidden="1">
      <c r="A2648" t="s">
        <v>15437</v>
      </c>
      <c r="B2648" t="s">
        <v>15442</v>
      </c>
      <c r="C2648" t="s">
        <v>15445</v>
      </c>
      <c r="D2648" t="s">
        <v>2643</v>
      </c>
      <c r="E2648" t="s">
        <v>3436</v>
      </c>
      <c r="F2648" t="s">
        <v>3452</v>
      </c>
      <c r="G2648" s="3">
        <v>34.682590303529999</v>
      </c>
      <c r="H2648" s="3">
        <v>126.717362417088</v>
      </c>
      <c r="I2648" t="s">
        <v>6413</v>
      </c>
      <c r="J2648" t="s">
        <v>9769</v>
      </c>
      <c r="K2648" t="s">
        <v>11628</v>
      </c>
      <c r="L2648" t="s">
        <v>3366</v>
      </c>
      <c r="M2648" t="s">
        <v>11886</v>
      </c>
      <c r="N2648" t="s">
        <v>3362</v>
      </c>
      <c r="O2648" t="s">
        <v>3361</v>
      </c>
      <c r="P2648" t="s">
        <v>15211</v>
      </c>
      <c r="Q2648" t="s">
        <v>15211</v>
      </c>
      <c r="R2648" t="s">
        <v>15211</v>
      </c>
      <c r="S2648" t="s">
        <v>15211</v>
      </c>
      <c r="T2648" t="s">
        <v>3367</v>
      </c>
      <c r="U2648" t="s">
        <v>14514</v>
      </c>
      <c r="V2648" t="s">
        <v>15279</v>
      </c>
    </row>
    <row r="2649" spans="1:22" ht="15" hidden="1">
      <c r="A2649" t="s">
        <v>15437</v>
      </c>
      <c r="B2649" t="s">
        <v>15442</v>
      </c>
      <c r="C2649" t="s">
        <v>15445</v>
      </c>
      <c r="D2649" t="s">
        <v>2644</v>
      </c>
      <c r="E2649" t="s">
        <v>3428</v>
      </c>
      <c r="F2649" t="s">
        <v>3452</v>
      </c>
      <c r="G2649" s="3">
        <v>34.682590369333198</v>
      </c>
      <c r="H2649" s="3">
        <v>126.71736244150399</v>
      </c>
      <c r="I2649" t="s">
        <v>6414</v>
      </c>
      <c r="J2649" t="s">
        <v>9770</v>
      </c>
      <c r="K2649" t="s">
        <v>11576</v>
      </c>
      <c r="L2649" t="s">
        <v>3366</v>
      </c>
      <c r="M2649" t="s">
        <v>11886</v>
      </c>
      <c r="N2649" t="s">
        <v>3362</v>
      </c>
      <c r="O2649" t="s">
        <v>3361</v>
      </c>
      <c r="P2649" t="s">
        <v>15211</v>
      </c>
      <c r="Q2649" t="s">
        <v>15211</v>
      </c>
      <c r="R2649" t="s">
        <v>15211</v>
      </c>
      <c r="S2649" t="s">
        <v>15211</v>
      </c>
      <c r="T2649" t="s">
        <v>3367</v>
      </c>
      <c r="U2649" t="s">
        <v>14515</v>
      </c>
      <c r="V2649" t="s">
        <v>15279</v>
      </c>
    </row>
    <row r="2650" spans="1:22" ht="15" hidden="1">
      <c r="A2650" t="s">
        <v>15437</v>
      </c>
      <c r="B2650" t="s">
        <v>15442</v>
      </c>
      <c r="C2650" t="s">
        <v>15445</v>
      </c>
      <c r="D2650" t="s">
        <v>2645</v>
      </c>
      <c r="E2650" t="s">
        <v>3428</v>
      </c>
      <c r="F2650" t="s">
        <v>3461</v>
      </c>
      <c r="G2650" s="3">
        <v>34.682590381093398</v>
      </c>
      <c r="H2650" s="3">
        <v>126.717362436019</v>
      </c>
      <c r="I2650" t="s">
        <v>6415</v>
      </c>
      <c r="J2650" t="s">
        <v>9771</v>
      </c>
      <c r="K2650" t="s">
        <v>10979</v>
      </c>
      <c r="L2650" t="s">
        <v>3366</v>
      </c>
      <c r="M2650" t="s">
        <v>11886</v>
      </c>
      <c r="N2650" t="s">
        <v>3362</v>
      </c>
      <c r="O2650" t="s">
        <v>3361</v>
      </c>
      <c r="P2650" t="s">
        <v>15211</v>
      </c>
      <c r="Q2650" t="s">
        <v>15211</v>
      </c>
      <c r="R2650" t="s">
        <v>15211</v>
      </c>
      <c r="S2650" t="s">
        <v>15211</v>
      </c>
      <c r="T2650" t="s">
        <v>3367</v>
      </c>
      <c r="U2650" t="s">
        <v>14516</v>
      </c>
      <c r="V2650" t="s">
        <v>15279</v>
      </c>
    </row>
    <row r="2651" spans="1:22" ht="15" hidden="1">
      <c r="A2651" t="s">
        <v>15437</v>
      </c>
      <c r="B2651" t="s">
        <v>15442</v>
      </c>
      <c r="C2651" t="s">
        <v>15451</v>
      </c>
      <c r="D2651" t="s">
        <v>2646</v>
      </c>
      <c r="E2651" t="s">
        <v>3437</v>
      </c>
      <c r="F2651" t="s">
        <v>3429</v>
      </c>
      <c r="G2651" s="3">
        <v>34.682590355742398</v>
      </c>
      <c r="H2651" s="3">
        <v>126.717362446425</v>
      </c>
      <c r="I2651" t="s">
        <v>6416</v>
      </c>
      <c r="J2651" t="s">
        <v>9772</v>
      </c>
      <c r="K2651" t="s">
        <v>11502</v>
      </c>
      <c r="L2651" t="s">
        <v>3366</v>
      </c>
      <c r="M2651" t="s">
        <v>11896</v>
      </c>
      <c r="N2651" t="s">
        <v>3363</v>
      </c>
      <c r="O2651" t="s">
        <v>3361</v>
      </c>
      <c r="P2651" t="s">
        <v>3361</v>
      </c>
      <c r="Q2651" t="s">
        <v>3362</v>
      </c>
      <c r="R2651" t="s">
        <v>15211</v>
      </c>
      <c r="S2651" t="s">
        <v>15211</v>
      </c>
      <c r="T2651" t="s">
        <v>3379</v>
      </c>
      <c r="U2651" t="s">
        <v>14517</v>
      </c>
      <c r="V2651" t="s">
        <v>15280</v>
      </c>
    </row>
    <row r="2652" spans="1:22" ht="15" hidden="1">
      <c r="A2652" t="s">
        <v>15437</v>
      </c>
      <c r="B2652" t="s">
        <v>15442</v>
      </c>
      <c r="C2652" t="s">
        <v>15451</v>
      </c>
      <c r="D2652" t="s">
        <v>2647</v>
      </c>
      <c r="E2652" t="s">
        <v>3437</v>
      </c>
      <c r="F2652" t="s">
        <v>3429</v>
      </c>
      <c r="G2652" s="3">
        <v>34.682590362335098</v>
      </c>
      <c r="H2652" s="3">
        <v>126.717362441918</v>
      </c>
      <c r="I2652" t="s">
        <v>6417</v>
      </c>
      <c r="J2652" t="s">
        <v>9773</v>
      </c>
      <c r="K2652" t="s">
        <v>10903</v>
      </c>
      <c r="L2652" t="s">
        <v>3366</v>
      </c>
      <c r="M2652" t="s">
        <v>11896</v>
      </c>
      <c r="N2652" t="s">
        <v>3363</v>
      </c>
      <c r="O2652" t="s">
        <v>3361</v>
      </c>
      <c r="P2652" t="s">
        <v>3361</v>
      </c>
      <c r="Q2652" t="s">
        <v>3362</v>
      </c>
      <c r="R2652" t="s">
        <v>15211</v>
      </c>
      <c r="S2652" t="s">
        <v>15211</v>
      </c>
      <c r="T2652" t="s">
        <v>3379</v>
      </c>
      <c r="U2652" t="s">
        <v>14518</v>
      </c>
      <c r="V2652" t="s">
        <v>15280</v>
      </c>
    </row>
    <row r="2653" spans="1:22" ht="15" hidden="1">
      <c r="A2653" t="s">
        <v>15437</v>
      </c>
      <c r="B2653" t="s">
        <v>15442</v>
      </c>
      <c r="C2653" t="s">
        <v>15451</v>
      </c>
      <c r="D2653" t="s">
        <v>2648</v>
      </c>
      <c r="E2653" t="s">
        <v>3440</v>
      </c>
      <c r="F2653" t="s">
        <v>3430</v>
      </c>
      <c r="G2653" s="3">
        <v>34.682590375389097</v>
      </c>
      <c r="H2653" s="3">
        <v>126.717362432992</v>
      </c>
      <c r="I2653" t="s">
        <v>6418</v>
      </c>
      <c r="J2653" t="s">
        <v>9774</v>
      </c>
      <c r="K2653" t="s">
        <v>3720</v>
      </c>
      <c r="L2653" t="s">
        <v>3366</v>
      </c>
      <c r="M2653" t="s">
        <v>11888</v>
      </c>
      <c r="N2653" t="s">
        <v>3362</v>
      </c>
      <c r="O2653" t="s">
        <v>3361</v>
      </c>
      <c r="P2653" t="s">
        <v>3361</v>
      </c>
      <c r="Q2653" t="s">
        <v>3362</v>
      </c>
      <c r="R2653" t="s">
        <v>15211</v>
      </c>
      <c r="S2653" t="s">
        <v>15211</v>
      </c>
      <c r="T2653" t="s">
        <v>3378</v>
      </c>
      <c r="U2653" t="s">
        <v>14519</v>
      </c>
      <c r="V2653" t="s">
        <v>15280</v>
      </c>
    </row>
    <row r="2654" spans="1:22" ht="15" hidden="1">
      <c r="A2654" t="s">
        <v>15438</v>
      </c>
      <c r="B2654" t="s">
        <v>15441</v>
      </c>
      <c r="C2654" t="s">
        <v>15445</v>
      </c>
      <c r="D2654" t="s">
        <v>2649</v>
      </c>
      <c r="E2654" t="s">
        <v>3435</v>
      </c>
      <c r="F2654" t="s">
        <v>3450</v>
      </c>
      <c r="G2654" s="3">
        <v>35.017292261338703</v>
      </c>
      <c r="H2654" s="3">
        <v>126.63952563094099</v>
      </c>
      <c r="I2654" t="s">
        <v>6419</v>
      </c>
      <c r="J2654" t="s">
        <v>9775</v>
      </c>
      <c r="K2654" t="s">
        <v>11091</v>
      </c>
      <c r="L2654" t="s">
        <v>3366</v>
      </c>
      <c r="M2654" t="s">
        <v>11885</v>
      </c>
      <c r="N2654" t="s">
        <v>3363</v>
      </c>
      <c r="O2654" t="s">
        <v>3362</v>
      </c>
      <c r="P2654" t="s">
        <v>15211</v>
      </c>
      <c r="Q2654" t="s">
        <v>15211</v>
      </c>
      <c r="R2654" t="s">
        <v>15211</v>
      </c>
      <c r="S2654" t="s">
        <v>15211</v>
      </c>
      <c r="T2654" t="s">
        <v>3369</v>
      </c>
      <c r="U2654" t="s">
        <v>14520</v>
      </c>
      <c r="V2654" t="s">
        <v>15274</v>
      </c>
    </row>
    <row r="2655" spans="1:22" ht="15" hidden="1">
      <c r="A2655" t="s">
        <v>15438</v>
      </c>
      <c r="B2655" t="s">
        <v>15441</v>
      </c>
      <c r="C2655" t="s">
        <v>15445</v>
      </c>
      <c r="D2655" t="s">
        <v>2650</v>
      </c>
      <c r="E2655" t="s">
        <v>3435</v>
      </c>
      <c r="F2655" t="s">
        <v>3450</v>
      </c>
      <c r="G2655" s="3">
        <v>35.017292244257398</v>
      </c>
      <c r="H2655" s="3">
        <v>126.639525621168</v>
      </c>
      <c r="I2655" t="s">
        <v>6420</v>
      </c>
      <c r="J2655" t="s">
        <v>9776</v>
      </c>
      <c r="K2655" t="s">
        <v>11546</v>
      </c>
      <c r="L2655" t="s">
        <v>3366</v>
      </c>
      <c r="M2655" t="s">
        <v>11890</v>
      </c>
      <c r="N2655" t="s">
        <v>3363</v>
      </c>
      <c r="O2655" t="s">
        <v>3362</v>
      </c>
      <c r="P2655" t="s">
        <v>15211</v>
      </c>
      <c r="Q2655" t="s">
        <v>15211</v>
      </c>
      <c r="R2655" t="s">
        <v>15211</v>
      </c>
      <c r="S2655" t="s">
        <v>15211</v>
      </c>
      <c r="T2655" t="s">
        <v>3369</v>
      </c>
      <c r="U2655" t="s">
        <v>14521</v>
      </c>
      <c r="V2655" t="s">
        <v>15274</v>
      </c>
    </row>
    <row r="2656" spans="1:22" ht="15" hidden="1">
      <c r="A2656" t="s">
        <v>15438</v>
      </c>
      <c r="B2656" t="s">
        <v>15441</v>
      </c>
      <c r="C2656" t="s">
        <v>15445</v>
      </c>
      <c r="D2656" t="s">
        <v>2651</v>
      </c>
      <c r="E2656" t="s">
        <v>3435</v>
      </c>
      <c r="F2656" t="s">
        <v>3465</v>
      </c>
      <c r="G2656" s="3">
        <v>35.017292240785899</v>
      </c>
      <c r="H2656" s="3">
        <v>126.63952561478</v>
      </c>
      <c r="I2656" t="s">
        <v>6421</v>
      </c>
      <c r="J2656" t="s">
        <v>9777</v>
      </c>
      <c r="K2656" t="s">
        <v>10557</v>
      </c>
      <c r="L2656" t="s">
        <v>3366</v>
      </c>
      <c r="M2656" t="s">
        <v>11890</v>
      </c>
      <c r="N2656" t="s">
        <v>3363</v>
      </c>
      <c r="O2656" t="s">
        <v>3362</v>
      </c>
      <c r="P2656" t="s">
        <v>15211</v>
      </c>
      <c r="Q2656" t="s">
        <v>15211</v>
      </c>
      <c r="R2656" t="s">
        <v>15211</v>
      </c>
      <c r="S2656" t="s">
        <v>15211</v>
      </c>
      <c r="T2656" t="s">
        <v>3369</v>
      </c>
      <c r="U2656" t="s">
        <v>14522</v>
      </c>
      <c r="V2656" t="s">
        <v>15274</v>
      </c>
    </row>
    <row r="2657" spans="1:22" ht="15" hidden="1">
      <c r="A2657" t="s">
        <v>15438</v>
      </c>
      <c r="B2657" t="s">
        <v>15441</v>
      </c>
      <c r="C2657" t="s">
        <v>15446</v>
      </c>
      <c r="D2657" t="s">
        <v>2652</v>
      </c>
      <c r="E2657" t="s">
        <v>3434</v>
      </c>
      <c r="F2657" t="s">
        <v>3452</v>
      </c>
      <c r="G2657" s="3">
        <v>35.017292298500799</v>
      </c>
      <c r="H2657" s="3">
        <v>126.639525892023</v>
      </c>
      <c r="I2657" t="s">
        <v>6422</v>
      </c>
      <c r="J2657" t="s">
        <v>9778</v>
      </c>
      <c r="K2657" t="s">
        <v>10566</v>
      </c>
      <c r="L2657" t="s">
        <v>3366</v>
      </c>
      <c r="M2657" t="s">
        <v>11890</v>
      </c>
      <c r="N2657" t="s">
        <v>3363</v>
      </c>
      <c r="O2657" t="s">
        <v>3362</v>
      </c>
      <c r="P2657" t="s">
        <v>15211</v>
      </c>
      <c r="Q2657" t="s">
        <v>15211</v>
      </c>
      <c r="R2657" t="s">
        <v>15211</v>
      </c>
      <c r="S2657" t="s">
        <v>15211</v>
      </c>
      <c r="T2657" t="s">
        <v>3369</v>
      </c>
      <c r="U2657" t="s">
        <v>14523</v>
      </c>
      <c r="V2657" t="s">
        <v>15275</v>
      </c>
    </row>
    <row r="2658" spans="1:22" ht="15" hidden="1">
      <c r="A2658" t="s">
        <v>15438</v>
      </c>
      <c r="B2658" t="s">
        <v>15441</v>
      </c>
      <c r="C2658" t="s">
        <v>15446</v>
      </c>
      <c r="D2658" t="s">
        <v>2653</v>
      </c>
      <c r="E2658" t="s">
        <v>3431</v>
      </c>
      <c r="F2658" t="s">
        <v>3432</v>
      </c>
      <c r="G2658" s="3">
        <v>35.017292358420796</v>
      </c>
      <c r="H2658" s="3">
        <v>126.63952587095</v>
      </c>
      <c r="I2658" t="s">
        <v>6423</v>
      </c>
      <c r="J2658" t="s">
        <v>9779</v>
      </c>
      <c r="K2658" t="s">
        <v>10985</v>
      </c>
      <c r="L2658" t="s">
        <v>3366</v>
      </c>
      <c r="M2658" t="s">
        <v>11894</v>
      </c>
      <c r="N2658" t="s">
        <v>3363</v>
      </c>
      <c r="O2658" t="s">
        <v>3363</v>
      </c>
      <c r="P2658" t="s">
        <v>15211</v>
      </c>
      <c r="Q2658" t="s">
        <v>15211</v>
      </c>
      <c r="R2658" t="s">
        <v>15211</v>
      </c>
      <c r="S2658" t="s">
        <v>15211</v>
      </c>
      <c r="T2658" t="s">
        <v>3370</v>
      </c>
      <c r="U2658" t="s">
        <v>14524</v>
      </c>
      <c r="V2658" t="s">
        <v>15275</v>
      </c>
    </row>
    <row r="2659" spans="1:22" ht="15" hidden="1">
      <c r="A2659" t="s">
        <v>15438</v>
      </c>
      <c r="B2659" t="s">
        <v>15441</v>
      </c>
      <c r="C2659" t="s">
        <v>15446</v>
      </c>
      <c r="D2659" t="s">
        <v>2654</v>
      </c>
      <c r="E2659" t="s">
        <v>3431</v>
      </c>
      <c r="F2659" t="s">
        <v>3453</v>
      </c>
      <c r="G2659" s="3">
        <v>35.017292367754202</v>
      </c>
      <c r="H2659" s="3">
        <v>126.639525831631</v>
      </c>
      <c r="I2659" t="s">
        <v>6424</v>
      </c>
      <c r="J2659" t="s">
        <v>9780</v>
      </c>
      <c r="K2659" t="s">
        <v>10985</v>
      </c>
      <c r="L2659" t="s">
        <v>3366</v>
      </c>
      <c r="M2659" t="s">
        <v>11894</v>
      </c>
      <c r="N2659" t="s">
        <v>3363</v>
      </c>
      <c r="O2659" t="s">
        <v>3363</v>
      </c>
      <c r="P2659" t="s">
        <v>15211</v>
      </c>
      <c r="Q2659" t="s">
        <v>15211</v>
      </c>
      <c r="R2659" t="s">
        <v>15211</v>
      </c>
      <c r="S2659" t="s">
        <v>15211</v>
      </c>
      <c r="T2659" t="s">
        <v>3370</v>
      </c>
      <c r="U2659" t="s">
        <v>14525</v>
      </c>
      <c r="V2659" t="s">
        <v>15275</v>
      </c>
    </row>
    <row r="2660" spans="1:22" ht="15" hidden="1">
      <c r="A2660" t="s">
        <v>15438</v>
      </c>
      <c r="B2660" t="s">
        <v>15441</v>
      </c>
      <c r="C2660" t="s">
        <v>15449</v>
      </c>
      <c r="D2660" t="s">
        <v>2655</v>
      </c>
      <c r="E2660" t="s">
        <v>3436</v>
      </c>
      <c r="F2660" t="s">
        <v>3429</v>
      </c>
      <c r="G2660" s="3">
        <v>35.017292107868599</v>
      </c>
      <c r="H2660" s="3">
        <v>126.639525349531</v>
      </c>
      <c r="I2660" t="s">
        <v>6425</v>
      </c>
      <c r="J2660" t="s">
        <v>9781</v>
      </c>
      <c r="K2660" t="s">
        <v>3672</v>
      </c>
      <c r="L2660" t="s">
        <v>3366</v>
      </c>
      <c r="M2660" t="s">
        <v>11906</v>
      </c>
      <c r="N2660" t="s">
        <v>3363</v>
      </c>
      <c r="O2660" t="s">
        <v>3363</v>
      </c>
      <c r="P2660" t="s">
        <v>3364</v>
      </c>
      <c r="Q2660" t="s">
        <v>3366</v>
      </c>
      <c r="R2660" t="s">
        <v>3357</v>
      </c>
      <c r="S2660" t="s">
        <v>15211</v>
      </c>
      <c r="T2660" t="s">
        <v>3389</v>
      </c>
      <c r="U2660" t="s">
        <v>14526</v>
      </c>
      <c r="V2660" t="s">
        <v>15277</v>
      </c>
    </row>
    <row r="2661" spans="1:22" ht="15" hidden="1">
      <c r="A2661" t="s">
        <v>15438</v>
      </c>
      <c r="B2661" t="s">
        <v>15441</v>
      </c>
      <c r="C2661" t="s">
        <v>15449</v>
      </c>
      <c r="D2661" t="s">
        <v>2656</v>
      </c>
      <c r="E2661" t="s">
        <v>3428</v>
      </c>
      <c r="F2661" t="s">
        <v>3429</v>
      </c>
      <c r="G2661" s="3">
        <v>35.017292116042498</v>
      </c>
      <c r="H2661" s="3">
        <v>126.63952538105499</v>
      </c>
      <c r="I2661" t="s">
        <v>6426</v>
      </c>
      <c r="J2661" t="s">
        <v>9782</v>
      </c>
      <c r="K2661" t="s">
        <v>11081</v>
      </c>
      <c r="L2661" t="s">
        <v>3366</v>
      </c>
      <c r="M2661" t="s">
        <v>11906</v>
      </c>
      <c r="N2661" t="s">
        <v>3363</v>
      </c>
      <c r="O2661" t="s">
        <v>3363</v>
      </c>
      <c r="P2661" t="s">
        <v>3363</v>
      </c>
      <c r="Q2661" t="s">
        <v>3366</v>
      </c>
      <c r="R2661" t="s">
        <v>3357</v>
      </c>
      <c r="S2661" t="s">
        <v>15211</v>
      </c>
      <c r="T2661" t="s">
        <v>3388</v>
      </c>
      <c r="U2661" t="s">
        <v>14527</v>
      </c>
      <c r="V2661" t="s">
        <v>15277</v>
      </c>
    </row>
    <row r="2662" spans="1:22" ht="15" hidden="1">
      <c r="A2662" t="s">
        <v>15438</v>
      </c>
      <c r="B2662" t="s">
        <v>15441</v>
      </c>
      <c r="C2662" t="s">
        <v>15449</v>
      </c>
      <c r="D2662" t="s">
        <v>2657</v>
      </c>
      <c r="E2662" t="s">
        <v>3428</v>
      </c>
      <c r="F2662" t="s">
        <v>3429</v>
      </c>
      <c r="G2662" s="3">
        <v>35.0172921247608</v>
      </c>
      <c r="H2662" s="3">
        <v>126.63952536920399</v>
      </c>
      <c r="I2662" t="s">
        <v>6427</v>
      </c>
      <c r="J2662" t="s">
        <v>9783</v>
      </c>
      <c r="K2662" t="s">
        <v>11081</v>
      </c>
      <c r="L2662" t="s">
        <v>3366</v>
      </c>
      <c r="M2662" t="s">
        <v>11906</v>
      </c>
      <c r="N2662" t="s">
        <v>3363</v>
      </c>
      <c r="O2662" t="s">
        <v>3363</v>
      </c>
      <c r="P2662" t="s">
        <v>3363</v>
      </c>
      <c r="Q2662" t="s">
        <v>3366</v>
      </c>
      <c r="R2662" t="s">
        <v>3357</v>
      </c>
      <c r="S2662" t="s">
        <v>15211</v>
      </c>
      <c r="T2662" t="s">
        <v>3388</v>
      </c>
      <c r="U2662" t="s">
        <v>14528</v>
      </c>
      <c r="V2662" t="s">
        <v>15277</v>
      </c>
    </row>
    <row r="2663" spans="1:22" ht="15" hidden="1">
      <c r="A2663" t="s">
        <v>15438</v>
      </c>
      <c r="B2663" t="s">
        <v>15442</v>
      </c>
      <c r="C2663" t="s">
        <v>15451</v>
      </c>
      <c r="D2663" t="s">
        <v>2658</v>
      </c>
      <c r="E2663" t="s">
        <v>3436</v>
      </c>
      <c r="F2663" t="s">
        <v>3435</v>
      </c>
      <c r="G2663" s="3">
        <v>35.0172921125152</v>
      </c>
      <c r="H2663" s="3">
        <v>126.639525603295</v>
      </c>
      <c r="I2663" t="s">
        <v>6428</v>
      </c>
      <c r="J2663" t="s">
        <v>9784</v>
      </c>
      <c r="K2663" t="s">
        <v>11741</v>
      </c>
      <c r="L2663" t="s">
        <v>3366</v>
      </c>
      <c r="M2663" t="s">
        <v>11905</v>
      </c>
      <c r="N2663" t="s">
        <v>3363</v>
      </c>
      <c r="O2663" t="s">
        <v>3363</v>
      </c>
      <c r="P2663" t="s">
        <v>3364</v>
      </c>
      <c r="Q2663" t="s">
        <v>3368</v>
      </c>
      <c r="R2663" t="s">
        <v>15211</v>
      </c>
      <c r="S2663" t="s">
        <v>15211</v>
      </c>
      <c r="T2663" t="s">
        <v>3390</v>
      </c>
      <c r="U2663" t="s">
        <v>14529</v>
      </c>
      <c r="V2663" t="s">
        <v>15280</v>
      </c>
    </row>
    <row r="2664" spans="1:22" ht="15" hidden="1">
      <c r="A2664" t="s">
        <v>15438</v>
      </c>
      <c r="B2664" t="s">
        <v>15442</v>
      </c>
      <c r="C2664" t="s">
        <v>15451</v>
      </c>
      <c r="D2664" t="s">
        <v>2659</v>
      </c>
      <c r="E2664" t="s">
        <v>3436</v>
      </c>
      <c r="F2664" t="s">
        <v>3429</v>
      </c>
      <c r="G2664" s="3">
        <v>35.017292130977403</v>
      </c>
      <c r="H2664" s="3">
        <v>126.63952559587101</v>
      </c>
      <c r="I2664" t="s">
        <v>6429</v>
      </c>
      <c r="J2664" t="s">
        <v>9785</v>
      </c>
      <c r="K2664" t="s">
        <v>11741</v>
      </c>
      <c r="L2664" t="s">
        <v>3366</v>
      </c>
      <c r="M2664" t="s">
        <v>11905</v>
      </c>
      <c r="N2664" t="s">
        <v>3363</v>
      </c>
      <c r="O2664" t="s">
        <v>3363</v>
      </c>
      <c r="P2664" t="s">
        <v>3364</v>
      </c>
      <c r="Q2664" t="s">
        <v>3368</v>
      </c>
      <c r="R2664" t="s">
        <v>15211</v>
      </c>
      <c r="S2664" t="s">
        <v>15211</v>
      </c>
      <c r="T2664" t="s">
        <v>3390</v>
      </c>
      <c r="U2664" t="s">
        <v>14530</v>
      </c>
      <c r="V2664" t="s">
        <v>15280</v>
      </c>
    </row>
    <row r="2665" spans="1:22" ht="15" hidden="1">
      <c r="A2665" t="s">
        <v>15438</v>
      </c>
      <c r="B2665" t="s">
        <v>15442</v>
      </c>
      <c r="C2665" t="s">
        <v>15451</v>
      </c>
      <c r="D2665" t="s">
        <v>2660</v>
      </c>
      <c r="E2665" t="s">
        <v>3425</v>
      </c>
      <c r="F2665" t="s">
        <v>3429</v>
      </c>
      <c r="G2665" s="3">
        <v>35.0172921552468</v>
      </c>
      <c r="H2665" s="3">
        <v>126.63952557419999</v>
      </c>
      <c r="I2665" t="s">
        <v>6430</v>
      </c>
      <c r="J2665" t="s">
        <v>9786</v>
      </c>
      <c r="K2665" t="s">
        <v>11741</v>
      </c>
      <c r="L2665" t="s">
        <v>3366</v>
      </c>
      <c r="M2665" t="s">
        <v>11905</v>
      </c>
      <c r="N2665" t="s">
        <v>3363</v>
      </c>
      <c r="O2665" t="s">
        <v>3363</v>
      </c>
      <c r="P2665" t="s">
        <v>3364</v>
      </c>
      <c r="Q2665" t="s">
        <v>3368</v>
      </c>
      <c r="R2665" t="s">
        <v>15211</v>
      </c>
      <c r="S2665" t="s">
        <v>15211</v>
      </c>
      <c r="T2665" t="s">
        <v>3390</v>
      </c>
      <c r="U2665" t="s">
        <v>14531</v>
      </c>
      <c r="V2665" t="s">
        <v>15280</v>
      </c>
    </row>
    <row r="2666" spans="1:22" ht="15" hidden="1">
      <c r="A2666" t="s">
        <v>15438</v>
      </c>
      <c r="B2666" t="s">
        <v>15442</v>
      </c>
      <c r="C2666" t="s">
        <v>15445</v>
      </c>
      <c r="D2666" t="s">
        <v>2661</v>
      </c>
      <c r="E2666" t="s">
        <v>3461</v>
      </c>
      <c r="F2666" t="s">
        <v>3462</v>
      </c>
      <c r="G2666" s="3">
        <v>35.017292254075699</v>
      </c>
      <c r="H2666" s="3">
        <v>126.639525597073</v>
      </c>
      <c r="I2666" t="s">
        <v>6431</v>
      </c>
      <c r="J2666" t="s">
        <v>9787</v>
      </c>
      <c r="K2666" t="s">
        <v>10939</v>
      </c>
      <c r="L2666" t="s">
        <v>3366</v>
      </c>
      <c r="M2666" t="s">
        <v>11894</v>
      </c>
      <c r="N2666" t="s">
        <v>3363</v>
      </c>
      <c r="O2666" t="s">
        <v>3363</v>
      </c>
      <c r="P2666" t="s">
        <v>15211</v>
      </c>
      <c r="Q2666" t="s">
        <v>15211</v>
      </c>
      <c r="R2666" t="s">
        <v>15211</v>
      </c>
      <c r="S2666" t="s">
        <v>15211</v>
      </c>
      <c r="T2666" t="s">
        <v>3370</v>
      </c>
      <c r="U2666" t="s">
        <v>14532</v>
      </c>
      <c r="V2666" t="s">
        <v>15279</v>
      </c>
    </row>
    <row r="2667" spans="1:22" ht="15" hidden="1">
      <c r="A2667" t="s">
        <v>15438</v>
      </c>
      <c r="B2667" t="s">
        <v>15442</v>
      </c>
      <c r="C2667" t="s">
        <v>15445</v>
      </c>
      <c r="D2667" t="s">
        <v>2662</v>
      </c>
      <c r="E2667" t="s">
        <v>3431</v>
      </c>
      <c r="F2667" t="s">
        <v>3441</v>
      </c>
      <c r="G2667" s="3">
        <v>35.017292296269801</v>
      </c>
      <c r="H2667" s="3">
        <v>126.63952559639201</v>
      </c>
      <c r="I2667" t="s">
        <v>6432</v>
      </c>
      <c r="J2667" t="s">
        <v>9788</v>
      </c>
      <c r="K2667" t="s">
        <v>10939</v>
      </c>
      <c r="L2667" t="s">
        <v>3366</v>
      </c>
      <c r="M2667" t="s">
        <v>11894</v>
      </c>
      <c r="N2667" t="s">
        <v>3363</v>
      </c>
      <c r="O2667" t="s">
        <v>3363</v>
      </c>
      <c r="P2667" t="s">
        <v>15211</v>
      </c>
      <c r="Q2667" t="s">
        <v>15211</v>
      </c>
      <c r="R2667" t="s">
        <v>15211</v>
      </c>
      <c r="S2667" t="s">
        <v>15211</v>
      </c>
      <c r="T2667" t="s">
        <v>3370</v>
      </c>
      <c r="U2667" t="s">
        <v>14533</v>
      </c>
      <c r="V2667" t="s">
        <v>15279</v>
      </c>
    </row>
    <row r="2668" spans="1:22" ht="15" hidden="1">
      <c r="A2668" t="s">
        <v>15438</v>
      </c>
      <c r="B2668" t="s">
        <v>15442</v>
      </c>
      <c r="C2668" t="s">
        <v>15445</v>
      </c>
      <c r="D2668" t="s">
        <v>2663</v>
      </c>
      <c r="E2668" t="s">
        <v>3442</v>
      </c>
      <c r="F2668" t="s">
        <v>3433</v>
      </c>
      <c r="G2668" s="3">
        <v>35.017292331083603</v>
      </c>
      <c r="H2668" s="3">
        <v>126.63952563314299</v>
      </c>
      <c r="I2668" t="s">
        <v>6433</v>
      </c>
      <c r="J2668" t="s">
        <v>9789</v>
      </c>
      <c r="K2668" t="s">
        <v>10933</v>
      </c>
      <c r="L2668" t="s">
        <v>3366</v>
      </c>
      <c r="M2668" t="s">
        <v>11894</v>
      </c>
      <c r="N2668" t="s">
        <v>3363</v>
      </c>
      <c r="O2668" t="s">
        <v>3363</v>
      </c>
      <c r="P2668" t="s">
        <v>15211</v>
      </c>
      <c r="Q2668" t="s">
        <v>15211</v>
      </c>
      <c r="R2668" t="s">
        <v>15211</v>
      </c>
      <c r="S2668" t="s">
        <v>15211</v>
      </c>
      <c r="T2668" t="s">
        <v>3370</v>
      </c>
      <c r="U2668" t="s">
        <v>14534</v>
      </c>
      <c r="V2668" t="s">
        <v>15279</v>
      </c>
    </row>
    <row r="2669" spans="1:22" ht="15" hidden="1">
      <c r="A2669" t="s">
        <v>15432</v>
      </c>
      <c r="B2669" t="s">
        <v>15441</v>
      </c>
      <c r="C2669" t="s">
        <v>15445</v>
      </c>
      <c r="D2669" t="s">
        <v>2664</v>
      </c>
      <c r="E2669" t="s">
        <v>3452</v>
      </c>
      <c r="F2669" t="s">
        <v>3477</v>
      </c>
      <c r="G2669" s="3">
        <v>34.696817803536099</v>
      </c>
      <c r="H2669" s="3">
        <v>126.26864566640999</v>
      </c>
      <c r="I2669" t="s">
        <v>6434</v>
      </c>
      <c r="J2669" t="s">
        <v>9790</v>
      </c>
      <c r="K2669" t="s">
        <v>11348</v>
      </c>
      <c r="L2669" t="s">
        <v>3366</v>
      </c>
      <c r="M2669" t="s">
        <v>11894</v>
      </c>
      <c r="N2669" t="s">
        <v>3365</v>
      </c>
      <c r="O2669" t="s">
        <v>3361</v>
      </c>
      <c r="P2669" t="s">
        <v>15211</v>
      </c>
      <c r="Q2669" t="s">
        <v>15211</v>
      </c>
      <c r="R2669" t="s">
        <v>15211</v>
      </c>
      <c r="S2669" t="s">
        <v>15211</v>
      </c>
      <c r="T2669" t="s">
        <v>3370</v>
      </c>
      <c r="U2669" t="s">
        <v>14535</v>
      </c>
      <c r="V2669" t="s">
        <v>15274</v>
      </c>
    </row>
    <row r="2670" spans="1:22" ht="15" hidden="1">
      <c r="A2670" t="s">
        <v>15432</v>
      </c>
      <c r="B2670" t="s">
        <v>15441</v>
      </c>
      <c r="C2670" t="s">
        <v>15445</v>
      </c>
      <c r="D2670" t="s">
        <v>2665</v>
      </c>
      <c r="E2670" t="s">
        <v>3452</v>
      </c>
      <c r="F2670" t="s">
        <v>3477</v>
      </c>
      <c r="G2670" s="3">
        <v>34.696817824611202</v>
      </c>
      <c r="H2670" s="3">
        <v>126.26864566783399</v>
      </c>
      <c r="I2670" t="s">
        <v>6435</v>
      </c>
      <c r="J2670" t="s">
        <v>9791</v>
      </c>
      <c r="K2670" t="s">
        <v>10557</v>
      </c>
      <c r="L2670" t="s">
        <v>3366</v>
      </c>
      <c r="M2670" t="s">
        <v>11894</v>
      </c>
      <c r="N2670" t="s">
        <v>3365</v>
      </c>
      <c r="O2670" t="s">
        <v>3361</v>
      </c>
      <c r="P2670" t="s">
        <v>15211</v>
      </c>
      <c r="Q2670" t="s">
        <v>15211</v>
      </c>
      <c r="R2670" t="s">
        <v>15211</v>
      </c>
      <c r="S2670" t="s">
        <v>15211</v>
      </c>
      <c r="T2670" t="s">
        <v>3370</v>
      </c>
      <c r="U2670" t="s">
        <v>14536</v>
      </c>
      <c r="V2670" t="s">
        <v>15274</v>
      </c>
    </row>
    <row r="2671" spans="1:22" ht="15" hidden="1">
      <c r="A2671" t="s">
        <v>15432</v>
      </c>
      <c r="B2671" t="s">
        <v>15441</v>
      </c>
      <c r="C2671" t="s">
        <v>15445</v>
      </c>
      <c r="D2671" t="s">
        <v>2666</v>
      </c>
      <c r="E2671" t="s">
        <v>3452</v>
      </c>
      <c r="F2671" t="s">
        <v>3477</v>
      </c>
      <c r="G2671" s="3">
        <v>34.6968178467746</v>
      </c>
      <c r="H2671" s="3">
        <v>126.268645670071</v>
      </c>
      <c r="I2671" t="s">
        <v>6436</v>
      </c>
      <c r="J2671" t="s">
        <v>9792</v>
      </c>
      <c r="K2671" t="s">
        <v>11461</v>
      </c>
      <c r="L2671" t="s">
        <v>3366</v>
      </c>
      <c r="M2671" t="s">
        <v>11894</v>
      </c>
      <c r="N2671" t="s">
        <v>3365</v>
      </c>
      <c r="O2671" t="s">
        <v>3361</v>
      </c>
      <c r="P2671" t="s">
        <v>15211</v>
      </c>
      <c r="Q2671" t="s">
        <v>15211</v>
      </c>
      <c r="R2671" t="s">
        <v>15211</v>
      </c>
      <c r="S2671" t="s">
        <v>15211</v>
      </c>
      <c r="T2671" t="s">
        <v>3370</v>
      </c>
      <c r="U2671" t="s">
        <v>14537</v>
      </c>
      <c r="V2671" t="s">
        <v>15274</v>
      </c>
    </row>
    <row r="2672" spans="1:22" ht="15" hidden="1">
      <c r="A2672" t="s">
        <v>15432</v>
      </c>
      <c r="B2672" t="s">
        <v>15441</v>
      </c>
      <c r="C2672" t="s">
        <v>15448</v>
      </c>
      <c r="D2672" t="s">
        <v>2667</v>
      </c>
      <c r="E2672" t="s">
        <v>3434</v>
      </c>
      <c r="F2672" t="s">
        <v>3590</v>
      </c>
      <c r="G2672" s="3">
        <v>34.6968176788561</v>
      </c>
      <c r="H2672" s="3">
        <v>126.26864558907999</v>
      </c>
      <c r="I2672" t="s">
        <v>6437</v>
      </c>
      <c r="J2672" t="s">
        <v>9793</v>
      </c>
      <c r="K2672" t="s">
        <v>11346</v>
      </c>
      <c r="L2672" t="s">
        <v>3366</v>
      </c>
      <c r="M2672" t="s">
        <v>11916</v>
      </c>
      <c r="N2672" t="s">
        <v>3364</v>
      </c>
      <c r="O2672" t="s">
        <v>3361</v>
      </c>
      <c r="P2672" t="s">
        <v>3363</v>
      </c>
      <c r="Q2672" t="s">
        <v>3368</v>
      </c>
      <c r="R2672" t="s">
        <v>3359</v>
      </c>
      <c r="S2672" t="s">
        <v>15211</v>
      </c>
      <c r="T2672" t="s">
        <v>3391</v>
      </c>
      <c r="U2672" t="s">
        <v>14538</v>
      </c>
      <c r="V2672" t="s">
        <v>15276</v>
      </c>
    </row>
    <row r="2673" spans="1:22" ht="15" hidden="1">
      <c r="A2673" t="s">
        <v>15432</v>
      </c>
      <c r="B2673" t="s">
        <v>15441</v>
      </c>
      <c r="C2673" t="s">
        <v>15448</v>
      </c>
      <c r="D2673" t="s">
        <v>2668</v>
      </c>
      <c r="E2673" t="s">
        <v>3434</v>
      </c>
      <c r="F2673" t="s">
        <v>3590</v>
      </c>
      <c r="G2673" s="3">
        <v>34.696817666719198</v>
      </c>
      <c r="H2673" s="3">
        <v>126.26864558164399</v>
      </c>
      <c r="I2673" t="s">
        <v>6438</v>
      </c>
      <c r="J2673" t="s">
        <v>9794</v>
      </c>
      <c r="K2673" t="s">
        <v>11400</v>
      </c>
      <c r="L2673" t="s">
        <v>3366</v>
      </c>
      <c r="M2673" t="s">
        <v>11916</v>
      </c>
      <c r="N2673" t="s">
        <v>3364</v>
      </c>
      <c r="O2673" t="s">
        <v>3361</v>
      </c>
      <c r="P2673" t="s">
        <v>3363</v>
      </c>
      <c r="Q2673" t="s">
        <v>3368</v>
      </c>
      <c r="R2673" t="s">
        <v>3359</v>
      </c>
      <c r="S2673" t="s">
        <v>15211</v>
      </c>
      <c r="T2673" t="s">
        <v>3391</v>
      </c>
      <c r="U2673" t="s">
        <v>14539</v>
      </c>
      <c r="V2673" t="s">
        <v>15276</v>
      </c>
    </row>
    <row r="2674" spans="1:22" ht="15" hidden="1">
      <c r="A2674" t="s">
        <v>15432</v>
      </c>
      <c r="B2674" t="s">
        <v>15441</v>
      </c>
      <c r="C2674" t="s">
        <v>15448</v>
      </c>
      <c r="D2674" t="s">
        <v>2669</v>
      </c>
      <c r="E2674" t="s">
        <v>3434</v>
      </c>
      <c r="F2674" t="s">
        <v>3611</v>
      </c>
      <c r="G2674" s="3">
        <v>34.696817640735098</v>
      </c>
      <c r="H2674" s="3">
        <v>126.268645576284</v>
      </c>
      <c r="I2674" t="s">
        <v>6439</v>
      </c>
      <c r="J2674" t="s">
        <v>9795</v>
      </c>
      <c r="K2674" t="s">
        <v>11586</v>
      </c>
      <c r="L2674" t="s">
        <v>3366</v>
      </c>
      <c r="M2674" t="s">
        <v>11917</v>
      </c>
      <c r="N2674" t="s">
        <v>3364</v>
      </c>
      <c r="O2674" t="s">
        <v>3361</v>
      </c>
      <c r="P2674" t="s">
        <v>3363</v>
      </c>
      <c r="Q2674" t="s">
        <v>3369</v>
      </c>
      <c r="R2674" t="s">
        <v>3359</v>
      </c>
      <c r="S2674" t="s">
        <v>15211</v>
      </c>
      <c r="T2674" t="s">
        <v>3392</v>
      </c>
      <c r="U2674" t="s">
        <v>14539</v>
      </c>
      <c r="V2674" t="s">
        <v>15276</v>
      </c>
    </row>
    <row r="2675" spans="1:22" ht="15" hidden="1">
      <c r="A2675" t="s">
        <v>15432</v>
      </c>
      <c r="B2675" t="s">
        <v>15441</v>
      </c>
      <c r="C2675" t="s">
        <v>15449</v>
      </c>
      <c r="D2675" t="s">
        <v>2670</v>
      </c>
      <c r="E2675" t="s">
        <v>3438</v>
      </c>
      <c r="F2675" t="s">
        <v>3431</v>
      </c>
      <c r="G2675" s="3">
        <v>34.696817734426403</v>
      </c>
      <c r="H2675" s="3">
        <v>126.268645529446</v>
      </c>
      <c r="I2675" t="s">
        <v>6440</v>
      </c>
      <c r="J2675" t="s">
        <v>9796</v>
      </c>
      <c r="K2675" t="s">
        <v>11122</v>
      </c>
      <c r="L2675" t="s">
        <v>3366</v>
      </c>
      <c r="M2675" t="s">
        <v>11913</v>
      </c>
      <c r="N2675" t="s">
        <v>3362</v>
      </c>
      <c r="O2675" t="s">
        <v>3360</v>
      </c>
      <c r="P2675" t="s">
        <v>3362</v>
      </c>
      <c r="Q2675" t="s">
        <v>3369</v>
      </c>
      <c r="R2675" t="s">
        <v>3358</v>
      </c>
      <c r="S2675" t="s">
        <v>15211</v>
      </c>
      <c r="T2675" t="s">
        <v>3387</v>
      </c>
      <c r="U2675" t="s">
        <v>14540</v>
      </c>
      <c r="V2675" t="s">
        <v>15277</v>
      </c>
    </row>
    <row r="2676" spans="1:22" ht="15" hidden="1">
      <c r="A2676" t="s">
        <v>15432</v>
      </c>
      <c r="B2676" t="s">
        <v>15441</v>
      </c>
      <c r="C2676" t="s">
        <v>15449</v>
      </c>
      <c r="D2676" t="s">
        <v>2671</v>
      </c>
      <c r="E2676" t="s">
        <v>3440</v>
      </c>
      <c r="F2676" t="s">
        <v>3431</v>
      </c>
      <c r="G2676" s="3">
        <v>34.696817713937399</v>
      </c>
      <c r="H2676" s="3">
        <v>126.268645509292</v>
      </c>
      <c r="I2676" t="s">
        <v>6441</v>
      </c>
      <c r="J2676" t="s">
        <v>9797</v>
      </c>
      <c r="K2676" t="s">
        <v>11717</v>
      </c>
      <c r="L2676" t="s">
        <v>3366</v>
      </c>
      <c r="M2676" t="s">
        <v>11907</v>
      </c>
      <c r="N2676" t="s">
        <v>3362</v>
      </c>
      <c r="O2676" t="s">
        <v>3360</v>
      </c>
      <c r="P2676" t="s">
        <v>3362</v>
      </c>
      <c r="Q2676" t="s">
        <v>3368</v>
      </c>
      <c r="R2676" t="s">
        <v>3358</v>
      </c>
      <c r="S2676" t="s">
        <v>15211</v>
      </c>
      <c r="T2676" t="s">
        <v>3386</v>
      </c>
      <c r="U2676" t="s">
        <v>14540</v>
      </c>
      <c r="V2676" t="s">
        <v>15277</v>
      </c>
    </row>
    <row r="2677" spans="1:22" ht="15" hidden="1">
      <c r="A2677" t="s">
        <v>15432</v>
      </c>
      <c r="B2677" t="s">
        <v>15441</v>
      </c>
      <c r="C2677" t="s">
        <v>15449</v>
      </c>
      <c r="D2677" t="s">
        <v>2672</v>
      </c>
      <c r="E2677" t="s">
        <v>3440</v>
      </c>
      <c r="F2677" t="s">
        <v>3431</v>
      </c>
      <c r="G2677" s="3">
        <v>34.696817700833599</v>
      </c>
      <c r="H2677" s="3">
        <v>126.26864550960801</v>
      </c>
      <c r="I2677" t="s">
        <v>6442</v>
      </c>
      <c r="J2677" t="s">
        <v>9798</v>
      </c>
      <c r="K2677" t="s">
        <v>11154</v>
      </c>
      <c r="L2677" t="s">
        <v>3366</v>
      </c>
      <c r="M2677" t="s">
        <v>11907</v>
      </c>
      <c r="N2677" t="s">
        <v>3362</v>
      </c>
      <c r="O2677" t="s">
        <v>3360</v>
      </c>
      <c r="P2677" t="s">
        <v>3362</v>
      </c>
      <c r="Q2677" t="s">
        <v>3368</v>
      </c>
      <c r="R2677" t="s">
        <v>3358</v>
      </c>
      <c r="S2677" t="s">
        <v>15211</v>
      </c>
      <c r="T2677" t="s">
        <v>3386</v>
      </c>
      <c r="U2677" t="s">
        <v>14541</v>
      </c>
      <c r="V2677" t="s">
        <v>15277</v>
      </c>
    </row>
    <row r="2678" spans="1:22" ht="15" hidden="1">
      <c r="A2678" t="s">
        <v>15432</v>
      </c>
      <c r="B2678" t="s">
        <v>15442</v>
      </c>
      <c r="C2678" t="s">
        <v>15450</v>
      </c>
      <c r="D2678" t="s">
        <v>2673</v>
      </c>
      <c r="E2678" t="s">
        <v>3434</v>
      </c>
      <c r="F2678" t="s">
        <v>3426</v>
      </c>
      <c r="G2678" s="3">
        <v>34.696818082448303</v>
      </c>
      <c r="H2678" s="3">
        <v>126.268645329759</v>
      </c>
      <c r="I2678" t="s">
        <v>6443</v>
      </c>
      <c r="J2678" t="s">
        <v>9799</v>
      </c>
      <c r="K2678" t="s">
        <v>11742</v>
      </c>
      <c r="L2678" t="s">
        <v>3366</v>
      </c>
      <c r="M2678" t="s">
        <v>11890</v>
      </c>
      <c r="N2678" t="s">
        <v>3364</v>
      </c>
      <c r="O2678" t="s">
        <v>3361</v>
      </c>
      <c r="P2678" t="s">
        <v>15211</v>
      </c>
      <c r="Q2678" t="s">
        <v>15211</v>
      </c>
      <c r="R2678" t="s">
        <v>15211</v>
      </c>
      <c r="S2678" t="s">
        <v>15211</v>
      </c>
      <c r="T2678" t="s">
        <v>3369</v>
      </c>
      <c r="U2678" t="s">
        <v>14542</v>
      </c>
      <c r="V2678" t="s">
        <v>15278</v>
      </c>
    </row>
    <row r="2679" spans="1:22" ht="15" hidden="1">
      <c r="A2679" t="s">
        <v>15432</v>
      </c>
      <c r="B2679" t="s">
        <v>15442</v>
      </c>
      <c r="C2679" t="s">
        <v>15450</v>
      </c>
      <c r="D2679" t="s">
        <v>2674</v>
      </c>
      <c r="E2679" t="s">
        <v>3435</v>
      </c>
      <c r="F2679" t="s">
        <v>3450</v>
      </c>
      <c r="G2679" s="3">
        <v>34.696818122217202</v>
      </c>
      <c r="H2679" s="3">
        <v>126.268645283349</v>
      </c>
      <c r="I2679" t="s">
        <v>6444</v>
      </c>
      <c r="J2679" t="s">
        <v>9800</v>
      </c>
      <c r="K2679" t="s">
        <v>11742</v>
      </c>
      <c r="L2679" t="s">
        <v>3366</v>
      </c>
      <c r="M2679" t="s">
        <v>11890</v>
      </c>
      <c r="N2679" t="s">
        <v>3364</v>
      </c>
      <c r="O2679" t="s">
        <v>3361</v>
      </c>
      <c r="P2679" t="s">
        <v>15211</v>
      </c>
      <c r="Q2679" t="s">
        <v>15211</v>
      </c>
      <c r="R2679" t="s">
        <v>15211</v>
      </c>
      <c r="S2679" t="s">
        <v>15211</v>
      </c>
      <c r="T2679" t="s">
        <v>3369</v>
      </c>
      <c r="U2679" t="s">
        <v>14543</v>
      </c>
      <c r="V2679" t="s">
        <v>15278</v>
      </c>
    </row>
    <row r="2680" spans="1:22" ht="15" hidden="1">
      <c r="A2680" t="s">
        <v>15432</v>
      </c>
      <c r="B2680" t="s">
        <v>15442</v>
      </c>
      <c r="C2680" t="s">
        <v>15450</v>
      </c>
      <c r="D2680" t="s">
        <v>2675</v>
      </c>
      <c r="E2680" t="s">
        <v>3429</v>
      </c>
      <c r="F2680" t="s">
        <v>3460</v>
      </c>
      <c r="G2680" s="3">
        <v>34.696818119899099</v>
      </c>
      <c r="H2680" s="3">
        <v>126.268645261459</v>
      </c>
      <c r="I2680" t="s">
        <v>6445</v>
      </c>
      <c r="J2680" t="s">
        <v>9801</v>
      </c>
      <c r="K2680" t="s">
        <v>11742</v>
      </c>
      <c r="L2680" t="s">
        <v>3366</v>
      </c>
      <c r="M2680" t="s">
        <v>11890</v>
      </c>
      <c r="N2680" t="s">
        <v>3364</v>
      </c>
      <c r="O2680" t="s">
        <v>3361</v>
      </c>
      <c r="P2680" t="s">
        <v>15211</v>
      </c>
      <c r="Q2680" t="s">
        <v>15211</v>
      </c>
      <c r="R2680" t="s">
        <v>15211</v>
      </c>
      <c r="S2680" t="s">
        <v>15211</v>
      </c>
      <c r="T2680" t="s">
        <v>3369</v>
      </c>
      <c r="U2680" t="s">
        <v>14544</v>
      </c>
      <c r="V2680" t="s">
        <v>15278</v>
      </c>
    </row>
    <row r="2681" spans="1:22" ht="15" hidden="1">
      <c r="A2681" t="s">
        <v>15432</v>
      </c>
      <c r="B2681" t="s">
        <v>15442</v>
      </c>
      <c r="C2681" t="s">
        <v>15445</v>
      </c>
      <c r="D2681" t="s">
        <v>2676</v>
      </c>
      <c r="E2681" t="s">
        <v>3438</v>
      </c>
      <c r="F2681" t="s">
        <v>3435</v>
      </c>
      <c r="G2681" s="3">
        <v>34.696817802719899</v>
      </c>
      <c r="H2681" s="3">
        <v>126.26864543220699</v>
      </c>
      <c r="I2681" t="s">
        <v>6446</v>
      </c>
      <c r="J2681" t="s">
        <v>9802</v>
      </c>
      <c r="K2681" t="s">
        <v>11743</v>
      </c>
      <c r="L2681" t="s">
        <v>3366</v>
      </c>
      <c r="M2681" t="s">
        <v>11890</v>
      </c>
      <c r="N2681" t="s">
        <v>3364</v>
      </c>
      <c r="O2681" t="s">
        <v>3361</v>
      </c>
      <c r="P2681" t="s">
        <v>15211</v>
      </c>
      <c r="Q2681" t="s">
        <v>15211</v>
      </c>
      <c r="R2681" t="s">
        <v>15211</v>
      </c>
      <c r="S2681" t="s">
        <v>15211</v>
      </c>
      <c r="T2681" t="s">
        <v>3369</v>
      </c>
      <c r="U2681" t="s">
        <v>14545</v>
      </c>
      <c r="V2681" t="s">
        <v>15279</v>
      </c>
    </row>
    <row r="2682" spans="1:22" ht="15" hidden="1">
      <c r="A2682" t="s">
        <v>15432</v>
      </c>
      <c r="B2682" t="s">
        <v>15442</v>
      </c>
      <c r="C2682" t="s">
        <v>15445</v>
      </c>
      <c r="D2682" t="s">
        <v>2677</v>
      </c>
      <c r="E2682" t="s">
        <v>3427</v>
      </c>
      <c r="F2682" t="s">
        <v>3429</v>
      </c>
      <c r="G2682" s="3">
        <v>34.696817784820503</v>
      </c>
      <c r="H2682" s="3">
        <v>126.26864547460799</v>
      </c>
      <c r="I2682" t="s">
        <v>6447</v>
      </c>
      <c r="J2682" t="s">
        <v>9803</v>
      </c>
      <c r="K2682" t="s">
        <v>11743</v>
      </c>
      <c r="L2682" t="s">
        <v>3366</v>
      </c>
      <c r="M2682" t="s">
        <v>11890</v>
      </c>
      <c r="N2682" t="s">
        <v>3364</v>
      </c>
      <c r="O2682" t="s">
        <v>3361</v>
      </c>
      <c r="P2682" t="s">
        <v>15211</v>
      </c>
      <c r="Q2682" t="s">
        <v>15211</v>
      </c>
      <c r="R2682" t="s">
        <v>15211</v>
      </c>
      <c r="S2682" t="s">
        <v>15211</v>
      </c>
      <c r="T2682" t="s">
        <v>3369</v>
      </c>
      <c r="U2682" t="s">
        <v>14546</v>
      </c>
      <c r="V2682" t="s">
        <v>15279</v>
      </c>
    </row>
    <row r="2683" spans="1:22" ht="15" hidden="1">
      <c r="A2683" t="s">
        <v>15432</v>
      </c>
      <c r="B2683" t="s">
        <v>15442</v>
      </c>
      <c r="C2683" t="s">
        <v>15445</v>
      </c>
      <c r="D2683" t="s">
        <v>2678</v>
      </c>
      <c r="E2683" t="s">
        <v>3428</v>
      </c>
      <c r="F2683" t="s">
        <v>3430</v>
      </c>
      <c r="G2683" s="3">
        <v>34.6968177446577</v>
      </c>
      <c r="H2683" s="3">
        <v>126.268645496489</v>
      </c>
      <c r="I2683" t="s">
        <v>6448</v>
      </c>
      <c r="J2683" t="s">
        <v>9804</v>
      </c>
      <c r="K2683" t="s">
        <v>11743</v>
      </c>
      <c r="L2683" t="s">
        <v>3366</v>
      </c>
      <c r="M2683" t="s">
        <v>11890</v>
      </c>
      <c r="N2683" t="s">
        <v>3364</v>
      </c>
      <c r="O2683" t="s">
        <v>3361</v>
      </c>
      <c r="P2683" t="s">
        <v>15211</v>
      </c>
      <c r="Q2683" t="s">
        <v>15211</v>
      </c>
      <c r="R2683" t="s">
        <v>15211</v>
      </c>
      <c r="S2683" t="s">
        <v>15211</v>
      </c>
      <c r="T2683" t="s">
        <v>3369</v>
      </c>
      <c r="U2683" t="s">
        <v>14547</v>
      </c>
      <c r="V2683" t="s">
        <v>15279</v>
      </c>
    </row>
    <row r="2684" spans="1:22" ht="15" hidden="1">
      <c r="A2684" t="s">
        <v>15432</v>
      </c>
      <c r="B2684" t="s">
        <v>15442</v>
      </c>
      <c r="C2684" t="s">
        <v>15451</v>
      </c>
      <c r="D2684" t="s">
        <v>2679</v>
      </c>
      <c r="E2684" t="s">
        <v>3437</v>
      </c>
      <c r="F2684" t="s">
        <v>3425</v>
      </c>
      <c r="G2684" s="3">
        <v>34.696817650108997</v>
      </c>
      <c r="H2684" s="3">
        <v>126.268645463938</v>
      </c>
      <c r="I2684" t="s">
        <v>6449</v>
      </c>
      <c r="J2684" t="s">
        <v>9805</v>
      </c>
      <c r="K2684" t="s">
        <v>11075</v>
      </c>
      <c r="L2684" t="s">
        <v>3366</v>
      </c>
      <c r="M2684" t="s">
        <v>11913</v>
      </c>
      <c r="N2684" t="s">
        <v>3364</v>
      </c>
      <c r="O2684" t="s">
        <v>3361</v>
      </c>
      <c r="P2684" t="s">
        <v>3362</v>
      </c>
      <c r="Q2684" t="s">
        <v>3368</v>
      </c>
      <c r="R2684" t="s">
        <v>15211</v>
      </c>
      <c r="S2684" t="s">
        <v>15211</v>
      </c>
      <c r="T2684" t="s">
        <v>3387</v>
      </c>
      <c r="U2684" t="s">
        <v>14548</v>
      </c>
      <c r="V2684" t="s">
        <v>15280</v>
      </c>
    </row>
    <row r="2685" spans="1:22" ht="15" hidden="1">
      <c r="A2685" t="s">
        <v>15432</v>
      </c>
      <c r="B2685" t="s">
        <v>15442</v>
      </c>
      <c r="C2685" t="s">
        <v>15451</v>
      </c>
      <c r="D2685" t="s">
        <v>2680</v>
      </c>
      <c r="E2685" t="s">
        <v>3437</v>
      </c>
      <c r="F2685" t="s">
        <v>3425</v>
      </c>
      <c r="G2685" s="3">
        <v>34.696817662564399</v>
      </c>
      <c r="H2685" s="3">
        <v>126.268645483741</v>
      </c>
      <c r="I2685" t="s">
        <v>6450</v>
      </c>
      <c r="J2685" t="s">
        <v>9806</v>
      </c>
      <c r="K2685" t="s">
        <v>11113</v>
      </c>
      <c r="L2685" t="s">
        <v>3366</v>
      </c>
      <c r="M2685" t="s">
        <v>11906</v>
      </c>
      <c r="N2685" t="s">
        <v>3364</v>
      </c>
      <c r="O2685" t="s">
        <v>3361</v>
      </c>
      <c r="P2685" t="s">
        <v>3362</v>
      </c>
      <c r="Q2685" t="s">
        <v>3368</v>
      </c>
      <c r="R2685" t="s">
        <v>15211</v>
      </c>
      <c r="S2685" t="s">
        <v>15211</v>
      </c>
      <c r="T2685" t="s">
        <v>3387</v>
      </c>
      <c r="U2685" t="s">
        <v>14549</v>
      </c>
      <c r="V2685" t="s">
        <v>15280</v>
      </c>
    </row>
    <row r="2686" spans="1:22" ht="15" hidden="1">
      <c r="A2686" t="s">
        <v>15432</v>
      </c>
      <c r="B2686" t="s">
        <v>15442</v>
      </c>
      <c r="C2686" t="s">
        <v>15451</v>
      </c>
      <c r="D2686" t="s">
        <v>2681</v>
      </c>
      <c r="E2686" t="s">
        <v>3440</v>
      </c>
      <c r="F2686" t="s">
        <v>3425</v>
      </c>
      <c r="G2686" s="3">
        <v>34.696817660878402</v>
      </c>
      <c r="H2686" s="3">
        <v>126.268645481023</v>
      </c>
      <c r="I2686" t="s">
        <v>6451</v>
      </c>
      <c r="J2686" t="s">
        <v>9807</v>
      </c>
      <c r="K2686" t="s">
        <v>11730</v>
      </c>
      <c r="L2686" t="s">
        <v>3366</v>
      </c>
      <c r="M2686" t="s">
        <v>11906</v>
      </c>
      <c r="N2686" t="s">
        <v>3364</v>
      </c>
      <c r="O2686" t="s">
        <v>3361</v>
      </c>
      <c r="P2686" t="s">
        <v>3362</v>
      </c>
      <c r="Q2686" t="s">
        <v>3369</v>
      </c>
      <c r="R2686" t="s">
        <v>15211</v>
      </c>
      <c r="S2686" t="s">
        <v>15211</v>
      </c>
      <c r="T2686" t="s">
        <v>3388</v>
      </c>
      <c r="U2686" t="s">
        <v>14550</v>
      </c>
      <c r="V2686" t="s">
        <v>15280</v>
      </c>
    </row>
    <row r="2687" spans="1:22" hidden="1">
      <c r="A2687" t="s">
        <v>15303</v>
      </c>
      <c r="B2687" t="s">
        <v>15441</v>
      </c>
      <c r="C2687" t="s">
        <v>15445</v>
      </c>
      <c r="D2687" t="s">
        <v>2682</v>
      </c>
      <c r="E2687" t="s">
        <v>3430</v>
      </c>
      <c r="F2687" t="s">
        <v>3460</v>
      </c>
      <c r="G2687" s="3">
        <v>34.393841102005197</v>
      </c>
      <c r="H2687" s="3">
        <v>126.64963756737799</v>
      </c>
      <c r="I2687" t="s">
        <v>6452</v>
      </c>
      <c r="J2687" t="s">
        <v>9808</v>
      </c>
      <c r="K2687" t="s">
        <v>10794</v>
      </c>
      <c r="L2687" t="s">
        <v>3366</v>
      </c>
      <c r="M2687" t="s">
        <v>11903</v>
      </c>
      <c r="N2687" t="s">
        <v>3366</v>
      </c>
      <c r="O2687" t="s">
        <v>3362</v>
      </c>
      <c r="P2687" t="s">
        <v>15211</v>
      </c>
      <c r="Q2687" t="s">
        <v>15211</v>
      </c>
      <c r="R2687" t="s">
        <v>15211</v>
      </c>
      <c r="S2687" t="s">
        <v>15211</v>
      </c>
      <c r="T2687" t="s">
        <v>3372</v>
      </c>
      <c r="U2687" t="s">
        <v>14551</v>
      </c>
      <c r="V2687" t="s">
        <v>15274</v>
      </c>
    </row>
    <row r="2688" spans="1:22" hidden="1">
      <c r="A2688" t="s">
        <v>15303</v>
      </c>
      <c r="B2688" t="s">
        <v>15441</v>
      </c>
      <c r="C2688" t="s">
        <v>15445</v>
      </c>
      <c r="D2688" t="s">
        <v>2683</v>
      </c>
      <c r="E2688" t="s">
        <v>3430</v>
      </c>
      <c r="F2688" t="s">
        <v>3460</v>
      </c>
      <c r="G2688" s="3">
        <v>34.393841066011298</v>
      </c>
      <c r="H2688" s="3">
        <v>126.649637576221</v>
      </c>
      <c r="I2688" t="s">
        <v>6453</v>
      </c>
      <c r="J2688" t="s">
        <v>9809</v>
      </c>
      <c r="K2688" t="s">
        <v>10794</v>
      </c>
      <c r="L2688" t="s">
        <v>3366</v>
      </c>
      <c r="M2688" t="s">
        <v>11903</v>
      </c>
      <c r="N2688" t="s">
        <v>3366</v>
      </c>
      <c r="O2688" t="s">
        <v>3362</v>
      </c>
      <c r="P2688" t="s">
        <v>15211</v>
      </c>
      <c r="Q2688" t="s">
        <v>15211</v>
      </c>
      <c r="R2688" t="s">
        <v>15211</v>
      </c>
      <c r="S2688" t="s">
        <v>15211</v>
      </c>
      <c r="T2688" t="s">
        <v>3372</v>
      </c>
      <c r="U2688" t="s">
        <v>14552</v>
      </c>
      <c r="V2688" t="s">
        <v>15274</v>
      </c>
    </row>
    <row r="2689" spans="1:22" hidden="1">
      <c r="A2689" t="s">
        <v>15303</v>
      </c>
      <c r="B2689" t="s">
        <v>15441</v>
      </c>
      <c r="C2689" t="s">
        <v>15445</v>
      </c>
      <c r="D2689" t="s">
        <v>2684</v>
      </c>
      <c r="E2689" t="s">
        <v>3430</v>
      </c>
      <c r="F2689" t="s">
        <v>3460</v>
      </c>
      <c r="G2689" s="3">
        <v>34.3938410670915</v>
      </c>
      <c r="H2689" s="3">
        <v>126.649637553641</v>
      </c>
      <c r="I2689" t="s">
        <v>6454</v>
      </c>
      <c r="J2689" t="s">
        <v>9810</v>
      </c>
      <c r="K2689" t="s">
        <v>10519</v>
      </c>
      <c r="L2689" t="s">
        <v>3366</v>
      </c>
      <c r="M2689" t="s">
        <v>11903</v>
      </c>
      <c r="N2689" t="s">
        <v>3366</v>
      </c>
      <c r="O2689" t="s">
        <v>3362</v>
      </c>
      <c r="P2689" t="s">
        <v>15211</v>
      </c>
      <c r="Q2689" t="s">
        <v>15211</v>
      </c>
      <c r="R2689" t="s">
        <v>15211</v>
      </c>
      <c r="S2689" t="s">
        <v>15211</v>
      </c>
      <c r="T2689" t="s">
        <v>3372</v>
      </c>
      <c r="U2689" t="s">
        <v>14553</v>
      </c>
      <c r="V2689" t="s">
        <v>15274</v>
      </c>
    </row>
    <row r="2690" spans="1:22" hidden="1">
      <c r="A2690" t="s">
        <v>15303</v>
      </c>
      <c r="B2690" t="s">
        <v>15441</v>
      </c>
      <c r="C2690" t="s">
        <v>15446</v>
      </c>
      <c r="D2690" t="s">
        <v>2685</v>
      </c>
      <c r="E2690" t="s">
        <v>3430</v>
      </c>
      <c r="F2690" t="s">
        <v>3450</v>
      </c>
      <c r="G2690" s="3">
        <v>34.393841179811702</v>
      </c>
      <c r="H2690" s="3">
        <v>126.649637642521</v>
      </c>
      <c r="I2690" t="s">
        <v>6455</v>
      </c>
      <c r="J2690" t="s">
        <v>9811</v>
      </c>
      <c r="K2690" t="s">
        <v>10520</v>
      </c>
      <c r="L2690" t="s">
        <v>3366</v>
      </c>
      <c r="M2690" t="s">
        <v>11903</v>
      </c>
      <c r="N2690" t="s">
        <v>3366</v>
      </c>
      <c r="O2690" t="s">
        <v>3362</v>
      </c>
      <c r="P2690" t="s">
        <v>15211</v>
      </c>
      <c r="Q2690" t="s">
        <v>15211</v>
      </c>
      <c r="R2690" t="s">
        <v>15211</v>
      </c>
      <c r="S2690" t="s">
        <v>15211</v>
      </c>
      <c r="T2690" t="s">
        <v>3372</v>
      </c>
      <c r="U2690" t="s">
        <v>14554</v>
      </c>
      <c r="V2690" t="s">
        <v>15275</v>
      </c>
    </row>
    <row r="2691" spans="1:22" hidden="1">
      <c r="A2691" t="s">
        <v>15303</v>
      </c>
      <c r="B2691" t="s">
        <v>15441</v>
      </c>
      <c r="C2691" t="s">
        <v>15446</v>
      </c>
      <c r="D2691" t="s">
        <v>2686</v>
      </c>
      <c r="E2691" t="s">
        <v>3442</v>
      </c>
      <c r="F2691" t="s">
        <v>3460</v>
      </c>
      <c r="G2691" s="3">
        <v>34.393841211600801</v>
      </c>
      <c r="H2691" s="3">
        <v>126.649637628424</v>
      </c>
      <c r="I2691" t="s">
        <v>6456</v>
      </c>
      <c r="J2691" t="s">
        <v>9812</v>
      </c>
      <c r="K2691" t="s">
        <v>10520</v>
      </c>
      <c r="L2691" t="s">
        <v>3366</v>
      </c>
      <c r="M2691" t="s">
        <v>11903</v>
      </c>
      <c r="N2691" t="s">
        <v>3366</v>
      </c>
      <c r="O2691" t="s">
        <v>3362</v>
      </c>
      <c r="P2691" t="s">
        <v>15211</v>
      </c>
      <c r="Q2691" t="s">
        <v>15211</v>
      </c>
      <c r="R2691" t="s">
        <v>15211</v>
      </c>
      <c r="S2691" t="s">
        <v>15211</v>
      </c>
      <c r="T2691" t="s">
        <v>3372</v>
      </c>
      <c r="U2691" t="s">
        <v>14555</v>
      </c>
      <c r="V2691" t="s">
        <v>15275</v>
      </c>
    </row>
    <row r="2692" spans="1:22" hidden="1">
      <c r="A2692" t="s">
        <v>15303</v>
      </c>
      <c r="B2692" t="s">
        <v>15441</v>
      </c>
      <c r="C2692" t="s">
        <v>15446</v>
      </c>
      <c r="D2692" t="s">
        <v>2687</v>
      </c>
      <c r="E2692" t="s">
        <v>3441</v>
      </c>
      <c r="F2692" t="s">
        <v>3463</v>
      </c>
      <c r="G2692" s="3">
        <v>34.393841222066399</v>
      </c>
      <c r="H2692" s="3">
        <v>126.649637626356</v>
      </c>
      <c r="I2692" t="s">
        <v>6457</v>
      </c>
      <c r="J2692" t="s">
        <v>9813</v>
      </c>
      <c r="K2692" t="s">
        <v>10520</v>
      </c>
      <c r="L2692" t="s">
        <v>3366</v>
      </c>
      <c r="M2692" t="s">
        <v>11903</v>
      </c>
      <c r="N2692" t="s">
        <v>3366</v>
      </c>
      <c r="O2692" t="s">
        <v>3362</v>
      </c>
      <c r="P2692" t="s">
        <v>15211</v>
      </c>
      <c r="Q2692" t="s">
        <v>15211</v>
      </c>
      <c r="R2692" t="s">
        <v>15211</v>
      </c>
      <c r="S2692" t="s">
        <v>15211</v>
      </c>
      <c r="T2692" t="s">
        <v>3372</v>
      </c>
      <c r="U2692" t="s">
        <v>14556</v>
      </c>
      <c r="V2692" t="s">
        <v>15275</v>
      </c>
    </row>
    <row r="2693" spans="1:22" hidden="1">
      <c r="A2693" t="s">
        <v>15303</v>
      </c>
      <c r="B2693" t="s">
        <v>15441</v>
      </c>
      <c r="C2693" t="s">
        <v>15449</v>
      </c>
      <c r="D2693" t="s">
        <v>2688</v>
      </c>
      <c r="E2693" t="s">
        <v>3436</v>
      </c>
      <c r="F2693" t="s">
        <v>3453</v>
      </c>
      <c r="G2693" s="3">
        <v>34.393841092098299</v>
      </c>
      <c r="H2693" s="3">
        <v>126.649637672937</v>
      </c>
      <c r="I2693" t="s">
        <v>6458</v>
      </c>
      <c r="J2693" t="s">
        <v>9814</v>
      </c>
      <c r="K2693" t="s">
        <v>11343</v>
      </c>
      <c r="L2693" t="s">
        <v>3366</v>
      </c>
      <c r="M2693" t="s">
        <v>11913</v>
      </c>
      <c r="N2693" t="s">
        <v>3365</v>
      </c>
      <c r="O2693" t="s">
        <v>3361</v>
      </c>
      <c r="P2693" t="s">
        <v>3361</v>
      </c>
      <c r="Q2693" t="s">
        <v>3367</v>
      </c>
      <c r="R2693" t="s">
        <v>3357</v>
      </c>
      <c r="S2693" t="s">
        <v>15211</v>
      </c>
      <c r="T2693" t="s">
        <v>3387</v>
      </c>
      <c r="U2693" t="s">
        <v>14557</v>
      </c>
      <c r="V2693" t="s">
        <v>15277</v>
      </c>
    </row>
    <row r="2694" spans="1:22" hidden="1">
      <c r="A2694" t="s">
        <v>15303</v>
      </c>
      <c r="B2694" t="s">
        <v>15441</v>
      </c>
      <c r="C2694" t="s">
        <v>15449</v>
      </c>
      <c r="D2694" t="s">
        <v>2689</v>
      </c>
      <c r="E2694" t="s">
        <v>3436</v>
      </c>
      <c r="F2694" t="s">
        <v>3453</v>
      </c>
      <c r="G2694" s="3">
        <v>34.393841075991801</v>
      </c>
      <c r="H2694" s="3">
        <v>126.64963765914599</v>
      </c>
      <c r="I2694" t="s">
        <v>6459</v>
      </c>
      <c r="J2694" t="s">
        <v>9815</v>
      </c>
      <c r="K2694" t="s">
        <v>11146</v>
      </c>
      <c r="L2694" t="s">
        <v>3366</v>
      </c>
      <c r="M2694" t="s">
        <v>11907</v>
      </c>
      <c r="N2694" t="s">
        <v>3365</v>
      </c>
      <c r="O2694" t="s">
        <v>3361</v>
      </c>
      <c r="P2694" t="s">
        <v>3361</v>
      </c>
      <c r="Q2694" t="s">
        <v>3366</v>
      </c>
      <c r="R2694" t="s">
        <v>3357</v>
      </c>
      <c r="S2694" t="s">
        <v>15211</v>
      </c>
      <c r="T2694" t="s">
        <v>3386</v>
      </c>
      <c r="U2694" t="s">
        <v>14558</v>
      </c>
      <c r="V2694" t="s">
        <v>15277</v>
      </c>
    </row>
    <row r="2695" spans="1:22" hidden="1">
      <c r="A2695" t="s">
        <v>15303</v>
      </c>
      <c r="B2695" t="s">
        <v>15441</v>
      </c>
      <c r="C2695" t="s">
        <v>15449</v>
      </c>
      <c r="D2695" t="s">
        <v>2690</v>
      </c>
      <c r="E2695" t="s">
        <v>3436</v>
      </c>
      <c r="F2695" t="s">
        <v>3453</v>
      </c>
      <c r="G2695" s="3">
        <v>34.3938410975937</v>
      </c>
      <c r="H2695" s="3">
        <v>126.649637614738</v>
      </c>
      <c r="I2695" t="s">
        <v>6460</v>
      </c>
      <c r="J2695" t="s">
        <v>9816</v>
      </c>
      <c r="K2695" t="s">
        <v>11343</v>
      </c>
      <c r="L2695" t="s">
        <v>3366</v>
      </c>
      <c r="M2695" t="s">
        <v>11907</v>
      </c>
      <c r="N2695" t="s">
        <v>3365</v>
      </c>
      <c r="O2695" t="s">
        <v>3361</v>
      </c>
      <c r="P2695" t="s">
        <v>3361</v>
      </c>
      <c r="Q2695" t="s">
        <v>3366</v>
      </c>
      <c r="R2695" t="s">
        <v>3357</v>
      </c>
      <c r="S2695" t="s">
        <v>15211</v>
      </c>
      <c r="T2695" t="s">
        <v>3386</v>
      </c>
      <c r="U2695" t="s">
        <v>14559</v>
      </c>
      <c r="V2695" t="s">
        <v>15277</v>
      </c>
    </row>
    <row r="2696" spans="1:22" hidden="1">
      <c r="A2696" t="s">
        <v>15303</v>
      </c>
      <c r="B2696" t="s">
        <v>15442</v>
      </c>
      <c r="C2696" t="s">
        <v>15450</v>
      </c>
      <c r="D2696" t="s">
        <v>2691</v>
      </c>
      <c r="E2696" t="s">
        <v>3427</v>
      </c>
      <c r="F2696" t="s">
        <v>3430</v>
      </c>
      <c r="G2696" s="3">
        <v>34.393841300171196</v>
      </c>
      <c r="H2696" s="3">
        <v>126.64963802968001</v>
      </c>
      <c r="I2696" t="s">
        <v>6461</v>
      </c>
      <c r="J2696" t="s">
        <v>9817</v>
      </c>
      <c r="K2696" t="s">
        <v>10849</v>
      </c>
      <c r="L2696" t="s">
        <v>3366</v>
      </c>
      <c r="M2696" t="s">
        <v>11903</v>
      </c>
      <c r="N2696" t="s">
        <v>3366</v>
      </c>
      <c r="O2696" t="s">
        <v>3362</v>
      </c>
      <c r="P2696" t="s">
        <v>15211</v>
      </c>
      <c r="Q2696" t="s">
        <v>15211</v>
      </c>
      <c r="R2696" t="s">
        <v>15211</v>
      </c>
      <c r="S2696" t="s">
        <v>15211</v>
      </c>
      <c r="T2696" t="s">
        <v>3372</v>
      </c>
      <c r="U2696" t="s">
        <v>14560</v>
      </c>
      <c r="V2696" t="s">
        <v>15278</v>
      </c>
    </row>
    <row r="2697" spans="1:22" hidden="1">
      <c r="A2697" t="s">
        <v>15303</v>
      </c>
      <c r="B2697" t="s">
        <v>15442</v>
      </c>
      <c r="C2697" t="s">
        <v>15450</v>
      </c>
      <c r="D2697" t="s">
        <v>2692</v>
      </c>
      <c r="E2697" t="s">
        <v>3428</v>
      </c>
      <c r="F2697" t="s">
        <v>3442</v>
      </c>
      <c r="G2697" s="3">
        <v>34.3938413550528</v>
      </c>
      <c r="H2697" s="3">
        <v>126.649638035084</v>
      </c>
      <c r="I2697" t="s">
        <v>6462</v>
      </c>
      <c r="J2697" t="s">
        <v>9818</v>
      </c>
      <c r="K2697" t="s">
        <v>10849</v>
      </c>
      <c r="L2697" t="s">
        <v>3366</v>
      </c>
      <c r="M2697" t="s">
        <v>11903</v>
      </c>
      <c r="N2697" t="s">
        <v>3366</v>
      </c>
      <c r="O2697" t="s">
        <v>3362</v>
      </c>
      <c r="P2697" t="s">
        <v>15211</v>
      </c>
      <c r="Q2697" t="s">
        <v>15211</v>
      </c>
      <c r="R2697" t="s">
        <v>15211</v>
      </c>
      <c r="S2697" t="s">
        <v>15211</v>
      </c>
      <c r="T2697" t="s">
        <v>3372</v>
      </c>
      <c r="U2697" t="s">
        <v>14561</v>
      </c>
      <c r="V2697" t="s">
        <v>15278</v>
      </c>
    </row>
    <row r="2698" spans="1:22" hidden="1">
      <c r="A2698" t="s">
        <v>15303</v>
      </c>
      <c r="B2698" t="s">
        <v>15442</v>
      </c>
      <c r="C2698" t="s">
        <v>15450</v>
      </c>
      <c r="D2698" t="s">
        <v>2693</v>
      </c>
      <c r="E2698" t="s">
        <v>3428</v>
      </c>
      <c r="F2698" t="s">
        <v>3442</v>
      </c>
      <c r="G2698" s="3">
        <v>34.393841288784998</v>
      </c>
      <c r="H2698" s="3">
        <v>126.64963801627</v>
      </c>
      <c r="I2698" t="s">
        <v>6463</v>
      </c>
      <c r="J2698" t="s">
        <v>9819</v>
      </c>
      <c r="K2698" t="s">
        <v>10849</v>
      </c>
      <c r="L2698" t="s">
        <v>3366</v>
      </c>
      <c r="M2698" t="s">
        <v>11903</v>
      </c>
      <c r="N2698" t="s">
        <v>3366</v>
      </c>
      <c r="O2698" t="s">
        <v>3362</v>
      </c>
      <c r="P2698" t="s">
        <v>15211</v>
      </c>
      <c r="Q2698" t="s">
        <v>15211</v>
      </c>
      <c r="R2698" t="s">
        <v>15211</v>
      </c>
      <c r="S2698" t="s">
        <v>15211</v>
      </c>
      <c r="T2698" t="s">
        <v>3372</v>
      </c>
      <c r="U2698" t="s">
        <v>14562</v>
      </c>
      <c r="V2698" t="s">
        <v>15278</v>
      </c>
    </row>
    <row r="2699" spans="1:22" hidden="1">
      <c r="A2699" t="s">
        <v>15303</v>
      </c>
      <c r="B2699" t="s">
        <v>15442</v>
      </c>
      <c r="C2699" t="s">
        <v>15445</v>
      </c>
      <c r="D2699" t="s">
        <v>2694</v>
      </c>
      <c r="E2699" t="s">
        <v>3437</v>
      </c>
      <c r="F2699" t="s">
        <v>3425</v>
      </c>
      <c r="G2699" s="3">
        <v>34.393841393905802</v>
      </c>
      <c r="H2699" s="3">
        <v>126.64963774706</v>
      </c>
      <c r="I2699" t="s">
        <v>6464</v>
      </c>
      <c r="J2699" t="s">
        <v>9820</v>
      </c>
      <c r="K2699" t="s">
        <v>3633</v>
      </c>
      <c r="L2699" t="s">
        <v>3366</v>
      </c>
      <c r="M2699" t="s">
        <v>11903</v>
      </c>
      <c r="N2699" t="s">
        <v>3366</v>
      </c>
      <c r="O2699" t="s">
        <v>3362</v>
      </c>
      <c r="P2699" t="s">
        <v>15211</v>
      </c>
      <c r="Q2699" t="s">
        <v>15211</v>
      </c>
      <c r="R2699" t="s">
        <v>15211</v>
      </c>
      <c r="S2699" t="s">
        <v>15211</v>
      </c>
      <c r="T2699" t="s">
        <v>3372</v>
      </c>
      <c r="U2699" t="s">
        <v>14563</v>
      </c>
      <c r="V2699" t="s">
        <v>15279</v>
      </c>
    </row>
    <row r="2700" spans="1:22" hidden="1">
      <c r="A2700" t="s">
        <v>15303</v>
      </c>
      <c r="B2700" t="s">
        <v>15442</v>
      </c>
      <c r="C2700" t="s">
        <v>15445</v>
      </c>
      <c r="D2700" t="s">
        <v>2695</v>
      </c>
      <c r="E2700" t="s">
        <v>3440</v>
      </c>
      <c r="F2700" t="s">
        <v>3425</v>
      </c>
      <c r="G2700" s="3">
        <v>34.393841371761297</v>
      </c>
      <c r="H2700" s="3">
        <v>126.64963774683601</v>
      </c>
      <c r="I2700" t="s">
        <v>6465</v>
      </c>
      <c r="J2700" t="s">
        <v>9821</v>
      </c>
      <c r="K2700" t="s">
        <v>3633</v>
      </c>
      <c r="L2700" t="s">
        <v>3366</v>
      </c>
      <c r="M2700" t="s">
        <v>11903</v>
      </c>
      <c r="N2700" t="s">
        <v>3366</v>
      </c>
      <c r="O2700" t="s">
        <v>3362</v>
      </c>
      <c r="P2700" t="s">
        <v>15211</v>
      </c>
      <c r="Q2700" t="s">
        <v>15211</v>
      </c>
      <c r="R2700" t="s">
        <v>15211</v>
      </c>
      <c r="S2700" t="s">
        <v>15211</v>
      </c>
      <c r="T2700" t="s">
        <v>3372</v>
      </c>
      <c r="U2700" t="s">
        <v>14564</v>
      </c>
      <c r="V2700" t="s">
        <v>15279</v>
      </c>
    </row>
    <row r="2701" spans="1:22" hidden="1">
      <c r="A2701" t="s">
        <v>15303</v>
      </c>
      <c r="B2701" t="s">
        <v>15442</v>
      </c>
      <c r="C2701" t="s">
        <v>15445</v>
      </c>
      <c r="D2701" t="s">
        <v>2696</v>
      </c>
      <c r="E2701" t="s">
        <v>3438</v>
      </c>
      <c r="F2701" t="s">
        <v>3434</v>
      </c>
      <c r="G2701" s="3">
        <v>34.393841343078201</v>
      </c>
      <c r="H2701" s="3">
        <v>126.649637716764</v>
      </c>
      <c r="I2701" t="s">
        <v>6466</v>
      </c>
      <c r="J2701" t="s">
        <v>9822</v>
      </c>
      <c r="K2701" t="s">
        <v>3633</v>
      </c>
      <c r="L2701" t="s">
        <v>3366</v>
      </c>
      <c r="M2701" t="s">
        <v>11903</v>
      </c>
      <c r="N2701" t="s">
        <v>3366</v>
      </c>
      <c r="O2701" t="s">
        <v>3362</v>
      </c>
      <c r="P2701" t="s">
        <v>15211</v>
      </c>
      <c r="Q2701" t="s">
        <v>15211</v>
      </c>
      <c r="R2701" t="s">
        <v>15211</v>
      </c>
      <c r="S2701" t="s">
        <v>15211</v>
      </c>
      <c r="T2701" t="s">
        <v>3372</v>
      </c>
      <c r="U2701" t="s">
        <v>14565</v>
      </c>
      <c r="V2701" t="s">
        <v>15279</v>
      </c>
    </row>
    <row r="2702" spans="1:22" hidden="1">
      <c r="A2702" t="s">
        <v>15303</v>
      </c>
      <c r="B2702" t="s">
        <v>15442</v>
      </c>
      <c r="C2702" t="s">
        <v>15451</v>
      </c>
      <c r="D2702" t="s">
        <v>2697</v>
      </c>
      <c r="E2702" t="s">
        <v>3438</v>
      </c>
      <c r="F2702" t="s">
        <v>3435</v>
      </c>
      <c r="G2702" s="3">
        <v>34.393841228828002</v>
      </c>
      <c r="H2702" s="3">
        <v>126.649637763394</v>
      </c>
      <c r="I2702" t="s">
        <v>6467</v>
      </c>
      <c r="J2702" t="s">
        <v>9823</v>
      </c>
      <c r="K2702" t="s">
        <v>11275</v>
      </c>
      <c r="L2702" t="s">
        <v>3366</v>
      </c>
      <c r="M2702" t="s">
        <v>11905</v>
      </c>
      <c r="N2702" t="s">
        <v>3366</v>
      </c>
      <c r="O2702" t="s">
        <v>3362</v>
      </c>
      <c r="P2702" t="s">
        <v>3361</v>
      </c>
      <c r="Q2702" t="s">
        <v>3369</v>
      </c>
      <c r="R2702" t="s">
        <v>15211</v>
      </c>
      <c r="S2702" t="s">
        <v>15211</v>
      </c>
      <c r="T2702" t="s">
        <v>3390</v>
      </c>
      <c r="U2702" t="s">
        <v>14566</v>
      </c>
      <c r="V2702" t="s">
        <v>15280</v>
      </c>
    </row>
    <row r="2703" spans="1:22" hidden="1">
      <c r="A2703" t="s">
        <v>15303</v>
      </c>
      <c r="B2703" t="s">
        <v>15442</v>
      </c>
      <c r="C2703" t="s">
        <v>15451</v>
      </c>
      <c r="D2703" t="s">
        <v>2698</v>
      </c>
      <c r="E2703" t="s">
        <v>3438</v>
      </c>
      <c r="F2703" t="s">
        <v>3429</v>
      </c>
      <c r="G2703" s="3">
        <v>34.3938412307484</v>
      </c>
      <c r="H2703" s="3">
        <v>126.649637748684</v>
      </c>
      <c r="I2703" t="s">
        <v>6468</v>
      </c>
      <c r="J2703" t="s">
        <v>9824</v>
      </c>
      <c r="K2703" t="s">
        <v>11275</v>
      </c>
      <c r="L2703" t="s">
        <v>3366</v>
      </c>
      <c r="M2703" t="s">
        <v>11905</v>
      </c>
      <c r="N2703" t="s">
        <v>3366</v>
      </c>
      <c r="O2703" t="s">
        <v>3362</v>
      </c>
      <c r="P2703" t="s">
        <v>3361</v>
      </c>
      <c r="Q2703" t="s">
        <v>3369</v>
      </c>
      <c r="R2703" t="s">
        <v>15211</v>
      </c>
      <c r="S2703" t="s">
        <v>15211</v>
      </c>
      <c r="T2703" t="s">
        <v>3390</v>
      </c>
      <c r="U2703" t="s">
        <v>14567</v>
      </c>
      <c r="V2703" t="s">
        <v>15280</v>
      </c>
    </row>
    <row r="2704" spans="1:22" hidden="1">
      <c r="A2704" t="s">
        <v>15303</v>
      </c>
      <c r="B2704" t="s">
        <v>15442</v>
      </c>
      <c r="C2704" t="s">
        <v>15451</v>
      </c>
      <c r="D2704" t="s">
        <v>2699</v>
      </c>
      <c r="E2704" t="s">
        <v>3427</v>
      </c>
      <c r="F2704" t="s">
        <v>3430</v>
      </c>
      <c r="G2704" s="3">
        <v>34.393841231589498</v>
      </c>
      <c r="H2704" s="3">
        <v>126.64963771108999</v>
      </c>
      <c r="I2704" t="s">
        <v>6469</v>
      </c>
      <c r="J2704" t="s">
        <v>9825</v>
      </c>
      <c r="K2704" t="s">
        <v>11275</v>
      </c>
      <c r="L2704" t="s">
        <v>3366</v>
      </c>
      <c r="M2704" t="s">
        <v>11905</v>
      </c>
      <c r="N2704" t="s">
        <v>3366</v>
      </c>
      <c r="O2704" t="s">
        <v>3362</v>
      </c>
      <c r="P2704" t="s">
        <v>3361</v>
      </c>
      <c r="Q2704" t="s">
        <v>3369</v>
      </c>
      <c r="R2704" t="s">
        <v>15211</v>
      </c>
      <c r="S2704" t="s">
        <v>15211</v>
      </c>
      <c r="T2704" t="s">
        <v>3390</v>
      </c>
      <c r="U2704" t="s">
        <v>14568</v>
      </c>
      <c r="V2704" t="s">
        <v>15280</v>
      </c>
    </row>
    <row r="2705" spans="1:22" ht="15" hidden="1">
      <c r="A2705" t="s">
        <v>15433</v>
      </c>
      <c r="B2705" t="s">
        <v>15441</v>
      </c>
      <c r="C2705" t="s">
        <v>15445</v>
      </c>
      <c r="D2705" t="s">
        <v>2700</v>
      </c>
      <c r="E2705" t="s">
        <v>3435</v>
      </c>
      <c r="F2705" t="s">
        <v>3426</v>
      </c>
      <c r="G2705" s="3">
        <v>34.695212573004</v>
      </c>
      <c r="H2705" s="3">
        <v>126.350949273079</v>
      </c>
      <c r="I2705" t="s">
        <v>6470</v>
      </c>
      <c r="J2705" t="s">
        <v>9826</v>
      </c>
      <c r="K2705" t="s">
        <v>11287</v>
      </c>
      <c r="L2705" t="s">
        <v>3366</v>
      </c>
      <c r="M2705" t="s">
        <v>11895</v>
      </c>
      <c r="N2705" t="s">
        <v>3365</v>
      </c>
      <c r="O2705" t="s">
        <v>3362</v>
      </c>
      <c r="P2705" t="s">
        <v>15211</v>
      </c>
      <c r="Q2705" t="s">
        <v>15211</v>
      </c>
      <c r="R2705" t="s">
        <v>15211</v>
      </c>
      <c r="S2705" t="s">
        <v>15211</v>
      </c>
      <c r="T2705" t="s">
        <v>3371</v>
      </c>
      <c r="U2705" t="s">
        <v>14569</v>
      </c>
      <c r="V2705" t="s">
        <v>15274</v>
      </c>
    </row>
    <row r="2706" spans="1:22" ht="15" hidden="1">
      <c r="A2706" t="s">
        <v>15433</v>
      </c>
      <c r="B2706" t="s">
        <v>15441</v>
      </c>
      <c r="C2706" t="s">
        <v>15445</v>
      </c>
      <c r="D2706" t="s">
        <v>2701</v>
      </c>
      <c r="E2706" t="s">
        <v>3435</v>
      </c>
      <c r="F2706" t="s">
        <v>3426</v>
      </c>
      <c r="G2706" s="3">
        <v>34.6952125353234</v>
      </c>
      <c r="H2706" s="3">
        <v>126.350949232752</v>
      </c>
      <c r="I2706" t="s">
        <v>6471</v>
      </c>
      <c r="J2706" t="s">
        <v>9827</v>
      </c>
      <c r="K2706" t="s">
        <v>10724</v>
      </c>
      <c r="L2706" t="s">
        <v>3366</v>
      </c>
      <c r="M2706" t="s">
        <v>11895</v>
      </c>
      <c r="N2706" t="s">
        <v>3365</v>
      </c>
      <c r="O2706" t="s">
        <v>3362</v>
      </c>
      <c r="P2706" t="s">
        <v>15211</v>
      </c>
      <c r="Q2706" t="s">
        <v>15211</v>
      </c>
      <c r="R2706" t="s">
        <v>15211</v>
      </c>
      <c r="S2706" t="s">
        <v>15211</v>
      </c>
      <c r="T2706" t="s">
        <v>3371</v>
      </c>
      <c r="U2706" t="s">
        <v>14570</v>
      </c>
      <c r="V2706" t="s">
        <v>15274</v>
      </c>
    </row>
    <row r="2707" spans="1:22" ht="15" hidden="1">
      <c r="A2707" t="s">
        <v>15433</v>
      </c>
      <c r="B2707" t="s">
        <v>15441</v>
      </c>
      <c r="C2707" t="s">
        <v>15445</v>
      </c>
      <c r="D2707" t="s">
        <v>2702</v>
      </c>
      <c r="E2707" t="s">
        <v>3435</v>
      </c>
      <c r="F2707" t="s">
        <v>3426</v>
      </c>
      <c r="G2707" s="3">
        <v>34.6952125472951</v>
      </c>
      <c r="H2707" s="3">
        <v>126.350949233802</v>
      </c>
      <c r="I2707" t="s">
        <v>6472</v>
      </c>
      <c r="J2707" t="s">
        <v>9828</v>
      </c>
      <c r="K2707" t="s">
        <v>10800</v>
      </c>
      <c r="L2707" t="s">
        <v>3366</v>
      </c>
      <c r="M2707" t="s">
        <v>11895</v>
      </c>
      <c r="N2707" t="s">
        <v>3365</v>
      </c>
      <c r="O2707" t="s">
        <v>3362</v>
      </c>
      <c r="P2707" t="s">
        <v>15211</v>
      </c>
      <c r="Q2707" t="s">
        <v>15211</v>
      </c>
      <c r="R2707" t="s">
        <v>15211</v>
      </c>
      <c r="S2707" t="s">
        <v>15211</v>
      </c>
      <c r="T2707" t="s">
        <v>3371</v>
      </c>
      <c r="U2707" t="s">
        <v>14571</v>
      </c>
      <c r="V2707" t="s">
        <v>15274</v>
      </c>
    </row>
    <row r="2708" spans="1:22" ht="15" hidden="1">
      <c r="A2708" t="s">
        <v>15433</v>
      </c>
      <c r="B2708" t="s">
        <v>15441</v>
      </c>
      <c r="C2708" t="s">
        <v>15446</v>
      </c>
      <c r="D2708" t="s">
        <v>2703</v>
      </c>
      <c r="E2708" t="s">
        <v>3434</v>
      </c>
      <c r="F2708" t="s">
        <v>3463</v>
      </c>
      <c r="G2708" s="3">
        <v>34.695212480604802</v>
      </c>
      <c r="H2708" s="3">
        <v>126.350949361275</v>
      </c>
      <c r="I2708" t="s">
        <v>6473</v>
      </c>
      <c r="J2708" t="s">
        <v>9829</v>
      </c>
      <c r="K2708" t="s">
        <v>10942</v>
      </c>
      <c r="L2708" t="s">
        <v>3366</v>
      </c>
      <c r="M2708" t="s">
        <v>11895</v>
      </c>
      <c r="N2708" t="s">
        <v>3365</v>
      </c>
      <c r="O2708" t="s">
        <v>3362</v>
      </c>
      <c r="P2708" t="s">
        <v>15211</v>
      </c>
      <c r="Q2708" t="s">
        <v>15211</v>
      </c>
      <c r="R2708" t="s">
        <v>15211</v>
      </c>
      <c r="S2708" t="s">
        <v>15211</v>
      </c>
      <c r="T2708" t="s">
        <v>3371</v>
      </c>
      <c r="U2708" t="s">
        <v>14572</v>
      </c>
      <c r="V2708" t="s">
        <v>15275</v>
      </c>
    </row>
    <row r="2709" spans="1:22" ht="15" hidden="1">
      <c r="A2709" t="s">
        <v>15433</v>
      </c>
      <c r="B2709" t="s">
        <v>15441</v>
      </c>
      <c r="C2709" t="s">
        <v>15446</v>
      </c>
      <c r="D2709" t="s">
        <v>2704</v>
      </c>
      <c r="E2709" t="s">
        <v>3434</v>
      </c>
      <c r="F2709" t="s">
        <v>3449</v>
      </c>
      <c r="G2709" s="3">
        <v>34.695212480203899</v>
      </c>
      <c r="H2709" s="3">
        <v>126.350949339583</v>
      </c>
      <c r="I2709" t="s">
        <v>6474</v>
      </c>
      <c r="J2709" t="s">
        <v>9830</v>
      </c>
      <c r="K2709" t="s">
        <v>10784</v>
      </c>
      <c r="L2709" t="s">
        <v>3366</v>
      </c>
      <c r="M2709" t="s">
        <v>11895</v>
      </c>
      <c r="N2709" t="s">
        <v>3365</v>
      </c>
      <c r="O2709" t="s">
        <v>3362</v>
      </c>
      <c r="P2709" t="s">
        <v>15211</v>
      </c>
      <c r="Q2709" t="s">
        <v>15211</v>
      </c>
      <c r="R2709" t="s">
        <v>15211</v>
      </c>
      <c r="S2709" t="s">
        <v>15211</v>
      </c>
      <c r="T2709" t="s">
        <v>3371</v>
      </c>
      <c r="U2709" t="s">
        <v>14573</v>
      </c>
      <c r="V2709" t="s">
        <v>15275</v>
      </c>
    </row>
    <row r="2710" spans="1:22" ht="15" hidden="1">
      <c r="A2710" t="s">
        <v>15433</v>
      </c>
      <c r="B2710" t="s">
        <v>15441</v>
      </c>
      <c r="C2710" t="s">
        <v>15446</v>
      </c>
      <c r="D2710" t="s">
        <v>2705</v>
      </c>
      <c r="E2710" t="s">
        <v>3431</v>
      </c>
      <c r="F2710" t="s">
        <v>3449</v>
      </c>
      <c r="G2710" s="3">
        <v>34.695212487135699</v>
      </c>
      <c r="H2710" s="3">
        <v>126.35094933408099</v>
      </c>
      <c r="I2710" t="s">
        <v>6475</v>
      </c>
      <c r="J2710" t="s">
        <v>9831</v>
      </c>
      <c r="K2710" t="s">
        <v>3716</v>
      </c>
      <c r="L2710" t="s">
        <v>3366</v>
      </c>
      <c r="M2710" t="s">
        <v>11895</v>
      </c>
      <c r="N2710" t="s">
        <v>3365</v>
      </c>
      <c r="O2710" t="s">
        <v>3362</v>
      </c>
      <c r="P2710" t="s">
        <v>15211</v>
      </c>
      <c r="Q2710" t="s">
        <v>15211</v>
      </c>
      <c r="R2710" t="s">
        <v>15211</v>
      </c>
      <c r="S2710" t="s">
        <v>15211</v>
      </c>
      <c r="T2710" t="s">
        <v>3371</v>
      </c>
      <c r="U2710" t="s">
        <v>14574</v>
      </c>
      <c r="V2710" t="s">
        <v>15275</v>
      </c>
    </row>
    <row r="2711" spans="1:22" ht="15" hidden="1">
      <c r="A2711" t="s">
        <v>15433</v>
      </c>
      <c r="B2711" t="s">
        <v>15441</v>
      </c>
      <c r="C2711" t="s">
        <v>15449</v>
      </c>
      <c r="D2711" t="s">
        <v>2706</v>
      </c>
      <c r="E2711" t="s">
        <v>3440</v>
      </c>
      <c r="F2711" t="s">
        <v>3431</v>
      </c>
      <c r="G2711" s="3">
        <v>34.695212555426401</v>
      </c>
      <c r="H2711" s="3">
        <v>126.350949415247</v>
      </c>
      <c r="I2711" t="s">
        <v>6476</v>
      </c>
      <c r="J2711" t="s">
        <v>9832</v>
      </c>
      <c r="K2711" t="s">
        <v>11744</v>
      </c>
      <c r="L2711" t="s">
        <v>3366</v>
      </c>
      <c r="M2711" t="s">
        <v>11907</v>
      </c>
      <c r="N2711" t="s">
        <v>3364</v>
      </c>
      <c r="O2711" t="s">
        <v>3358</v>
      </c>
      <c r="P2711" t="s">
        <v>3362</v>
      </c>
      <c r="Q2711" t="s">
        <v>3367</v>
      </c>
      <c r="R2711" t="s">
        <v>3358</v>
      </c>
      <c r="S2711" t="s">
        <v>15211</v>
      </c>
      <c r="T2711" t="s">
        <v>3385</v>
      </c>
      <c r="U2711" t="s">
        <v>14575</v>
      </c>
      <c r="V2711" t="s">
        <v>15277</v>
      </c>
    </row>
    <row r="2712" spans="1:22" ht="15" hidden="1">
      <c r="A2712" t="s">
        <v>15433</v>
      </c>
      <c r="B2712" t="s">
        <v>15441</v>
      </c>
      <c r="C2712" t="s">
        <v>15449</v>
      </c>
      <c r="D2712" t="s">
        <v>2707</v>
      </c>
      <c r="E2712" t="s">
        <v>3440</v>
      </c>
      <c r="F2712" t="s">
        <v>3431</v>
      </c>
      <c r="G2712" s="3">
        <v>34.695212561836797</v>
      </c>
      <c r="H2712" s="3">
        <v>126.35094942287699</v>
      </c>
      <c r="I2712" t="s">
        <v>6477</v>
      </c>
      <c r="J2712" t="s">
        <v>9833</v>
      </c>
      <c r="K2712" t="s">
        <v>11052</v>
      </c>
      <c r="L2712" t="s">
        <v>3366</v>
      </c>
      <c r="M2712" t="s">
        <v>11907</v>
      </c>
      <c r="N2712" t="s">
        <v>3364</v>
      </c>
      <c r="O2712" t="s">
        <v>3358</v>
      </c>
      <c r="P2712" t="s">
        <v>3362</v>
      </c>
      <c r="Q2712" t="s">
        <v>3367</v>
      </c>
      <c r="R2712" t="s">
        <v>3358</v>
      </c>
      <c r="S2712" t="s">
        <v>15211</v>
      </c>
      <c r="T2712" t="s">
        <v>3385</v>
      </c>
      <c r="U2712" t="s">
        <v>14576</v>
      </c>
      <c r="V2712" t="s">
        <v>15277</v>
      </c>
    </row>
    <row r="2713" spans="1:22" ht="15" hidden="1">
      <c r="A2713" t="s">
        <v>15433</v>
      </c>
      <c r="B2713" t="s">
        <v>15441</v>
      </c>
      <c r="C2713" t="s">
        <v>15449</v>
      </c>
      <c r="D2713" t="s">
        <v>2708</v>
      </c>
      <c r="E2713" t="s">
        <v>3440</v>
      </c>
      <c r="F2713" t="s">
        <v>3431</v>
      </c>
      <c r="G2713" s="3">
        <v>34.695212553932002</v>
      </c>
      <c r="H2713" s="3">
        <v>126.350949413405</v>
      </c>
      <c r="I2713" t="s">
        <v>6478</v>
      </c>
      <c r="J2713" t="s">
        <v>9834</v>
      </c>
      <c r="K2713" t="s">
        <v>3740</v>
      </c>
      <c r="L2713" t="s">
        <v>3366</v>
      </c>
      <c r="M2713" t="s">
        <v>11907</v>
      </c>
      <c r="N2713" t="s">
        <v>3364</v>
      </c>
      <c r="O2713" t="s">
        <v>3358</v>
      </c>
      <c r="P2713" t="s">
        <v>3362</v>
      </c>
      <c r="Q2713" t="s">
        <v>3367</v>
      </c>
      <c r="R2713" t="s">
        <v>3358</v>
      </c>
      <c r="S2713" t="s">
        <v>15211</v>
      </c>
      <c r="T2713" t="s">
        <v>3385</v>
      </c>
      <c r="U2713" t="s">
        <v>14577</v>
      </c>
      <c r="V2713" t="s">
        <v>15277</v>
      </c>
    </row>
    <row r="2714" spans="1:22" ht="15" hidden="1">
      <c r="A2714" t="s">
        <v>15433</v>
      </c>
      <c r="B2714" t="s">
        <v>15442</v>
      </c>
      <c r="C2714" t="s">
        <v>15450</v>
      </c>
      <c r="D2714" t="s">
        <v>2709</v>
      </c>
      <c r="E2714" t="s">
        <v>3436</v>
      </c>
      <c r="F2714" t="s">
        <v>3452</v>
      </c>
      <c r="G2714" s="3">
        <v>34.695212715522501</v>
      </c>
      <c r="H2714" s="3">
        <v>126.35094943557399</v>
      </c>
      <c r="I2714" t="s">
        <v>6479</v>
      </c>
      <c r="J2714" t="s">
        <v>9835</v>
      </c>
      <c r="K2714" t="s">
        <v>11186</v>
      </c>
      <c r="L2714" t="s">
        <v>3366</v>
      </c>
      <c r="M2714" t="s">
        <v>11895</v>
      </c>
      <c r="N2714" t="s">
        <v>3365</v>
      </c>
      <c r="O2714" t="s">
        <v>3362</v>
      </c>
      <c r="P2714" t="s">
        <v>15211</v>
      </c>
      <c r="Q2714" t="s">
        <v>15211</v>
      </c>
      <c r="R2714" t="s">
        <v>15211</v>
      </c>
      <c r="S2714" t="s">
        <v>15211</v>
      </c>
      <c r="T2714" t="s">
        <v>3371</v>
      </c>
      <c r="U2714" t="s">
        <v>14578</v>
      </c>
      <c r="V2714" t="s">
        <v>15278</v>
      </c>
    </row>
    <row r="2715" spans="1:22" ht="15" hidden="1">
      <c r="A2715" t="s">
        <v>15433</v>
      </c>
      <c r="B2715" t="s">
        <v>15442</v>
      </c>
      <c r="C2715" t="s">
        <v>15450</v>
      </c>
      <c r="D2715" t="s">
        <v>2710</v>
      </c>
      <c r="E2715" t="s">
        <v>3425</v>
      </c>
      <c r="F2715" t="s">
        <v>3462</v>
      </c>
      <c r="G2715" s="3">
        <v>34.695212714983299</v>
      </c>
      <c r="H2715" s="3">
        <v>126.35094943270001</v>
      </c>
      <c r="I2715" t="s">
        <v>6480</v>
      </c>
      <c r="J2715" t="s">
        <v>9836</v>
      </c>
      <c r="K2715" t="s">
        <v>10867</v>
      </c>
      <c r="L2715" t="s">
        <v>3366</v>
      </c>
      <c r="M2715" t="s">
        <v>11895</v>
      </c>
      <c r="N2715" t="s">
        <v>3365</v>
      </c>
      <c r="O2715" t="s">
        <v>3362</v>
      </c>
      <c r="P2715" t="s">
        <v>15211</v>
      </c>
      <c r="Q2715" t="s">
        <v>15211</v>
      </c>
      <c r="R2715" t="s">
        <v>15211</v>
      </c>
      <c r="S2715" t="s">
        <v>15211</v>
      </c>
      <c r="T2715" t="s">
        <v>3371</v>
      </c>
      <c r="U2715" t="s">
        <v>14579</v>
      </c>
      <c r="V2715" t="s">
        <v>15278</v>
      </c>
    </row>
    <row r="2716" spans="1:22" ht="15" hidden="1">
      <c r="A2716" t="s">
        <v>15433</v>
      </c>
      <c r="B2716" t="s">
        <v>15442</v>
      </c>
      <c r="C2716" t="s">
        <v>15450</v>
      </c>
      <c r="D2716" t="s">
        <v>2711</v>
      </c>
      <c r="E2716" t="s">
        <v>3431</v>
      </c>
      <c r="F2716" t="s">
        <v>3426</v>
      </c>
      <c r="G2716" s="3">
        <v>34.6952127178319</v>
      </c>
      <c r="H2716" s="3">
        <v>126.350949432851</v>
      </c>
      <c r="I2716" t="s">
        <v>6481</v>
      </c>
      <c r="J2716" t="s">
        <v>9837</v>
      </c>
      <c r="K2716" t="s">
        <v>11488</v>
      </c>
      <c r="L2716" t="s">
        <v>3366</v>
      </c>
      <c r="M2716" t="s">
        <v>11895</v>
      </c>
      <c r="N2716" t="s">
        <v>3365</v>
      </c>
      <c r="O2716" t="s">
        <v>3362</v>
      </c>
      <c r="P2716" t="s">
        <v>15211</v>
      </c>
      <c r="Q2716" t="s">
        <v>15211</v>
      </c>
      <c r="R2716" t="s">
        <v>15211</v>
      </c>
      <c r="S2716" t="s">
        <v>15211</v>
      </c>
      <c r="T2716" t="s">
        <v>3371</v>
      </c>
      <c r="U2716" t="s">
        <v>14578</v>
      </c>
      <c r="V2716" t="s">
        <v>15278</v>
      </c>
    </row>
    <row r="2717" spans="1:22" ht="15" hidden="1">
      <c r="A2717" t="s">
        <v>15433</v>
      </c>
      <c r="B2717" t="s">
        <v>15442</v>
      </c>
      <c r="C2717" t="s">
        <v>15445</v>
      </c>
      <c r="D2717" t="s">
        <v>2712</v>
      </c>
      <c r="E2717" t="s">
        <v>3439</v>
      </c>
      <c r="F2717" t="s">
        <v>3425</v>
      </c>
      <c r="G2717" s="3">
        <v>34.695212444303799</v>
      </c>
      <c r="H2717" s="3">
        <v>126.350949267746</v>
      </c>
      <c r="I2717" t="s">
        <v>6482</v>
      </c>
      <c r="J2717" t="s">
        <v>9838</v>
      </c>
      <c r="K2717" t="s">
        <v>11008</v>
      </c>
      <c r="L2717" t="s">
        <v>3366</v>
      </c>
      <c r="M2717" t="s">
        <v>11895</v>
      </c>
      <c r="N2717" t="s">
        <v>3365</v>
      </c>
      <c r="O2717" t="s">
        <v>3362</v>
      </c>
      <c r="P2717" t="s">
        <v>15211</v>
      </c>
      <c r="Q2717" t="s">
        <v>15211</v>
      </c>
      <c r="R2717" t="s">
        <v>15211</v>
      </c>
      <c r="S2717" t="s">
        <v>15211</v>
      </c>
      <c r="T2717" t="s">
        <v>3371</v>
      </c>
      <c r="U2717" t="s">
        <v>14580</v>
      </c>
      <c r="V2717" t="s">
        <v>15279</v>
      </c>
    </row>
    <row r="2718" spans="1:22" ht="15" hidden="1">
      <c r="A2718" t="s">
        <v>15433</v>
      </c>
      <c r="B2718" t="s">
        <v>15442</v>
      </c>
      <c r="C2718" t="s">
        <v>15445</v>
      </c>
      <c r="D2718" t="s">
        <v>2713</v>
      </c>
      <c r="E2718" t="s">
        <v>3437</v>
      </c>
      <c r="F2718" t="s">
        <v>3425</v>
      </c>
      <c r="G2718" s="3">
        <v>34.695212461813597</v>
      </c>
      <c r="H2718" s="3">
        <v>126.35094927343</v>
      </c>
      <c r="I2718" t="s">
        <v>6483</v>
      </c>
      <c r="J2718" t="s">
        <v>9839</v>
      </c>
      <c r="K2718" t="s">
        <v>11312</v>
      </c>
      <c r="L2718" t="s">
        <v>3366</v>
      </c>
      <c r="M2718" t="s">
        <v>11895</v>
      </c>
      <c r="N2718" t="s">
        <v>3365</v>
      </c>
      <c r="O2718" t="s">
        <v>3362</v>
      </c>
      <c r="P2718" t="s">
        <v>15211</v>
      </c>
      <c r="Q2718" t="s">
        <v>15211</v>
      </c>
      <c r="R2718" t="s">
        <v>15211</v>
      </c>
      <c r="S2718" t="s">
        <v>15211</v>
      </c>
      <c r="T2718" t="s">
        <v>3371</v>
      </c>
      <c r="U2718" t="s">
        <v>14581</v>
      </c>
      <c r="V2718" t="s">
        <v>15279</v>
      </c>
    </row>
    <row r="2719" spans="1:22" ht="15" hidden="1">
      <c r="A2719" t="s">
        <v>15433</v>
      </c>
      <c r="B2719" t="s">
        <v>15442</v>
      </c>
      <c r="C2719" t="s">
        <v>15445</v>
      </c>
      <c r="D2719" t="s">
        <v>2714</v>
      </c>
      <c r="E2719" t="s">
        <v>3427</v>
      </c>
      <c r="F2719" t="s">
        <v>3430</v>
      </c>
      <c r="G2719" s="3">
        <v>34.695212488673199</v>
      </c>
      <c r="H2719" s="3">
        <v>126.35094927123799</v>
      </c>
      <c r="I2719" t="s">
        <v>6484</v>
      </c>
      <c r="J2719" t="s">
        <v>9840</v>
      </c>
      <c r="K2719" t="s">
        <v>11428</v>
      </c>
      <c r="L2719" t="s">
        <v>3366</v>
      </c>
      <c r="M2719" t="s">
        <v>11895</v>
      </c>
      <c r="N2719" t="s">
        <v>3365</v>
      </c>
      <c r="O2719" t="s">
        <v>3362</v>
      </c>
      <c r="P2719" t="s">
        <v>15211</v>
      </c>
      <c r="Q2719" t="s">
        <v>15211</v>
      </c>
      <c r="R2719" t="s">
        <v>15211</v>
      </c>
      <c r="S2719" t="s">
        <v>15211</v>
      </c>
      <c r="T2719" t="s">
        <v>3371</v>
      </c>
      <c r="U2719" t="s">
        <v>14582</v>
      </c>
      <c r="V2719" t="s">
        <v>15279</v>
      </c>
    </row>
    <row r="2720" spans="1:22" ht="15" hidden="1">
      <c r="A2720" t="s">
        <v>15433</v>
      </c>
      <c r="B2720" t="s">
        <v>15442</v>
      </c>
      <c r="C2720" t="s">
        <v>15451</v>
      </c>
      <c r="D2720" t="s">
        <v>2715</v>
      </c>
      <c r="E2720" t="s">
        <v>3438</v>
      </c>
      <c r="F2720" t="s">
        <v>3431</v>
      </c>
      <c r="G2720" s="3">
        <v>34.695212599107897</v>
      </c>
      <c r="H2720" s="3">
        <v>126.350949397048</v>
      </c>
      <c r="I2720" t="s">
        <v>6485</v>
      </c>
      <c r="J2720" t="s">
        <v>9841</v>
      </c>
      <c r="K2720" t="s">
        <v>11745</v>
      </c>
      <c r="L2720" t="s">
        <v>3366</v>
      </c>
      <c r="M2720" t="s">
        <v>11919</v>
      </c>
      <c r="N2720" t="s">
        <v>3365</v>
      </c>
      <c r="O2720" t="s">
        <v>3362</v>
      </c>
      <c r="P2720" t="s">
        <v>3363</v>
      </c>
      <c r="Q2720" t="s">
        <v>3370</v>
      </c>
      <c r="R2720" t="s">
        <v>15211</v>
      </c>
      <c r="S2720" t="s">
        <v>15211</v>
      </c>
      <c r="T2720" t="s">
        <v>3392</v>
      </c>
      <c r="U2720" t="s">
        <v>14583</v>
      </c>
      <c r="V2720" t="s">
        <v>15280</v>
      </c>
    </row>
    <row r="2721" spans="1:22" ht="15" hidden="1">
      <c r="A2721" t="s">
        <v>15433</v>
      </c>
      <c r="B2721" t="s">
        <v>15442</v>
      </c>
      <c r="C2721" t="s">
        <v>15451</v>
      </c>
      <c r="D2721" t="s">
        <v>2716</v>
      </c>
      <c r="E2721" t="s">
        <v>3438</v>
      </c>
      <c r="F2721" t="s">
        <v>3431</v>
      </c>
      <c r="G2721" s="3">
        <v>34.695212609418903</v>
      </c>
      <c r="H2721" s="3">
        <v>126.350949420639</v>
      </c>
      <c r="I2721" t="s">
        <v>6486</v>
      </c>
      <c r="J2721" t="s">
        <v>9842</v>
      </c>
      <c r="K2721" t="s">
        <v>11071</v>
      </c>
      <c r="L2721" t="s">
        <v>3366</v>
      </c>
      <c r="M2721" t="s">
        <v>11919</v>
      </c>
      <c r="N2721" t="s">
        <v>3365</v>
      </c>
      <c r="O2721" t="s">
        <v>3362</v>
      </c>
      <c r="P2721" t="s">
        <v>3363</v>
      </c>
      <c r="Q2721" t="s">
        <v>3370</v>
      </c>
      <c r="R2721" t="s">
        <v>15211</v>
      </c>
      <c r="S2721" t="s">
        <v>15211</v>
      </c>
      <c r="T2721" t="s">
        <v>3392</v>
      </c>
      <c r="U2721" t="s">
        <v>14584</v>
      </c>
      <c r="V2721" t="s">
        <v>15280</v>
      </c>
    </row>
    <row r="2722" spans="1:22" ht="15" hidden="1">
      <c r="A2722" t="s">
        <v>15433</v>
      </c>
      <c r="B2722" t="s">
        <v>15442</v>
      </c>
      <c r="C2722" t="s">
        <v>15451</v>
      </c>
      <c r="D2722" t="s">
        <v>2717</v>
      </c>
      <c r="E2722" t="s">
        <v>3438</v>
      </c>
      <c r="F2722" t="s">
        <v>3431</v>
      </c>
      <c r="G2722" s="3">
        <v>34.695212616674503</v>
      </c>
      <c r="H2722" s="3">
        <v>126.35094942564599</v>
      </c>
      <c r="I2722" t="s">
        <v>6487</v>
      </c>
      <c r="J2722" t="s">
        <v>9843</v>
      </c>
      <c r="K2722" t="s">
        <v>11071</v>
      </c>
      <c r="L2722" t="s">
        <v>3366</v>
      </c>
      <c r="M2722" t="s">
        <v>11919</v>
      </c>
      <c r="N2722" t="s">
        <v>3365</v>
      </c>
      <c r="O2722" t="s">
        <v>3362</v>
      </c>
      <c r="P2722" t="s">
        <v>3363</v>
      </c>
      <c r="Q2722" t="s">
        <v>3370</v>
      </c>
      <c r="R2722" t="s">
        <v>15211</v>
      </c>
      <c r="S2722" t="s">
        <v>15211</v>
      </c>
      <c r="T2722" t="s">
        <v>3392</v>
      </c>
      <c r="U2722" t="s">
        <v>14585</v>
      </c>
      <c r="V2722" t="s">
        <v>15280</v>
      </c>
    </row>
    <row r="2723" spans="1:22" hidden="1">
      <c r="A2723" t="s">
        <v>15294</v>
      </c>
      <c r="B2723" t="s">
        <v>15441</v>
      </c>
      <c r="C2723" t="s">
        <v>15445</v>
      </c>
      <c r="D2723" t="s">
        <v>2718</v>
      </c>
      <c r="E2723" t="s">
        <v>3430</v>
      </c>
      <c r="F2723" t="s">
        <v>3426</v>
      </c>
      <c r="G2723" s="3">
        <v>34.621585484863502</v>
      </c>
      <c r="H2723" s="3">
        <v>126.568541147522</v>
      </c>
      <c r="I2723" t="s">
        <v>6488</v>
      </c>
      <c r="J2723" t="s">
        <v>9844</v>
      </c>
      <c r="K2723" t="s">
        <v>10897</v>
      </c>
      <c r="L2723" t="s">
        <v>3366</v>
      </c>
      <c r="M2723" t="s">
        <v>11903</v>
      </c>
      <c r="N2723" t="s">
        <v>3366</v>
      </c>
      <c r="O2723" t="s">
        <v>3362</v>
      </c>
      <c r="P2723" t="s">
        <v>15211</v>
      </c>
      <c r="Q2723" t="s">
        <v>15211</v>
      </c>
      <c r="R2723" t="s">
        <v>15211</v>
      </c>
      <c r="S2723" t="s">
        <v>15211</v>
      </c>
      <c r="T2723" t="s">
        <v>3372</v>
      </c>
      <c r="U2723" t="s">
        <v>14586</v>
      </c>
      <c r="V2723" t="s">
        <v>15274</v>
      </c>
    </row>
    <row r="2724" spans="1:22" hidden="1">
      <c r="A2724" t="s">
        <v>15294</v>
      </c>
      <c r="B2724" t="s">
        <v>15441</v>
      </c>
      <c r="C2724" t="s">
        <v>15445</v>
      </c>
      <c r="D2724" t="s">
        <v>2719</v>
      </c>
      <c r="E2724" t="s">
        <v>3430</v>
      </c>
      <c r="F2724" t="s">
        <v>3426</v>
      </c>
      <c r="G2724" s="3">
        <v>34.621585478984599</v>
      </c>
      <c r="H2724" s="3">
        <v>126.568541137305</v>
      </c>
      <c r="I2724" t="s">
        <v>6489</v>
      </c>
      <c r="J2724" t="s">
        <v>9845</v>
      </c>
      <c r="K2724" t="s">
        <v>11520</v>
      </c>
      <c r="L2724" t="s">
        <v>3366</v>
      </c>
      <c r="M2724" t="s">
        <v>11903</v>
      </c>
      <c r="N2724" t="s">
        <v>3366</v>
      </c>
      <c r="O2724" t="s">
        <v>3362</v>
      </c>
      <c r="P2724" t="s">
        <v>15211</v>
      </c>
      <c r="Q2724" t="s">
        <v>15211</v>
      </c>
      <c r="R2724" t="s">
        <v>15211</v>
      </c>
      <c r="S2724" t="s">
        <v>15211</v>
      </c>
      <c r="T2724" t="s">
        <v>3372</v>
      </c>
      <c r="U2724" t="s">
        <v>14587</v>
      </c>
      <c r="V2724" t="s">
        <v>15274</v>
      </c>
    </row>
    <row r="2725" spans="1:22" hidden="1">
      <c r="A2725" t="s">
        <v>15294</v>
      </c>
      <c r="B2725" t="s">
        <v>15441</v>
      </c>
      <c r="C2725" t="s">
        <v>15445</v>
      </c>
      <c r="D2725" t="s">
        <v>2720</v>
      </c>
      <c r="E2725" t="s">
        <v>3430</v>
      </c>
      <c r="F2725" t="s">
        <v>3426</v>
      </c>
      <c r="G2725" s="3">
        <v>34.6215854566926</v>
      </c>
      <c r="H2725" s="3">
        <v>126.56854109033701</v>
      </c>
      <c r="I2725" t="s">
        <v>6490</v>
      </c>
      <c r="J2725" t="s">
        <v>9846</v>
      </c>
      <c r="K2725" t="s">
        <v>11520</v>
      </c>
      <c r="L2725" t="s">
        <v>3366</v>
      </c>
      <c r="M2725" t="s">
        <v>11903</v>
      </c>
      <c r="N2725" t="s">
        <v>3366</v>
      </c>
      <c r="O2725" t="s">
        <v>3362</v>
      </c>
      <c r="P2725" t="s">
        <v>15211</v>
      </c>
      <c r="Q2725" t="s">
        <v>15211</v>
      </c>
      <c r="R2725" t="s">
        <v>15211</v>
      </c>
      <c r="S2725" t="s">
        <v>15211</v>
      </c>
      <c r="T2725" t="s">
        <v>3372</v>
      </c>
      <c r="U2725" t="s">
        <v>14588</v>
      </c>
      <c r="V2725" t="s">
        <v>15274</v>
      </c>
    </row>
    <row r="2726" spans="1:22" hidden="1">
      <c r="A2726" t="s">
        <v>15294</v>
      </c>
      <c r="B2726" t="s">
        <v>15441</v>
      </c>
      <c r="C2726" t="s">
        <v>15446</v>
      </c>
      <c r="D2726" t="s">
        <v>2721</v>
      </c>
      <c r="E2726" t="s">
        <v>3426</v>
      </c>
      <c r="F2726" t="s">
        <v>3540</v>
      </c>
      <c r="G2726" s="3">
        <v>34.621584947511799</v>
      </c>
      <c r="H2726" s="3">
        <v>126.568541308074</v>
      </c>
      <c r="I2726" t="s">
        <v>6491</v>
      </c>
      <c r="J2726" t="s">
        <v>9847</v>
      </c>
      <c r="K2726" t="s">
        <v>11318</v>
      </c>
      <c r="L2726" t="s">
        <v>3366</v>
      </c>
      <c r="M2726" t="s">
        <v>11903</v>
      </c>
      <c r="N2726" t="s">
        <v>3366</v>
      </c>
      <c r="O2726" t="s">
        <v>3362</v>
      </c>
      <c r="P2726" t="s">
        <v>15211</v>
      </c>
      <c r="Q2726" t="s">
        <v>15211</v>
      </c>
      <c r="R2726" t="s">
        <v>15211</v>
      </c>
      <c r="S2726" t="s">
        <v>15211</v>
      </c>
      <c r="T2726" t="s">
        <v>3372</v>
      </c>
      <c r="U2726" t="s">
        <v>14589</v>
      </c>
      <c r="V2726" t="s">
        <v>15275</v>
      </c>
    </row>
    <row r="2727" spans="1:22" hidden="1">
      <c r="A2727" t="s">
        <v>15294</v>
      </c>
      <c r="B2727" t="s">
        <v>15441</v>
      </c>
      <c r="C2727" t="s">
        <v>15446</v>
      </c>
      <c r="D2727" t="s">
        <v>2722</v>
      </c>
      <c r="E2727" t="s">
        <v>3450</v>
      </c>
      <c r="F2727" t="s">
        <v>3563</v>
      </c>
      <c r="G2727" s="3">
        <v>34.621584889995503</v>
      </c>
      <c r="H2727" s="3">
        <v>126.56854132817</v>
      </c>
      <c r="I2727" t="s">
        <v>6492</v>
      </c>
      <c r="J2727" t="s">
        <v>9848</v>
      </c>
      <c r="K2727" t="s">
        <v>11696</v>
      </c>
      <c r="L2727" t="s">
        <v>3366</v>
      </c>
      <c r="M2727" t="s">
        <v>11903</v>
      </c>
      <c r="N2727" t="s">
        <v>3366</v>
      </c>
      <c r="O2727" t="s">
        <v>3362</v>
      </c>
      <c r="P2727" t="s">
        <v>15211</v>
      </c>
      <c r="Q2727" t="s">
        <v>15211</v>
      </c>
      <c r="R2727" t="s">
        <v>15211</v>
      </c>
      <c r="S2727" t="s">
        <v>15211</v>
      </c>
      <c r="T2727" t="s">
        <v>3372</v>
      </c>
      <c r="U2727" t="s">
        <v>14590</v>
      </c>
      <c r="V2727" t="s">
        <v>15275</v>
      </c>
    </row>
    <row r="2728" spans="1:22" hidden="1">
      <c r="A2728" t="s">
        <v>15294</v>
      </c>
      <c r="B2728" t="s">
        <v>15441</v>
      </c>
      <c r="C2728" t="s">
        <v>15446</v>
      </c>
      <c r="D2728" t="s">
        <v>2723</v>
      </c>
      <c r="E2728" t="s">
        <v>3450</v>
      </c>
      <c r="F2728" t="s">
        <v>3563</v>
      </c>
      <c r="G2728" s="3">
        <v>34.621584902957103</v>
      </c>
      <c r="H2728" s="3">
        <v>126.568541300774</v>
      </c>
      <c r="I2728" t="s">
        <v>6493</v>
      </c>
      <c r="J2728" t="s">
        <v>9849</v>
      </c>
      <c r="K2728" t="s">
        <v>11696</v>
      </c>
      <c r="L2728" t="s">
        <v>3366</v>
      </c>
      <c r="M2728" t="s">
        <v>11903</v>
      </c>
      <c r="N2728" t="s">
        <v>3366</v>
      </c>
      <c r="O2728" t="s">
        <v>3362</v>
      </c>
      <c r="P2728" t="s">
        <v>15211</v>
      </c>
      <c r="Q2728" t="s">
        <v>15211</v>
      </c>
      <c r="R2728" t="s">
        <v>15211</v>
      </c>
      <c r="S2728" t="s">
        <v>15211</v>
      </c>
      <c r="T2728" t="s">
        <v>3372</v>
      </c>
      <c r="U2728" t="s">
        <v>14591</v>
      </c>
      <c r="V2728" t="s">
        <v>15275</v>
      </c>
    </row>
    <row r="2729" spans="1:22" hidden="1">
      <c r="A2729" t="s">
        <v>15294</v>
      </c>
      <c r="B2729" t="s">
        <v>15441</v>
      </c>
      <c r="C2729" t="s">
        <v>15449</v>
      </c>
      <c r="D2729" t="s">
        <v>2724</v>
      </c>
      <c r="E2729" t="s">
        <v>3427</v>
      </c>
      <c r="F2729" t="s">
        <v>3429</v>
      </c>
      <c r="G2729" s="3">
        <v>34.621585532275198</v>
      </c>
      <c r="H2729" s="3">
        <v>126.568541062515</v>
      </c>
      <c r="I2729" t="s">
        <v>6494</v>
      </c>
      <c r="J2729" t="s">
        <v>9850</v>
      </c>
      <c r="K2729" t="s">
        <v>11746</v>
      </c>
      <c r="L2729" t="s">
        <v>3366</v>
      </c>
      <c r="M2729" t="s">
        <v>11907</v>
      </c>
      <c r="N2729" t="s">
        <v>3364</v>
      </c>
      <c r="O2729" t="s">
        <v>3362</v>
      </c>
      <c r="P2729" t="s">
        <v>3362</v>
      </c>
      <c r="Q2729" t="s">
        <v>3365</v>
      </c>
      <c r="R2729" t="s">
        <v>3357</v>
      </c>
      <c r="S2729" t="s">
        <v>15211</v>
      </c>
      <c r="T2729" t="s">
        <v>3386</v>
      </c>
      <c r="U2729" t="s">
        <v>14592</v>
      </c>
      <c r="V2729" t="s">
        <v>15277</v>
      </c>
    </row>
    <row r="2730" spans="1:22" hidden="1">
      <c r="A2730" t="s">
        <v>15294</v>
      </c>
      <c r="B2730" t="s">
        <v>15441</v>
      </c>
      <c r="C2730" t="s">
        <v>15449</v>
      </c>
      <c r="D2730" t="s">
        <v>2725</v>
      </c>
      <c r="E2730" t="s">
        <v>3427</v>
      </c>
      <c r="F2730" t="s">
        <v>3429</v>
      </c>
      <c r="G2730" s="3">
        <v>34.621585525123301</v>
      </c>
      <c r="H2730" s="3">
        <v>126.568541081913</v>
      </c>
      <c r="I2730" t="s">
        <v>6495</v>
      </c>
      <c r="J2730" t="s">
        <v>9851</v>
      </c>
      <c r="K2730" t="s">
        <v>3666</v>
      </c>
      <c r="L2730" t="s">
        <v>3366</v>
      </c>
      <c r="M2730" t="s">
        <v>11907</v>
      </c>
      <c r="N2730" t="s">
        <v>3364</v>
      </c>
      <c r="O2730" t="s">
        <v>3361</v>
      </c>
      <c r="P2730" t="s">
        <v>3362</v>
      </c>
      <c r="Q2730" t="s">
        <v>3365</v>
      </c>
      <c r="R2730" t="s">
        <v>3357</v>
      </c>
      <c r="S2730" t="s">
        <v>15211</v>
      </c>
      <c r="T2730" t="s">
        <v>3385</v>
      </c>
      <c r="U2730" t="s">
        <v>14593</v>
      </c>
      <c r="V2730" t="s">
        <v>15277</v>
      </c>
    </row>
    <row r="2731" spans="1:22" hidden="1">
      <c r="A2731" t="s">
        <v>15294</v>
      </c>
      <c r="B2731" t="s">
        <v>15441</v>
      </c>
      <c r="C2731" t="s">
        <v>15449</v>
      </c>
      <c r="D2731" t="s">
        <v>2726</v>
      </c>
      <c r="E2731" t="s">
        <v>3427</v>
      </c>
      <c r="F2731" t="s">
        <v>3429</v>
      </c>
      <c r="G2731" s="3">
        <v>34.621585523452502</v>
      </c>
      <c r="H2731" s="3">
        <v>126.56854108624999</v>
      </c>
      <c r="I2731" t="s">
        <v>6496</v>
      </c>
      <c r="J2731" t="s">
        <v>9852</v>
      </c>
      <c r="K2731" t="s">
        <v>3666</v>
      </c>
      <c r="L2731" t="s">
        <v>3366</v>
      </c>
      <c r="M2731" t="s">
        <v>11907</v>
      </c>
      <c r="N2731" t="s">
        <v>3364</v>
      </c>
      <c r="O2731" t="s">
        <v>3361</v>
      </c>
      <c r="P2731" t="s">
        <v>3362</v>
      </c>
      <c r="Q2731" t="s">
        <v>3365</v>
      </c>
      <c r="R2731" t="s">
        <v>3357</v>
      </c>
      <c r="S2731" t="s">
        <v>15211</v>
      </c>
      <c r="T2731" t="s">
        <v>3385</v>
      </c>
      <c r="U2731" t="s">
        <v>14594</v>
      </c>
      <c r="V2731" t="s">
        <v>15277</v>
      </c>
    </row>
    <row r="2732" spans="1:22" hidden="1">
      <c r="A2732" t="s">
        <v>15294</v>
      </c>
      <c r="B2732" t="s">
        <v>15442</v>
      </c>
      <c r="C2732" t="s">
        <v>15445</v>
      </c>
      <c r="D2732" t="s">
        <v>2727</v>
      </c>
      <c r="E2732" t="s">
        <v>3436</v>
      </c>
      <c r="F2732" t="s">
        <v>3442</v>
      </c>
      <c r="G2732" s="3">
        <v>34.621585564874103</v>
      </c>
      <c r="H2732" s="3">
        <v>126.56854122055</v>
      </c>
      <c r="I2732" t="s">
        <v>6497</v>
      </c>
      <c r="J2732" t="s">
        <v>9853</v>
      </c>
      <c r="K2732" t="s">
        <v>11747</v>
      </c>
      <c r="L2732" t="s">
        <v>3366</v>
      </c>
      <c r="M2732" t="s">
        <v>11901</v>
      </c>
      <c r="N2732" t="s">
        <v>3366</v>
      </c>
      <c r="O2732" t="s">
        <v>3363</v>
      </c>
      <c r="P2732" t="s">
        <v>15211</v>
      </c>
      <c r="Q2732" t="s">
        <v>15211</v>
      </c>
      <c r="R2732" t="s">
        <v>15211</v>
      </c>
      <c r="S2732" t="s">
        <v>15211</v>
      </c>
      <c r="T2732" t="s">
        <v>3373</v>
      </c>
      <c r="U2732" t="s">
        <v>14595</v>
      </c>
      <c r="V2732" t="s">
        <v>15279</v>
      </c>
    </row>
    <row r="2733" spans="1:22" hidden="1">
      <c r="A2733" t="s">
        <v>15294</v>
      </c>
      <c r="B2733" t="s">
        <v>15442</v>
      </c>
      <c r="C2733" t="s">
        <v>15445</v>
      </c>
      <c r="D2733" t="s">
        <v>2728</v>
      </c>
      <c r="E2733" t="s">
        <v>3436</v>
      </c>
      <c r="F2733" t="s">
        <v>3442</v>
      </c>
      <c r="G2733" s="3">
        <v>34.621585427127698</v>
      </c>
      <c r="H2733" s="3">
        <v>126.56854111679201</v>
      </c>
      <c r="I2733" t="s">
        <v>6498</v>
      </c>
      <c r="J2733" t="s">
        <v>9854</v>
      </c>
      <c r="K2733" t="s">
        <v>11747</v>
      </c>
      <c r="L2733" t="s">
        <v>3366</v>
      </c>
      <c r="M2733" t="s">
        <v>11901</v>
      </c>
      <c r="N2733" t="s">
        <v>3366</v>
      </c>
      <c r="O2733" t="s">
        <v>3363</v>
      </c>
      <c r="P2733" t="s">
        <v>15211</v>
      </c>
      <c r="Q2733" t="s">
        <v>15211</v>
      </c>
      <c r="R2733" t="s">
        <v>15211</v>
      </c>
      <c r="S2733" t="s">
        <v>15211</v>
      </c>
      <c r="T2733" t="s">
        <v>3373</v>
      </c>
      <c r="U2733" t="s">
        <v>14596</v>
      </c>
      <c r="V2733" t="s">
        <v>15279</v>
      </c>
    </row>
    <row r="2734" spans="1:22" hidden="1">
      <c r="A2734" t="s">
        <v>15294</v>
      </c>
      <c r="B2734" t="s">
        <v>15442</v>
      </c>
      <c r="C2734" t="s">
        <v>15445</v>
      </c>
      <c r="D2734" t="s">
        <v>2729</v>
      </c>
      <c r="E2734" t="s">
        <v>3436</v>
      </c>
      <c r="F2734" t="s">
        <v>3442</v>
      </c>
      <c r="G2734" s="3">
        <v>34.621585426002198</v>
      </c>
      <c r="H2734" s="3">
        <v>126.568541126195</v>
      </c>
      <c r="I2734" t="s">
        <v>6499</v>
      </c>
      <c r="J2734" t="s">
        <v>9855</v>
      </c>
      <c r="K2734" t="s">
        <v>11679</v>
      </c>
      <c r="L2734" t="s">
        <v>3366</v>
      </c>
      <c r="M2734" t="s">
        <v>11901</v>
      </c>
      <c r="N2734" t="s">
        <v>3366</v>
      </c>
      <c r="O2734" t="s">
        <v>3363</v>
      </c>
      <c r="P2734" t="s">
        <v>15211</v>
      </c>
      <c r="Q2734" t="s">
        <v>15211</v>
      </c>
      <c r="R2734" t="s">
        <v>15211</v>
      </c>
      <c r="S2734" t="s">
        <v>15211</v>
      </c>
      <c r="T2734" t="s">
        <v>3373</v>
      </c>
      <c r="U2734" t="s">
        <v>14597</v>
      </c>
      <c r="V2734" t="s">
        <v>15279</v>
      </c>
    </row>
    <row r="2735" spans="1:22" hidden="1">
      <c r="A2735" t="s">
        <v>15294</v>
      </c>
      <c r="B2735" t="s">
        <v>15442</v>
      </c>
      <c r="C2735" t="s">
        <v>15451</v>
      </c>
      <c r="D2735" t="s">
        <v>2730</v>
      </c>
      <c r="E2735" t="s">
        <v>3438</v>
      </c>
      <c r="F2735" t="s">
        <v>3435</v>
      </c>
      <c r="G2735" s="3">
        <v>34.621585621572102</v>
      </c>
      <c r="H2735" s="3">
        <v>126.568541217598</v>
      </c>
      <c r="I2735" t="s">
        <v>6500</v>
      </c>
      <c r="J2735" t="s">
        <v>9856</v>
      </c>
      <c r="K2735" t="s">
        <v>11748</v>
      </c>
      <c r="L2735" t="s">
        <v>3366</v>
      </c>
      <c r="M2735" t="s">
        <v>11916</v>
      </c>
      <c r="N2735" t="s">
        <v>3366</v>
      </c>
      <c r="O2735" t="s">
        <v>3363</v>
      </c>
      <c r="P2735" t="s">
        <v>3362</v>
      </c>
      <c r="Q2735" t="s">
        <v>3368</v>
      </c>
      <c r="R2735" t="s">
        <v>15211</v>
      </c>
      <c r="S2735" t="s">
        <v>15211</v>
      </c>
      <c r="T2735" t="s">
        <v>3391</v>
      </c>
      <c r="U2735" t="s">
        <v>14598</v>
      </c>
      <c r="V2735" t="s">
        <v>15280</v>
      </c>
    </row>
    <row r="2736" spans="1:22" hidden="1">
      <c r="A2736" t="s">
        <v>15294</v>
      </c>
      <c r="B2736" t="s">
        <v>15442</v>
      </c>
      <c r="C2736" t="s">
        <v>15451</v>
      </c>
      <c r="D2736" t="s">
        <v>2731</v>
      </c>
      <c r="E2736" t="s">
        <v>3438</v>
      </c>
      <c r="F2736" t="s">
        <v>3429</v>
      </c>
      <c r="G2736" s="3">
        <v>34.621585611164697</v>
      </c>
      <c r="H2736" s="3">
        <v>126.568541202201</v>
      </c>
      <c r="I2736" t="s">
        <v>6501</v>
      </c>
      <c r="J2736" t="s">
        <v>9857</v>
      </c>
      <c r="K2736" t="s">
        <v>11749</v>
      </c>
      <c r="L2736" t="s">
        <v>3366</v>
      </c>
      <c r="M2736" t="s">
        <v>11916</v>
      </c>
      <c r="N2736" t="s">
        <v>3366</v>
      </c>
      <c r="O2736" t="s">
        <v>3363</v>
      </c>
      <c r="P2736" t="s">
        <v>3362</v>
      </c>
      <c r="Q2736" t="s">
        <v>3368</v>
      </c>
      <c r="R2736" t="s">
        <v>15211</v>
      </c>
      <c r="S2736" t="s">
        <v>15211</v>
      </c>
      <c r="T2736" t="s">
        <v>3391</v>
      </c>
      <c r="U2736" t="s">
        <v>14599</v>
      </c>
      <c r="V2736" t="s">
        <v>15280</v>
      </c>
    </row>
    <row r="2737" spans="1:22" hidden="1">
      <c r="A2737" t="s">
        <v>15294</v>
      </c>
      <c r="B2737" t="s">
        <v>15442</v>
      </c>
      <c r="C2737" t="s">
        <v>15451</v>
      </c>
      <c r="D2737" t="s">
        <v>2732</v>
      </c>
      <c r="E2737" t="s">
        <v>3427</v>
      </c>
      <c r="F2737" t="s">
        <v>3429</v>
      </c>
      <c r="G2737" s="3">
        <v>34.621585617490197</v>
      </c>
      <c r="H2737" s="3">
        <v>126.56854120545999</v>
      </c>
      <c r="I2737" t="s">
        <v>6502</v>
      </c>
      <c r="J2737" t="s">
        <v>9858</v>
      </c>
      <c r="K2737" t="s">
        <v>11749</v>
      </c>
      <c r="L2737" t="s">
        <v>3366</v>
      </c>
      <c r="M2737" t="s">
        <v>11916</v>
      </c>
      <c r="N2737" t="s">
        <v>3366</v>
      </c>
      <c r="O2737" t="s">
        <v>3363</v>
      </c>
      <c r="P2737" t="s">
        <v>3362</v>
      </c>
      <c r="Q2737" t="s">
        <v>3368</v>
      </c>
      <c r="R2737" t="s">
        <v>15211</v>
      </c>
      <c r="S2737" t="s">
        <v>15211</v>
      </c>
      <c r="T2737" t="s">
        <v>3391</v>
      </c>
      <c r="U2737" t="s">
        <v>14600</v>
      </c>
      <c r="V2737" t="s">
        <v>15280</v>
      </c>
    </row>
    <row r="2738" spans="1:22" hidden="1">
      <c r="A2738" t="s">
        <v>15293</v>
      </c>
      <c r="B2738" t="s">
        <v>15441</v>
      </c>
      <c r="C2738" t="s">
        <v>15449</v>
      </c>
      <c r="D2738" t="s">
        <v>2733</v>
      </c>
      <c r="E2738" t="s">
        <v>3435</v>
      </c>
      <c r="F2738" t="s">
        <v>3452</v>
      </c>
      <c r="G2738" s="3">
        <v>34.910928024014702</v>
      </c>
      <c r="H2738" s="3">
        <v>126.87162449189201</v>
      </c>
      <c r="I2738" t="s">
        <v>6503</v>
      </c>
      <c r="J2738" t="s">
        <v>9859</v>
      </c>
      <c r="K2738" t="s">
        <v>3742</v>
      </c>
      <c r="L2738" t="s">
        <v>3366</v>
      </c>
      <c r="M2738" t="s">
        <v>11913</v>
      </c>
      <c r="N2738" t="s">
        <v>3362</v>
      </c>
      <c r="O2738" t="s">
        <v>3359</v>
      </c>
      <c r="P2738" t="s">
        <v>3362</v>
      </c>
      <c r="Q2738" t="s">
        <v>3370</v>
      </c>
      <c r="R2738" t="s">
        <v>3357</v>
      </c>
      <c r="S2738" t="s">
        <v>15211</v>
      </c>
      <c r="T2738" t="s">
        <v>3386</v>
      </c>
      <c r="U2738" t="s">
        <v>14601</v>
      </c>
      <c r="V2738" t="s">
        <v>15277</v>
      </c>
    </row>
    <row r="2739" spans="1:22" hidden="1">
      <c r="A2739" t="s">
        <v>15293</v>
      </c>
      <c r="B2739" t="s">
        <v>15441</v>
      </c>
      <c r="C2739" t="s">
        <v>15449</v>
      </c>
      <c r="D2739" t="s">
        <v>2734</v>
      </c>
      <c r="E2739" t="s">
        <v>3434</v>
      </c>
      <c r="F2739" t="s">
        <v>3433</v>
      </c>
      <c r="G2739" s="3">
        <v>34.910928037604201</v>
      </c>
      <c r="H2739" s="3">
        <v>126.871624502898</v>
      </c>
      <c r="I2739" t="s">
        <v>6504</v>
      </c>
      <c r="J2739" t="s">
        <v>9860</v>
      </c>
      <c r="K2739" t="s">
        <v>10951</v>
      </c>
      <c r="L2739" t="s">
        <v>3366</v>
      </c>
      <c r="M2739" t="s">
        <v>11907</v>
      </c>
      <c r="N2739" t="s">
        <v>3361</v>
      </c>
      <c r="O2739" t="s">
        <v>3359</v>
      </c>
      <c r="P2739" t="s">
        <v>3362</v>
      </c>
      <c r="Q2739" t="s">
        <v>3369</v>
      </c>
      <c r="R2739" t="s">
        <v>3357</v>
      </c>
      <c r="S2739" t="s">
        <v>15211</v>
      </c>
      <c r="T2739" t="s">
        <v>3384</v>
      </c>
      <c r="U2739" t="s">
        <v>14602</v>
      </c>
      <c r="V2739" t="s">
        <v>15277</v>
      </c>
    </row>
    <row r="2740" spans="1:22" hidden="1">
      <c r="A2740" t="s">
        <v>15293</v>
      </c>
      <c r="B2740" t="s">
        <v>15441</v>
      </c>
      <c r="C2740" t="s">
        <v>15449</v>
      </c>
      <c r="D2740" t="s">
        <v>2735</v>
      </c>
      <c r="E2740" t="s">
        <v>3434</v>
      </c>
      <c r="F2740" t="s">
        <v>3432</v>
      </c>
      <c r="G2740" s="3">
        <v>34.910928022899597</v>
      </c>
      <c r="H2740" s="3">
        <v>126.871624518011</v>
      </c>
      <c r="I2740" t="s">
        <v>6505</v>
      </c>
      <c r="J2740" t="s">
        <v>9861</v>
      </c>
      <c r="K2740" t="s">
        <v>11277</v>
      </c>
      <c r="L2740" t="s">
        <v>3366</v>
      </c>
      <c r="M2740" t="s">
        <v>11907</v>
      </c>
      <c r="N2740" t="s">
        <v>3362</v>
      </c>
      <c r="O2740" t="s">
        <v>3359</v>
      </c>
      <c r="P2740" t="s">
        <v>3362</v>
      </c>
      <c r="Q2740" t="s">
        <v>3369</v>
      </c>
      <c r="R2740" t="s">
        <v>3357</v>
      </c>
      <c r="S2740" t="s">
        <v>15211</v>
      </c>
      <c r="T2740" t="s">
        <v>3385</v>
      </c>
      <c r="U2740" t="s">
        <v>14603</v>
      </c>
      <c r="V2740" t="s">
        <v>15277</v>
      </c>
    </row>
    <row r="2741" spans="1:22" hidden="1">
      <c r="A2741" t="s">
        <v>15293</v>
      </c>
      <c r="B2741" t="s">
        <v>15442</v>
      </c>
      <c r="C2741" t="s">
        <v>15451</v>
      </c>
      <c r="D2741" t="s">
        <v>2736</v>
      </c>
      <c r="E2741" t="s">
        <v>3436</v>
      </c>
      <c r="F2741" t="s">
        <v>3430</v>
      </c>
      <c r="G2741" s="3">
        <v>34.910928102397499</v>
      </c>
      <c r="H2741" s="3">
        <v>126.87162444143</v>
      </c>
      <c r="I2741" t="s">
        <v>6506</v>
      </c>
      <c r="J2741" t="s">
        <v>9862</v>
      </c>
      <c r="K2741" t="s">
        <v>11750</v>
      </c>
      <c r="L2741" t="s">
        <v>3366</v>
      </c>
      <c r="M2741" t="s">
        <v>11911</v>
      </c>
      <c r="N2741" t="s">
        <v>3362</v>
      </c>
      <c r="O2741" t="s">
        <v>3359</v>
      </c>
      <c r="P2741" t="s">
        <v>3362</v>
      </c>
      <c r="Q2741" t="s">
        <v>3370</v>
      </c>
      <c r="R2741" t="s">
        <v>15211</v>
      </c>
      <c r="S2741" t="s">
        <v>15211</v>
      </c>
      <c r="T2741" t="s">
        <v>3385</v>
      </c>
      <c r="U2741" t="s">
        <v>14604</v>
      </c>
      <c r="V2741" t="s">
        <v>15280</v>
      </c>
    </row>
    <row r="2742" spans="1:22" hidden="1">
      <c r="A2742" t="s">
        <v>15293</v>
      </c>
      <c r="B2742" t="s">
        <v>15442</v>
      </c>
      <c r="C2742" t="s">
        <v>15451</v>
      </c>
      <c r="D2742" t="s">
        <v>2737</v>
      </c>
      <c r="E2742" t="s">
        <v>3436</v>
      </c>
      <c r="F2742" t="s">
        <v>3430</v>
      </c>
      <c r="G2742" s="3">
        <v>34.910928100261302</v>
      </c>
      <c r="H2742" s="3">
        <v>126.871624421112</v>
      </c>
      <c r="I2742" t="s">
        <v>6507</v>
      </c>
      <c r="J2742" t="s">
        <v>9863</v>
      </c>
      <c r="K2742" t="s">
        <v>11750</v>
      </c>
      <c r="L2742" t="s">
        <v>3366</v>
      </c>
      <c r="M2742" t="s">
        <v>11911</v>
      </c>
      <c r="N2742" t="s">
        <v>3362</v>
      </c>
      <c r="O2742" t="s">
        <v>3359</v>
      </c>
      <c r="P2742" t="s">
        <v>3362</v>
      </c>
      <c r="Q2742" t="s">
        <v>3370</v>
      </c>
      <c r="R2742" t="s">
        <v>15211</v>
      </c>
      <c r="S2742" t="s">
        <v>15211</v>
      </c>
      <c r="T2742" t="s">
        <v>3385</v>
      </c>
      <c r="U2742" t="s">
        <v>14605</v>
      </c>
      <c r="V2742" t="s">
        <v>15280</v>
      </c>
    </row>
    <row r="2743" spans="1:22" hidden="1">
      <c r="A2743" t="s">
        <v>15293</v>
      </c>
      <c r="B2743" t="s">
        <v>15442</v>
      </c>
      <c r="C2743" t="s">
        <v>15451</v>
      </c>
      <c r="D2743" t="s">
        <v>2738</v>
      </c>
      <c r="E2743" t="s">
        <v>3436</v>
      </c>
      <c r="F2743" t="s">
        <v>3430</v>
      </c>
      <c r="G2743" s="3">
        <v>34.910928101256097</v>
      </c>
      <c r="H2743" s="3">
        <v>126.87162443749099</v>
      </c>
      <c r="I2743" t="s">
        <v>6508</v>
      </c>
      <c r="J2743" t="s">
        <v>9864</v>
      </c>
      <c r="K2743" t="s">
        <v>11750</v>
      </c>
      <c r="L2743" t="s">
        <v>3366</v>
      </c>
      <c r="M2743" t="s">
        <v>11911</v>
      </c>
      <c r="N2743" t="s">
        <v>3362</v>
      </c>
      <c r="O2743" t="s">
        <v>3359</v>
      </c>
      <c r="P2743" t="s">
        <v>3362</v>
      </c>
      <c r="Q2743" t="s">
        <v>3370</v>
      </c>
      <c r="R2743" t="s">
        <v>15211</v>
      </c>
      <c r="S2743" t="s">
        <v>15211</v>
      </c>
      <c r="T2743" t="s">
        <v>3385</v>
      </c>
      <c r="U2743" t="s">
        <v>14606</v>
      </c>
      <c r="V2743" t="s">
        <v>15280</v>
      </c>
    </row>
    <row r="2744" spans="1:22" ht="15" hidden="1">
      <c r="A2744" t="s">
        <v>15440</v>
      </c>
      <c r="B2744" t="s">
        <v>15441</v>
      </c>
      <c r="C2744" t="s">
        <v>15449</v>
      </c>
      <c r="D2744" t="s">
        <v>2739</v>
      </c>
      <c r="E2744" t="s">
        <v>3436</v>
      </c>
      <c r="F2744" t="s">
        <v>3441</v>
      </c>
      <c r="G2744" s="3">
        <v>35.193533595604499</v>
      </c>
      <c r="H2744" s="3">
        <v>127.23565517774</v>
      </c>
      <c r="I2744" t="s">
        <v>6509</v>
      </c>
      <c r="J2744" t="s">
        <v>9865</v>
      </c>
      <c r="K2744" t="s">
        <v>3626</v>
      </c>
      <c r="L2744" t="s">
        <v>3366</v>
      </c>
      <c r="M2744" t="s">
        <v>11913</v>
      </c>
      <c r="N2744" t="s">
        <v>3362</v>
      </c>
      <c r="O2744" t="s">
        <v>3359</v>
      </c>
      <c r="P2744" t="s">
        <v>3363</v>
      </c>
      <c r="Q2744" t="s">
        <v>3369</v>
      </c>
      <c r="R2744" t="s">
        <v>3358</v>
      </c>
      <c r="S2744" t="s">
        <v>15211</v>
      </c>
      <c r="T2744" t="s">
        <v>3387</v>
      </c>
      <c r="U2744" t="s">
        <v>14607</v>
      </c>
      <c r="V2744" t="s">
        <v>15277</v>
      </c>
    </row>
    <row r="2745" spans="1:22" ht="15" hidden="1">
      <c r="A2745" t="s">
        <v>15440</v>
      </c>
      <c r="B2745" t="s">
        <v>15441</v>
      </c>
      <c r="C2745" t="s">
        <v>15449</v>
      </c>
      <c r="D2745" t="s">
        <v>2740</v>
      </c>
      <c r="E2745" t="s">
        <v>3436</v>
      </c>
      <c r="F2745" t="s">
        <v>3441</v>
      </c>
      <c r="G2745" s="3">
        <v>35.193533571235598</v>
      </c>
      <c r="H2745" s="3">
        <v>127.235655180333</v>
      </c>
      <c r="I2745" t="s">
        <v>6510</v>
      </c>
      <c r="J2745" t="s">
        <v>9866</v>
      </c>
      <c r="K2745" t="s">
        <v>11751</v>
      </c>
      <c r="L2745" t="s">
        <v>3366</v>
      </c>
      <c r="M2745" t="s">
        <v>11913</v>
      </c>
      <c r="N2745" t="s">
        <v>3362</v>
      </c>
      <c r="O2745" t="s">
        <v>3359</v>
      </c>
      <c r="P2745" t="s">
        <v>3363</v>
      </c>
      <c r="Q2745" t="s">
        <v>3369</v>
      </c>
      <c r="R2745" t="s">
        <v>3358</v>
      </c>
      <c r="S2745" t="s">
        <v>15211</v>
      </c>
      <c r="T2745" t="s">
        <v>3387</v>
      </c>
      <c r="U2745" t="s">
        <v>14608</v>
      </c>
      <c r="V2745" t="s">
        <v>15277</v>
      </c>
    </row>
    <row r="2746" spans="1:22" ht="15" hidden="1">
      <c r="A2746" t="s">
        <v>15440</v>
      </c>
      <c r="B2746" t="s">
        <v>15441</v>
      </c>
      <c r="C2746" t="s">
        <v>15449</v>
      </c>
      <c r="D2746" t="s">
        <v>2741</v>
      </c>
      <c r="E2746" t="s">
        <v>3436</v>
      </c>
      <c r="F2746" t="s">
        <v>3441</v>
      </c>
      <c r="G2746" s="3">
        <v>35.193533565924298</v>
      </c>
      <c r="H2746" s="3">
        <v>127.23565524727201</v>
      </c>
      <c r="I2746" t="s">
        <v>6511</v>
      </c>
      <c r="J2746" t="s">
        <v>9867</v>
      </c>
      <c r="K2746" t="s">
        <v>11751</v>
      </c>
      <c r="L2746" t="s">
        <v>3366</v>
      </c>
      <c r="M2746" t="s">
        <v>11913</v>
      </c>
      <c r="N2746" t="s">
        <v>3362</v>
      </c>
      <c r="O2746" t="s">
        <v>3359</v>
      </c>
      <c r="P2746" t="s">
        <v>3363</v>
      </c>
      <c r="Q2746" t="s">
        <v>3369</v>
      </c>
      <c r="R2746" t="s">
        <v>3358</v>
      </c>
      <c r="S2746" t="s">
        <v>15211</v>
      </c>
      <c r="T2746" t="s">
        <v>3387</v>
      </c>
      <c r="U2746" t="s">
        <v>14609</v>
      </c>
      <c r="V2746" t="s">
        <v>15277</v>
      </c>
    </row>
    <row r="2747" spans="1:22" ht="15" hidden="1">
      <c r="A2747" t="s">
        <v>15440</v>
      </c>
      <c r="B2747" t="s">
        <v>15442</v>
      </c>
      <c r="C2747" t="s">
        <v>15450</v>
      </c>
      <c r="D2747" t="s">
        <v>2742</v>
      </c>
      <c r="E2747" t="s">
        <v>3429</v>
      </c>
      <c r="F2747" t="s">
        <v>3426</v>
      </c>
      <c r="G2747" s="3">
        <v>35.193533594027798</v>
      </c>
      <c r="H2747" s="3">
        <v>127.235655231902</v>
      </c>
      <c r="I2747" t="s">
        <v>6512</v>
      </c>
      <c r="J2747" t="s">
        <v>9868</v>
      </c>
      <c r="K2747" t="s">
        <v>11752</v>
      </c>
      <c r="L2747" t="s">
        <v>3366</v>
      </c>
      <c r="M2747" t="s">
        <v>11885</v>
      </c>
      <c r="N2747" t="s">
        <v>3364</v>
      </c>
      <c r="O2747" t="s">
        <v>3360</v>
      </c>
      <c r="P2747" t="s">
        <v>15211</v>
      </c>
      <c r="Q2747" t="s">
        <v>15211</v>
      </c>
      <c r="R2747" t="s">
        <v>15211</v>
      </c>
      <c r="S2747" t="s">
        <v>15211</v>
      </c>
      <c r="T2747" t="s">
        <v>3368</v>
      </c>
      <c r="U2747" t="s">
        <v>14610</v>
      </c>
      <c r="V2747" t="s">
        <v>15278</v>
      </c>
    </row>
    <row r="2748" spans="1:22" ht="15" hidden="1">
      <c r="A2748" t="s">
        <v>15440</v>
      </c>
      <c r="B2748" t="s">
        <v>15442</v>
      </c>
      <c r="C2748" t="s">
        <v>15450</v>
      </c>
      <c r="D2748" t="s">
        <v>2743</v>
      </c>
      <c r="E2748" t="s">
        <v>3435</v>
      </c>
      <c r="F2748" t="s">
        <v>3461</v>
      </c>
      <c r="G2748" s="3">
        <v>35.1935335696839</v>
      </c>
      <c r="H2748" s="3">
        <v>127.235655258593</v>
      </c>
      <c r="I2748" t="s">
        <v>6513</v>
      </c>
      <c r="J2748" t="s">
        <v>9869</v>
      </c>
      <c r="K2748" t="s">
        <v>11273</v>
      </c>
      <c r="L2748" t="s">
        <v>3366</v>
      </c>
      <c r="M2748" t="s">
        <v>11885</v>
      </c>
      <c r="N2748" t="s">
        <v>3364</v>
      </c>
      <c r="O2748" t="s">
        <v>3360</v>
      </c>
      <c r="P2748" t="s">
        <v>15211</v>
      </c>
      <c r="Q2748" t="s">
        <v>15211</v>
      </c>
      <c r="R2748" t="s">
        <v>15211</v>
      </c>
      <c r="S2748" t="s">
        <v>15211</v>
      </c>
      <c r="T2748" t="s">
        <v>3368</v>
      </c>
      <c r="U2748" t="s">
        <v>14611</v>
      </c>
      <c r="V2748" t="s">
        <v>15278</v>
      </c>
    </row>
    <row r="2749" spans="1:22" ht="15" hidden="1">
      <c r="A2749" t="s">
        <v>15440</v>
      </c>
      <c r="B2749" t="s">
        <v>15442</v>
      </c>
      <c r="C2749" t="s">
        <v>15450</v>
      </c>
      <c r="D2749" t="s">
        <v>2744</v>
      </c>
      <c r="E2749" t="s">
        <v>3435</v>
      </c>
      <c r="F2749" t="s">
        <v>3461</v>
      </c>
      <c r="G2749" s="3">
        <v>35.193533603649598</v>
      </c>
      <c r="H2749" s="3">
        <v>127.23565522800899</v>
      </c>
      <c r="I2749" t="s">
        <v>6514</v>
      </c>
      <c r="J2749" t="s">
        <v>9870</v>
      </c>
      <c r="K2749" t="s">
        <v>11119</v>
      </c>
      <c r="L2749" t="s">
        <v>3366</v>
      </c>
      <c r="M2749" t="s">
        <v>11885</v>
      </c>
      <c r="N2749" t="s">
        <v>3364</v>
      </c>
      <c r="O2749" t="s">
        <v>3360</v>
      </c>
      <c r="P2749" t="s">
        <v>15211</v>
      </c>
      <c r="Q2749" t="s">
        <v>15211</v>
      </c>
      <c r="R2749" t="s">
        <v>15211</v>
      </c>
      <c r="S2749" t="s">
        <v>15211</v>
      </c>
      <c r="T2749" t="s">
        <v>3368</v>
      </c>
      <c r="U2749" t="s">
        <v>14612</v>
      </c>
      <c r="V2749" t="s">
        <v>15278</v>
      </c>
    </row>
    <row r="2750" spans="1:22" ht="15" hidden="1">
      <c r="A2750" t="s">
        <v>15440</v>
      </c>
      <c r="B2750" t="s">
        <v>15442</v>
      </c>
      <c r="C2750" t="s">
        <v>15451</v>
      </c>
      <c r="D2750" t="s">
        <v>2745</v>
      </c>
      <c r="E2750" t="s">
        <v>3431</v>
      </c>
      <c r="F2750" t="s">
        <v>3478</v>
      </c>
      <c r="G2750" s="3">
        <v>35.193533737883399</v>
      </c>
      <c r="H2750" s="3">
        <v>127.235654911974</v>
      </c>
      <c r="I2750" t="s">
        <v>6515</v>
      </c>
      <c r="J2750" t="s">
        <v>9871</v>
      </c>
      <c r="K2750" t="s">
        <v>10914</v>
      </c>
      <c r="L2750" t="s">
        <v>3366</v>
      </c>
      <c r="M2750" t="s">
        <v>11913</v>
      </c>
      <c r="N2750" t="s">
        <v>3364</v>
      </c>
      <c r="O2750" t="s">
        <v>3359</v>
      </c>
      <c r="P2750" t="s">
        <v>3363</v>
      </c>
      <c r="Q2750" t="s">
        <v>3369</v>
      </c>
      <c r="R2750" t="s">
        <v>15211</v>
      </c>
      <c r="S2750" t="s">
        <v>15211</v>
      </c>
      <c r="T2750" t="s">
        <v>3387</v>
      </c>
      <c r="U2750" t="s">
        <v>14613</v>
      </c>
      <c r="V2750" t="s">
        <v>15280</v>
      </c>
    </row>
    <row r="2751" spans="1:22" ht="15" hidden="1">
      <c r="A2751" t="s">
        <v>15440</v>
      </c>
      <c r="B2751" t="s">
        <v>15442</v>
      </c>
      <c r="C2751" t="s">
        <v>15451</v>
      </c>
      <c r="D2751" t="s">
        <v>2746</v>
      </c>
      <c r="E2751" t="s">
        <v>3434</v>
      </c>
      <c r="F2751" t="s">
        <v>3579</v>
      </c>
      <c r="G2751" s="3">
        <v>35.1935337697753</v>
      </c>
      <c r="H2751" s="3">
        <v>127.235654891659</v>
      </c>
      <c r="I2751" t="s">
        <v>6516</v>
      </c>
      <c r="J2751" t="s">
        <v>9872</v>
      </c>
      <c r="K2751" t="s">
        <v>11753</v>
      </c>
      <c r="L2751" t="s">
        <v>3366</v>
      </c>
      <c r="M2751" t="s">
        <v>11913</v>
      </c>
      <c r="N2751" t="s">
        <v>3364</v>
      </c>
      <c r="O2751" t="s">
        <v>3359</v>
      </c>
      <c r="P2751" t="s">
        <v>3363</v>
      </c>
      <c r="Q2751" t="s">
        <v>3369</v>
      </c>
      <c r="R2751" t="s">
        <v>15211</v>
      </c>
      <c r="S2751" t="s">
        <v>15211</v>
      </c>
      <c r="T2751" t="s">
        <v>3387</v>
      </c>
      <c r="U2751" t="s">
        <v>14614</v>
      </c>
      <c r="V2751" t="s">
        <v>15280</v>
      </c>
    </row>
    <row r="2752" spans="1:22" ht="15" hidden="1">
      <c r="A2752" t="s">
        <v>15440</v>
      </c>
      <c r="B2752" t="s">
        <v>15442</v>
      </c>
      <c r="C2752" t="s">
        <v>15451</v>
      </c>
      <c r="D2752" t="s">
        <v>2747</v>
      </c>
      <c r="E2752" t="s">
        <v>3434</v>
      </c>
      <c r="F2752" t="s">
        <v>3579</v>
      </c>
      <c r="G2752" s="3">
        <v>35.1935337639176</v>
      </c>
      <c r="H2752" s="3">
        <v>127.23565507615299</v>
      </c>
      <c r="I2752" t="s">
        <v>6517</v>
      </c>
      <c r="J2752" t="s">
        <v>9873</v>
      </c>
      <c r="K2752" t="s">
        <v>11409</v>
      </c>
      <c r="L2752" t="s">
        <v>3391</v>
      </c>
      <c r="M2752" t="s">
        <v>11913</v>
      </c>
      <c r="N2752" t="s">
        <v>3364</v>
      </c>
      <c r="O2752" t="s">
        <v>3359</v>
      </c>
      <c r="P2752" t="s">
        <v>3363</v>
      </c>
      <c r="Q2752" t="s">
        <v>3369</v>
      </c>
      <c r="R2752" t="s">
        <v>15211</v>
      </c>
      <c r="S2752" t="s">
        <v>15211</v>
      </c>
      <c r="T2752" t="s">
        <v>3387</v>
      </c>
      <c r="U2752" t="s">
        <v>14615</v>
      </c>
      <c r="V2752" t="s">
        <v>15280</v>
      </c>
    </row>
    <row r="2753" spans="1:22" hidden="1">
      <c r="A2753" t="s">
        <v>15292</v>
      </c>
      <c r="B2753" t="s">
        <v>15441</v>
      </c>
      <c r="C2753" t="s">
        <v>15449</v>
      </c>
      <c r="D2753" t="s">
        <v>2748</v>
      </c>
      <c r="E2753" t="s">
        <v>3428</v>
      </c>
      <c r="F2753" t="s">
        <v>3435</v>
      </c>
      <c r="G2753" s="3">
        <v>35.110775435284197</v>
      </c>
      <c r="H2753" s="3">
        <v>127.07125329214</v>
      </c>
      <c r="I2753" t="s">
        <v>6518</v>
      </c>
      <c r="J2753" t="s">
        <v>9874</v>
      </c>
      <c r="K2753" t="s">
        <v>11754</v>
      </c>
      <c r="L2753" t="s">
        <v>3366</v>
      </c>
      <c r="M2753" t="s">
        <v>11916</v>
      </c>
      <c r="N2753" t="s">
        <v>3365</v>
      </c>
      <c r="O2753" t="s">
        <v>3361</v>
      </c>
      <c r="P2753" t="s">
        <v>3364</v>
      </c>
      <c r="Q2753" t="s">
        <v>3368</v>
      </c>
      <c r="R2753" t="s">
        <v>3357</v>
      </c>
      <c r="S2753" t="s">
        <v>15211</v>
      </c>
      <c r="T2753" t="s">
        <v>3391</v>
      </c>
      <c r="U2753" t="s">
        <v>14616</v>
      </c>
      <c r="V2753" t="s">
        <v>15277</v>
      </c>
    </row>
    <row r="2754" spans="1:22" hidden="1">
      <c r="A2754" t="s">
        <v>15292</v>
      </c>
      <c r="B2754" t="s">
        <v>15441</v>
      </c>
      <c r="C2754" t="s">
        <v>15449</v>
      </c>
      <c r="D2754" t="s">
        <v>2749</v>
      </c>
      <c r="E2754" t="s">
        <v>3428</v>
      </c>
      <c r="F2754" t="s">
        <v>3435</v>
      </c>
      <c r="G2754" s="3">
        <v>35.110775354456202</v>
      </c>
      <c r="H2754" s="3">
        <v>127.071253316499</v>
      </c>
      <c r="I2754" t="s">
        <v>6519</v>
      </c>
      <c r="J2754" t="s">
        <v>9875</v>
      </c>
      <c r="K2754" t="s">
        <v>11755</v>
      </c>
      <c r="L2754" t="s">
        <v>3366</v>
      </c>
      <c r="M2754" t="s">
        <v>11916</v>
      </c>
      <c r="N2754" t="s">
        <v>3365</v>
      </c>
      <c r="O2754" t="s">
        <v>3361</v>
      </c>
      <c r="P2754" t="s">
        <v>3364</v>
      </c>
      <c r="Q2754" t="s">
        <v>3368</v>
      </c>
      <c r="R2754" t="s">
        <v>3357</v>
      </c>
      <c r="S2754" t="s">
        <v>15211</v>
      </c>
      <c r="T2754" t="s">
        <v>3391</v>
      </c>
      <c r="U2754" t="s">
        <v>14617</v>
      </c>
      <c r="V2754" t="s">
        <v>15277</v>
      </c>
    </row>
    <row r="2755" spans="1:22" hidden="1">
      <c r="A2755" t="s">
        <v>15292</v>
      </c>
      <c r="B2755" t="s">
        <v>15441</v>
      </c>
      <c r="C2755" t="s">
        <v>15449</v>
      </c>
      <c r="D2755" t="s">
        <v>2750</v>
      </c>
      <c r="E2755" t="s">
        <v>3428</v>
      </c>
      <c r="F2755" t="s">
        <v>3435</v>
      </c>
      <c r="G2755" s="3">
        <v>35.110775387595503</v>
      </c>
      <c r="H2755" s="3">
        <v>127.07125331941501</v>
      </c>
      <c r="I2755" t="s">
        <v>6520</v>
      </c>
      <c r="J2755" t="s">
        <v>9876</v>
      </c>
      <c r="K2755" t="s">
        <v>11755</v>
      </c>
      <c r="L2755" t="s">
        <v>3366</v>
      </c>
      <c r="M2755" t="s">
        <v>11916</v>
      </c>
      <c r="N2755" t="s">
        <v>3365</v>
      </c>
      <c r="O2755" t="s">
        <v>3361</v>
      </c>
      <c r="P2755" t="s">
        <v>3364</v>
      </c>
      <c r="Q2755" t="s">
        <v>3368</v>
      </c>
      <c r="R2755" t="s">
        <v>3357</v>
      </c>
      <c r="S2755" t="s">
        <v>15211</v>
      </c>
      <c r="T2755" t="s">
        <v>3391</v>
      </c>
      <c r="U2755" t="s">
        <v>14618</v>
      </c>
      <c r="V2755" t="s">
        <v>15277</v>
      </c>
    </row>
    <row r="2756" spans="1:22" hidden="1">
      <c r="A2756" t="s">
        <v>15292</v>
      </c>
      <c r="B2756" t="s">
        <v>15442</v>
      </c>
      <c r="C2756" t="s">
        <v>15450</v>
      </c>
      <c r="D2756" t="s">
        <v>2751</v>
      </c>
      <c r="E2756" t="s">
        <v>3438</v>
      </c>
      <c r="F2756" t="s">
        <v>3435</v>
      </c>
      <c r="G2756" s="3">
        <v>35.110775557653902</v>
      </c>
      <c r="H2756" s="3">
        <v>127.07125282599699</v>
      </c>
      <c r="I2756" t="s">
        <v>6521</v>
      </c>
      <c r="J2756" t="s">
        <v>9877</v>
      </c>
      <c r="K2756" t="s">
        <v>11428</v>
      </c>
      <c r="L2756" t="s">
        <v>3366</v>
      </c>
      <c r="M2756" t="s">
        <v>11895</v>
      </c>
      <c r="N2756" t="s">
        <v>3366</v>
      </c>
      <c r="O2756" t="s">
        <v>3361</v>
      </c>
      <c r="P2756" t="s">
        <v>15211</v>
      </c>
      <c r="Q2756" t="s">
        <v>15211</v>
      </c>
      <c r="R2756" t="s">
        <v>15211</v>
      </c>
      <c r="S2756" t="s">
        <v>15211</v>
      </c>
      <c r="T2756" t="s">
        <v>3371</v>
      </c>
      <c r="U2756" t="s">
        <v>14619</v>
      </c>
      <c r="V2756" t="s">
        <v>15278</v>
      </c>
    </row>
    <row r="2757" spans="1:22" hidden="1">
      <c r="A2757" t="s">
        <v>15292</v>
      </c>
      <c r="B2757" t="s">
        <v>15442</v>
      </c>
      <c r="C2757" t="s">
        <v>15450</v>
      </c>
      <c r="D2757" t="s">
        <v>2752</v>
      </c>
      <c r="E2757" t="s">
        <v>3438</v>
      </c>
      <c r="F2757" t="s">
        <v>3429</v>
      </c>
      <c r="G2757" s="3">
        <v>35.110775595543799</v>
      </c>
      <c r="H2757" s="3">
        <v>127.07125285732999</v>
      </c>
      <c r="I2757" t="s">
        <v>6522</v>
      </c>
      <c r="J2757" t="s">
        <v>9878</v>
      </c>
      <c r="K2757" t="s">
        <v>11007</v>
      </c>
      <c r="L2757" t="s">
        <v>3366</v>
      </c>
      <c r="M2757" t="s">
        <v>11895</v>
      </c>
      <c r="N2757" t="s">
        <v>3366</v>
      </c>
      <c r="O2757" t="s">
        <v>3361</v>
      </c>
      <c r="P2757" t="s">
        <v>15211</v>
      </c>
      <c r="Q2757" t="s">
        <v>15211</v>
      </c>
      <c r="R2757" t="s">
        <v>15211</v>
      </c>
      <c r="S2757" t="s">
        <v>15211</v>
      </c>
      <c r="T2757" t="s">
        <v>3371</v>
      </c>
      <c r="U2757" t="s">
        <v>14620</v>
      </c>
      <c r="V2757" t="s">
        <v>15278</v>
      </c>
    </row>
    <row r="2758" spans="1:22" hidden="1">
      <c r="A2758" t="s">
        <v>15292</v>
      </c>
      <c r="B2758" t="s">
        <v>15442</v>
      </c>
      <c r="C2758" t="s">
        <v>15450</v>
      </c>
      <c r="D2758" t="s">
        <v>2753</v>
      </c>
      <c r="E2758" t="s">
        <v>3427</v>
      </c>
      <c r="F2758" t="s">
        <v>3429</v>
      </c>
      <c r="G2758" s="3">
        <v>35.110775617898803</v>
      </c>
      <c r="H2758" s="3">
        <v>127.071252902881</v>
      </c>
      <c r="I2758" t="s">
        <v>6523</v>
      </c>
      <c r="J2758" t="s">
        <v>9879</v>
      </c>
      <c r="K2758" t="s">
        <v>11006</v>
      </c>
      <c r="L2758" t="s">
        <v>3366</v>
      </c>
      <c r="M2758" t="s">
        <v>11895</v>
      </c>
      <c r="N2758" t="s">
        <v>3366</v>
      </c>
      <c r="O2758" t="s">
        <v>3361</v>
      </c>
      <c r="P2758" t="s">
        <v>15211</v>
      </c>
      <c r="Q2758" t="s">
        <v>15211</v>
      </c>
      <c r="R2758" t="s">
        <v>15211</v>
      </c>
      <c r="S2758" t="s">
        <v>15211</v>
      </c>
      <c r="T2758" t="s">
        <v>3371</v>
      </c>
      <c r="U2758" t="s">
        <v>14621</v>
      </c>
      <c r="V2758" t="s">
        <v>15278</v>
      </c>
    </row>
    <row r="2759" spans="1:22" hidden="1">
      <c r="A2759" t="s">
        <v>15292</v>
      </c>
      <c r="B2759" t="s">
        <v>15442</v>
      </c>
      <c r="C2759" t="s">
        <v>15445</v>
      </c>
      <c r="D2759" t="s">
        <v>2754</v>
      </c>
      <c r="E2759" t="s">
        <v>3440</v>
      </c>
      <c r="F2759" t="s">
        <v>3435</v>
      </c>
      <c r="G2759" s="3">
        <v>35.110775141007998</v>
      </c>
      <c r="H2759" s="3">
        <v>127.071252934483</v>
      </c>
      <c r="I2759" t="s">
        <v>6524</v>
      </c>
      <c r="J2759" t="s">
        <v>9880</v>
      </c>
      <c r="K2759" t="s">
        <v>10933</v>
      </c>
      <c r="L2759" t="s">
        <v>3366</v>
      </c>
      <c r="M2759" t="s">
        <v>11895</v>
      </c>
      <c r="N2759" t="s">
        <v>3366</v>
      </c>
      <c r="O2759" t="s">
        <v>3361</v>
      </c>
      <c r="P2759" t="s">
        <v>15211</v>
      </c>
      <c r="Q2759" t="s">
        <v>15211</v>
      </c>
      <c r="R2759" t="s">
        <v>15211</v>
      </c>
      <c r="S2759" t="s">
        <v>15211</v>
      </c>
      <c r="T2759" t="s">
        <v>3371</v>
      </c>
      <c r="U2759" t="s">
        <v>14622</v>
      </c>
      <c r="V2759" t="s">
        <v>15279</v>
      </c>
    </row>
    <row r="2760" spans="1:22" hidden="1">
      <c r="A2760" t="s">
        <v>15292</v>
      </c>
      <c r="B2760" t="s">
        <v>15442</v>
      </c>
      <c r="C2760" t="s">
        <v>15445</v>
      </c>
      <c r="D2760" t="s">
        <v>2755</v>
      </c>
      <c r="E2760" t="s">
        <v>3438</v>
      </c>
      <c r="F2760" t="s">
        <v>3430</v>
      </c>
      <c r="G2760" s="3">
        <v>35.1107751112432</v>
      </c>
      <c r="H2760" s="3">
        <v>127.07125293874699</v>
      </c>
      <c r="I2760" t="s">
        <v>6525</v>
      </c>
      <c r="J2760" t="s">
        <v>9881</v>
      </c>
      <c r="K2760" t="s">
        <v>11585</v>
      </c>
      <c r="L2760" t="s">
        <v>3366</v>
      </c>
      <c r="M2760" t="s">
        <v>11895</v>
      </c>
      <c r="N2760" t="s">
        <v>3366</v>
      </c>
      <c r="O2760" t="s">
        <v>3361</v>
      </c>
      <c r="P2760" t="s">
        <v>15211</v>
      </c>
      <c r="Q2760" t="s">
        <v>15211</v>
      </c>
      <c r="R2760" t="s">
        <v>15211</v>
      </c>
      <c r="S2760" t="s">
        <v>15211</v>
      </c>
      <c r="T2760" t="s">
        <v>3371</v>
      </c>
      <c r="U2760" t="s">
        <v>14623</v>
      </c>
      <c r="V2760" t="s">
        <v>15279</v>
      </c>
    </row>
    <row r="2761" spans="1:22" hidden="1">
      <c r="A2761" t="s">
        <v>15292</v>
      </c>
      <c r="B2761" t="s">
        <v>15442</v>
      </c>
      <c r="C2761" t="s">
        <v>15445</v>
      </c>
      <c r="D2761" t="s">
        <v>2756</v>
      </c>
      <c r="E2761" t="s">
        <v>3428</v>
      </c>
      <c r="F2761" t="s">
        <v>3453</v>
      </c>
      <c r="G2761" s="3">
        <v>35.110775110765204</v>
      </c>
      <c r="H2761" s="3">
        <v>127.071252969545</v>
      </c>
      <c r="I2761" t="s">
        <v>6526</v>
      </c>
      <c r="J2761" t="s">
        <v>9882</v>
      </c>
      <c r="K2761" t="s">
        <v>11585</v>
      </c>
      <c r="L2761" t="s">
        <v>3366</v>
      </c>
      <c r="M2761" t="s">
        <v>11895</v>
      </c>
      <c r="N2761" t="s">
        <v>3366</v>
      </c>
      <c r="O2761" t="s">
        <v>3361</v>
      </c>
      <c r="P2761" t="s">
        <v>15211</v>
      </c>
      <c r="Q2761" t="s">
        <v>15211</v>
      </c>
      <c r="R2761" t="s">
        <v>15211</v>
      </c>
      <c r="S2761" t="s">
        <v>15211</v>
      </c>
      <c r="T2761" t="s">
        <v>3371</v>
      </c>
      <c r="U2761" t="s">
        <v>14624</v>
      </c>
      <c r="V2761" t="s">
        <v>15279</v>
      </c>
    </row>
    <row r="2762" spans="1:22" hidden="1">
      <c r="A2762" t="s">
        <v>15292</v>
      </c>
      <c r="B2762" t="s">
        <v>15442</v>
      </c>
      <c r="C2762" t="s">
        <v>15451</v>
      </c>
      <c r="D2762" t="s">
        <v>2757</v>
      </c>
      <c r="E2762" t="s">
        <v>3427</v>
      </c>
      <c r="F2762" t="s">
        <v>3430</v>
      </c>
      <c r="G2762" s="3">
        <v>35.1107758025273</v>
      </c>
      <c r="H2762" s="3">
        <v>127.07125269921499</v>
      </c>
      <c r="I2762" t="s">
        <v>6527</v>
      </c>
      <c r="J2762" t="s">
        <v>9883</v>
      </c>
      <c r="K2762" t="s">
        <v>11285</v>
      </c>
      <c r="L2762" t="s">
        <v>3366</v>
      </c>
      <c r="M2762" t="s">
        <v>11919</v>
      </c>
      <c r="N2762" t="s">
        <v>3366</v>
      </c>
      <c r="O2762" t="s">
        <v>3361</v>
      </c>
      <c r="P2762" t="s">
        <v>3365</v>
      </c>
      <c r="Q2762" t="s">
        <v>3369</v>
      </c>
      <c r="R2762" t="s">
        <v>15211</v>
      </c>
      <c r="S2762" t="s">
        <v>15211</v>
      </c>
      <c r="T2762" t="s">
        <v>3393</v>
      </c>
      <c r="U2762" t="s">
        <v>14625</v>
      </c>
      <c r="V2762" t="s">
        <v>15280</v>
      </c>
    </row>
    <row r="2763" spans="1:22" hidden="1">
      <c r="A2763" t="s">
        <v>15292</v>
      </c>
      <c r="B2763" t="s">
        <v>15442</v>
      </c>
      <c r="C2763" t="s">
        <v>15451</v>
      </c>
      <c r="D2763" t="s">
        <v>2758</v>
      </c>
      <c r="E2763" t="s">
        <v>3428</v>
      </c>
      <c r="F2763" t="s">
        <v>3430</v>
      </c>
      <c r="G2763" s="3">
        <v>35.110775771568299</v>
      </c>
      <c r="H2763" s="3">
        <v>127.071252736438</v>
      </c>
      <c r="I2763" t="s">
        <v>6528</v>
      </c>
      <c r="J2763" t="s">
        <v>9884</v>
      </c>
      <c r="K2763" t="s">
        <v>11285</v>
      </c>
      <c r="L2763" t="s">
        <v>3366</v>
      </c>
      <c r="M2763" t="s">
        <v>11919</v>
      </c>
      <c r="N2763" t="s">
        <v>3366</v>
      </c>
      <c r="O2763" t="s">
        <v>3361</v>
      </c>
      <c r="P2763" t="s">
        <v>3365</v>
      </c>
      <c r="Q2763" t="s">
        <v>3369</v>
      </c>
      <c r="R2763" t="s">
        <v>15211</v>
      </c>
      <c r="S2763" t="s">
        <v>15211</v>
      </c>
      <c r="T2763" t="s">
        <v>3393</v>
      </c>
      <c r="U2763" t="s">
        <v>14626</v>
      </c>
      <c r="V2763" t="s">
        <v>15280</v>
      </c>
    </row>
    <row r="2764" spans="1:22" hidden="1">
      <c r="A2764" t="s">
        <v>15292</v>
      </c>
      <c r="B2764" t="s">
        <v>15442</v>
      </c>
      <c r="C2764" t="s">
        <v>15451</v>
      </c>
      <c r="D2764" t="s">
        <v>2759</v>
      </c>
      <c r="E2764" t="s">
        <v>3428</v>
      </c>
      <c r="F2764" t="s">
        <v>3430</v>
      </c>
      <c r="G2764" s="3">
        <v>35.110775713894199</v>
      </c>
      <c r="H2764" s="3">
        <v>127.071252801169</v>
      </c>
      <c r="I2764" t="s">
        <v>6529</v>
      </c>
      <c r="J2764" t="s">
        <v>9885</v>
      </c>
      <c r="K2764" t="s">
        <v>11735</v>
      </c>
      <c r="L2764" t="s">
        <v>3366</v>
      </c>
      <c r="M2764" t="s">
        <v>11919</v>
      </c>
      <c r="N2764" t="s">
        <v>3366</v>
      </c>
      <c r="O2764" t="s">
        <v>3361</v>
      </c>
      <c r="P2764" t="s">
        <v>3365</v>
      </c>
      <c r="Q2764" t="s">
        <v>3369</v>
      </c>
      <c r="R2764" t="s">
        <v>15211</v>
      </c>
      <c r="S2764" t="s">
        <v>15211</v>
      </c>
      <c r="T2764" t="s">
        <v>3393</v>
      </c>
      <c r="U2764" t="s">
        <v>14627</v>
      </c>
      <c r="V2764" t="s">
        <v>15280</v>
      </c>
    </row>
    <row r="2765" spans="1:22" ht="17.399999999999999" hidden="1">
      <c r="A2765" t="s">
        <v>15402</v>
      </c>
      <c r="B2765" t="s">
        <v>15441</v>
      </c>
      <c r="C2765" t="s">
        <v>15445</v>
      </c>
      <c r="D2765" t="s">
        <v>2760</v>
      </c>
      <c r="E2765" t="s">
        <v>3436</v>
      </c>
      <c r="F2765" t="s">
        <v>3430</v>
      </c>
      <c r="G2765" s="3">
        <v>37.017522131935898</v>
      </c>
      <c r="H2765" s="3">
        <v>127.864851792151</v>
      </c>
      <c r="I2765" t="s">
        <v>6530</v>
      </c>
      <c r="J2765" t="s">
        <v>9886</v>
      </c>
      <c r="K2765" t="s">
        <v>11756</v>
      </c>
      <c r="L2765" t="s">
        <v>3366</v>
      </c>
      <c r="M2765" t="s">
        <v>11886</v>
      </c>
      <c r="N2765" t="s">
        <v>3363</v>
      </c>
      <c r="O2765" t="s">
        <v>3360</v>
      </c>
      <c r="P2765" t="s">
        <v>15211</v>
      </c>
      <c r="Q2765" t="s">
        <v>15211</v>
      </c>
      <c r="R2765" t="s">
        <v>15211</v>
      </c>
      <c r="S2765" t="s">
        <v>15211</v>
      </c>
      <c r="T2765" t="s">
        <v>3367</v>
      </c>
      <c r="U2765" t="s">
        <v>14628</v>
      </c>
      <c r="V2765" t="s">
        <v>15228</v>
      </c>
    </row>
    <row r="2766" spans="1:22" ht="17.399999999999999" hidden="1">
      <c r="A2766" t="s">
        <v>15402</v>
      </c>
      <c r="B2766" t="s">
        <v>15441</v>
      </c>
      <c r="C2766" t="s">
        <v>15445</v>
      </c>
      <c r="D2766" t="s">
        <v>2761</v>
      </c>
      <c r="E2766" t="s">
        <v>3436</v>
      </c>
      <c r="F2766" t="s">
        <v>3430</v>
      </c>
      <c r="G2766" s="3">
        <v>37.0175221620066</v>
      </c>
      <c r="H2766" s="3">
        <v>127.864851751945</v>
      </c>
      <c r="I2766" t="s">
        <v>6531</v>
      </c>
      <c r="J2766" t="s">
        <v>9887</v>
      </c>
      <c r="K2766" t="s">
        <v>10882</v>
      </c>
      <c r="L2766" t="s">
        <v>3366</v>
      </c>
      <c r="M2766" t="s">
        <v>11886</v>
      </c>
      <c r="N2766" t="s">
        <v>3363</v>
      </c>
      <c r="O2766" t="s">
        <v>3360</v>
      </c>
      <c r="P2766" t="s">
        <v>15211</v>
      </c>
      <c r="Q2766" t="s">
        <v>15211</v>
      </c>
      <c r="R2766" t="s">
        <v>15211</v>
      </c>
      <c r="S2766" t="s">
        <v>15211</v>
      </c>
      <c r="T2766" t="s">
        <v>3367</v>
      </c>
      <c r="U2766" t="s">
        <v>14629</v>
      </c>
      <c r="V2766" t="s">
        <v>15228</v>
      </c>
    </row>
    <row r="2767" spans="1:22" ht="17.399999999999999" hidden="1">
      <c r="A2767" t="s">
        <v>15402</v>
      </c>
      <c r="B2767" t="s">
        <v>15441</v>
      </c>
      <c r="C2767" t="s">
        <v>15445</v>
      </c>
      <c r="D2767" t="s">
        <v>2762</v>
      </c>
      <c r="E2767" t="s">
        <v>3436</v>
      </c>
      <c r="F2767" t="s">
        <v>3430</v>
      </c>
      <c r="G2767" s="3">
        <v>37.017522179354501</v>
      </c>
      <c r="H2767" s="3">
        <v>127.864851774136</v>
      </c>
      <c r="I2767" t="s">
        <v>6532</v>
      </c>
      <c r="J2767" t="s">
        <v>9888</v>
      </c>
      <c r="K2767" t="s">
        <v>11757</v>
      </c>
      <c r="L2767" t="s">
        <v>3366</v>
      </c>
      <c r="M2767" t="s">
        <v>11886</v>
      </c>
      <c r="N2767" t="s">
        <v>3363</v>
      </c>
      <c r="O2767" t="s">
        <v>3360</v>
      </c>
      <c r="P2767" t="s">
        <v>15211</v>
      </c>
      <c r="Q2767" t="s">
        <v>15211</v>
      </c>
      <c r="R2767" t="s">
        <v>15211</v>
      </c>
      <c r="S2767" t="s">
        <v>15211</v>
      </c>
      <c r="T2767" t="s">
        <v>3367</v>
      </c>
      <c r="U2767" t="s">
        <v>14630</v>
      </c>
      <c r="V2767" t="s">
        <v>15228</v>
      </c>
    </row>
    <row r="2768" spans="1:22" ht="17.399999999999999" hidden="1">
      <c r="A2768" t="s">
        <v>15402</v>
      </c>
      <c r="B2768" t="s">
        <v>15441</v>
      </c>
      <c r="C2768" t="s">
        <v>15446</v>
      </c>
      <c r="D2768" t="s">
        <v>2763</v>
      </c>
      <c r="E2768" t="s">
        <v>3429</v>
      </c>
      <c r="F2768" t="s">
        <v>3461</v>
      </c>
      <c r="G2768" s="3">
        <v>37.017522111330699</v>
      </c>
      <c r="H2768" s="3">
        <v>127.86485187922401</v>
      </c>
      <c r="I2768" t="s">
        <v>6533</v>
      </c>
      <c r="J2768" t="s">
        <v>9889</v>
      </c>
      <c r="K2768" t="s">
        <v>10856</v>
      </c>
      <c r="L2768" t="s">
        <v>3369</v>
      </c>
      <c r="M2768" t="s">
        <v>11886</v>
      </c>
      <c r="N2768" t="s">
        <v>3363</v>
      </c>
      <c r="O2768" t="s">
        <v>3360</v>
      </c>
      <c r="P2768" t="s">
        <v>15211</v>
      </c>
      <c r="Q2768" t="s">
        <v>15211</v>
      </c>
      <c r="R2768" t="s">
        <v>15211</v>
      </c>
      <c r="S2768" t="s">
        <v>15211</v>
      </c>
      <c r="T2768" t="s">
        <v>3367</v>
      </c>
      <c r="U2768" t="s">
        <v>14631</v>
      </c>
      <c r="V2768" t="s">
        <v>15229</v>
      </c>
    </row>
    <row r="2769" spans="1:22" ht="17.399999999999999" hidden="1">
      <c r="A2769" t="s">
        <v>15402</v>
      </c>
      <c r="B2769" t="s">
        <v>15441</v>
      </c>
      <c r="C2769" t="s">
        <v>15446</v>
      </c>
      <c r="D2769" t="s">
        <v>2764</v>
      </c>
      <c r="E2769" t="s">
        <v>3425</v>
      </c>
      <c r="F2769" t="s">
        <v>3430</v>
      </c>
      <c r="G2769" s="3">
        <v>37.017522152427397</v>
      </c>
      <c r="H2769" s="3">
        <v>127.86485181307501</v>
      </c>
      <c r="I2769" t="s">
        <v>6534</v>
      </c>
      <c r="J2769" t="s">
        <v>9890</v>
      </c>
      <c r="K2769" t="s">
        <v>11555</v>
      </c>
      <c r="L2769" t="s">
        <v>3366</v>
      </c>
      <c r="M2769" t="s">
        <v>11886</v>
      </c>
      <c r="N2769" t="s">
        <v>3363</v>
      </c>
      <c r="O2769" t="s">
        <v>3360</v>
      </c>
      <c r="P2769" t="s">
        <v>15211</v>
      </c>
      <c r="Q2769" t="s">
        <v>15211</v>
      </c>
      <c r="R2769" t="s">
        <v>15211</v>
      </c>
      <c r="S2769" t="s">
        <v>15211</v>
      </c>
      <c r="T2769" t="s">
        <v>3367</v>
      </c>
      <c r="U2769" t="s">
        <v>14632</v>
      </c>
      <c r="V2769" t="s">
        <v>15229</v>
      </c>
    </row>
    <row r="2770" spans="1:22" ht="17.399999999999999" hidden="1">
      <c r="A2770" t="s">
        <v>15402</v>
      </c>
      <c r="B2770" t="s">
        <v>15441</v>
      </c>
      <c r="C2770" t="s">
        <v>15446</v>
      </c>
      <c r="D2770" t="s">
        <v>2765</v>
      </c>
      <c r="E2770" t="s">
        <v>3436</v>
      </c>
      <c r="F2770" t="s">
        <v>3442</v>
      </c>
      <c r="G2770" s="3">
        <v>37.0175221869859</v>
      </c>
      <c r="H2770" s="3">
        <v>127.864851765121</v>
      </c>
      <c r="I2770" t="s">
        <v>6535</v>
      </c>
      <c r="J2770" t="s">
        <v>9891</v>
      </c>
      <c r="K2770" t="s">
        <v>11758</v>
      </c>
      <c r="L2770" t="s">
        <v>3366</v>
      </c>
      <c r="M2770" t="s">
        <v>11886</v>
      </c>
      <c r="N2770" t="s">
        <v>3363</v>
      </c>
      <c r="O2770" t="s">
        <v>3360</v>
      </c>
      <c r="P2770" t="s">
        <v>15211</v>
      </c>
      <c r="Q2770" t="s">
        <v>15211</v>
      </c>
      <c r="R2770" t="s">
        <v>15211</v>
      </c>
      <c r="S2770" t="s">
        <v>15211</v>
      </c>
      <c r="T2770" t="s">
        <v>3367</v>
      </c>
      <c r="U2770" t="s">
        <v>14633</v>
      </c>
      <c r="V2770" t="s">
        <v>15229</v>
      </c>
    </row>
    <row r="2771" spans="1:22" ht="17.399999999999999" hidden="1">
      <c r="A2771" t="s">
        <v>15402</v>
      </c>
      <c r="B2771" t="s">
        <v>15441</v>
      </c>
      <c r="C2771" t="s">
        <v>15447</v>
      </c>
      <c r="D2771" t="s">
        <v>2766</v>
      </c>
      <c r="E2771" t="s">
        <v>3435</v>
      </c>
      <c r="F2771" t="s">
        <v>3452</v>
      </c>
      <c r="G2771" s="3">
        <v>37.017522120237601</v>
      </c>
      <c r="H2771" s="3">
        <v>127.864851813825</v>
      </c>
      <c r="I2771" t="s">
        <v>6536</v>
      </c>
      <c r="J2771" t="s">
        <v>9892</v>
      </c>
      <c r="K2771" t="s">
        <v>11759</v>
      </c>
      <c r="L2771" t="s">
        <v>3366</v>
      </c>
      <c r="M2771" t="s">
        <v>11887</v>
      </c>
      <c r="N2771" t="s">
        <v>3363</v>
      </c>
      <c r="O2771" t="s">
        <v>15211</v>
      </c>
      <c r="P2771" t="s">
        <v>15211</v>
      </c>
      <c r="Q2771" t="s">
        <v>15211</v>
      </c>
      <c r="R2771" t="s">
        <v>15211</v>
      </c>
      <c r="S2771" t="s">
        <v>15211</v>
      </c>
      <c r="T2771" t="s">
        <v>3363</v>
      </c>
      <c r="U2771" t="s">
        <v>14634</v>
      </c>
      <c r="V2771" t="s">
        <v>15235</v>
      </c>
    </row>
    <row r="2772" spans="1:22" ht="17.399999999999999" hidden="1">
      <c r="A2772" t="s">
        <v>15402</v>
      </c>
      <c r="B2772" t="s">
        <v>15441</v>
      </c>
      <c r="C2772" t="s">
        <v>15447</v>
      </c>
      <c r="D2772" t="s">
        <v>2767</v>
      </c>
      <c r="E2772" t="s">
        <v>3432</v>
      </c>
      <c r="F2772" t="s">
        <v>3449</v>
      </c>
      <c r="G2772" s="3">
        <v>37.017522094399403</v>
      </c>
      <c r="H2772" s="3">
        <v>127.864851873601</v>
      </c>
      <c r="I2772" t="s">
        <v>6537</v>
      </c>
      <c r="J2772" t="s">
        <v>9893</v>
      </c>
      <c r="K2772" t="s">
        <v>11760</v>
      </c>
      <c r="L2772" t="s">
        <v>3403</v>
      </c>
      <c r="M2772" t="s">
        <v>11887</v>
      </c>
      <c r="N2772" t="s">
        <v>3363</v>
      </c>
      <c r="O2772" t="s">
        <v>15211</v>
      </c>
      <c r="P2772" t="s">
        <v>15211</v>
      </c>
      <c r="Q2772" t="s">
        <v>15211</v>
      </c>
      <c r="R2772" t="s">
        <v>15211</v>
      </c>
      <c r="S2772" t="s">
        <v>15211</v>
      </c>
      <c r="T2772" t="s">
        <v>3363</v>
      </c>
      <c r="U2772" t="s">
        <v>14635</v>
      </c>
      <c r="V2772" t="s">
        <v>15235</v>
      </c>
    </row>
    <row r="2773" spans="1:22" ht="17.399999999999999" hidden="1">
      <c r="A2773" t="s">
        <v>15402</v>
      </c>
      <c r="B2773" t="s">
        <v>15441</v>
      </c>
      <c r="C2773" t="s">
        <v>15447</v>
      </c>
      <c r="D2773" t="s">
        <v>2768</v>
      </c>
      <c r="E2773" t="s">
        <v>3442</v>
      </c>
      <c r="F2773" t="s">
        <v>3462</v>
      </c>
      <c r="G2773" s="3">
        <v>37.017522151589297</v>
      </c>
      <c r="H2773" s="3">
        <v>127.86485195569399</v>
      </c>
      <c r="I2773" t="s">
        <v>6538</v>
      </c>
      <c r="J2773" t="s">
        <v>9894</v>
      </c>
      <c r="K2773" t="s">
        <v>11761</v>
      </c>
      <c r="L2773" t="s">
        <v>3366</v>
      </c>
      <c r="M2773" t="s">
        <v>11887</v>
      </c>
      <c r="N2773" t="s">
        <v>3363</v>
      </c>
      <c r="O2773" t="s">
        <v>15211</v>
      </c>
      <c r="P2773" t="s">
        <v>15211</v>
      </c>
      <c r="Q2773" t="s">
        <v>15211</v>
      </c>
      <c r="R2773" t="s">
        <v>15211</v>
      </c>
      <c r="S2773" t="s">
        <v>15211</v>
      </c>
      <c r="T2773" t="s">
        <v>3363</v>
      </c>
      <c r="U2773" t="s">
        <v>14636</v>
      </c>
      <c r="V2773" t="s">
        <v>15235</v>
      </c>
    </row>
    <row r="2774" spans="1:22" ht="17.399999999999999" hidden="1">
      <c r="A2774" t="s">
        <v>15402</v>
      </c>
      <c r="B2774" t="s">
        <v>15441</v>
      </c>
      <c r="C2774" t="s">
        <v>15448</v>
      </c>
      <c r="D2774" t="s">
        <v>2769</v>
      </c>
      <c r="E2774" t="s">
        <v>3452</v>
      </c>
      <c r="F2774" t="s">
        <v>3458</v>
      </c>
      <c r="G2774" s="3">
        <v>37.017522007117996</v>
      </c>
      <c r="H2774" s="3">
        <v>127.86485190213099</v>
      </c>
      <c r="I2774" t="s">
        <v>6539</v>
      </c>
      <c r="J2774" t="s">
        <v>9895</v>
      </c>
      <c r="K2774" t="s">
        <v>11188</v>
      </c>
      <c r="L2774" t="s">
        <v>3366</v>
      </c>
      <c r="M2774" t="s">
        <v>11893</v>
      </c>
      <c r="N2774" t="s">
        <v>3364</v>
      </c>
      <c r="O2774" t="s">
        <v>3360</v>
      </c>
      <c r="P2774" t="s">
        <v>3363</v>
      </c>
      <c r="Q2774" t="s">
        <v>3361</v>
      </c>
      <c r="R2774" t="s">
        <v>3358</v>
      </c>
      <c r="S2774" t="s">
        <v>15211</v>
      </c>
      <c r="T2774" t="s">
        <v>3382</v>
      </c>
      <c r="U2774" t="s">
        <v>14637</v>
      </c>
      <c r="V2774" t="s">
        <v>15230</v>
      </c>
    </row>
    <row r="2775" spans="1:22" ht="17.399999999999999" hidden="1">
      <c r="A2775" t="s">
        <v>15402</v>
      </c>
      <c r="B2775" t="s">
        <v>15441</v>
      </c>
      <c r="C2775" t="s">
        <v>15448</v>
      </c>
      <c r="D2775" t="s">
        <v>2770</v>
      </c>
      <c r="E2775" t="s">
        <v>3452</v>
      </c>
      <c r="F2775" t="s">
        <v>3563</v>
      </c>
      <c r="G2775" s="3">
        <v>37.01752201963</v>
      </c>
      <c r="H2775" s="3">
        <v>127.86485192647901</v>
      </c>
      <c r="I2775" t="s">
        <v>6540</v>
      </c>
      <c r="J2775" t="s">
        <v>9896</v>
      </c>
      <c r="K2775" t="s">
        <v>11762</v>
      </c>
      <c r="L2775" t="s">
        <v>3366</v>
      </c>
      <c r="M2775" t="s">
        <v>11893</v>
      </c>
      <c r="N2775" t="s">
        <v>3363</v>
      </c>
      <c r="O2775" t="s">
        <v>3360</v>
      </c>
      <c r="P2775" t="s">
        <v>3363</v>
      </c>
      <c r="Q2775" t="s">
        <v>3361</v>
      </c>
      <c r="R2775" t="s">
        <v>3358</v>
      </c>
      <c r="S2775" t="s">
        <v>15211</v>
      </c>
      <c r="T2775" t="s">
        <v>3381</v>
      </c>
      <c r="U2775" t="s">
        <v>14638</v>
      </c>
      <c r="V2775" t="s">
        <v>15230</v>
      </c>
    </row>
    <row r="2776" spans="1:22" ht="17.399999999999999" hidden="1">
      <c r="A2776" t="s">
        <v>15402</v>
      </c>
      <c r="B2776" t="s">
        <v>15441</v>
      </c>
      <c r="C2776" t="s">
        <v>15448</v>
      </c>
      <c r="D2776" t="s">
        <v>2771</v>
      </c>
      <c r="E2776" t="s">
        <v>3452</v>
      </c>
      <c r="F2776" t="s">
        <v>3564</v>
      </c>
      <c r="G2776" s="3">
        <v>37.017522013251799</v>
      </c>
      <c r="H2776" s="3">
        <v>127.864851936541</v>
      </c>
      <c r="I2776" t="s">
        <v>6541</v>
      </c>
      <c r="J2776" t="s">
        <v>9897</v>
      </c>
      <c r="K2776" t="s">
        <v>11129</v>
      </c>
      <c r="L2776" t="s">
        <v>3366</v>
      </c>
      <c r="M2776" t="s">
        <v>11893</v>
      </c>
      <c r="N2776" t="s">
        <v>3363</v>
      </c>
      <c r="O2776" t="s">
        <v>3360</v>
      </c>
      <c r="P2776" t="s">
        <v>3363</v>
      </c>
      <c r="Q2776" t="s">
        <v>3361</v>
      </c>
      <c r="R2776" t="s">
        <v>3358</v>
      </c>
      <c r="S2776" t="s">
        <v>15211</v>
      </c>
      <c r="T2776" t="s">
        <v>3381</v>
      </c>
      <c r="U2776" t="s">
        <v>14639</v>
      </c>
      <c r="V2776" t="s">
        <v>15230</v>
      </c>
    </row>
    <row r="2777" spans="1:22" ht="17.399999999999999" hidden="1">
      <c r="A2777" t="s">
        <v>15402</v>
      </c>
      <c r="B2777" t="s">
        <v>15441</v>
      </c>
      <c r="C2777" t="s">
        <v>15449</v>
      </c>
      <c r="D2777" t="s">
        <v>2772</v>
      </c>
      <c r="E2777" t="s">
        <v>3434</v>
      </c>
      <c r="F2777" t="s">
        <v>3462</v>
      </c>
      <c r="G2777" s="3">
        <v>37.017522032758201</v>
      </c>
      <c r="H2777" s="3">
        <v>127.86485193162</v>
      </c>
      <c r="I2777" t="s">
        <v>6542</v>
      </c>
      <c r="J2777" t="s">
        <v>9898</v>
      </c>
      <c r="K2777" t="s">
        <v>3620</v>
      </c>
      <c r="L2777" t="s">
        <v>3366</v>
      </c>
      <c r="M2777" t="s">
        <v>11891</v>
      </c>
      <c r="N2777" t="s">
        <v>3363</v>
      </c>
      <c r="O2777" t="s">
        <v>3360</v>
      </c>
      <c r="P2777" t="s">
        <v>3363</v>
      </c>
      <c r="Q2777" t="s">
        <v>3361</v>
      </c>
      <c r="R2777" t="s">
        <v>3358</v>
      </c>
      <c r="S2777" t="s">
        <v>15211</v>
      </c>
      <c r="T2777" t="s">
        <v>3381</v>
      </c>
      <c r="U2777" t="s">
        <v>14640</v>
      </c>
      <c r="V2777" t="s">
        <v>15231</v>
      </c>
    </row>
    <row r="2778" spans="1:22" ht="17.399999999999999" hidden="1">
      <c r="A2778" t="s">
        <v>15402</v>
      </c>
      <c r="B2778" t="s">
        <v>15441</v>
      </c>
      <c r="C2778" t="s">
        <v>15449</v>
      </c>
      <c r="D2778" t="s">
        <v>2773</v>
      </c>
      <c r="E2778" t="s">
        <v>3430</v>
      </c>
      <c r="F2778" t="s">
        <v>3449</v>
      </c>
      <c r="G2778" s="3">
        <v>37.0175220395843</v>
      </c>
      <c r="H2778" s="3">
        <v>127.864851947982</v>
      </c>
      <c r="I2778" t="s">
        <v>6543</v>
      </c>
      <c r="J2778" t="s">
        <v>9899</v>
      </c>
      <c r="K2778" t="s">
        <v>10705</v>
      </c>
      <c r="L2778" t="s">
        <v>3366</v>
      </c>
      <c r="M2778" t="s">
        <v>11893</v>
      </c>
      <c r="N2778" t="s">
        <v>3363</v>
      </c>
      <c r="O2778" t="s">
        <v>3360</v>
      </c>
      <c r="P2778" t="s">
        <v>3363</v>
      </c>
      <c r="Q2778" t="s">
        <v>3361</v>
      </c>
      <c r="R2778" t="s">
        <v>3358</v>
      </c>
      <c r="S2778" t="s">
        <v>15211</v>
      </c>
      <c r="T2778" t="s">
        <v>3381</v>
      </c>
      <c r="U2778" t="s">
        <v>14641</v>
      </c>
      <c r="V2778" t="s">
        <v>15231</v>
      </c>
    </row>
    <row r="2779" spans="1:22" ht="17.399999999999999" hidden="1">
      <c r="A2779" t="s">
        <v>15402</v>
      </c>
      <c r="B2779" t="s">
        <v>15441</v>
      </c>
      <c r="C2779" t="s">
        <v>15449</v>
      </c>
      <c r="D2779" t="s">
        <v>2774</v>
      </c>
      <c r="E2779" t="s">
        <v>3442</v>
      </c>
      <c r="F2779" t="s">
        <v>3511</v>
      </c>
      <c r="G2779" s="3">
        <v>37.0175220607114</v>
      </c>
      <c r="H2779" s="3">
        <v>127.86485195821299</v>
      </c>
      <c r="I2779" t="s">
        <v>6544</v>
      </c>
      <c r="J2779" t="s">
        <v>9900</v>
      </c>
      <c r="K2779" t="s">
        <v>11487</v>
      </c>
      <c r="L2779" t="s">
        <v>3366</v>
      </c>
      <c r="M2779" t="s">
        <v>11893</v>
      </c>
      <c r="N2779" t="s">
        <v>3363</v>
      </c>
      <c r="O2779" t="s">
        <v>3360</v>
      </c>
      <c r="P2779" t="s">
        <v>3363</v>
      </c>
      <c r="Q2779" t="s">
        <v>3361</v>
      </c>
      <c r="R2779" t="s">
        <v>3358</v>
      </c>
      <c r="S2779" t="s">
        <v>15211</v>
      </c>
      <c r="T2779" t="s">
        <v>3381</v>
      </c>
      <c r="U2779" t="s">
        <v>14642</v>
      </c>
      <c r="V2779" t="s">
        <v>15231</v>
      </c>
    </row>
    <row r="2780" spans="1:22" ht="17.399999999999999" hidden="1">
      <c r="A2780" t="s">
        <v>15402</v>
      </c>
      <c r="B2780" t="s">
        <v>15442</v>
      </c>
      <c r="C2780" t="s">
        <v>15450</v>
      </c>
      <c r="D2780" t="s">
        <v>2775</v>
      </c>
      <c r="E2780" t="s">
        <v>3562</v>
      </c>
      <c r="F2780" t="s">
        <v>3664</v>
      </c>
      <c r="G2780" s="3">
        <v>37.0175224161109</v>
      </c>
      <c r="H2780" s="3">
        <v>127.864852102444</v>
      </c>
      <c r="I2780" t="s">
        <v>6545</v>
      </c>
      <c r="J2780" t="s">
        <v>9901</v>
      </c>
      <c r="K2780" t="s">
        <v>11190</v>
      </c>
      <c r="L2780" t="s">
        <v>3366</v>
      </c>
      <c r="M2780" t="s">
        <v>11885</v>
      </c>
      <c r="N2780" t="s">
        <v>3364</v>
      </c>
      <c r="O2780" t="s">
        <v>3360</v>
      </c>
      <c r="P2780" t="s">
        <v>15211</v>
      </c>
      <c r="Q2780" t="s">
        <v>15211</v>
      </c>
      <c r="R2780" t="s">
        <v>15211</v>
      </c>
      <c r="S2780" t="s">
        <v>15211</v>
      </c>
      <c r="T2780" t="s">
        <v>3368</v>
      </c>
      <c r="U2780" t="s">
        <v>14643</v>
      </c>
      <c r="V2780" t="s">
        <v>15232</v>
      </c>
    </row>
    <row r="2781" spans="1:22" ht="17.399999999999999" hidden="1">
      <c r="A2781" t="s">
        <v>15402</v>
      </c>
      <c r="B2781" t="s">
        <v>15442</v>
      </c>
      <c r="C2781" t="s">
        <v>15450</v>
      </c>
      <c r="D2781" t="s">
        <v>2776</v>
      </c>
      <c r="E2781" t="s">
        <v>3563</v>
      </c>
      <c r="F2781" t="s">
        <v>3542</v>
      </c>
      <c r="G2781" s="3">
        <v>37.0175222618712</v>
      </c>
      <c r="H2781" s="3">
        <v>127.864852067722</v>
      </c>
      <c r="I2781" t="s">
        <v>6546</v>
      </c>
      <c r="J2781" t="s">
        <v>9902</v>
      </c>
      <c r="K2781" t="s">
        <v>11763</v>
      </c>
      <c r="L2781" t="s">
        <v>3366</v>
      </c>
      <c r="M2781" t="s">
        <v>11885</v>
      </c>
      <c r="N2781" t="s">
        <v>3364</v>
      </c>
      <c r="O2781" t="s">
        <v>3360</v>
      </c>
      <c r="P2781" t="s">
        <v>15211</v>
      </c>
      <c r="Q2781" t="s">
        <v>15211</v>
      </c>
      <c r="R2781" t="s">
        <v>15211</v>
      </c>
      <c r="S2781" t="s">
        <v>15211</v>
      </c>
      <c r="T2781" t="s">
        <v>3368</v>
      </c>
      <c r="U2781" t="s">
        <v>14644</v>
      </c>
      <c r="V2781" t="s">
        <v>15232</v>
      </c>
    </row>
    <row r="2782" spans="1:22" ht="17.399999999999999" hidden="1">
      <c r="A2782" t="s">
        <v>15402</v>
      </c>
      <c r="B2782" t="s">
        <v>15442</v>
      </c>
      <c r="C2782" t="s">
        <v>15450</v>
      </c>
      <c r="D2782" t="s">
        <v>2777</v>
      </c>
      <c r="E2782" t="s">
        <v>3564</v>
      </c>
      <c r="F2782" t="s">
        <v>3612</v>
      </c>
      <c r="G2782" s="3">
        <v>37.017522331590001</v>
      </c>
      <c r="H2782" s="3">
        <v>127.864852068339</v>
      </c>
      <c r="I2782" t="s">
        <v>6547</v>
      </c>
      <c r="J2782" t="s">
        <v>9903</v>
      </c>
      <c r="K2782" t="s">
        <v>11764</v>
      </c>
      <c r="L2782" t="s">
        <v>3366</v>
      </c>
      <c r="M2782" t="s">
        <v>11885</v>
      </c>
      <c r="N2782" t="s">
        <v>3364</v>
      </c>
      <c r="O2782" t="s">
        <v>3360</v>
      </c>
      <c r="P2782" t="s">
        <v>15211</v>
      </c>
      <c r="Q2782" t="s">
        <v>15211</v>
      </c>
      <c r="R2782" t="s">
        <v>15211</v>
      </c>
      <c r="S2782" t="s">
        <v>15211</v>
      </c>
      <c r="T2782" t="s">
        <v>3368</v>
      </c>
      <c r="U2782" t="s">
        <v>14645</v>
      </c>
      <c r="V2782" t="s">
        <v>15232</v>
      </c>
    </row>
    <row r="2783" spans="1:22" ht="17.399999999999999" hidden="1">
      <c r="A2783" t="s">
        <v>15402</v>
      </c>
      <c r="B2783" t="s">
        <v>15442</v>
      </c>
      <c r="C2783" t="s">
        <v>15450</v>
      </c>
      <c r="D2783" t="s">
        <v>2778</v>
      </c>
      <c r="E2783" t="s">
        <v>3466</v>
      </c>
      <c r="F2783" t="s">
        <v>3613</v>
      </c>
      <c r="G2783" s="3">
        <v>37.017522299464197</v>
      </c>
      <c r="H2783" s="3">
        <v>127.864852038786</v>
      </c>
      <c r="I2783" t="s">
        <v>6548</v>
      </c>
      <c r="J2783" t="s">
        <v>9904</v>
      </c>
      <c r="K2783" t="s">
        <v>10743</v>
      </c>
      <c r="L2783" t="s">
        <v>3366</v>
      </c>
      <c r="M2783" t="s">
        <v>11890</v>
      </c>
      <c r="N2783" t="s">
        <v>3365</v>
      </c>
      <c r="O2783" t="s">
        <v>3360</v>
      </c>
      <c r="P2783" t="s">
        <v>15211</v>
      </c>
      <c r="Q2783" t="s">
        <v>15211</v>
      </c>
      <c r="R2783" t="s">
        <v>15211</v>
      </c>
      <c r="S2783" t="s">
        <v>15211</v>
      </c>
      <c r="T2783" t="s">
        <v>3369</v>
      </c>
      <c r="U2783" t="s">
        <v>14646</v>
      </c>
      <c r="V2783" t="s">
        <v>15232</v>
      </c>
    </row>
    <row r="2784" spans="1:22" ht="17.399999999999999" hidden="1">
      <c r="A2784" t="s">
        <v>15402</v>
      </c>
      <c r="B2784" t="s">
        <v>15442</v>
      </c>
      <c r="C2784" t="s">
        <v>15450</v>
      </c>
      <c r="D2784" t="s">
        <v>2779</v>
      </c>
      <c r="E2784" t="s">
        <v>3511</v>
      </c>
      <c r="F2784" t="s">
        <v>3590</v>
      </c>
      <c r="G2784" s="3">
        <v>37.017522262036898</v>
      </c>
      <c r="H2784" s="3">
        <v>127.86485202362201</v>
      </c>
      <c r="I2784" t="s">
        <v>6549</v>
      </c>
      <c r="J2784" t="s">
        <v>9905</v>
      </c>
      <c r="K2784" t="s">
        <v>11765</v>
      </c>
      <c r="L2784" t="s">
        <v>3366</v>
      </c>
      <c r="M2784" t="s">
        <v>11890</v>
      </c>
      <c r="N2784" t="s">
        <v>3365</v>
      </c>
      <c r="O2784" t="s">
        <v>3360</v>
      </c>
      <c r="P2784" t="s">
        <v>15211</v>
      </c>
      <c r="Q2784" t="s">
        <v>15211</v>
      </c>
      <c r="R2784" t="s">
        <v>15211</v>
      </c>
      <c r="S2784" t="s">
        <v>15211</v>
      </c>
      <c r="T2784" t="s">
        <v>3369</v>
      </c>
      <c r="U2784" t="s">
        <v>14647</v>
      </c>
      <c r="V2784" t="s">
        <v>15232</v>
      </c>
    </row>
    <row r="2785" spans="1:22" ht="17.399999999999999" hidden="1">
      <c r="A2785" t="s">
        <v>15402</v>
      </c>
      <c r="B2785" t="s">
        <v>15442</v>
      </c>
      <c r="C2785" t="s">
        <v>15445</v>
      </c>
      <c r="D2785" t="s">
        <v>2780</v>
      </c>
      <c r="E2785" t="s">
        <v>3452</v>
      </c>
      <c r="F2785" t="s">
        <v>3579</v>
      </c>
      <c r="G2785" s="3">
        <v>37.017521764660302</v>
      </c>
      <c r="H2785" s="3">
        <v>127.864851748513</v>
      </c>
      <c r="I2785" t="s">
        <v>6550</v>
      </c>
      <c r="J2785" t="s">
        <v>9906</v>
      </c>
      <c r="K2785" t="s">
        <v>11132</v>
      </c>
      <c r="L2785" t="s">
        <v>3366</v>
      </c>
      <c r="M2785" t="s">
        <v>11890</v>
      </c>
      <c r="N2785" t="s">
        <v>3365</v>
      </c>
      <c r="O2785" t="s">
        <v>3360</v>
      </c>
      <c r="P2785" t="s">
        <v>15211</v>
      </c>
      <c r="Q2785" t="s">
        <v>15211</v>
      </c>
      <c r="R2785" t="s">
        <v>15211</v>
      </c>
      <c r="S2785" t="s">
        <v>15211</v>
      </c>
      <c r="T2785" t="s">
        <v>3369</v>
      </c>
      <c r="U2785" t="s">
        <v>14648</v>
      </c>
      <c r="V2785" t="s">
        <v>15233</v>
      </c>
    </row>
    <row r="2786" spans="1:22" ht="17.399999999999999" hidden="1">
      <c r="A2786" t="s">
        <v>15402</v>
      </c>
      <c r="B2786" t="s">
        <v>15442</v>
      </c>
      <c r="C2786" t="s">
        <v>15445</v>
      </c>
      <c r="D2786" t="s">
        <v>2781</v>
      </c>
      <c r="E2786" t="s">
        <v>3462</v>
      </c>
      <c r="F2786" t="s">
        <v>3476</v>
      </c>
      <c r="G2786" s="3">
        <v>37.017521863439796</v>
      </c>
      <c r="H2786" s="3">
        <v>127.86485177207599</v>
      </c>
      <c r="I2786" t="s">
        <v>6551</v>
      </c>
      <c r="J2786" t="s">
        <v>9907</v>
      </c>
      <c r="K2786" t="s">
        <v>11132</v>
      </c>
      <c r="L2786" t="s">
        <v>3366</v>
      </c>
      <c r="M2786" t="s">
        <v>11890</v>
      </c>
      <c r="N2786" t="s">
        <v>3365</v>
      </c>
      <c r="O2786" t="s">
        <v>3360</v>
      </c>
      <c r="P2786" t="s">
        <v>15211</v>
      </c>
      <c r="Q2786" t="s">
        <v>15211</v>
      </c>
      <c r="R2786" t="s">
        <v>15211</v>
      </c>
      <c r="S2786" t="s">
        <v>15211</v>
      </c>
      <c r="T2786" t="s">
        <v>3369</v>
      </c>
      <c r="U2786" t="s">
        <v>14649</v>
      </c>
      <c r="V2786" t="s">
        <v>15233</v>
      </c>
    </row>
    <row r="2787" spans="1:22" ht="17.399999999999999" hidden="1">
      <c r="A2787" t="s">
        <v>15402</v>
      </c>
      <c r="B2787" t="s">
        <v>15442</v>
      </c>
      <c r="C2787" t="s">
        <v>15445</v>
      </c>
      <c r="D2787" t="s">
        <v>2782</v>
      </c>
      <c r="E2787" t="s">
        <v>3433</v>
      </c>
      <c r="F2787" t="s">
        <v>3484</v>
      </c>
      <c r="G2787" s="3">
        <v>37.017521933633297</v>
      </c>
      <c r="H2787" s="3">
        <v>127.864851852561</v>
      </c>
      <c r="I2787" t="s">
        <v>6552</v>
      </c>
      <c r="J2787" t="s">
        <v>9908</v>
      </c>
      <c r="K2787" t="s">
        <v>11132</v>
      </c>
      <c r="L2787" t="s">
        <v>3366</v>
      </c>
      <c r="M2787" t="s">
        <v>11890</v>
      </c>
      <c r="N2787" t="s">
        <v>3365</v>
      </c>
      <c r="O2787" t="s">
        <v>3360</v>
      </c>
      <c r="P2787" t="s">
        <v>15211</v>
      </c>
      <c r="Q2787" t="s">
        <v>15211</v>
      </c>
      <c r="R2787" t="s">
        <v>15211</v>
      </c>
      <c r="S2787" t="s">
        <v>15211</v>
      </c>
      <c r="T2787" t="s">
        <v>3369</v>
      </c>
      <c r="U2787" t="s">
        <v>14650</v>
      </c>
      <c r="V2787" t="s">
        <v>15233</v>
      </c>
    </row>
    <row r="2788" spans="1:22" ht="17.399999999999999" hidden="1">
      <c r="A2788" t="s">
        <v>15402</v>
      </c>
      <c r="B2788" t="s">
        <v>15442</v>
      </c>
      <c r="C2788" t="s">
        <v>15451</v>
      </c>
      <c r="D2788" t="s">
        <v>2783</v>
      </c>
      <c r="E2788" t="s">
        <v>3428</v>
      </c>
      <c r="F2788" t="s">
        <v>3430</v>
      </c>
      <c r="G2788" s="3">
        <v>37.017521986993302</v>
      </c>
      <c r="H2788" s="3">
        <v>127.864851843794</v>
      </c>
      <c r="I2788" t="s">
        <v>6553</v>
      </c>
      <c r="J2788" t="s">
        <v>9909</v>
      </c>
      <c r="K2788" t="s">
        <v>11750</v>
      </c>
      <c r="L2788" t="s">
        <v>3366</v>
      </c>
      <c r="M2788" t="s">
        <v>11891</v>
      </c>
      <c r="N2788" t="s">
        <v>3365</v>
      </c>
      <c r="O2788" t="s">
        <v>3360</v>
      </c>
      <c r="P2788" t="s">
        <v>3362</v>
      </c>
      <c r="Q2788" t="s">
        <v>3361</v>
      </c>
      <c r="R2788" t="s">
        <v>15211</v>
      </c>
      <c r="S2788" t="s">
        <v>15211</v>
      </c>
      <c r="T2788" t="s">
        <v>3380</v>
      </c>
      <c r="U2788" t="s">
        <v>14651</v>
      </c>
      <c r="V2788" t="s">
        <v>15234</v>
      </c>
    </row>
    <row r="2789" spans="1:22" ht="17.399999999999999" hidden="1">
      <c r="A2789" t="s">
        <v>15402</v>
      </c>
      <c r="B2789" t="s">
        <v>15442</v>
      </c>
      <c r="C2789" t="s">
        <v>15451</v>
      </c>
      <c r="D2789" t="s">
        <v>2784</v>
      </c>
      <c r="E2789" t="s">
        <v>3436</v>
      </c>
      <c r="F2789" t="s">
        <v>3441</v>
      </c>
      <c r="G2789" s="3">
        <v>37.0175219576427</v>
      </c>
      <c r="H2789" s="3">
        <v>127.864851877642</v>
      </c>
      <c r="I2789" t="s">
        <v>6554</v>
      </c>
      <c r="J2789" t="s">
        <v>9910</v>
      </c>
      <c r="K2789" t="s">
        <v>10864</v>
      </c>
      <c r="L2789" t="s">
        <v>3366</v>
      </c>
      <c r="M2789" t="s">
        <v>11891</v>
      </c>
      <c r="N2789" t="s">
        <v>3365</v>
      </c>
      <c r="O2789" t="s">
        <v>3360</v>
      </c>
      <c r="P2789" t="s">
        <v>3362</v>
      </c>
      <c r="Q2789" t="s">
        <v>3361</v>
      </c>
      <c r="R2789" t="s">
        <v>15211</v>
      </c>
      <c r="S2789" t="s">
        <v>15211</v>
      </c>
      <c r="T2789" t="s">
        <v>3380</v>
      </c>
      <c r="U2789" t="s">
        <v>14652</v>
      </c>
      <c r="V2789" t="s">
        <v>15234</v>
      </c>
    </row>
    <row r="2790" spans="1:22" ht="17.399999999999999" hidden="1">
      <c r="A2790" t="s">
        <v>15402</v>
      </c>
      <c r="B2790" t="s">
        <v>15442</v>
      </c>
      <c r="C2790" t="s">
        <v>15451</v>
      </c>
      <c r="D2790" t="s">
        <v>2785</v>
      </c>
      <c r="E2790" t="s">
        <v>3425</v>
      </c>
      <c r="F2790" t="s">
        <v>3453</v>
      </c>
      <c r="G2790" s="3">
        <v>37.017521946041199</v>
      </c>
      <c r="H2790" s="3">
        <v>127.864851882195</v>
      </c>
      <c r="I2790" t="s">
        <v>6555</v>
      </c>
      <c r="J2790" t="s">
        <v>9911</v>
      </c>
      <c r="K2790" t="s">
        <v>10865</v>
      </c>
      <c r="L2790" t="s">
        <v>3366</v>
      </c>
      <c r="M2790" t="s">
        <v>11896</v>
      </c>
      <c r="N2790" t="s">
        <v>3365</v>
      </c>
      <c r="O2790" t="s">
        <v>3360</v>
      </c>
      <c r="P2790" t="s">
        <v>3362</v>
      </c>
      <c r="Q2790" t="s">
        <v>3360</v>
      </c>
      <c r="R2790" t="s">
        <v>15211</v>
      </c>
      <c r="S2790" t="s">
        <v>15211</v>
      </c>
      <c r="T2790" t="s">
        <v>3379</v>
      </c>
      <c r="U2790" t="s">
        <v>14653</v>
      </c>
      <c r="V2790" t="s">
        <v>15234</v>
      </c>
    </row>
    <row r="2791" spans="1:22" ht="17.399999999999999">
      <c r="A2791" t="s">
        <v>15402</v>
      </c>
      <c r="B2791" t="s">
        <v>15443</v>
      </c>
      <c r="C2791" t="s">
        <v>15452</v>
      </c>
      <c r="D2791" t="s">
        <v>2786</v>
      </c>
      <c r="E2791" t="s">
        <v>3427</v>
      </c>
      <c r="F2791" t="s">
        <v>3441</v>
      </c>
      <c r="G2791" s="3">
        <v>37.017521704432902</v>
      </c>
      <c r="H2791" s="3">
        <v>127.86485172878901</v>
      </c>
      <c r="I2791" t="s">
        <v>6556</v>
      </c>
      <c r="J2791" t="s">
        <v>9912</v>
      </c>
      <c r="K2791" t="s">
        <v>11766</v>
      </c>
      <c r="L2791" t="s">
        <v>3366</v>
      </c>
      <c r="M2791" t="s">
        <v>11900</v>
      </c>
      <c r="N2791" t="s">
        <v>3360</v>
      </c>
      <c r="O2791" t="s">
        <v>15211</v>
      </c>
      <c r="P2791" t="s">
        <v>3361</v>
      </c>
      <c r="Q2791" t="s">
        <v>15211</v>
      </c>
      <c r="R2791" t="s">
        <v>15211</v>
      </c>
      <c r="S2791" t="s">
        <v>15211</v>
      </c>
      <c r="T2791" t="s">
        <v>3365</v>
      </c>
      <c r="U2791" t="s">
        <v>14654</v>
      </c>
      <c r="V2791" t="s">
        <v>15220</v>
      </c>
    </row>
    <row r="2792" spans="1:22" ht="17.399999999999999">
      <c r="A2792" t="s">
        <v>15402</v>
      </c>
      <c r="B2792" t="s">
        <v>15443</v>
      </c>
      <c r="C2792" t="s">
        <v>15452</v>
      </c>
      <c r="D2792" t="s">
        <v>2787</v>
      </c>
      <c r="E2792" t="s">
        <v>3428</v>
      </c>
      <c r="F2792" t="s">
        <v>3453</v>
      </c>
      <c r="G2792" s="3">
        <v>37.017521714225403</v>
      </c>
      <c r="H2792" s="3">
        <v>127.86485172941499</v>
      </c>
      <c r="I2792" t="s">
        <v>6557</v>
      </c>
      <c r="J2792" t="s">
        <v>9913</v>
      </c>
      <c r="K2792" t="s">
        <v>11767</v>
      </c>
      <c r="L2792" t="s">
        <v>3366</v>
      </c>
      <c r="M2792" t="s">
        <v>11902</v>
      </c>
      <c r="N2792" t="s">
        <v>3361</v>
      </c>
      <c r="O2792" t="s">
        <v>15211</v>
      </c>
      <c r="P2792" t="s">
        <v>3361</v>
      </c>
      <c r="Q2792" t="s">
        <v>15211</v>
      </c>
      <c r="R2792" t="s">
        <v>15211</v>
      </c>
      <c r="S2792" t="s">
        <v>15211</v>
      </c>
      <c r="T2792" t="s">
        <v>3366</v>
      </c>
      <c r="U2792" t="s">
        <v>14655</v>
      </c>
      <c r="V2792" t="s">
        <v>15220</v>
      </c>
    </row>
    <row r="2793" spans="1:22" ht="17.399999999999999">
      <c r="A2793" t="s">
        <v>15402</v>
      </c>
      <c r="B2793" t="s">
        <v>15443</v>
      </c>
      <c r="C2793" t="s">
        <v>15452</v>
      </c>
      <c r="D2793" t="s">
        <v>2788</v>
      </c>
      <c r="E2793" t="s">
        <v>3428</v>
      </c>
      <c r="F2793" t="s">
        <v>3432</v>
      </c>
      <c r="G2793" s="3">
        <v>37.017521708360199</v>
      </c>
      <c r="H2793" s="3">
        <v>127.864851719179</v>
      </c>
      <c r="I2793" t="s">
        <v>6558</v>
      </c>
      <c r="J2793" t="s">
        <v>9914</v>
      </c>
      <c r="K2793" t="s">
        <v>11768</v>
      </c>
      <c r="L2793" t="s">
        <v>3366</v>
      </c>
      <c r="M2793" t="s">
        <v>11902</v>
      </c>
      <c r="N2793" t="s">
        <v>3361</v>
      </c>
      <c r="O2793" t="s">
        <v>15211</v>
      </c>
      <c r="P2793" t="s">
        <v>3361</v>
      </c>
      <c r="Q2793" t="s">
        <v>15211</v>
      </c>
      <c r="R2793" t="s">
        <v>15211</v>
      </c>
      <c r="S2793" t="s">
        <v>15211</v>
      </c>
      <c r="T2793" t="s">
        <v>3366</v>
      </c>
      <c r="U2793" t="s">
        <v>14656</v>
      </c>
      <c r="V2793" t="s">
        <v>15220</v>
      </c>
    </row>
    <row r="2794" spans="1:22" ht="17.399999999999999" hidden="1">
      <c r="A2794" t="s">
        <v>15402</v>
      </c>
      <c r="B2794" t="s">
        <v>15443</v>
      </c>
      <c r="C2794" t="s">
        <v>15491</v>
      </c>
      <c r="D2794" t="s">
        <v>2789</v>
      </c>
      <c r="E2794" t="s">
        <v>3442</v>
      </c>
      <c r="F2794" t="s">
        <v>3478</v>
      </c>
      <c r="G2794" s="3">
        <v>37.017521806705098</v>
      </c>
      <c r="H2794" s="3">
        <v>127.86485185937499</v>
      </c>
      <c r="I2794" t="s">
        <v>6559</v>
      </c>
      <c r="J2794" t="s">
        <v>9915</v>
      </c>
      <c r="K2794" t="s">
        <v>11769</v>
      </c>
      <c r="L2794" t="s">
        <v>3366</v>
      </c>
      <c r="M2794" t="s">
        <v>11902</v>
      </c>
      <c r="N2794" t="s">
        <v>3361</v>
      </c>
      <c r="O2794" t="s">
        <v>15211</v>
      </c>
      <c r="P2794" t="s">
        <v>3361</v>
      </c>
      <c r="Q2794" t="s">
        <v>15211</v>
      </c>
      <c r="R2794" t="s">
        <v>15211</v>
      </c>
      <c r="S2794" t="s">
        <v>15211</v>
      </c>
      <c r="T2794" t="s">
        <v>3366</v>
      </c>
      <c r="U2794" t="s">
        <v>14657</v>
      </c>
      <c r="V2794" t="s">
        <v>15281</v>
      </c>
    </row>
    <row r="2795" spans="1:22" ht="17.399999999999999" hidden="1">
      <c r="A2795" t="s">
        <v>15402</v>
      </c>
      <c r="B2795" t="s">
        <v>15443</v>
      </c>
      <c r="C2795" t="s">
        <v>15491</v>
      </c>
      <c r="D2795" t="s">
        <v>2790</v>
      </c>
      <c r="E2795" t="s">
        <v>3430</v>
      </c>
      <c r="F2795" t="s">
        <v>3511</v>
      </c>
      <c r="G2795" s="3">
        <v>37.017521807757497</v>
      </c>
      <c r="H2795" s="3">
        <v>127.864851848531</v>
      </c>
      <c r="I2795" t="s">
        <v>6560</v>
      </c>
      <c r="J2795" t="s">
        <v>9916</v>
      </c>
      <c r="K2795" t="s">
        <v>11145</v>
      </c>
      <c r="L2795" t="s">
        <v>3366</v>
      </c>
      <c r="M2795" t="s">
        <v>11886</v>
      </c>
      <c r="N2795" t="s">
        <v>3362</v>
      </c>
      <c r="O2795" t="s">
        <v>15211</v>
      </c>
      <c r="P2795" t="s">
        <v>3361</v>
      </c>
      <c r="Q2795" t="s">
        <v>15211</v>
      </c>
      <c r="R2795" t="s">
        <v>15211</v>
      </c>
      <c r="S2795" t="s">
        <v>15211</v>
      </c>
      <c r="T2795" t="s">
        <v>3367</v>
      </c>
      <c r="U2795" t="s">
        <v>14658</v>
      </c>
      <c r="V2795" t="s">
        <v>15281</v>
      </c>
    </row>
    <row r="2796" spans="1:22" ht="17.399999999999999" hidden="1">
      <c r="A2796" t="s">
        <v>15402</v>
      </c>
      <c r="B2796" t="s">
        <v>15443</v>
      </c>
      <c r="C2796" t="s">
        <v>15491</v>
      </c>
      <c r="D2796" t="s">
        <v>2791</v>
      </c>
      <c r="E2796" t="s">
        <v>3430</v>
      </c>
      <c r="F2796" t="s">
        <v>3511</v>
      </c>
      <c r="G2796" s="3">
        <v>37.017521798874</v>
      </c>
      <c r="H2796" s="3">
        <v>127.864851830584</v>
      </c>
      <c r="I2796" t="s">
        <v>6561</v>
      </c>
      <c r="J2796" t="s">
        <v>9917</v>
      </c>
      <c r="K2796" t="s">
        <v>11581</v>
      </c>
      <c r="L2796" t="s">
        <v>3366</v>
      </c>
      <c r="M2796" t="s">
        <v>11886</v>
      </c>
      <c r="N2796" t="s">
        <v>3363</v>
      </c>
      <c r="O2796" t="s">
        <v>15211</v>
      </c>
      <c r="P2796" t="s">
        <v>3361</v>
      </c>
      <c r="Q2796" t="s">
        <v>15211</v>
      </c>
      <c r="R2796" t="s">
        <v>15211</v>
      </c>
      <c r="S2796" t="s">
        <v>15211</v>
      </c>
      <c r="T2796" t="s">
        <v>3368</v>
      </c>
      <c r="U2796" t="s">
        <v>14659</v>
      </c>
      <c r="V2796" t="s">
        <v>15281</v>
      </c>
    </row>
    <row r="2797" spans="1:22" ht="17.399999999999999" hidden="1">
      <c r="A2797" t="s">
        <v>15399</v>
      </c>
      <c r="B2797" t="s">
        <v>15441</v>
      </c>
      <c r="C2797" t="s">
        <v>15445</v>
      </c>
      <c r="D2797" t="s">
        <v>2792</v>
      </c>
      <c r="E2797" t="s">
        <v>3427</v>
      </c>
      <c r="F2797" t="s">
        <v>3429</v>
      </c>
      <c r="G2797" s="3">
        <v>36.8299628207129</v>
      </c>
      <c r="H2797" s="3">
        <v>127.620316371496</v>
      </c>
      <c r="I2797" t="s">
        <v>6562</v>
      </c>
      <c r="J2797" t="s">
        <v>9918</v>
      </c>
      <c r="K2797" t="s">
        <v>11093</v>
      </c>
      <c r="L2797" t="s">
        <v>3366</v>
      </c>
      <c r="M2797" t="s">
        <v>11894</v>
      </c>
      <c r="N2797" t="s">
        <v>3365</v>
      </c>
      <c r="O2797" t="s">
        <v>3361</v>
      </c>
      <c r="P2797" t="s">
        <v>15211</v>
      </c>
      <c r="Q2797" t="s">
        <v>15211</v>
      </c>
      <c r="R2797" t="s">
        <v>15211</v>
      </c>
      <c r="S2797" t="s">
        <v>15211</v>
      </c>
      <c r="T2797" t="s">
        <v>3370</v>
      </c>
      <c r="U2797" t="s">
        <v>14660</v>
      </c>
      <c r="V2797" t="s">
        <v>15228</v>
      </c>
    </row>
    <row r="2798" spans="1:22" ht="17.399999999999999" hidden="1">
      <c r="A2798" t="s">
        <v>15399</v>
      </c>
      <c r="B2798" t="s">
        <v>15441</v>
      </c>
      <c r="C2798" t="s">
        <v>15445</v>
      </c>
      <c r="D2798" t="s">
        <v>2793</v>
      </c>
      <c r="E2798" t="s">
        <v>3427</v>
      </c>
      <c r="F2798" t="s">
        <v>3435</v>
      </c>
      <c r="G2798" s="3">
        <v>36.829962870784001</v>
      </c>
      <c r="H2798" s="3">
        <v>127.620316387306</v>
      </c>
      <c r="I2798" t="s">
        <v>6563</v>
      </c>
      <c r="J2798" t="s">
        <v>9919</v>
      </c>
      <c r="K2798" t="s">
        <v>10594</v>
      </c>
      <c r="L2798" t="s">
        <v>3366</v>
      </c>
      <c r="M2798" t="s">
        <v>11894</v>
      </c>
      <c r="N2798" t="s">
        <v>3365</v>
      </c>
      <c r="O2798" t="s">
        <v>3361</v>
      </c>
      <c r="P2798" t="s">
        <v>15211</v>
      </c>
      <c r="Q2798" t="s">
        <v>15211</v>
      </c>
      <c r="R2798" t="s">
        <v>15211</v>
      </c>
      <c r="S2798" t="s">
        <v>15211</v>
      </c>
      <c r="T2798" t="s">
        <v>3370</v>
      </c>
      <c r="U2798" t="s">
        <v>14661</v>
      </c>
      <c r="V2798" t="s">
        <v>15228</v>
      </c>
    </row>
    <row r="2799" spans="1:22" ht="17.399999999999999" hidden="1">
      <c r="A2799" t="s">
        <v>15399</v>
      </c>
      <c r="B2799" t="s">
        <v>15441</v>
      </c>
      <c r="C2799" t="s">
        <v>15445</v>
      </c>
      <c r="D2799" t="s">
        <v>2794</v>
      </c>
      <c r="E2799" t="s">
        <v>3427</v>
      </c>
      <c r="F2799" t="s">
        <v>3435</v>
      </c>
      <c r="G2799" s="3">
        <v>36.829962883813401</v>
      </c>
      <c r="H2799" s="3">
        <v>127.620316363599</v>
      </c>
      <c r="I2799" t="s">
        <v>6564</v>
      </c>
      <c r="J2799" t="s">
        <v>9920</v>
      </c>
      <c r="K2799" t="s">
        <v>11091</v>
      </c>
      <c r="L2799" t="s">
        <v>3366</v>
      </c>
      <c r="M2799" t="s">
        <v>11890</v>
      </c>
      <c r="N2799" t="s">
        <v>3365</v>
      </c>
      <c r="O2799" t="s">
        <v>3361</v>
      </c>
      <c r="P2799" t="s">
        <v>15211</v>
      </c>
      <c r="Q2799" t="s">
        <v>15211</v>
      </c>
      <c r="R2799" t="s">
        <v>15211</v>
      </c>
      <c r="S2799" t="s">
        <v>15211</v>
      </c>
      <c r="T2799" t="s">
        <v>3370</v>
      </c>
      <c r="U2799" t="s">
        <v>14662</v>
      </c>
      <c r="V2799" t="s">
        <v>15228</v>
      </c>
    </row>
    <row r="2800" spans="1:22" ht="17.399999999999999" hidden="1">
      <c r="A2800" t="s">
        <v>15399</v>
      </c>
      <c r="B2800" t="s">
        <v>15441</v>
      </c>
      <c r="C2800" t="s">
        <v>15446</v>
      </c>
      <c r="D2800" t="s">
        <v>2795</v>
      </c>
      <c r="E2800" t="s">
        <v>3440</v>
      </c>
      <c r="F2800" t="s">
        <v>3431</v>
      </c>
      <c r="G2800" s="3">
        <v>36.829962789244099</v>
      </c>
      <c r="H2800" s="3">
        <v>127.620316335708</v>
      </c>
      <c r="I2800" t="s">
        <v>6565</v>
      </c>
      <c r="J2800" t="s">
        <v>9921</v>
      </c>
      <c r="K2800" t="s">
        <v>10812</v>
      </c>
      <c r="L2800" t="s">
        <v>3366</v>
      </c>
      <c r="M2800" t="s">
        <v>11885</v>
      </c>
      <c r="N2800" t="s">
        <v>3365</v>
      </c>
      <c r="O2800" t="s">
        <v>3360</v>
      </c>
      <c r="P2800" t="s">
        <v>15211</v>
      </c>
      <c r="Q2800" t="s">
        <v>15211</v>
      </c>
      <c r="R2800" t="s">
        <v>15211</v>
      </c>
      <c r="S2800" t="s">
        <v>15211</v>
      </c>
      <c r="T2800" t="s">
        <v>3369</v>
      </c>
      <c r="U2800" t="s">
        <v>14663</v>
      </c>
      <c r="V2800" t="s">
        <v>15229</v>
      </c>
    </row>
    <row r="2801" spans="1:22" ht="17.399999999999999" hidden="1">
      <c r="A2801" t="s">
        <v>15399</v>
      </c>
      <c r="B2801" t="s">
        <v>15441</v>
      </c>
      <c r="C2801" t="s">
        <v>15446</v>
      </c>
      <c r="D2801" t="s">
        <v>2796</v>
      </c>
      <c r="E2801" t="s">
        <v>3440</v>
      </c>
      <c r="F2801" t="s">
        <v>3431</v>
      </c>
      <c r="G2801" s="3">
        <v>36.829962781713903</v>
      </c>
      <c r="H2801" s="3">
        <v>127.62031633278001</v>
      </c>
      <c r="I2801" t="s">
        <v>6566</v>
      </c>
      <c r="J2801" t="s">
        <v>9922</v>
      </c>
      <c r="K2801" t="s">
        <v>11034</v>
      </c>
      <c r="L2801" t="s">
        <v>3366</v>
      </c>
      <c r="M2801" t="s">
        <v>11890</v>
      </c>
      <c r="N2801" t="s">
        <v>3365</v>
      </c>
      <c r="O2801" t="s">
        <v>3360</v>
      </c>
      <c r="P2801" t="s">
        <v>15211</v>
      </c>
      <c r="Q2801" t="s">
        <v>15211</v>
      </c>
      <c r="R2801" t="s">
        <v>15211</v>
      </c>
      <c r="S2801" t="s">
        <v>15211</v>
      </c>
      <c r="T2801" t="s">
        <v>3369</v>
      </c>
      <c r="U2801" t="s">
        <v>14664</v>
      </c>
      <c r="V2801" t="s">
        <v>15229</v>
      </c>
    </row>
    <row r="2802" spans="1:22" ht="17.399999999999999" hidden="1">
      <c r="A2802" t="s">
        <v>15399</v>
      </c>
      <c r="B2802" t="s">
        <v>15441</v>
      </c>
      <c r="C2802" t="s">
        <v>15446</v>
      </c>
      <c r="D2802" t="s">
        <v>2797</v>
      </c>
      <c r="E2802" t="s">
        <v>3440</v>
      </c>
      <c r="F2802" t="s">
        <v>3431</v>
      </c>
      <c r="G2802" s="3">
        <v>36.829962773326301</v>
      </c>
      <c r="H2802" s="3">
        <v>127.62031634125999</v>
      </c>
      <c r="I2802" t="s">
        <v>6567</v>
      </c>
      <c r="J2802" t="s">
        <v>9923</v>
      </c>
      <c r="K2802" t="s">
        <v>10577</v>
      </c>
      <c r="L2802" t="s">
        <v>3366</v>
      </c>
      <c r="M2802" t="s">
        <v>11885</v>
      </c>
      <c r="N2802" t="s">
        <v>3365</v>
      </c>
      <c r="O2802" t="s">
        <v>3360</v>
      </c>
      <c r="P2802" t="s">
        <v>15211</v>
      </c>
      <c r="Q2802" t="s">
        <v>15211</v>
      </c>
      <c r="R2802" t="s">
        <v>15211</v>
      </c>
      <c r="S2802" t="s">
        <v>15211</v>
      </c>
      <c r="T2802" t="s">
        <v>3369</v>
      </c>
      <c r="U2802" t="s">
        <v>14665</v>
      </c>
      <c r="V2802" t="s">
        <v>15229</v>
      </c>
    </row>
    <row r="2803" spans="1:22" ht="17.399999999999999" hidden="1">
      <c r="A2803" t="s">
        <v>15399</v>
      </c>
      <c r="B2803" t="s">
        <v>15441</v>
      </c>
      <c r="C2803" t="s">
        <v>15447</v>
      </c>
      <c r="D2803" t="s">
        <v>2798</v>
      </c>
      <c r="E2803" t="s">
        <v>3436</v>
      </c>
      <c r="F2803" t="s">
        <v>3441</v>
      </c>
      <c r="G2803" s="3">
        <v>36.8299627193934</v>
      </c>
      <c r="H2803" s="3">
        <v>127.620316338481</v>
      </c>
      <c r="I2803" t="s">
        <v>6568</v>
      </c>
      <c r="J2803" t="s">
        <v>9924</v>
      </c>
      <c r="K2803" t="s">
        <v>11210</v>
      </c>
      <c r="L2803" t="s">
        <v>3366</v>
      </c>
      <c r="M2803" t="s">
        <v>11892</v>
      </c>
      <c r="N2803" t="s">
        <v>3364</v>
      </c>
      <c r="O2803" t="s">
        <v>15211</v>
      </c>
      <c r="P2803" t="s">
        <v>15211</v>
      </c>
      <c r="Q2803" t="s">
        <v>15211</v>
      </c>
      <c r="R2803" t="s">
        <v>15211</v>
      </c>
      <c r="S2803" t="s">
        <v>15211</v>
      </c>
      <c r="T2803" t="s">
        <v>3364</v>
      </c>
      <c r="U2803" t="s">
        <v>14666</v>
      </c>
      <c r="V2803" t="s">
        <v>15235</v>
      </c>
    </row>
    <row r="2804" spans="1:22" ht="17.399999999999999" hidden="1">
      <c r="A2804" t="s">
        <v>15399</v>
      </c>
      <c r="B2804" t="s">
        <v>15441</v>
      </c>
      <c r="C2804" t="s">
        <v>15447</v>
      </c>
      <c r="D2804" t="s">
        <v>2799</v>
      </c>
      <c r="E2804" t="s">
        <v>3425</v>
      </c>
      <c r="F2804" t="s">
        <v>3432</v>
      </c>
      <c r="G2804" s="3">
        <v>36.829962645343997</v>
      </c>
      <c r="H2804" s="3">
        <v>127.62031628882799</v>
      </c>
      <c r="I2804" t="s">
        <v>6569</v>
      </c>
      <c r="J2804" t="s">
        <v>9925</v>
      </c>
      <c r="K2804" t="s">
        <v>11770</v>
      </c>
      <c r="L2804" t="s">
        <v>3366</v>
      </c>
      <c r="M2804" t="s">
        <v>11892</v>
      </c>
      <c r="N2804" t="s">
        <v>3364</v>
      </c>
      <c r="O2804" t="s">
        <v>15211</v>
      </c>
      <c r="P2804" t="s">
        <v>15211</v>
      </c>
      <c r="Q2804" t="s">
        <v>15211</v>
      </c>
      <c r="R2804" t="s">
        <v>15211</v>
      </c>
      <c r="S2804" t="s">
        <v>15211</v>
      </c>
      <c r="T2804" t="s">
        <v>3364</v>
      </c>
      <c r="U2804" t="s">
        <v>14667</v>
      </c>
      <c r="V2804" t="s">
        <v>15235</v>
      </c>
    </row>
    <row r="2805" spans="1:22" ht="17.399999999999999" hidden="1">
      <c r="A2805" t="s">
        <v>15399</v>
      </c>
      <c r="B2805" t="s">
        <v>15441</v>
      </c>
      <c r="C2805" t="s">
        <v>15447</v>
      </c>
      <c r="D2805" t="s">
        <v>2800</v>
      </c>
      <c r="E2805" t="s">
        <v>3431</v>
      </c>
      <c r="F2805" t="s">
        <v>3433</v>
      </c>
      <c r="G2805" s="3">
        <v>36.829962717412997</v>
      </c>
      <c r="H2805" s="3">
        <v>127.6203163032</v>
      </c>
      <c r="I2805" t="s">
        <v>6570</v>
      </c>
      <c r="J2805" t="s">
        <v>9926</v>
      </c>
      <c r="K2805" t="s">
        <v>11105</v>
      </c>
      <c r="L2805" t="s">
        <v>3366</v>
      </c>
      <c r="M2805" t="s">
        <v>11892</v>
      </c>
      <c r="N2805" t="s">
        <v>3364</v>
      </c>
      <c r="O2805" t="s">
        <v>15211</v>
      </c>
      <c r="P2805" t="s">
        <v>15211</v>
      </c>
      <c r="Q2805" t="s">
        <v>15211</v>
      </c>
      <c r="R2805" t="s">
        <v>15211</v>
      </c>
      <c r="S2805" t="s">
        <v>15211</v>
      </c>
      <c r="T2805" t="s">
        <v>3364</v>
      </c>
      <c r="U2805" t="s">
        <v>14668</v>
      </c>
      <c r="V2805" t="s">
        <v>15235</v>
      </c>
    </row>
    <row r="2806" spans="1:22" ht="17.399999999999999" hidden="1">
      <c r="A2806" t="s">
        <v>15399</v>
      </c>
      <c r="B2806" t="s">
        <v>15441</v>
      </c>
      <c r="C2806" t="s">
        <v>15448</v>
      </c>
      <c r="D2806" t="s">
        <v>2801</v>
      </c>
      <c r="E2806" t="s">
        <v>3428</v>
      </c>
      <c r="F2806" t="s">
        <v>3452</v>
      </c>
      <c r="G2806" s="3">
        <v>36.829962694273597</v>
      </c>
      <c r="H2806" s="3">
        <v>127.620316454312</v>
      </c>
      <c r="I2806" t="s">
        <v>6571</v>
      </c>
      <c r="J2806" t="s">
        <v>9927</v>
      </c>
      <c r="K2806" t="s">
        <v>11762</v>
      </c>
      <c r="L2806" t="s">
        <v>3366</v>
      </c>
      <c r="M2806" t="s">
        <v>11910</v>
      </c>
      <c r="N2806" t="s">
        <v>3365</v>
      </c>
      <c r="O2806" t="s">
        <v>3361</v>
      </c>
      <c r="P2806" t="s">
        <v>3362</v>
      </c>
      <c r="Q2806" t="s">
        <v>3363</v>
      </c>
      <c r="R2806" t="s">
        <v>3357</v>
      </c>
      <c r="S2806" t="s">
        <v>15211</v>
      </c>
      <c r="T2806" t="s">
        <v>3384</v>
      </c>
      <c r="U2806" t="s">
        <v>14669</v>
      </c>
      <c r="V2806" t="s">
        <v>15230</v>
      </c>
    </row>
    <row r="2807" spans="1:22" ht="17.399999999999999" hidden="1">
      <c r="A2807" t="s">
        <v>15399</v>
      </c>
      <c r="B2807" t="s">
        <v>15441</v>
      </c>
      <c r="C2807" t="s">
        <v>15448</v>
      </c>
      <c r="D2807" t="s">
        <v>2802</v>
      </c>
      <c r="E2807" t="s">
        <v>3436</v>
      </c>
      <c r="F2807" t="s">
        <v>3465</v>
      </c>
      <c r="G2807" s="3">
        <v>36.829962703947999</v>
      </c>
      <c r="H2807" s="3">
        <v>127.62031646596201</v>
      </c>
      <c r="I2807" t="s">
        <v>6572</v>
      </c>
      <c r="J2807" t="s">
        <v>9928</v>
      </c>
      <c r="K2807" t="s">
        <v>10738</v>
      </c>
      <c r="L2807" t="s">
        <v>3366</v>
      </c>
      <c r="M2807" t="s">
        <v>11910</v>
      </c>
      <c r="N2807" t="s">
        <v>3365</v>
      </c>
      <c r="O2807" t="s">
        <v>3361</v>
      </c>
      <c r="P2807" t="s">
        <v>3362</v>
      </c>
      <c r="Q2807" t="s">
        <v>3363</v>
      </c>
      <c r="R2807" t="s">
        <v>3357</v>
      </c>
      <c r="S2807" t="s">
        <v>15211</v>
      </c>
      <c r="T2807" t="s">
        <v>3384</v>
      </c>
      <c r="U2807" t="s">
        <v>14670</v>
      </c>
      <c r="V2807" t="s">
        <v>15230</v>
      </c>
    </row>
    <row r="2808" spans="1:22" ht="17.399999999999999" hidden="1">
      <c r="A2808" t="s">
        <v>15399</v>
      </c>
      <c r="B2808" t="s">
        <v>15441</v>
      </c>
      <c r="C2808" t="s">
        <v>15448</v>
      </c>
      <c r="D2808" t="s">
        <v>2803</v>
      </c>
      <c r="E2808" t="s">
        <v>3425</v>
      </c>
      <c r="F2808" t="s">
        <v>3460</v>
      </c>
      <c r="G2808" s="3">
        <v>36.829962697143102</v>
      </c>
      <c r="H2808" s="3">
        <v>127.620316446422</v>
      </c>
      <c r="I2808" t="s">
        <v>6573</v>
      </c>
      <c r="J2808" t="s">
        <v>9929</v>
      </c>
      <c r="K2808" t="s">
        <v>10738</v>
      </c>
      <c r="L2808" t="s">
        <v>3366</v>
      </c>
      <c r="M2808" t="s">
        <v>11910</v>
      </c>
      <c r="N2808" t="s">
        <v>3365</v>
      </c>
      <c r="O2808" t="s">
        <v>3361</v>
      </c>
      <c r="P2808" t="s">
        <v>3362</v>
      </c>
      <c r="Q2808" t="s">
        <v>3363</v>
      </c>
      <c r="R2808" t="s">
        <v>3357</v>
      </c>
      <c r="S2808" t="s">
        <v>15211</v>
      </c>
      <c r="T2808" t="s">
        <v>3384</v>
      </c>
      <c r="U2808" t="s">
        <v>14671</v>
      </c>
      <c r="V2808" t="s">
        <v>15230</v>
      </c>
    </row>
    <row r="2809" spans="1:22" ht="17.399999999999999" hidden="1">
      <c r="A2809" t="s">
        <v>15399</v>
      </c>
      <c r="B2809" t="s">
        <v>15441</v>
      </c>
      <c r="C2809" t="s">
        <v>15449</v>
      </c>
      <c r="D2809" t="s">
        <v>2804</v>
      </c>
      <c r="E2809" t="s">
        <v>3436</v>
      </c>
      <c r="F2809" t="s">
        <v>3449</v>
      </c>
      <c r="G2809" s="3">
        <v>36.829962697628503</v>
      </c>
      <c r="H2809" s="3">
        <v>127.62031643308001</v>
      </c>
      <c r="I2809" t="s">
        <v>6574</v>
      </c>
      <c r="J2809" t="s">
        <v>9930</v>
      </c>
      <c r="K2809" t="s">
        <v>3636</v>
      </c>
      <c r="L2809" t="s">
        <v>3366</v>
      </c>
      <c r="M2809" t="s">
        <v>11891</v>
      </c>
      <c r="N2809" t="s">
        <v>3365</v>
      </c>
      <c r="O2809" t="s">
        <v>3359</v>
      </c>
      <c r="P2809" t="s">
        <v>3361</v>
      </c>
      <c r="Q2809" t="s">
        <v>3363</v>
      </c>
      <c r="R2809" t="s">
        <v>3357</v>
      </c>
      <c r="S2809" t="s">
        <v>15211</v>
      </c>
      <c r="T2809" t="s">
        <v>3381</v>
      </c>
      <c r="U2809" t="s">
        <v>14672</v>
      </c>
      <c r="V2809" t="s">
        <v>15231</v>
      </c>
    </row>
    <row r="2810" spans="1:22" ht="17.399999999999999" hidden="1">
      <c r="A2810" t="s">
        <v>15399</v>
      </c>
      <c r="B2810" t="s">
        <v>15441</v>
      </c>
      <c r="C2810" t="s">
        <v>15449</v>
      </c>
      <c r="D2810" t="s">
        <v>2805</v>
      </c>
      <c r="E2810" t="s">
        <v>3428</v>
      </c>
      <c r="F2810" t="s">
        <v>3465</v>
      </c>
      <c r="G2810" s="3">
        <v>36.829962696688398</v>
      </c>
      <c r="H2810" s="3">
        <v>127.620316433103</v>
      </c>
      <c r="I2810" t="s">
        <v>6575</v>
      </c>
      <c r="J2810" t="s">
        <v>9931</v>
      </c>
      <c r="K2810" t="s">
        <v>11104</v>
      </c>
      <c r="L2810" t="s">
        <v>3366</v>
      </c>
      <c r="M2810" t="s">
        <v>11891</v>
      </c>
      <c r="N2810" t="s">
        <v>3365</v>
      </c>
      <c r="O2810" t="s">
        <v>3359</v>
      </c>
      <c r="P2810" t="s">
        <v>3361</v>
      </c>
      <c r="Q2810" t="s">
        <v>3362</v>
      </c>
      <c r="R2810" t="s">
        <v>3357</v>
      </c>
      <c r="S2810" t="s">
        <v>15211</v>
      </c>
      <c r="T2810" t="s">
        <v>3380</v>
      </c>
      <c r="U2810" t="s">
        <v>14673</v>
      </c>
      <c r="V2810" t="s">
        <v>15231</v>
      </c>
    </row>
    <row r="2811" spans="1:22" ht="17.399999999999999" hidden="1">
      <c r="A2811" t="s">
        <v>15399</v>
      </c>
      <c r="B2811" t="s">
        <v>15441</v>
      </c>
      <c r="C2811" t="s">
        <v>15449</v>
      </c>
      <c r="D2811" t="s">
        <v>2806</v>
      </c>
      <c r="E2811" t="s">
        <v>3428</v>
      </c>
      <c r="F2811" t="s">
        <v>3462</v>
      </c>
      <c r="G2811" s="3">
        <v>36.829962701384503</v>
      </c>
      <c r="H2811" s="3">
        <v>127.620316430465</v>
      </c>
      <c r="I2811" t="s">
        <v>6576</v>
      </c>
      <c r="J2811" t="s">
        <v>9932</v>
      </c>
      <c r="K2811" t="s">
        <v>11771</v>
      </c>
      <c r="L2811" t="s">
        <v>3366</v>
      </c>
      <c r="M2811" t="s">
        <v>11891</v>
      </c>
      <c r="N2811" t="s">
        <v>3365</v>
      </c>
      <c r="O2811" t="s">
        <v>3358</v>
      </c>
      <c r="P2811" t="s">
        <v>3361</v>
      </c>
      <c r="Q2811" t="s">
        <v>3363</v>
      </c>
      <c r="R2811" t="s">
        <v>3357</v>
      </c>
      <c r="S2811" t="s">
        <v>15211</v>
      </c>
      <c r="T2811" t="s">
        <v>3380</v>
      </c>
      <c r="U2811" t="s">
        <v>14674</v>
      </c>
      <c r="V2811" t="s">
        <v>15231</v>
      </c>
    </row>
    <row r="2812" spans="1:22" ht="17.399999999999999" hidden="1">
      <c r="A2812" t="s">
        <v>15399</v>
      </c>
      <c r="B2812" t="s">
        <v>15442</v>
      </c>
      <c r="C2812" t="s">
        <v>15450</v>
      </c>
      <c r="D2812" t="s">
        <v>2807</v>
      </c>
      <c r="E2812" t="s">
        <v>3430</v>
      </c>
      <c r="F2812" t="s">
        <v>3611</v>
      </c>
      <c r="G2812" s="3">
        <v>36.829964258430401</v>
      </c>
      <c r="H2812" s="3">
        <v>127.62031454933</v>
      </c>
      <c r="I2812" t="s">
        <v>6577</v>
      </c>
      <c r="J2812" t="s">
        <v>9933</v>
      </c>
      <c r="K2812" t="s">
        <v>10572</v>
      </c>
      <c r="L2812" t="s">
        <v>3366</v>
      </c>
      <c r="M2812" t="s">
        <v>11890</v>
      </c>
      <c r="N2812" t="s">
        <v>3364</v>
      </c>
      <c r="O2812" t="s">
        <v>3360</v>
      </c>
      <c r="P2812" t="s">
        <v>15211</v>
      </c>
      <c r="Q2812" t="s">
        <v>15211</v>
      </c>
      <c r="R2812" t="s">
        <v>15211</v>
      </c>
      <c r="S2812" t="s">
        <v>15211</v>
      </c>
      <c r="T2812" t="s">
        <v>3368</v>
      </c>
      <c r="U2812" t="s">
        <v>14675</v>
      </c>
      <c r="V2812" t="s">
        <v>15232</v>
      </c>
    </row>
    <row r="2813" spans="1:22" ht="17.399999999999999" hidden="1">
      <c r="A2813" t="s">
        <v>15399</v>
      </c>
      <c r="B2813" t="s">
        <v>15442</v>
      </c>
      <c r="C2813" t="s">
        <v>15450</v>
      </c>
      <c r="D2813" t="s">
        <v>2808</v>
      </c>
      <c r="E2813" t="s">
        <v>3429</v>
      </c>
      <c r="F2813" t="s">
        <v>3467</v>
      </c>
      <c r="G2813" s="3">
        <v>36.829964172582102</v>
      </c>
      <c r="H2813" s="3">
        <v>127.620314515275</v>
      </c>
      <c r="I2813" t="s">
        <v>6578</v>
      </c>
      <c r="J2813" t="s">
        <v>9934</v>
      </c>
      <c r="K2813" t="s">
        <v>3717</v>
      </c>
      <c r="L2813" t="s">
        <v>3366</v>
      </c>
      <c r="M2813" t="s">
        <v>11894</v>
      </c>
      <c r="N2813" t="s">
        <v>3365</v>
      </c>
      <c r="O2813" t="s">
        <v>3361</v>
      </c>
      <c r="P2813" t="s">
        <v>15211</v>
      </c>
      <c r="Q2813" t="s">
        <v>15211</v>
      </c>
      <c r="R2813" t="s">
        <v>15211</v>
      </c>
      <c r="S2813" t="s">
        <v>15211</v>
      </c>
      <c r="T2813" t="s">
        <v>3370</v>
      </c>
      <c r="U2813" t="s">
        <v>14676</v>
      </c>
      <c r="V2813" t="s">
        <v>15232</v>
      </c>
    </row>
    <row r="2814" spans="1:22" ht="17.399999999999999" hidden="1">
      <c r="A2814" t="s">
        <v>15399</v>
      </c>
      <c r="B2814" t="s">
        <v>15442</v>
      </c>
      <c r="C2814" t="s">
        <v>15450</v>
      </c>
      <c r="D2814" t="s">
        <v>2809</v>
      </c>
      <c r="E2814" t="s">
        <v>3430</v>
      </c>
      <c r="F2814" t="s">
        <v>3590</v>
      </c>
      <c r="G2814" s="3">
        <v>36.8299642155866</v>
      </c>
      <c r="H2814" s="3">
        <v>127.620314538353</v>
      </c>
      <c r="I2814" t="s">
        <v>6579</v>
      </c>
      <c r="J2814" t="s">
        <v>9935</v>
      </c>
      <c r="K2814" t="s">
        <v>3717</v>
      </c>
      <c r="L2814" t="s">
        <v>3366</v>
      </c>
      <c r="M2814" t="s">
        <v>11894</v>
      </c>
      <c r="N2814" t="s">
        <v>3365</v>
      </c>
      <c r="O2814" t="s">
        <v>3361</v>
      </c>
      <c r="P2814" t="s">
        <v>15211</v>
      </c>
      <c r="Q2814" t="s">
        <v>15211</v>
      </c>
      <c r="R2814" t="s">
        <v>15211</v>
      </c>
      <c r="S2814" t="s">
        <v>15211</v>
      </c>
      <c r="T2814" t="s">
        <v>3370</v>
      </c>
      <c r="U2814" t="s">
        <v>14675</v>
      </c>
      <c r="V2814" t="s">
        <v>15232</v>
      </c>
    </row>
    <row r="2815" spans="1:22" ht="17.399999999999999" hidden="1">
      <c r="A2815" t="s">
        <v>15399</v>
      </c>
      <c r="B2815" t="s">
        <v>15442</v>
      </c>
      <c r="C2815" t="s">
        <v>15445</v>
      </c>
      <c r="D2815" t="s">
        <v>2810</v>
      </c>
      <c r="E2815" t="s">
        <v>3440</v>
      </c>
      <c r="F2815" t="s">
        <v>3425</v>
      </c>
      <c r="G2815" s="3">
        <v>36.829962674920701</v>
      </c>
      <c r="H2815" s="3">
        <v>127.62031638442301</v>
      </c>
      <c r="I2815" t="s">
        <v>6580</v>
      </c>
      <c r="J2815" t="s">
        <v>9936</v>
      </c>
      <c r="K2815" t="s">
        <v>3721</v>
      </c>
      <c r="L2815" t="s">
        <v>3366</v>
      </c>
      <c r="M2815" t="s">
        <v>11894</v>
      </c>
      <c r="N2815" t="s">
        <v>3365</v>
      </c>
      <c r="O2815" t="s">
        <v>3361</v>
      </c>
      <c r="P2815" t="s">
        <v>15211</v>
      </c>
      <c r="Q2815" t="s">
        <v>15211</v>
      </c>
      <c r="R2815" t="s">
        <v>15211</v>
      </c>
      <c r="S2815" t="s">
        <v>15211</v>
      </c>
      <c r="T2815" t="s">
        <v>3370</v>
      </c>
      <c r="U2815" t="s">
        <v>14677</v>
      </c>
      <c r="V2815" t="s">
        <v>15233</v>
      </c>
    </row>
    <row r="2816" spans="1:22" ht="17.399999999999999" hidden="1">
      <c r="A2816" t="s">
        <v>15399</v>
      </c>
      <c r="B2816" t="s">
        <v>15442</v>
      </c>
      <c r="C2816" t="s">
        <v>15445</v>
      </c>
      <c r="D2816" t="s">
        <v>2811</v>
      </c>
      <c r="E2816" t="s">
        <v>3440</v>
      </c>
      <c r="F2816" t="s">
        <v>3425</v>
      </c>
      <c r="G2816" s="3">
        <v>36.829962684371701</v>
      </c>
      <c r="H2816" s="3">
        <v>127.620316351612</v>
      </c>
      <c r="I2816" t="s">
        <v>6581</v>
      </c>
      <c r="J2816" t="s">
        <v>9937</v>
      </c>
      <c r="K2816" t="s">
        <v>3721</v>
      </c>
      <c r="L2816" t="s">
        <v>3366</v>
      </c>
      <c r="M2816" t="s">
        <v>11894</v>
      </c>
      <c r="N2816" t="s">
        <v>3365</v>
      </c>
      <c r="O2816" t="s">
        <v>3361</v>
      </c>
      <c r="P2816" t="s">
        <v>15211</v>
      </c>
      <c r="Q2816" t="s">
        <v>15211</v>
      </c>
      <c r="R2816" t="s">
        <v>15211</v>
      </c>
      <c r="S2816" t="s">
        <v>15211</v>
      </c>
      <c r="T2816" t="s">
        <v>3370</v>
      </c>
      <c r="U2816" t="s">
        <v>14678</v>
      </c>
      <c r="V2816" t="s">
        <v>15233</v>
      </c>
    </row>
    <row r="2817" spans="1:22" ht="17.399999999999999" hidden="1">
      <c r="A2817" t="s">
        <v>15399</v>
      </c>
      <c r="B2817" t="s">
        <v>15442</v>
      </c>
      <c r="C2817" t="s">
        <v>15445</v>
      </c>
      <c r="D2817" t="s">
        <v>2812</v>
      </c>
      <c r="E2817" t="s">
        <v>3440</v>
      </c>
      <c r="F2817" t="s">
        <v>3425</v>
      </c>
      <c r="G2817" s="3">
        <v>36.829962664401997</v>
      </c>
      <c r="H2817" s="3">
        <v>127.62031633508801</v>
      </c>
      <c r="I2817" t="s">
        <v>6582</v>
      </c>
      <c r="J2817" t="s">
        <v>9938</v>
      </c>
      <c r="K2817" t="s">
        <v>3721</v>
      </c>
      <c r="L2817" t="s">
        <v>3366</v>
      </c>
      <c r="M2817" t="s">
        <v>11894</v>
      </c>
      <c r="N2817" t="s">
        <v>3365</v>
      </c>
      <c r="O2817" t="s">
        <v>3361</v>
      </c>
      <c r="P2817" t="s">
        <v>15211</v>
      </c>
      <c r="Q2817" t="s">
        <v>15211</v>
      </c>
      <c r="R2817" t="s">
        <v>15211</v>
      </c>
      <c r="S2817" t="s">
        <v>15211</v>
      </c>
      <c r="T2817" t="s">
        <v>3370</v>
      </c>
      <c r="U2817" t="s">
        <v>14679</v>
      </c>
      <c r="V2817" t="s">
        <v>15233</v>
      </c>
    </row>
    <row r="2818" spans="1:22" ht="17.399999999999999" hidden="1">
      <c r="A2818" t="s">
        <v>15399</v>
      </c>
      <c r="B2818" t="s">
        <v>15442</v>
      </c>
      <c r="C2818" t="s">
        <v>15451</v>
      </c>
      <c r="D2818" t="s">
        <v>2813</v>
      </c>
      <c r="E2818" t="s">
        <v>3438</v>
      </c>
      <c r="F2818" t="s">
        <v>3429</v>
      </c>
      <c r="G2818" s="3">
        <v>36.8299627168307</v>
      </c>
      <c r="H2818" s="3">
        <v>127.620316405327</v>
      </c>
      <c r="I2818" t="s">
        <v>6583</v>
      </c>
      <c r="J2818" t="s">
        <v>9939</v>
      </c>
      <c r="K2818" t="s">
        <v>3626</v>
      </c>
      <c r="L2818" t="s">
        <v>3366</v>
      </c>
      <c r="M2818" t="s">
        <v>11893</v>
      </c>
      <c r="N2818" t="s">
        <v>3365</v>
      </c>
      <c r="O2818" t="s">
        <v>3361</v>
      </c>
      <c r="P2818" t="s">
        <v>3362</v>
      </c>
      <c r="Q2818" t="s">
        <v>3361</v>
      </c>
      <c r="R2818" t="s">
        <v>15211</v>
      </c>
      <c r="S2818" t="s">
        <v>15211</v>
      </c>
      <c r="T2818" t="s">
        <v>3381</v>
      </c>
      <c r="U2818" t="s">
        <v>14680</v>
      </c>
      <c r="V2818" t="s">
        <v>15234</v>
      </c>
    </row>
    <row r="2819" spans="1:22" ht="17.399999999999999" hidden="1">
      <c r="A2819" t="s">
        <v>15399</v>
      </c>
      <c r="B2819" t="s">
        <v>15442</v>
      </c>
      <c r="C2819" t="s">
        <v>15451</v>
      </c>
      <c r="D2819" t="s">
        <v>2814</v>
      </c>
      <c r="E2819" t="s">
        <v>3437</v>
      </c>
      <c r="F2819" t="s">
        <v>3431</v>
      </c>
      <c r="G2819" s="3">
        <v>36.829962716139399</v>
      </c>
      <c r="H2819" s="3">
        <v>127.620316385054</v>
      </c>
      <c r="I2819" t="s">
        <v>6584</v>
      </c>
      <c r="J2819" t="s">
        <v>9940</v>
      </c>
      <c r="K2819" t="s">
        <v>10746</v>
      </c>
      <c r="L2819" t="s">
        <v>3366</v>
      </c>
      <c r="M2819" t="s">
        <v>11893</v>
      </c>
      <c r="N2819" t="s">
        <v>3365</v>
      </c>
      <c r="O2819" t="s">
        <v>3361</v>
      </c>
      <c r="P2819" t="s">
        <v>3362</v>
      </c>
      <c r="Q2819" t="s">
        <v>3361</v>
      </c>
      <c r="R2819" t="s">
        <v>15211</v>
      </c>
      <c r="S2819" t="s">
        <v>15211</v>
      </c>
      <c r="T2819" t="s">
        <v>3381</v>
      </c>
      <c r="U2819" t="s">
        <v>14681</v>
      </c>
      <c r="V2819" t="s">
        <v>15234</v>
      </c>
    </row>
    <row r="2820" spans="1:22" ht="17.399999999999999" hidden="1">
      <c r="A2820" t="s">
        <v>15399</v>
      </c>
      <c r="B2820" t="s">
        <v>15442</v>
      </c>
      <c r="C2820" t="s">
        <v>15451</v>
      </c>
      <c r="D2820" t="s">
        <v>2815</v>
      </c>
      <c r="E2820" t="s">
        <v>3440</v>
      </c>
      <c r="F2820" t="s">
        <v>3435</v>
      </c>
      <c r="G2820" s="3">
        <v>36.829962712599702</v>
      </c>
      <c r="H2820" s="3">
        <v>127.62031638085</v>
      </c>
      <c r="I2820" t="s">
        <v>6585</v>
      </c>
      <c r="J2820" t="s">
        <v>9941</v>
      </c>
      <c r="K2820" t="s">
        <v>10746</v>
      </c>
      <c r="L2820" t="s">
        <v>3366</v>
      </c>
      <c r="M2820" t="s">
        <v>11893</v>
      </c>
      <c r="N2820" t="s">
        <v>3365</v>
      </c>
      <c r="O2820" t="s">
        <v>3361</v>
      </c>
      <c r="P2820" t="s">
        <v>3362</v>
      </c>
      <c r="Q2820" t="s">
        <v>3361</v>
      </c>
      <c r="R2820" t="s">
        <v>15211</v>
      </c>
      <c r="S2820" t="s">
        <v>15211</v>
      </c>
      <c r="T2820" t="s">
        <v>3381</v>
      </c>
      <c r="U2820" t="s">
        <v>14682</v>
      </c>
      <c r="V2820" t="s">
        <v>15234</v>
      </c>
    </row>
    <row r="2821" spans="1:22" ht="17.399999999999999">
      <c r="A2821" t="s">
        <v>15399</v>
      </c>
      <c r="B2821" t="s">
        <v>15443</v>
      </c>
      <c r="C2821" t="s">
        <v>15452</v>
      </c>
      <c r="D2821" t="s">
        <v>2816</v>
      </c>
      <c r="E2821" t="s">
        <v>3427</v>
      </c>
      <c r="F2821" t="s">
        <v>3430</v>
      </c>
      <c r="G2821" s="3">
        <v>36.8299623184311</v>
      </c>
      <c r="H2821" s="3">
        <v>127.620316462432</v>
      </c>
      <c r="I2821" t="s">
        <v>6586</v>
      </c>
      <c r="J2821" t="s">
        <v>9942</v>
      </c>
      <c r="K2821" t="s">
        <v>11772</v>
      </c>
      <c r="L2821" t="s">
        <v>3366</v>
      </c>
      <c r="M2821" t="s">
        <v>11885</v>
      </c>
      <c r="N2821" t="s">
        <v>3360</v>
      </c>
      <c r="O2821" t="s">
        <v>15211</v>
      </c>
      <c r="P2821" t="s">
        <v>3362</v>
      </c>
      <c r="Q2821" t="s">
        <v>3358</v>
      </c>
      <c r="R2821" t="s">
        <v>15211</v>
      </c>
      <c r="S2821" t="s">
        <v>15211</v>
      </c>
      <c r="T2821" t="s">
        <v>3368</v>
      </c>
      <c r="U2821" t="s">
        <v>14683</v>
      </c>
      <c r="V2821" t="s">
        <v>15220</v>
      </c>
    </row>
    <row r="2822" spans="1:22" ht="17.399999999999999">
      <c r="A2822" t="s">
        <v>15399</v>
      </c>
      <c r="B2822" t="s">
        <v>15443</v>
      </c>
      <c r="C2822" t="s">
        <v>15452</v>
      </c>
      <c r="D2822" t="s">
        <v>2817</v>
      </c>
      <c r="E2822" t="s">
        <v>3428</v>
      </c>
      <c r="F2822" t="s">
        <v>3441</v>
      </c>
      <c r="G2822" s="3">
        <v>36.829962320928701</v>
      </c>
      <c r="H2822" s="3">
        <v>127.620316445349</v>
      </c>
      <c r="I2822" t="s">
        <v>6587</v>
      </c>
      <c r="J2822" t="s">
        <v>9943</v>
      </c>
      <c r="K2822" t="s">
        <v>11773</v>
      </c>
      <c r="L2822" t="s">
        <v>3366</v>
      </c>
      <c r="M2822" t="s">
        <v>11885</v>
      </c>
      <c r="N2822" t="s">
        <v>3360</v>
      </c>
      <c r="O2822" t="s">
        <v>15211</v>
      </c>
      <c r="P2822" t="s">
        <v>3362</v>
      </c>
      <c r="Q2822" t="s">
        <v>3358</v>
      </c>
      <c r="R2822" t="s">
        <v>15211</v>
      </c>
      <c r="S2822" t="s">
        <v>15211</v>
      </c>
      <c r="T2822" t="s">
        <v>3368</v>
      </c>
      <c r="U2822" t="s">
        <v>14684</v>
      </c>
      <c r="V2822" t="s">
        <v>15220</v>
      </c>
    </row>
    <row r="2823" spans="1:22" ht="17.399999999999999">
      <c r="A2823" t="s">
        <v>15399</v>
      </c>
      <c r="B2823" t="s">
        <v>15443</v>
      </c>
      <c r="C2823" t="s">
        <v>15452</v>
      </c>
      <c r="D2823" t="s">
        <v>2818</v>
      </c>
      <c r="E2823" t="s">
        <v>3427</v>
      </c>
      <c r="F2823" t="s">
        <v>3442</v>
      </c>
      <c r="G2823" s="3">
        <v>36.829962320685503</v>
      </c>
      <c r="H2823" s="3">
        <v>127.620316443947</v>
      </c>
      <c r="I2823" t="s">
        <v>6588</v>
      </c>
      <c r="J2823" t="s">
        <v>9944</v>
      </c>
      <c r="K2823" t="s">
        <v>11774</v>
      </c>
      <c r="L2823" t="s">
        <v>3366</v>
      </c>
      <c r="M2823" t="s">
        <v>11885</v>
      </c>
      <c r="N2823" t="s">
        <v>3360</v>
      </c>
      <c r="O2823" t="s">
        <v>15211</v>
      </c>
      <c r="P2823" t="s">
        <v>3362</v>
      </c>
      <c r="Q2823" t="s">
        <v>3358</v>
      </c>
      <c r="R2823" t="s">
        <v>15211</v>
      </c>
      <c r="S2823" t="s">
        <v>15211</v>
      </c>
      <c r="T2823" t="s">
        <v>3368</v>
      </c>
      <c r="U2823" t="s">
        <v>14685</v>
      </c>
      <c r="V2823" t="s">
        <v>15220</v>
      </c>
    </row>
    <row r="2824" spans="1:22" ht="17.399999999999999" hidden="1">
      <c r="A2824" t="s">
        <v>15399</v>
      </c>
      <c r="B2824" t="s">
        <v>15443</v>
      </c>
      <c r="C2824" t="s">
        <v>15492</v>
      </c>
      <c r="D2824" t="s">
        <v>2819</v>
      </c>
      <c r="E2824" t="s">
        <v>3436</v>
      </c>
      <c r="F2824" t="s">
        <v>3453</v>
      </c>
      <c r="G2824" s="3">
        <v>36.829962484522603</v>
      </c>
      <c r="H2824" s="3">
        <v>127.620316338848</v>
      </c>
      <c r="I2824" t="s">
        <v>6589</v>
      </c>
      <c r="J2824" t="s">
        <v>9945</v>
      </c>
      <c r="K2824" t="s">
        <v>11527</v>
      </c>
      <c r="L2824" t="s">
        <v>3366</v>
      </c>
      <c r="M2824" t="s">
        <v>11894</v>
      </c>
      <c r="N2824" t="s">
        <v>3362</v>
      </c>
      <c r="O2824" t="s">
        <v>15211</v>
      </c>
      <c r="P2824" t="s">
        <v>3362</v>
      </c>
      <c r="Q2824" t="s">
        <v>3358</v>
      </c>
      <c r="R2824" t="s">
        <v>15211</v>
      </c>
      <c r="S2824" t="s">
        <v>15211</v>
      </c>
      <c r="T2824" t="s">
        <v>3370</v>
      </c>
      <c r="U2824" t="s">
        <v>14686</v>
      </c>
      <c r="V2824" t="s">
        <v>15282</v>
      </c>
    </row>
    <row r="2825" spans="1:22" ht="17.399999999999999" hidden="1">
      <c r="A2825" t="s">
        <v>15399</v>
      </c>
      <c r="B2825" t="s">
        <v>15443</v>
      </c>
      <c r="C2825" t="s">
        <v>15492</v>
      </c>
      <c r="D2825" t="s">
        <v>2820</v>
      </c>
      <c r="E2825" t="s">
        <v>3436</v>
      </c>
      <c r="F2825" t="s">
        <v>3453</v>
      </c>
      <c r="G2825" s="3">
        <v>36.829962499824099</v>
      </c>
      <c r="H2825" s="3">
        <v>127.620316355364</v>
      </c>
      <c r="I2825" t="s">
        <v>6590</v>
      </c>
      <c r="J2825" t="s">
        <v>9946</v>
      </c>
      <c r="K2825" t="s">
        <v>10730</v>
      </c>
      <c r="L2825" t="s">
        <v>3366</v>
      </c>
      <c r="M2825" t="s">
        <v>11894</v>
      </c>
      <c r="N2825" t="s">
        <v>3362</v>
      </c>
      <c r="O2825" t="s">
        <v>15211</v>
      </c>
      <c r="P2825" t="s">
        <v>3362</v>
      </c>
      <c r="Q2825" t="s">
        <v>3358</v>
      </c>
      <c r="R2825" t="s">
        <v>15211</v>
      </c>
      <c r="S2825" t="s">
        <v>15211</v>
      </c>
      <c r="T2825" t="s">
        <v>3370</v>
      </c>
      <c r="U2825" t="s">
        <v>14687</v>
      </c>
      <c r="V2825" t="s">
        <v>15282</v>
      </c>
    </row>
    <row r="2826" spans="1:22" ht="17.399999999999999" hidden="1">
      <c r="A2826" t="s">
        <v>15399</v>
      </c>
      <c r="B2826" t="s">
        <v>15443</v>
      </c>
      <c r="C2826" t="s">
        <v>15492</v>
      </c>
      <c r="D2826" t="s">
        <v>2821</v>
      </c>
      <c r="E2826" t="s">
        <v>3436</v>
      </c>
      <c r="F2826" t="s">
        <v>3453</v>
      </c>
      <c r="G2826" s="3">
        <v>36.829962498944802</v>
      </c>
      <c r="H2826" s="3">
        <v>127.62031636249399</v>
      </c>
      <c r="I2826" t="s">
        <v>6591</v>
      </c>
      <c r="J2826" t="s">
        <v>9947</v>
      </c>
      <c r="K2826" t="s">
        <v>10966</v>
      </c>
      <c r="L2826" t="s">
        <v>3366</v>
      </c>
      <c r="M2826" t="s">
        <v>11894</v>
      </c>
      <c r="N2826" t="s">
        <v>3362</v>
      </c>
      <c r="O2826" t="s">
        <v>15211</v>
      </c>
      <c r="P2826" t="s">
        <v>3362</v>
      </c>
      <c r="Q2826" t="s">
        <v>3358</v>
      </c>
      <c r="R2826" t="s">
        <v>15211</v>
      </c>
      <c r="S2826" t="s">
        <v>15211</v>
      </c>
      <c r="T2826" t="s">
        <v>3370</v>
      </c>
      <c r="U2826" t="s">
        <v>14688</v>
      </c>
      <c r="V2826" t="s">
        <v>15282</v>
      </c>
    </row>
    <row r="2827" spans="1:22" ht="17.399999999999999" hidden="1">
      <c r="A2827" t="s">
        <v>15399</v>
      </c>
      <c r="B2827" t="s">
        <v>15443</v>
      </c>
      <c r="C2827" t="s">
        <v>15493</v>
      </c>
      <c r="D2827" t="s">
        <v>2822</v>
      </c>
      <c r="E2827" t="s">
        <v>3436</v>
      </c>
      <c r="F2827" t="s">
        <v>3452</v>
      </c>
      <c r="G2827" s="3">
        <v>36.829962601977002</v>
      </c>
      <c r="H2827" s="3">
        <v>127.62031647573799</v>
      </c>
      <c r="I2827" t="s">
        <v>6592</v>
      </c>
      <c r="J2827" t="s">
        <v>9948</v>
      </c>
      <c r="K2827" t="s">
        <v>11738</v>
      </c>
      <c r="L2827" t="s">
        <v>3366</v>
      </c>
      <c r="M2827" t="s">
        <v>11894</v>
      </c>
      <c r="N2827" t="s">
        <v>3362</v>
      </c>
      <c r="O2827" t="s">
        <v>15211</v>
      </c>
      <c r="P2827" t="s">
        <v>3362</v>
      </c>
      <c r="Q2827" t="s">
        <v>3358</v>
      </c>
      <c r="R2827" t="s">
        <v>15211</v>
      </c>
      <c r="S2827" t="s">
        <v>15211</v>
      </c>
      <c r="T2827" t="s">
        <v>3370</v>
      </c>
      <c r="U2827" t="s">
        <v>14689</v>
      </c>
      <c r="V2827" t="s">
        <v>15283</v>
      </c>
    </row>
    <row r="2828" spans="1:22" ht="17.399999999999999" hidden="1">
      <c r="A2828" t="s">
        <v>15399</v>
      </c>
      <c r="B2828" t="s">
        <v>15443</v>
      </c>
      <c r="C2828" t="s">
        <v>15493</v>
      </c>
      <c r="D2828" t="s">
        <v>2823</v>
      </c>
      <c r="E2828" t="s">
        <v>3436</v>
      </c>
      <c r="F2828" t="s">
        <v>3452</v>
      </c>
      <c r="G2828" s="3">
        <v>36.829962594208503</v>
      </c>
      <c r="H2828" s="3">
        <v>127.62031642811699</v>
      </c>
      <c r="I2828" t="s">
        <v>6593</v>
      </c>
      <c r="J2828" t="s">
        <v>9949</v>
      </c>
      <c r="K2828" t="s">
        <v>11775</v>
      </c>
      <c r="L2828" t="s">
        <v>3366</v>
      </c>
      <c r="M2828" t="s">
        <v>11890</v>
      </c>
      <c r="N2828" t="s">
        <v>3361</v>
      </c>
      <c r="O2828" t="s">
        <v>15211</v>
      </c>
      <c r="P2828" t="s">
        <v>3362</v>
      </c>
      <c r="Q2828" t="s">
        <v>3358</v>
      </c>
      <c r="R2828" t="s">
        <v>15211</v>
      </c>
      <c r="S2828" t="s">
        <v>15211</v>
      </c>
      <c r="T2828" t="s">
        <v>3369</v>
      </c>
      <c r="U2828" t="s">
        <v>14690</v>
      </c>
      <c r="V2828" t="s">
        <v>15283</v>
      </c>
    </row>
    <row r="2829" spans="1:22" ht="17.399999999999999" hidden="1">
      <c r="A2829" t="s">
        <v>15399</v>
      </c>
      <c r="B2829" t="s">
        <v>15443</v>
      </c>
      <c r="C2829" t="s">
        <v>15493</v>
      </c>
      <c r="D2829" t="s">
        <v>2824</v>
      </c>
      <c r="E2829" t="s">
        <v>3428</v>
      </c>
      <c r="F2829" t="s">
        <v>3432</v>
      </c>
      <c r="G2829" s="3">
        <v>36.829962643117902</v>
      </c>
      <c r="H2829" s="3">
        <v>127.620316355247</v>
      </c>
      <c r="I2829" t="s">
        <v>6594</v>
      </c>
      <c r="J2829" t="s">
        <v>9950</v>
      </c>
      <c r="K2829" t="s">
        <v>11134</v>
      </c>
      <c r="L2829" t="s">
        <v>3366</v>
      </c>
      <c r="M2829" t="s">
        <v>11894</v>
      </c>
      <c r="N2829" t="s">
        <v>3361</v>
      </c>
      <c r="O2829" t="s">
        <v>15211</v>
      </c>
      <c r="P2829" t="s">
        <v>3362</v>
      </c>
      <c r="Q2829" t="s">
        <v>3358</v>
      </c>
      <c r="R2829" t="s">
        <v>15211</v>
      </c>
      <c r="S2829" t="s">
        <v>15211</v>
      </c>
      <c r="T2829" t="s">
        <v>3369</v>
      </c>
      <c r="U2829" t="s">
        <v>14691</v>
      </c>
      <c r="V2829" t="s">
        <v>15283</v>
      </c>
    </row>
    <row r="2830" spans="1:22" ht="17.399999999999999" hidden="1">
      <c r="A2830" t="s">
        <v>15403</v>
      </c>
      <c r="B2830" t="s">
        <v>15441</v>
      </c>
      <c r="C2830" t="s">
        <v>15445</v>
      </c>
      <c r="D2830" t="s">
        <v>2825</v>
      </c>
      <c r="E2830" t="s">
        <v>3439</v>
      </c>
      <c r="F2830" t="s">
        <v>3438</v>
      </c>
      <c r="G2830" s="3">
        <v>37.338635414866701</v>
      </c>
      <c r="H2830" s="3">
        <v>127.491813247276</v>
      </c>
      <c r="I2830" t="s">
        <v>6595</v>
      </c>
      <c r="J2830" t="s">
        <v>9951</v>
      </c>
      <c r="K2830" t="s">
        <v>11428</v>
      </c>
      <c r="L2830" t="s">
        <v>3366</v>
      </c>
      <c r="M2830" t="s">
        <v>11895</v>
      </c>
      <c r="N2830" t="s">
        <v>3364</v>
      </c>
      <c r="O2830" t="s">
        <v>3363</v>
      </c>
      <c r="P2830" t="s">
        <v>15211</v>
      </c>
      <c r="Q2830" t="s">
        <v>15211</v>
      </c>
      <c r="R2830" t="s">
        <v>15211</v>
      </c>
      <c r="S2830" t="s">
        <v>15211</v>
      </c>
      <c r="T2830" t="s">
        <v>3371</v>
      </c>
      <c r="U2830" t="s">
        <v>14692</v>
      </c>
      <c r="V2830" t="s">
        <v>15228</v>
      </c>
    </row>
    <row r="2831" spans="1:22" ht="17.399999999999999" hidden="1">
      <c r="A2831" t="s">
        <v>15403</v>
      </c>
      <c r="B2831" t="s">
        <v>15441</v>
      </c>
      <c r="C2831" t="s">
        <v>15445</v>
      </c>
      <c r="D2831" t="s">
        <v>2826</v>
      </c>
      <c r="E2831" t="s">
        <v>3439</v>
      </c>
      <c r="F2831" t="s">
        <v>3438</v>
      </c>
      <c r="G2831" s="3">
        <v>37.338635462252299</v>
      </c>
      <c r="H2831" s="3">
        <v>127.491813234259</v>
      </c>
      <c r="I2831" t="s">
        <v>6596</v>
      </c>
      <c r="J2831" t="s">
        <v>9952</v>
      </c>
      <c r="K2831" t="s">
        <v>11776</v>
      </c>
      <c r="L2831" t="s">
        <v>3366</v>
      </c>
      <c r="M2831" t="s">
        <v>11903</v>
      </c>
      <c r="N2831" t="s">
        <v>3365</v>
      </c>
      <c r="O2831" t="s">
        <v>3363</v>
      </c>
      <c r="P2831" t="s">
        <v>15211</v>
      </c>
      <c r="Q2831" t="s">
        <v>15211</v>
      </c>
      <c r="R2831" t="s">
        <v>15211</v>
      </c>
      <c r="S2831" t="s">
        <v>15211</v>
      </c>
      <c r="T2831" t="s">
        <v>3372</v>
      </c>
      <c r="U2831" t="s">
        <v>14693</v>
      </c>
      <c r="V2831" t="s">
        <v>15228</v>
      </c>
    </row>
    <row r="2832" spans="1:22" ht="17.399999999999999" hidden="1">
      <c r="A2832" t="s">
        <v>15403</v>
      </c>
      <c r="B2832" t="s">
        <v>15441</v>
      </c>
      <c r="C2832" t="s">
        <v>15445</v>
      </c>
      <c r="D2832" t="s">
        <v>2827</v>
      </c>
      <c r="E2832" t="s">
        <v>3439</v>
      </c>
      <c r="F2832" t="s">
        <v>3438</v>
      </c>
      <c r="G2832" s="3">
        <v>37.338635450709603</v>
      </c>
      <c r="H2832" s="3">
        <v>127.49181323385</v>
      </c>
      <c r="I2832" t="s">
        <v>6597</v>
      </c>
      <c r="J2832" t="s">
        <v>9953</v>
      </c>
      <c r="K2832" t="s">
        <v>10632</v>
      </c>
      <c r="L2832" t="s">
        <v>3366</v>
      </c>
      <c r="M2832" t="s">
        <v>11903</v>
      </c>
      <c r="N2832" t="s">
        <v>3365</v>
      </c>
      <c r="O2832" t="s">
        <v>3363</v>
      </c>
      <c r="P2832" t="s">
        <v>15211</v>
      </c>
      <c r="Q2832" t="s">
        <v>15211</v>
      </c>
      <c r="R2832" t="s">
        <v>15211</v>
      </c>
      <c r="S2832" t="s">
        <v>15211</v>
      </c>
      <c r="T2832" t="s">
        <v>3372</v>
      </c>
      <c r="U2832" t="s">
        <v>14694</v>
      </c>
      <c r="V2832" t="s">
        <v>15228</v>
      </c>
    </row>
    <row r="2833" spans="1:22" ht="17.399999999999999" hidden="1">
      <c r="A2833" t="s">
        <v>15403</v>
      </c>
      <c r="B2833" t="s">
        <v>15441</v>
      </c>
      <c r="C2833" t="s">
        <v>15446</v>
      </c>
      <c r="D2833" t="s">
        <v>2828</v>
      </c>
      <c r="E2833" t="s">
        <v>3439</v>
      </c>
      <c r="F2833" t="s">
        <v>3438</v>
      </c>
      <c r="G2833" s="3">
        <v>37.338635456557199</v>
      </c>
      <c r="H2833" s="3">
        <v>127.491813302056</v>
      </c>
      <c r="I2833" t="s">
        <v>6598</v>
      </c>
      <c r="J2833" t="s">
        <v>9954</v>
      </c>
      <c r="K2833" t="s">
        <v>3764</v>
      </c>
      <c r="L2833" t="s">
        <v>3366</v>
      </c>
      <c r="M2833" t="s">
        <v>11903</v>
      </c>
      <c r="N2833" t="s">
        <v>3365</v>
      </c>
      <c r="O2833" t="s">
        <v>3363</v>
      </c>
      <c r="P2833" t="s">
        <v>15211</v>
      </c>
      <c r="Q2833" t="s">
        <v>15211</v>
      </c>
      <c r="R2833" t="s">
        <v>15211</v>
      </c>
      <c r="S2833" t="s">
        <v>15211</v>
      </c>
      <c r="T2833" t="s">
        <v>3372</v>
      </c>
      <c r="U2833" t="s">
        <v>14695</v>
      </c>
      <c r="V2833" t="s">
        <v>15229</v>
      </c>
    </row>
    <row r="2834" spans="1:22" ht="17.399999999999999" hidden="1">
      <c r="A2834" t="s">
        <v>15403</v>
      </c>
      <c r="B2834" t="s">
        <v>15441</v>
      </c>
      <c r="C2834" t="s">
        <v>15446</v>
      </c>
      <c r="D2834" t="s">
        <v>2829</v>
      </c>
      <c r="E2834" t="s">
        <v>3439</v>
      </c>
      <c r="F2834" t="s">
        <v>3438</v>
      </c>
      <c r="G2834" s="3">
        <v>37.338635459551597</v>
      </c>
      <c r="H2834" s="3">
        <v>127.491813301919</v>
      </c>
      <c r="I2834" t="s">
        <v>6599</v>
      </c>
      <c r="J2834" t="s">
        <v>9955</v>
      </c>
      <c r="K2834" t="s">
        <v>3764</v>
      </c>
      <c r="L2834" t="s">
        <v>3366</v>
      </c>
      <c r="M2834" t="s">
        <v>11895</v>
      </c>
      <c r="N2834" t="s">
        <v>3364</v>
      </c>
      <c r="O2834" t="s">
        <v>3363</v>
      </c>
      <c r="P2834" t="s">
        <v>15211</v>
      </c>
      <c r="Q2834" t="s">
        <v>15211</v>
      </c>
      <c r="R2834" t="s">
        <v>15211</v>
      </c>
      <c r="S2834" t="s">
        <v>15211</v>
      </c>
      <c r="T2834" t="s">
        <v>3371</v>
      </c>
      <c r="U2834" t="s">
        <v>14696</v>
      </c>
      <c r="V2834" t="s">
        <v>15229</v>
      </c>
    </row>
    <row r="2835" spans="1:22" ht="17.399999999999999" hidden="1">
      <c r="A2835" t="s">
        <v>15403</v>
      </c>
      <c r="B2835" t="s">
        <v>15441</v>
      </c>
      <c r="C2835" t="s">
        <v>15446</v>
      </c>
      <c r="D2835" t="s">
        <v>2830</v>
      </c>
      <c r="E2835" t="s">
        <v>3439</v>
      </c>
      <c r="F2835" t="s">
        <v>3438</v>
      </c>
      <c r="G2835" s="3">
        <v>37.338635442462298</v>
      </c>
      <c r="H2835" s="3">
        <v>127.491813292967</v>
      </c>
      <c r="I2835" t="s">
        <v>6600</v>
      </c>
      <c r="J2835" t="s">
        <v>9956</v>
      </c>
      <c r="K2835" t="s">
        <v>11777</v>
      </c>
      <c r="L2835" t="s">
        <v>3366</v>
      </c>
      <c r="M2835" t="s">
        <v>11895</v>
      </c>
      <c r="N2835" t="s">
        <v>3365</v>
      </c>
      <c r="O2835" t="s">
        <v>3363</v>
      </c>
      <c r="P2835" t="s">
        <v>15211</v>
      </c>
      <c r="Q2835" t="s">
        <v>15211</v>
      </c>
      <c r="R2835" t="s">
        <v>15211</v>
      </c>
      <c r="S2835" t="s">
        <v>15211</v>
      </c>
      <c r="T2835" t="s">
        <v>3372</v>
      </c>
      <c r="U2835" t="s">
        <v>14697</v>
      </c>
      <c r="V2835" t="s">
        <v>15229</v>
      </c>
    </row>
    <row r="2836" spans="1:22" ht="17.399999999999999" hidden="1">
      <c r="A2836" t="s">
        <v>15403</v>
      </c>
      <c r="B2836" t="s">
        <v>15441</v>
      </c>
      <c r="C2836" t="s">
        <v>15447</v>
      </c>
      <c r="D2836" t="s">
        <v>2831</v>
      </c>
      <c r="E2836" t="s">
        <v>3440</v>
      </c>
      <c r="F2836" t="s">
        <v>3427</v>
      </c>
      <c r="G2836" s="3">
        <v>37.338635335391999</v>
      </c>
      <c r="H2836" s="3">
        <v>127.49181326513001</v>
      </c>
      <c r="I2836" t="s">
        <v>6601</v>
      </c>
      <c r="J2836" t="s">
        <v>9957</v>
      </c>
      <c r="K2836" t="s">
        <v>10891</v>
      </c>
      <c r="L2836" t="s">
        <v>3366</v>
      </c>
      <c r="M2836" t="s">
        <v>11892</v>
      </c>
      <c r="N2836" t="s">
        <v>3365</v>
      </c>
      <c r="O2836" t="s">
        <v>15211</v>
      </c>
      <c r="P2836" t="s">
        <v>15211</v>
      </c>
      <c r="Q2836" t="s">
        <v>15211</v>
      </c>
      <c r="R2836" t="s">
        <v>15211</v>
      </c>
      <c r="S2836" t="s">
        <v>15211</v>
      </c>
      <c r="T2836" t="s">
        <v>3365</v>
      </c>
      <c r="U2836" t="s">
        <v>14698</v>
      </c>
      <c r="V2836" t="s">
        <v>15235</v>
      </c>
    </row>
    <row r="2837" spans="1:22" ht="17.399999999999999" hidden="1">
      <c r="A2837" t="s">
        <v>15403</v>
      </c>
      <c r="B2837" t="s">
        <v>15441</v>
      </c>
      <c r="C2837" t="s">
        <v>15447</v>
      </c>
      <c r="D2837" t="s">
        <v>2832</v>
      </c>
      <c r="E2837" t="s">
        <v>3437</v>
      </c>
      <c r="F2837" t="s">
        <v>3427</v>
      </c>
      <c r="G2837" s="3">
        <v>37.338635344534197</v>
      </c>
      <c r="H2837" s="3">
        <v>127.49181326890699</v>
      </c>
      <c r="I2837" t="s">
        <v>6602</v>
      </c>
      <c r="J2837" t="s">
        <v>9958</v>
      </c>
      <c r="K2837" t="s">
        <v>10726</v>
      </c>
      <c r="L2837" t="s">
        <v>3366</v>
      </c>
      <c r="M2837" t="s">
        <v>11892</v>
      </c>
      <c r="N2837" t="s">
        <v>3364</v>
      </c>
      <c r="O2837" t="s">
        <v>15211</v>
      </c>
      <c r="P2837" t="s">
        <v>15211</v>
      </c>
      <c r="Q2837" t="s">
        <v>15211</v>
      </c>
      <c r="R2837" t="s">
        <v>15211</v>
      </c>
      <c r="S2837" t="s">
        <v>15211</v>
      </c>
      <c r="T2837" t="s">
        <v>3364</v>
      </c>
      <c r="U2837" t="s">
        <v>14699</v>
      </c>
      <c r="V2837" t="s">
        <v>15235</v>
      </c>
    </row>
    <row r="2838" spans="1:22" ht="17.399999999999999" hidden="1">
      <c r="A2838" t="s">
        <v>15403</v>
      </c>
      <c r="B2838" t="s">
        <v>15441</v>
      </c>
      <c r="C2838" t="s">
        <v>15447</v>
      </c>
      <c r="D2838" t="s">
        <v>2833</v>
      </c>
      <c r="E2838" t="s">
        <v>3440</v>
      </c>
      <c r="F2838" t="s">
        <v>3427</v>
      </c>
      <c r="G2838" s="3">
        <v>37.3386353572212</v>
      </c>
      <c r="H2838" s="3">
        <v>127.491813294765</v>
      </c>
      <c r="I2838" t="s">
        <v>6603</v>
      </c>
      <c r="J2838" t="s">
        <v>9959</v>
      </c>
      <c r="K2838" t="s">
        <v>11501</v>
      </c>
      <c r="L2838" t="s">
        <v>3366</v>
      </c>
      <c r="M2838" t="s">
        <v>11892</v>
      </c>
      <c r="N2838" t="s">
        <v>3364</v>
      </c>
      <c r="O2838" t="s">
        <v>15211</v>
      </c>
      <c r="P2838" t="s">
        <v>15211</v>
      </c>
      <c r="Q2838" t="s">
        <v>15211</v>
      </c>
      <c r="R2838" t="s">
        <v>15211</v>
      </c>
      <c r="S2838" t="s">
        <v>15211</v>
      </c>
      <c r="T2838" t="s">
        <v>3364</v>
      </c>
      <c r="U2838" t="s">
        <v>14700</v>
      </c>
      <c r="V2838" t="s">
        <v>15235</v>
      </c>
    </row>
    <row r="2839" spans="1:22" ht="17.399999999999999" hidden="1">
      <c r="A2839" t="s">
        <v>15403</v>
      </c>
      <c r="B2839" t="s">
        <v>15441</v>
      </c>
      <c r="C2839" t="s">
        <v>15448</v>
      </c>
      <c r="D2839" t="s">
        <v>2834</v>
      </c>
      <c r="E2839" t="s">
        <v>3425</v>
      </c>
      <c r="F2839" t="s">
        <v>3432</v>
      </c>
      <c r="G2839" s="3">
        <v>37.3386354337716</v>
      </c>
      <c r="H2839" s="3">
        <v>127.491813303355</v>
      </c>
      <c r="I2839" t="s">
        <v>6604</v>
      </c>
      <c r="J2839" t="s">
        <v>9960</v>
      </c>
      <c r="K2839" t="s">
        <v>10906</v>
      </c>
      <c r="L2839" t="s">
        <v>3366</v>
      </c>
      <c r="M2839" t="s">
        <v>11910</v>
      </c>
      <c r="N2839" t="s">
        <v>3365</v>
      </c>
      <c r="O2839" t="s">
        <v>3363</v>
      </c>
      <c r="P2839" t="s">
        <v>3362</v>
      </c>
      <c r="Q2839" t="s">
        <v>3360</v>
      </c>
      <c r="R2839" t="s">
        <v>3358</v>
      </c>
      <c r="S2839" t="s">
        <v>15211</v>
      </c>
      <c r="T2839" t="s">
        <v>3384</v>
      </c>
      <c r="U2839" t="s">
        <v>14701</v>
      </c>
      <c r="V2839" t="s">
        <v>15230</v>
      </c>
    </row>
    <row r="2840" spans="1:22" ht="17.399999999999999" hidden="1">
      <c r="A2840" t="s">
        <v>15403</v>
      </c>
      <c r="B2840" t="s">
        <v>15441</v>
      </c>
      <c r="C2840" t="s">
        <v>15448</v>
      </c>
      <c r="D2840" t="s">
        <v>2835</v>
      </c>
      <c r="E2840" t="s">
        <v>3425</v>
      </c>
      <c r="F2840" t="s">
        <v>3432</v>
      </c>
      <c r="G2840" s="3">
        <v>37.338635428780698</v>
      </c>
      <c r="H2840" s="3">
        <v>127.491813303857</v>
      </c>
      <c r="I2840" t="s">
        <v>6605</v>
      </c>
      <c r="J2840" t="s">
        <v>9961</v>
      </c>
      <c r="K2840" t="s">
        <v>3657</v>
      </c>
      <c r="L2840" t="s">
        <v>3366</v>
      </c>
      <c r="M2840" t="s">
        <v>11911</v>
      </c>
      <c r="N2840" t="s">
        <v>3366</v>
      </c>
      <c r="O2840" t="s">
        <v>3363</v>
      </c>
      <c r="P2840" t="s">
        <v>3362</v>
      </c>
      <c r="Q2840" t="s">
        <v>3360</v>
      </c>
      <c r="R2840" t="s">
        <v>3358</v>
      </c>
      <c r="S2840" t="s">
        <v>15211</v>
      </c>
      <c r="T2840" t="s">
        <v>3385</v>
      </c>
      <c r="U2840" t="s">
        <v>14702</v>
      </c>
      <c r="V2840" t="s">
        <v>15230</v>
      </c>
    </row>
    <row r="2841" spans="1:22" ht="17.399999999999999" hidden="1">
      <c r="A2841" t="s">
        <v>15403</v>
      </c>
      <c r="B2841" t="s">
        <v>15441</v>
      </c>
      <c r="C2841" t="s">
        <v>15448</v>
      </c>
      <c r="D2841" t="s">
        <v>2836</v>
      </c>
      <c r="E2841" t="s">
        <v>3431</v>
      </c>
      <c r="F2841" t="s">
        <v>3461</v>
      </c>
      <c r="G2841" s="3">
        <v>37.3386354580419</v>
      </c>
      <c r="H2841" s="3">
        <v>127.491813282415</v>
      </c>
      <c r="I2841" t="s">
        <v>6606</v>
      </c>
      <c r="J2841" t="s">
        <v>9962</v>
      </c>
      <c r="K2841" t="s">
        <v>11717</v>
      </c>
      <c r="L2841" t="s">
        <v>3366</v>
      </c>
      <c r="M2841" t="s">
        <v>11911</v>
      </c>
      <c r="N2841" t="s">
        <v>3366</v>
      </c>
      <c r="O2841" t="s">
        <v>3363</v>
      </c>
      <c r="P2841" t="s">
        <v>3362</v>
      </c>
      <c r="Q2841" t="s">
        <v>3360</v>
      </c>
      <c r="R2841" t="s">
        <v>3358</v>
      </c>
      <c r="S2841" t="s">
        <v>15211</v>
      </c>
      <c r="T2841" t="s">
        <v>3385</v>
      </c>
      <c r="U2841" t="s">
        <v>14703</v>
      </c>
      <c r="V2841" t="s">
        <v>15230</v>
      </c>
    </row>
    <row r="2842" spans="1:22" ht="17.399999999999999" hidden="1">
      <c r="A2842" t="s">
        <v>15403</v>
      </c>
      <c r="B2842" t="s">
        <v>15441</v>
      </c>
      <c r="C2842" t="s">
        <v>15449</v>
      </c>
      <c r="D2842" t="s">
        <v>2837</v>
      </c>
      <c r="E2842" t="s">
        <v>3427</v>
      </c>
      <c r="F2842" t="s">
        <v>3435</v>
      </c>
      <c r="G2842" s="3">
        <v>37.338635483469297</v>
      </c>
      <c r="H2842" s="3">
        <v>127.491813227497</v>
      </c>
      <c r="I2842" t="s">
        <v>6607</v>
      </c>
      <c r="J2842" t="s">
        <v>9963</v>
      </c>
      <c r="K2842" t="s">
        <v>11409</v>
      </c>
      <c r="L2842" t="s">
        <v>3366</v>
      </c>
      <c r="M2842" t="s">
        <v>11912</v>
      </c>
      <c r="N2842" t="s">
        <v>3366</v>
      </c>
      <c r="O2842" t="s">
        <v>3361</v>
      </c>
      <c r="P2842" t="s">
        <v>3362</v>
      </c>
      <c r="Q2842" t="s">
        <v>3360</v>
      </c>
      <c r="R2842" t="s">
        <v>3358</v>
      </c>
      <c r="S2842" t="s">
        <v>15211</v>
      </c>
      <c r="T2842" t="s">
        <v>3383</v>
      </c>
      <c r="U2842" t="s">
        <v>14704</v>
      </c>
      <c r="V2842" t="s">
        <v>15231</v>
      </c>
    </row>
    <row r="2843" spans="1:22" ht="17.399999999999999" hidden="1">
      <c r="A2843" t="s">
        <v>15403</v>
      </c>
      <c r="B2843" t="s">
        <v>15441</v>
      </c>
      <c r="C2843" t="s">
        <v>15449</v>
      </c>
      <c r="D2843" t="s">
        <v>2838</v>
      </c>
      <c r="E2843" t="s">
        <v>3427</v>
      </c>
      <c r="F2843" t="s">
        <v>3429</v>
      </c>
      <c r="G2843" s="3">
        <v>37.338635494097197</v>
      </c>
      <c r="H2843" s="3">
        <v>127.491813215975</v>
      </c>
      <c r="I2843" t="s">
        <v>6608</v>
      </c>
      <c r="J2843" t="s">
        <v>9964</v>
      </c>
      <c r="K2843" t="s">
        <v>10758</v>
      </c>
      <c r="L2843" t="s">
        <v>3366</v>
      </c>
      <c r="M2843" t="s">
        <v>11912</v>
      </c>
      <c r="N2843" t="s">
        <v>3365</v>
      </c>
      <c r="O2843" t="s">
        <v>3361</v>
      </c>
      <c r="P2843" t="s">
        <v>3362</v>
      </c>
      <c r="Q2843" t="s">
        <v>3360</v>
      </c>
      <c r="R2843" t="s">
        <v>3358</v>
      </c>
      <c r="S2843" t="s">
        <v>15211</v>
      </c>
      <c r="T2843" t="s">
        <v>3382</v>
      </c>
      <c r="U2843" t="s">
        <v>14705</v>
      </c>
      <c r="V2843" t="s">
        <v>15231</v>
      </c>
    </row>
    <row r="2844" spans="1:22" ht="17.399999999999999" hidden="1">
      <c r="A2844" t="s">
        <v>15403</v>
      </c>
      <c r="B2844" t="s">
        <v>15442</v>
      </c>
      <c r="C2844" t="s">
        <v>15450</v>
      </c>
      <c r="D2844" t="s">
        <v>2839</v>
      </c>
      <c r="E2844" t="s">
        <v>3427</v>
      </c>
      <c r="F2844" t="s">
        <v>3431</v>
      </c>
      <c r="G2844" s="3">
        <v>37.338635539983102</v>
      </c>
      <c r="H2844" s="3">
        <v>127.491813437864</v>
      </c>
      <c r="I2844" t="s">
        <v>6609</v>
      </c>
      <c r="J2844" t="s">
        <v>9965</v>
      </c>
      <c r="K2844" t="s">
        <v>11778</v>
      </c>
      <c r="L2844" t="s">
        <v>3366</v>
      </c>
      <c r="M2844" t="s">
        <v>11901</v>
      </c>
      <c r="N2844" t="s">
        <v>3367</v>
      </c>
      <c r="O2844" t="s">
        <v>3363</v>
      </c>
      <c r="P2844" t="s">
        <v>15211</v>
      </c>
      <c r="Q2844" t="s">
        <v>15211</v>
      </c>
      <c r="R2844" t="s">
        <v>15211</v>
      </c>
      <c r="S2844" t="s">
        <v>15211</v>
      </c>
      <c r="T2844" t="s">
        <v>3374</v>
      </c>
      <c r="U2844" t="s">
        <v>14706</v>
      </c>
      <c r="V2844" t="s">
        <v>15232</v>
      </c>
    </row>
    <row r="2845" spans="1:22" ht="17.399999999999999" hidden="1">
      <c r="A2845" t="s">
        <v>15403</v>
      </c>
      <c r="B2845" t="s">
        <v>15442</v>
      </c>
      <c r="C2845" t="s">
        <v>15450</v>
      </c>
      <c r="D2845" t="s">
        <v>2840</v>
      </c>
      <c r="E2845" t="s">
        <v>3427</v>
      </c>
      <c r="F2845" t="s">
        <v>3431</v>
      </c>
      <c r="G2845" s="3">
        <v>37.338635511044501</v>
      </c>
      <c r="H2845" s="3">
        <v>127.491813488655</v>
      </c>
      <c r="I2845" t="s">
        <v>6610</v>
      </c>
      <c r="J2845" t="s">
        <v>9966</v>
      </c>
      <c r="K2845" t="s">
        <v>10701</v>
      </c>
      <c r="L2845" t="s">
        <v>3366</v>
      </c>
      <c r="M2845" t="s">
        <v>11901</v>
      </c>
      <c r="N2845" t="s">
        <v>3366</v>
      </c>
      <c r="O2845" t="s">
        <v>3363</v>
      </c>
      <c r="P2845" t="s">
        <v>15211</v>
      </c>
      <c r="Q2845" t="s">
        <v>15211</v>
      </c>
      <c r="R2845" t="s">
        <v>15211</v>
      </c>
      <c r="S2845" t="s">
        <v>15211</v>
      </c>
      <c r="T2845" t="s">
        <v>3373</v>
      </c>
      <c r="U2845" t="s">
        <v>14707</v>
      </c>
      <c r="V2845" t="s">
        <v>15232</v>
      </c>
    </row>
    <row r="2846" spans="1:22" ht="17.399999999999999" hidden="1">
      <c r="A2846" t="s">
        <v>15403</v>
      </c>
      <c r="B2846" t="s">
        <v>15442</v>
      </c>
      <c r="C2846" t="s">
        <v>15450</v>
      </c>
      <c r="D2846" t="s">
        <v>2841</v>
      </c>
      <c r="E2846" t="s">
        <v>3427</v>
      </c>
      <c r="F2846" t="s">
        <v>3434</v>
      </c>
      <c r="G2846" s="3">
        <v>37.338635502000699</v>
      </c>
      <c r="H2846" s="3">
        <v>127.49181352938299</v>
      </c>
      <c r="I2846" t="s">
        <v>6611</v>
      </c>
      <c r="J2846" t="s">
        <v>9967</v>
      </c>
      <c r="K2846" t="s">
        <v>3620</v>
      </c>
      <c r="L2846" t="s">
        <v>3366</v>
      </c>
      <c r="M2846" t="s">
        <v>11898</v>
      </c>
      <c r="N2846" t="s">
        <v>3367</v>
      </c>
      <c r="O2846" t="s">
        <v>3363</v>
      </c>
      <c r="P2846" t="s">
        <v>15211</v>
      </c>
      <c r="Q2846" t="s">
        <v>15211</v>
      </c>
      <c r="R2846" t="s">
        <v>15211</v>
      </c>
      <c r="S2846" t="s">
        <v>15211</v>
      </c>
      <c r="T2846" t="s">
        <v>3374</v>
      </c>
      <c r="U2846" t="s">
        <v>14708</v>
      </c>
      <c r="V2846" t="s">
        <v>15232</v>
      </c>
    </row>
    <row r="2847" spans="1:22" ht="17.399999999999999" hidden="1">
      <c r="A2847" t="s">
        <v>15403</v>
      </c>
      <c r="B2847" t="s">
        <v>15442</v>
      </c>
      <c r="C2847" t="s">
        <v>15445</v>
      </c>
      <c r="D2847" t="s">
        <v>2842</v>
      </c>
      <c r="E2847" t="s">
        <v>3439</v>
      </c>
      <c r="F2847" t="s">
        <v>3440</v>
      </c>
      <c r="G2847" s="3">
        <v>37.338635529957699</v>
      </c>
      <c r="H2847" s="3">
        <v>127.491813288768</v>
      </c>
      <c r="I2847" t="s">
        <v>6612</v>
      </c>
      <c r="J2847" t="s">
        <v>9968</v>
      </c>
      <c r="K2847" t="s">
        <v>11779</v>
      </c>
      <c r="L2847" t="s">
        <v>3366</v>
      </c>
      <c r="M2847" t="s">
        <v>11901</v>
      </c>
      <c r="N2847" t="s">
        <v>3366</v>
      </c>
      <c r="O2847" t="s">
        <v>3363</v>
      </c>
      <c r="P2847" t="s">
        <v>15211</v>
      </c>
      <c r="Q2847" t="s">
        <v>15211</v>
      </c>
      <c r="R2847" t="s">
        <v>15211</v>
      </c>
      <c r="S2847" t="s">
        <v>15211</v>
      </c>
      <c r="T2847" t="s">
        <v>3373</v>
      </c>
      <c r="U2847" t="s">
        <v>14709</v>
      </c>
      <c r="V2847" t="s">
        <v>15233</v>
      </c>
    </row>
    <row r="2848" spans="1:22" ht="17.399999999999999" hidden="1">
      <c r="A2848" t="s">
        <v>15403</v>
      </c>
      <c r="B2848" t="s">
        <v>15442</v>
      </c>
      <c r="C2848" t="s">
        <v>15445</v>
      </c>
      <c r="D2848" t="s">
        <v>2843</v>
      </c>
      <c r="E2848" t="s">
        <v>3439</v>
      </c>
      <c r="F2848" t="s">
        <v>3440</v>
      </c>
      <c r="G2848" s="3">
        <v>37.338635509546897</v>
      </c>
      <c r="H2848" s="3">
        <v>127.491813283041</v>
      </c>
      <c r="I2848" t="s">
        <v>6613</v>
      </c>
      <c r="J2848" t="s">
        <v>9969</v>
      </c>
      <c r="K2848" t="s">
        <v>10841</v>
      </c>
      <c r="L2848" t="s">
        <v>3366</v>
      </c>
      <c r="M2848" t="s">
        <v>11901</v>
      </c>
      <c r="N2848" t="s">
        <v>3366</v>
      </c>
      <c r="O2848" t="s">
        <v>3363</v>
      </c>
      <c r="P2848" t="s">
        <v>15211</v>
      </c>
      <c r="Q2848" t="s">
        <v>15211</v>
      </c>
      <c r="R2848" t="s">
        <v>15211</v>
      </c>
      <c r="S2848" t="s">
        <v>15211</v>
      </c>
      <c r="T2848" t="s">
        <v>3373</v>
      </c>
      <c r="U2848" t="s">
        <v>14710</v>
      </c>
      <c r="V2848" t="s">
        <v>15233</v>
      </c>
    </row>
    <row r="2849" spans="1:22" ht="17.399999999999999" hidden="1">
      <c r="A2849" t="s">
        <v>15403</v>
      </c>
      <c r="B2849" t="s">
        <v>15442</v>
      </c>
      <c r="C2849" t="s">
        <v>15445</v>
      </c>
      <c r="D2849" t="s">
        <v>2844</v>
      </c>
      <c r="E2849" t="s">
        <v>3439</v>
      </c>
      <c r="F2849" t="s">
        <v>3440</v>
      </c>
      <c r="G2849" s="3">
        <v>37.338635495228601</v>
      </c>
      <c r="H2849" s="3">
        <v>127.491813305367</v>
      </c>
      <c r="I2849" t="s">
        <v>6614</v>
      </c>
      <c r="J2849" t="s">
        <v>9970</v>
      </c>
      <c r="K2849" t="s">
        <v>11668</v>
      </c>
      <c r="L2849" t="s">
        <v>3366</v>
      </c>
      <c r="M2849" t="s">
        <v>11901</v>
      </c>
      <c r="N2849" t="s">
        <v>3366</v>
      </c>
      <c r="O2849" t="s">
        <v>3363</v>
      </c>
      <c r="P2849" t="s">
        <v>15211</v>
      </c>
      <c r="Q2849" t="s">
        <v>15211</v>
      </c>
      <c r="R2849" t="s">
        <v>15211</v>
      </c>
      <c r="S2849" t="s">
        <v>15211</v>
      </c>
      <c r="T2849" t="s">
        <v>3373</v>
      </c>
      <c r="U2849" t="s">
        <v>14711</v>
      </c>
      <c r="V2849" t="s">
        <v>15233</v>
      </c>
    </row>
    <row r="2850" spans="1:22" ht="17.399999999999999" hidden="1">
      <c r="A2850" t="s">
        <v>15403</v>
      </c>
      <c r="B2850" t="s">
        <v>15442</v>
      </c>
      <c r="C2850" t="s">
        <v>15451</v>
      </c>
      <c r="D2850" t="s">
        <v>2845</v>
      </c>
      <c r="E2850" t="s">
        <v>3443</v>
      </c>
      <c r="F2850" t="s">
        <v>3440</v>
      </c>
      <c r="G2850" s="3">
        <v>37.338635476904301</v>
      </c>
      <c r="H2850" s="3">
        <v>127.49181324276</v>
      </c>
      <c r="I2850" t="s">
        <v>6615</v>
      </c>
      <c r="J2850" t="s">
        <v>9971</v>
      </c>
      <c r="K2850" t="s">
        <v>11659</v>
      </c>
      <c r="L2850" t="s">
        <v>3366</v>
      </c>
      <c r="M2850" t="s">
        <v>11910</v>
      </c>
      <c r="N2850" t="s">
        <v>3366</v>
      </c>
      <c r="O2850" t="s">
        <v>3362</v>
      </c>
      <c r="P2850" t="s">
        <v>3360</v>
      </c>
      <c r="Q2850" t="s">
        <v>3359</v>
      </c>
      <c r="R2850" t="s">
        <v>15211</v>
      </c>
      <c r="S2850" t="s">
        <v>15211</v>
      </c>
      <c r="T2850" t="s">
        <v>3379</v>
      </c>
      <c r="U2850" t="s">
        <v>14712</v>
      </c>
      <c r="V2850" t="s">
        <v>15234</v>
      </c>
    </row>
    <row r="2851" spans="1:22" ht="17.399999999999999" hidden="1">
      <c r="A2851" t="s">
        <v>15403</v>
      </c>
      <c r="B2851" t="s">
        <v>15442</v>
      </c>
      <c r="C2851" t="s">
        <v>15451</v>
      </c>
      <c r="D2851" t="s">
        <v>2846</v>
      </c>
      <c r="E2851" t="s">
        <v>3443</v>
      </c>
      <c r="F2851" t="s">
        <v>3440</v>
      </c>
      <c r="G2851" s="3">
        <v>37.338635484301001</v>
      </c>
      <c r="H2851" s="3">
        <v>127.491813229347</v>
      </c>
      <c r="I2851" t="s">
        <v>6616</v>
      </c>
      <c r="J2851" t="s">
        <v>9972</v>
      </c>
      <c r="K2851" t="s">
        <v>11659</v>
      </c>
      <c r="L2851" t="s">
        <v>3366</v>
      </c>
      <c r="M2851" t="s">
        <v>11910</v>
      </c>
      <c r="N2851" t="s">
        <v>3367</v>
      </c>
      <c r="O2851" t="s">
        <v>3363</v>
      </c>
      <c r="P2851" t="s">
        <v>3362</v>
      </c>
      <c r="Q2851" t="s">
        <v>3360</v>
      </c>
      <c r="R2851" t="s">
        <v>15211</v>
      </c>
      <c r="S2851" t="s">
        <v>15211</v>
      </c>
      <c r="T2851" t="s">
        <v>3384</v>
      </c>
      <c r="U2851" t="s">
        <v>14713</v>
      </c>
      <c r="V2851" t="s">
        <v>15234</v>
      </c>
    </row>
    <row r="2852" spans="1:22" ht="17.399999999999999" hidden="1">
      <c r="A2852" t="s">
        <v>15403</v>
      </c>
      <c r="B2852" t="s">
        <v>15442</v>
      </c>
      <c r="C2852" t="s">
        <v>15451</v>
      </c>
      <c r="D2852" t="s">
        <v>2847</v>
      </c>
      <c r="E2852" t="s">
        <v>3443</v>
      </c>
      <c r="F2852" t="s">
        <v>3438</v>
      </c>
      <c r="G2852" s="3">
        <v>37.338635470637797</v>
      </c>
      <c r="H2852" s="3">
        <v>127.491813233153</v>
      </c>
      <c r="I2852" t="s">
        <v>6617</v>
      </c>
      <c r="J2852" t="s">
        <v>9973</v>
      </c>
      <c r="K2852" t="s">
        <v>11659</v>
      </c>
      <c r="L2852" t="s">
        <v>3366</v>
      </c>
      <c r="M2852" t="s">
        <v>11910</v>
      </c>
      <c r="N2852" t="s">
        <v>3367</v>
      </c>
      <c r="O2852" t="s">
        <v>3363</v>
      </c>
      <c r="P2852" t="s">
        <v>3362</v>
      </c>
      <c r="Q2852" t="s">
        <v>3360</v>
      </c>
      <c r="R2852" t="s">
        <v>15211</v>
      </c>
      <c r="S2852" t="s">
        <v>15211</v>
      </c>
      <c r="T2852" t="s">
        <v>3384</v>
      </c>
      <c r="U2852" t="s">
        <v>14709</v>
      </c>
      <c r="V2852" t="s">
        <v>15234</v>
      </c>
    </row>
    <row r="2853" spans="1:22" ht="17.399999999999999">
      <c r="A2853" t="s">
        <v>15403</v>
      </c>
      <c r="B2853" t="s">
        <v>15443</v>
      </c>
      <c r="C2853" t="s">
        <v>15452</v>
      </c>
      <c r="D2853" t="s">
        <v>2848</v>
      </c>
      <c r="E2853" t="s">
        <v>3541</v>
      </c>
      <c r="F2853" t="s">
        <v>3493</v>
      </c>
      <c r="G2853" s="3">
        <v>37.338636183788402</v>
      </c>
      <c r="H2853" s="3">
        <v>127.49181424047499</v>
      </c>
      <c r="I2853" t="s">
        <v>6618</v>
      </c>
      <c r="J2853" t="s">
        <v>9974</v>
      </c>
      <c r="K2853" t="s">
        <v>11780</v>
      </c>
      <c r="L2853" t="s">
        <v>3366</v>
      </c>
      <c r="M2853" t="s">
        <v>11885</v>
      </c>
      <c r="N2853" t="s">
        <v>3363</v>
      </c>
      <c r="O2853" t="s">
        <v>15211</v>
      </c>
      <c r="P2853" t="s">
        <v>3361</v>
      </c>
      <c r="Q2853" t="s">
        <v>15211</v>
      </c>
      <c r="R2853" t="s">
        <v>15211</v>
      </c>
      <c r="S2853" t="s">
        <v>15211</v>
      </c>
      <c r="T2853" t="s">
        <v>3368</v>
      </c>
      <c r="U2853" t="s">
        <v>14714</v>
      </c>
      <c r="V2853" t="s">
        <v>15220</v>
      </c>
    </row>
    <row r="2854" spans="1:22" ht="17.399999999999999">
      <c r="A2854" t="s">
        <v>15403</v>
      </c>
      <c r="B2854" t="s">
        <v>15443</v>
      </c>
      <c r="C2854" t="s">
        <v>15452</v>
      </c>
      <c r="D2854" t="s">
        <v>2849</v>
      </c>
      <c r="E2854" t="s">
        <v>3565</v>
      </c>
      <c r="F2854" t="s">
        <v>3665</v>
      </c>
      <c r="G2854" s="3">
        <v>37.338636154277602</v>
      </c>
      <c r="H2854" s="3">
        <v>127.491814283518</v>
      </c>
      <c r="I2854" t="s">
        <v>6619</v>
      </c>
      <c r="J2854" t="s">
        <v>9975</v>
      </c>
      <c r="K2854" t="s">
        <v>11105</v>
      </c>
      <c r="L2854" t="s">
        <v>3366</v>
      </c>
      <c r="M2854" t="s">
        <v>11885</v>
      </c>
      <c r="N2854" t="s">
        <v>3363</v>
      </c>
      <c r="O2854" t="s">
        <v>15211</v>
      </c>
      <c r="P2854" t="s">
        <v>3361</v>
      </c>
      <c r="Q2854" t="s">
        <v>15211</v>
      </c>
      <c r="R2854" t="s">
        <v>15211</v>
      </c>
      <c r="S2854" t="s">
        <v>15211</v>
      </c>
      <c r="T2854" t="s">
        <v>3368</v>
      </c>
      <c r="U2854" t="s">
        <v>14715</v>
      </c>
      <c r="V2854" t="s">
        <v>15220</v>
      </c>
    </row>
    <row r="2855" spans="1:22" ht="17.399999999999999">
      <c r="A2855" t="s">
        <v>15403</v>
      </c>
      <c r="B2855" t="s">
        <v>15443</v>
      </c>
      <c r="C2855" t="s">
        <v>15452</v>
      </c>
      <c r="D2855" t="s">
        <v>2850</v>
      </c>
      <c r="E2855" t="s">
        <v>3445</v>
      </c>
      <c r="F2855" t="s">
        <v>3553</v>
      </c>
      <c r="G2855" s="3">
        <v>37.338636211452503</v>
      </c>
      <c r="H2855" s="3">
        <v>127.49181419964999</v>
      </c>
      <c r="I2855" t="s">
        <v>6620</v>
      </c>
      <c r="J2855" t="s">
        <v>9976</v>
      </c>
      <c r="K2855" t="s">
        <v>11740</v>
      </c>
      <c r="L2855" t="s">
        <v>3366</v>
      </c>
      <c r="M2855" t="s">
        <v>11885</v>
      </c>
      <c r="N2855" t="s">
        <v>3363</v>
      </c>
      <c r="O2855" t="s">
        <v>15211</v>
      </c>
      <c r="P2855" t="s">
        <v>3361</v>
      </c>
      <c r="Q2855" t="s">
        <v>15211</v>
      </c>
      <c r="R2855" t="s">
        <v>15211</v>
      </c>
      <c r="S2855" t="s">
        <v>15211</v>
      </c>
      <c r="T2855" t="s">
        <v>3368</v>
      </c>
      <c r="U2855" t="s">
        <v>14716</v>
      </c>
      <c r="V2855" t="s">
        <v>15220</v>
      </c>
    </row>
    <row r="2856" spans="1:22" ht="17.399999999999999">
      <c r="A2856" t="s">
        <v>15403</v>
      </c>
      <c r="B2856" t="s">
        <v>15443</v>
      </c>
      <c r="C2856" t="s">
        <v>15452</v>
      </c>
      <c r="D2856" t="s">
        <v>2851</v>
      </c>
      <c r="E2856" t="s">
        <v>3445</v>
      </c>
      <c r="F2856" t="s">
        <v>3701</v>
      </c>
      <c r="G2856" s="3">
        <v>37.338636188361399</v>
      </c>
      <c r="H2856" s="3">
        <v>127.491814179</v>
      </c>
      <c r="I2856" t="s">
        <v>6621</v>
      </c>
      <c r="J2856" t="s">
        <v>9977</v>
      </c>
      <c r="K2856" t="s">
        <v>11740</v>
      </c>
      <c r="L2856" t="s">
        <v>3366</v>
      </c>
      <c r="M2856" t="s">
        <v>11885</v>
      </c>
      <c r="N2856" t="s">
        <v>3363</v>
      </c>
      <c r="O2856" t="s">
        <v>15211</v>
      </c>
      <c r="P2856" t="s">
        <v>3361</v>
      </c>
      <c r="Q2856" t="s">
        <v>15211</v>
      </c>
      <c r="R2856" t="s">
        <v>15211</v>
      </c>
      <c r="S2856" t="s">
        <v>15211</v>
      </c>
      <c r="T2856" t="s">
        <v>3368</v>
      </c>
      <c r="U2856" t="s">
        <v>14717</v>
      </c>
      <c r="V2856" t="s">
        <v>15220</v>
      </c>
    </row>
    <row r="2857" spans="1:22" ht="17.399999999999999">
      <c r="A2857" t="s">
        <v>15403</v>
      </c>
      <c r="B2857" t="s">
        <v>15443</v>
      </c>
      <c r="C2857" t="s">
        <v>15452</v>
      </c>
      <c r="D2857" t="s">
        <v>2852</v>
      </c>
      <c r="E2857" t="s">
        <v>3535</v>
      </c>
      <c r="F2857" t="s">
        <v>3552</v>
      </c>
      <c r="G2857" s="3">
        <v>37.338636237602799</v>
      </c>
      <c r="H2857" s="3">
        <v>127.49181418240801</v>
      </c>
      <c r="I2857" t="s">
        <v>6622</v>
      </c>
      <c r="J2857" t="s">
        <v>9978</v>
      </c>
      <c r="K2857" t="s">
        <v>10653</v>
      </c>
      <c r="L2857" t="s">
        <v>3366</v>
      </c>
      <c r="M2857" t="s">
        <v>11885</v>
      </c>
      <c r="N2857" t="s">
        <v>3363</v>
      </c>
      <c r="O2857" t="s">
        <v>15211</v>
      </c>
      <c r="P2857" t="s">
        <v>3361</v>
      </c>
      <c r="Q2857" t="s">
        <v>15211</v>
      </c>
      <c r="R2857" t="s">
        <v>15211</v>
      </c>
      <c r="S2857" t="s">
        <v>15211</v>
      </c>
      <c r="T2857" t="s">
        <v>3368</v>
      </c>
      <c r="U2857" t="s">
        <v>14718</v>
      </c>
      <c r="V2857" t="s">
        <v>15220</v>
      </c>
    </row>
    <row r="2858" spans="1:22" ht="17.399999999999999" hidden="1">
      <c r="A2858" t="s">
        <v>15403</v>
      </c>
      <c r="B2858" t="s">
        <v>15443</v>
      </c>
      <c r="C2858" t="s">
        <v>15494</v>
      </c>
      <c r="D2858" t="s">
        <v>2853</v>
      </c>
      <c r="E2858" t="s">
        <v>3441</v>
      </c>
      <c r="F2858" t="s">
        <v>3449</v>
      </c>
      <c r="G2858" s="3">
        <v>37.338636106210799</v>
      </c>
      <c r="H2858" s="3">
        <v>127.491814029015</v>
      </c>
      <c r="I2858" t="s">
        <v>6623</v>
      </c>
      <c r="J2858" t="s">
        <v>9979</v>
      </c>
      <c r="K2858" t="s">
        <v>10603</v>
      </c>
      <c r="L2858" t="s">
        <v>3366</v>
      </c>
      <c r="M2858" t="s">
        <v>11890</v>
      </c>
      <c r="N2858" t="s">
        <v>3364</v>
      </c>
      <c r="O2858" t="s">
        <v>15211</v>
      </c>
      <c r="P2858" t="s">
        <v>3361</v>
      </c>
      <c r="Q2858" t="s">
        <v>15211</v>
      </c>
      <c r="R2858" t="s">
        <v>15211</v>
      </c>
      <c r="S2858" t="s">
        <v>15211</v>
      </c>
      <c r="T2858" t="s">
        <v>3369</v>
      </c>
      <c r="U2858" t="s">
        <v>14719</v>
      </c>
      <c r="V2858" t="s">
        <v>15284</v>
      </c>
    </row>
    <row r="2859" spans="1:22" ht="17.399999999999999" hidden="1">
      <c r="A2859" t="s">
        <v>15403</v>
      </c>
      <c r="B2859" t="s">
        <v>15443</v>
      </c>
      <c r="C2859" t="s">
        <v>15494</v>
      </c>
      <c r="D2859" t="s">
        <v>2854</v>
      </c>
      <c r="E2859" t="s">
        <v>3441</v>
      </c>
      <c r="F2859" t="s">
        <v>3460</v>
      </c>
      <c r="G2859" s="3">
        <v>37.338636115606597</v>
      </c>
      <c r="H2859" s="3">
        <v>127.49181402482201</v>
      </c>
      <c r="I2859" t="s">
        <v>6624</v>
      </c>
      <c r="J2859" t="s">
        <v>9980</v>
      </c>
      <c r="K2859" t="s">
        <v>11728</v>
      </c>
      <c r="L2859" t="s">
        <v>3366</v>
      </c>
      <c r="M2859" t="s">
        <v>11890</v>
      </c>
      <c r="N2859" t="s">
        <v>3364</v>
      </c>
      <c r="O2859" t="s">
        <v>15211</v>
      </c>
      <c r="P2859" t="s">
        <v>3361</v>
      </c>
      <c r="Q2859" t="s">
        <v>15211</v>
      </c>
      <c r="R2859" t="s">
        <v>15211</v>
      </c>
      <c r="S2859" t="s">
        <v>15211</v>
      </c>
      <c r="T2859" t="s">
        <v>3369</v>
      </c>
      <c r="U2859" t="s">
        <v>14720</v>
      </c>
      <c r="V2859" t="s">
        <v>15284</v>
      </c>
    </row>
    <row r="2860" spans="1:22" ht="17.399999999999999" hidden="1">
      <c r="A2860" t="s">
        <v>15403</v>
      </c>
      <c r="B2860" t="s">
        <v>15443</v>
      </c>
      <c r="C2860" t="s">
        <v>15494</v>
      </c>
      <c r="D2860" t="s">
        <v>2855</v>
      </c>
      <c r="E2860" t="s">
        <v>3432</v>
      </c>
      <c r="F2860" t="s">
        <v>3449</v>
      </c>
      <c r="G2860" s="3">
        <v>37.338636153579699</v>
      </c>
      <c r="H2860" s="3">
        <v>127.49181402417101</v>
      </c>
      <c r="I2860" t="s">
        <v>6625</v>
      </c>
      <c r="J2860" t="s">
        <v>9981</v>
      </c>
      <c r="K2860" t="s">
        <v>11353</v>
      </c>
      <c r="L2860" t="s">
        <v>3366</v>
      </c>
      <c r="M2860" t="s">
        <v>11890</v>
      </c>
      <c r="N2860" t="s">
        <v>3364</v>
      </c>
      <c r="O2860" t="s">
        <v>15211</v>
      </c>
      <c r="P2860" t="s">
        <v>3361</v>
      </c>
      <c r="Q2860" t="s">
        <v>15211</v>
      </c>
      <c r="R2860" t="s">
        <v>15211</v>
      </c>
      <c r="S2860" t="s">
        <v>15211</v>
      </c>
      <c r="T2860" t="s">
        <v>3369</v>
      </c>
      <c r="U2860" t="s">
        <v>14721</v>
      </c>
      <c r="V2860" t="s">
        <v>15284</v>
      </c>
    </row>
    <row r="2861" spans="1:22" ht="17.399999999999999" hidden="1">
      <c r="A2861" t="s">
        <v>15393</v>
      </c>
      <c r="B2861" t="s">
        <v>15442</v>
      </c>
      <c r="C2861" t="s">
        <v>15451</v>
      </c>
      <c r="D2861" t="s">
        <v>2242</v>
      </c>
      <c r="E2861" t="s">
        <v>3438</v>
      </c>
      <c r="F2861" t="s">
        <v>3429</v>
      </c>
      <c r="G2861" s="3">
        <v>36.9745326923926</v>
      </c>
      <c r="H2861" s="3">
        <v>127.31365975520799</v>
      </c>
      <c r="I2861" t="s">
        <v>6009</v>
      </c>
      <c r="J2861" t="s">
        <v>9365</v>
      </c>
      <c r="K2861" t="s">
        <v>11040</v>
      </c>
      <c r="L2861" t="s">
        <v>3367</v>
      </c>
      <c r="M2861" t="s">
        <v>11888</v>
      </c>
      <c r="N2861" t="s">
        <v>3363</v>
      </c>
      <c r="O2861" t="s">
        <v>3361</v>
      </c>
      <c r="P2861" t="s">
        <v>3364</v>
      </c>
      <c r="Q2861" t="s">
        <v>3358</v>
      </c>
      <c r="R2861" t="s">
        <v>15211</v>
      </c>
      <c r="S2861" t="s">
        <v>15211</v>
      </c>
      <c r="T2861" t="s">
        <v>3378</v>
      </c>
      <c r="U2861" t="s">
        <v>14120</v>
      </c>
      <c r="V2861" t="s">
        <v>15234</v>
      </c>
    </row>
    <row r="2862" spans="1:22" ht="17.399999999999999" hidden="1">
      <c r="A2862" t="s">
        <v>15393</v>
      </c>
      <c r="B2862" t="s">
        <v>15442</v>
      </c>
      <c r="C2862" t="s">
        <v>15451</v>
      </c>
      <c r="D2862" t="s">
        <v>2243</v>
      </c>
      <c r="E2862" t="s">
        <v>3428</v>
      </c>
      <c r="F2862" t="s">
        <v>3453</v>
      </c>
      <c r="G2862" s="3">
        <v>36.974532725568103</v>
      </c>
      <c r="H2862" s="3">
        <v>127.313659726441</v>
      </c>
      <c r="I2862" t="s">
        <v>6010</v>
      </c>
      <c r="J2862" t="s">
        <v>9366</v>
      </c>
      <c r="K2862" t="s">
        <v>11259</v>
      </c>
      <c r="L2862" t="s">
        <v>3366</v>
      </c>
      <c r="M2862" t="s">
        <v>11889</v>
      </c>
      <c r="N2862" t="s">
        <v>3363</v>
      </c>
      <c r="O2862" t="s">
        <v>3361</v>
      </c>
      <c r="P2862" t="s">
        <v>3364</v>
      </c>
      <c r="Q2862" t="s">
        <v>3358</v>
      </c>
      <c r="R2862" t="s">
        <v>15211</v>
      </c>
      <c r="S2862" t="s">
        <v>15211</v>
      </c>
      <c r="T2862" t="s">
        <v>3378</v>
      </c>
      <c r="U2862" t="s">
        <v>14121</v>
      </c>
      <c r="V2862" t="s">
        <v>15234</v>
      </c>
    </row>
    <row r="2863" spans="1:22" ht="17.399999999999999" hidden="1">
      <c r="A2863" t="s">
        <v>15393</v>
      </c>
      <c r="B2863" t="s">
        <v>15442</v>
      </c>
      <c r="C2863" t="s">
        <v>15451</v>
      </c>
      <c r="D2863" t="s">
        <v>2244</v>
      </c>
      <c r="E2863" t="s">
        <v>3436</v>
      </c>
      <c r="F2863" t="s">
        <v>3452</v>
      </c>
      <c r="G2863" s="3">
        <v>36.974532771524601</v>
      </c>
      <c r="H2863" s="3">
        <v>127.313659743681</v>
      </c>
      <c r="I2863" t="s">
        <v>6011</v>
      </c>
      <c r="J2863" t="s">
        <v>9367</v>
      </c>
      <c r="K2863" t="s">
        <v>11631</v>
      </c>
      <c r="L2863" t="s">
        <v>3366</v>
      </c>
      <c r="M2863" t="s">
        <v>11889</v>
      </c>
      <c r="N2863" t="s">
        <v>3363</v>
      </c>
      <c r="O2863" t="s">
        <v>3361</v>
      </c>
      <c r="P2863" t="s">
        <v>3364</v>
      </c>
      <c r="Q2863" t="s">
        <v>3358</v>
      </c>
      <c r="R2863" t="s">
        <v>15211</v>
      </c>
      <c r="S2863" t="s">
        <v>15211</v>
      </c>
      <c r="T2863" t="s">
        <v>3378</v>
      </c>
      <c r="U2863" t="s">
        <v>14122</v>
      </c>
      <c r="V2863" t="s">
        <v>15234</v>
      </c>
    </row>
    <row r="2864" spans="1:22" ht="17.399999999999999">
      <c r="A2864" t="s">
        <v>15393</v>
      </c>
      <c r="B2864" t="s">
        <v>15443</v>
      </c>
      <c r="C2864" t="s">
        <v>15452</v>
      </c>
      <c r="D2864" t="s">
        <v>2245</v>
      </c>
      <c r="E2864" t="s">
        <v>3543</v>
      </c>
      <c r="F2864" t="s">
        <v>3536</v>
      </c>
      <c r="G2864" s="3">
        <v>36.974532784958498</v>
      </c>
      <c r="H2864" s="3">
        <v>127.313660731544</v>
      </c>
      <c r="I2864" t="s">
        <v>6012</v>
      </c>
      <c r="J2864" t="s">
        <v>9368</v>
      </c>
      <c r="K2864" t="s">
        <v>10612</v>
      </c>
      <c r="L2864" t="s">
        <v>3366</v>
      </c>
      <c r="M2864" t="s">
        <v>11895</v>
      </c>
      <c r="N2864" t="s">
        <v>3363</v>
      </c>
      <c r="O2864" t="s">
        <v>15211</v>
      </c>
      <c r="P2864" t="s">
        <v>3363</v>
      </c>
      <c r="Q2864" t="s">
        <v>3357</v>
      </c>
      <c r="R2864" t="s">
        <v>15211</v>
      </c>
      <c r="S2864" t="s">
        <v>15211</v>
      </c>
      <c r="T2864" t="s">
        <v>3371</v>
      </c>
      <c r="U2864" t="s">
        <v>14123</v>
      </c>
      <c r="V2864" t="s">
        <v>15220</v>
      </c>
    </row>
    <row r="2865" spans="1:22" ht="17.399999999999999">
      <c r="A2865" t="s">
        <v>15393</v>
      </c>
      <c r="B2865" t="s">
        <v>15443</v>
      </c>
      <c r="C2865" t="s">
        <v>15452</v>
      </c>
      <c r="D2865" t="s">
        <v>2246</v>
      </c>
      <c r="E2865" t="s">
        <v>3543</v>
      </c>
      <c r="F2865" t="s">
        <v>3533</v>
      </c>
      <c r="G2865" s="3">
        <v>36.974532778712103</v>
      </c>
      <c r="H2865" s="3">
        <v>127.313660742202</v>
      </c>
      <c r="I2865" t="s">
        <v>6013</v>
      </c>
      <c r="J2865" t="s">
        <v>9369</v>
      </c>
      <c r="K2865" t="s">
        <v>11632</v>
      </c>
      <c r="L2865" t="s">
        <v>3366</v>
      </c>
      <c r="M2865" t="s">
        <v>11903</v>
      </c>
      <c r="N2865" t="s">
        <v>3363</v>
      </c>
      <c r="O2865" t="s">
        <v>15211</v>
      </c>
      <c r="P2865" t="s">
        <v>3364</v>
      </c>
      <c r="Q2865" t="s">
        <v>3357</v>
      </c>
      <c r="R2865" t="s">
        <v>15211</v>
      </c>
      <c r="S2865" t="s">
        <v>15211</v>
      </c>
      <c r="T2865" t="s">
        <v>3372</v>
      </c>
      <c r="U2865" t="s">
        <v>14124</v>
      </c>
      <c r="V2865" t="s">
        <v>15220</v>
      </c>
    </row>
    <row r="2866" spans="1:22" ht="17.399999999999999">
      <c r="A2866" t="s">
        <v>15393</v>
      </c>
      <c r="B2866" t="s">
        <v>15443</v>
      </c>
      <c r="C2866" t="s">
        <v>15452</v>
      </c>
      <c r="D2866" t="s">
        <v>2247</v>
      </c>
      <c r="E2866" t="s">
        <v>3458</v>
      </c>
      <c r="F2866" t="s">
        <v>3536</v>
      </c>
      <c r="G2866" s="3">
        <v>36.974532754356801</v>
      </c>
      <c r="H2866" s="3">
        <v>127.313660693914</v>
      </c>
      <c r="I2866" t="s">
        <v>6014</v>
      </c>
      <c r="J2866" t="s">
        <v>9370</v>
      </c>
      <c r="K2866" t="s">
        <v>10576</v>
      </c>
      <c r="L2866" t="s">
        <v>3366</v>
      </c>
      <c r="M2866" t="s">
        <v>11903</v>
      </c>
      <c r="N2866" t="s">
        <v>3363</v>
      </c>
      <c r="O2866" t="s">
        <v>15211</v>
      </c>
      <c r="P2866" t="s">
        <v>3363</v>
      </c>
      <c r="Q2866" t="s">
        <v>3357</v>
      </c>
      <c r="R2866" t="s">
        <v>15211</v>
      </c>
      <c r="S2866" t="s">
        <v>15211</v>
      </c>
      <c r="T2866" t="s">
        <v>3371</v>
      </c>
      <c r="U2866" t="s">
        <v>14125</v>
      </c>
      <c r="V2866" t="s">
        <v>15220</v>
      </c>
    </row>
    <row r="2867" spans="1:22" ht="17.399999999999999">
      <c r="A2867" t="s">
        <v>15393</v>
      </c>
      <c r="B2867" t="s">
        <v>15443</v>
      </c>
      <c r="C2867" t="s">
        <v>15452</v>
      </c>
      <c r="D2867" t="s">
        <v>2248</v>
      </c>
      <c r="E2867" t="s">
        <v>3466</v>
      </c>
      <c r="F2867" t="s">
        <v>3539</v>
      </c>
      <c r="G2867" s="3">
        <v>36.974532785283003</v>
      </c>
      <c r="H2867" s="3">
        <v>127.313660563241</v>
      </c>
      <c r="I2867" t="s">
        <v>6015</v>
      </c>
      <c r="J2867" t="s">
        <v>9371</v>
      </c>
      <c r="K2867" t="s">
        <v>10743</v>
      </c>
      <c r="L2867" t="s">
        <v>3367</v>
      </c>
      <c r="M2867" t="s">
        <v>11894</v>
      </c>
      <c r="N2867" t="s">
        <v>3361</v>
      </c>
      <c r="O2867" t="s">
        <v>15211</v>
      </c>
      <c r="P2867" t="s">
        <v>3364</v>
      </c>
      <c r="Q2867" t="s">
        <v>3358</v>
      </c>
      <c r="R2867" t="s">
        <v>15211</v>
      </c>
      <c r="S2867" t="s">
        <v>15211</v>
      </c>
      <c r="T2867" t="s">
        <v>3371</v>
      </c>
      <c r="U2867" t="s">
        <v>14126</v>
      </c>
      <c r="V2867" t="s">
        <v>15220</v>
      </c>
    </row>
    <row r="2868" spans="1:22" ht="17.399999999999999">
      <c r="A2868" t="s">
        <v>15393</v>
      </c>
      <c r="B2868" t="s">
        <v>15443</v>
      </c>
      <c r="C2868" t="s">
        <v>15452</v>
      </c>
      <c r="D2868" t="s">
        <v>2249</v>
      </c>
      <c r="E2868" t="s">
        <v>3476</v>
      </c>
      <c r="F2868" t="s">
        <v>3445</v>
      </c>
      <c r="G2868" s="3">
        <v>36.974532810282497</v>
      </c>
      <c r="H2868" s="3">
        <v>127.313660518962</v>
      </c>
      <c r="I2868" t="s">
        <v>6016</v>
      </c>
      <c r="J2868" t="s">
        <v>9372</v>
      </c>
      <c r="K2868" t="s">
        <v>11633</v>
      </c>
      <c r="L2868" t="s">
        <v>3366</v>
      </c>
      <c r="M2868" t="s">
        <v>11895</v>
      </c>
      <c r="N2868" t="s">
        <v>3361</v>
      </c>
      <c r="O2868" t="s">
        <v>15211</v>
      </c>
      <c r="P2868" t="s">
        <v>3364</v>
      </c>
      <c r="Q2868" t="s">
        <v>3358</v>
      </c>
      <c r="R2868" t="s">
        <v>15211</v>
      </c>
      <c r="S2868" t="s">
        <v>15211</v>
      </c>
      <c r="T2868" t="s">
        <v>3371</v>
      </c>
      <c r="U2868" t="s">
        <v>14126</v>
      </c>
      <c r="V2868" t="s">
        <v>15220</v>
      </c>
    </row>
    <row r="2869" spans="1:22" ht="17.399999999999999" hidden="1">
      <c r="A2869" t="s">
        <v>15393</v>
      </c>
      <c r="B2869" t="s">
        <v>15443</v>
      </c>
      <c r="C2869" t="s">
        <v>15490</v>
      </c>
      <c r="D2869" t="s">
        <v>2250</v>
      </c>
      <c r="E2869" t="s">
        <v>3465</v>
      </c>
      <c r="F2869" t="s">
        <v>3449</v>
      </c>
      <c r="G2869" s="3">
        <v>36.974532841346999</v>
      </c>
      <c r="H2869" s="3">
        <v>127.313661328444</v>
      </c>
      <c r="I2869" t="s">
        <v>6017</v>
      </c>
      <c r="J2869" t="s">
        <v>9373</v>
      </c>
      <c r="K2869" t="s">
        <v>11119</v>
      </c>
      <c r="L2869" t="s">
        <v>3366</v>
      </c>
      <c r="M2869" t="s">
        <v>11901</v>
      </c>
      <c r="N2869" t="s">
        <v>3363</v>
      </c>
      <c r="O2869" t="s">
        <v>15211</v>
      </c>
      <c r="P2869" t="s">
        <v>3364</v>
      </c>
      <c r="Q2869" t="s">
        <v>3358</v>
      </c>
      <c r="R2869" t="s">
        <v>15211</v>
      </c>
      <c r="S2869" t="s">
        <v>15211</v>
      </c>
      <c r="T2869" t="s">
        <v>3373</v>
      </c>
      <c r="U2869" t="s">
        <v>14127</v>
      </c>
      <c r="V2869" t="s">
        <v>15273</v>
      </c>
    </row>
    <row r="2870" spans="1:22" ht="17.399999999999999" hidden="1">
      <c r="A2870" t="s">
        <v>15393</v>
      </c>
      <c r="B2870" t="s">
        <v>15443</v>
      </c>
      <c r="C2870" t="s">
        <v>15490</v>
      </c>
      <c r="D2870" t="s">
        <v>2251</v>
      </c>
      <c r="E2870" t="s">
        <v>3450</v>
      </c>
      <c r="F2870" t="s">
        <v>3463</v>
      </c>
      <c r="G2870" s="3">
        <v>36.974532861557897</v>
      </c>
      <c r="H2870" s="3">
        <v>127.31366131230899</v>
      </c>
      <c r="I2870" t="s">
        <v>6018</v>
      </c>
      <c r="J2870" t="s">
        <v>9374</v>
      </c>
      <c r="K2870" t="s">
        <v>11634</v>
      </c>
      <c r="L2870" t="s">
        <v>3366</v>
      </c>
      <c r="M2870" t="s">
        <v>11895</v>
      </c>
      <c r="N2870" t="s">
        <v>3363</v>
      </c>
      <c r="O2870" t="s">
        <v>15211</v>
      </c>
      <c r="P2870" t="s">
        <v>3363</v>
      </c>
      <c r="Q2870" t="s">
        <v>3357</v>
      </c>
      <c r="R2870" t="s">
        <v>15211</v>
      </c>
      <c r="S2870" t="s">
        <v>15211</v>
      </c>
      <c r="T2870" t="s">
        <v>3371</v>
      </c>
      <c r="U2870" t="s">
        <v>14128</v>
      </c>
      <c r="V2870" t="s">
        <v>15273</v>
      </c>
    </row>
    <row r="2871" spans="1:22" ht="17.399999999999999" hidden="1">
      <c r="A2871" t="s">
        <v>15393</v>
      </c>
      <c r="B2871" t="s">
        <v>15443</v>
      </c>
      <c r="C2871" t="s">
        <v>15490</v>
      </c>
      <c r="D2871" t="s">
        <v>2252</v>
      </c>
      <c r="E2871" t="s">
        <v>3477</v>
      </c>
      <c r="F2871" t="s">
        <v>3611</v>
      </c>
      <c r="G2871" s="3">
        <v>36.974532820388298</v>
      </c>
      <c r="H2871" s="3">
        <v>127.313661240904</v>
      </c>
      <c r="I2871" t="s">
        <v>6019</v>
      </c>
      <c r="J2871" t="s">
        <v>9375</v>
      </c>
      <c r="K2871" t="s">
        <v>10966</v>
      </c>
      <c r="L2871" t="s">
        <v>3366</v>
      </c>
      <c r="M2871" t="s">
        <v>11903</v>
      </c>
      <c r="N2871" t="s">
        <v>3363</v>
      </c>
      <c r="O2871" t="s">
        <v>15211</v>
      </c>
      <c r="P2871" t="s">
        <v>3363</v>
      </c>
      <c r="Q2871" t="s">
        <v>3357</v>
      </c>
      <c r="R2871" t="s">
        <v>15211</v>
      </c>
      <c r="S2871" t="s">
        <v>15211</v>
      </c>
      <c r="T2871" t="s">
        <v>3371</v>
      </c>
      <c r="U2871" t="s">
        <v>14129</v>
      </c>
      <c r="V2871" t="s">
        <v>15273</v>
      </c>
    </row>
    <row r="2872" spans="1:22" ht="17.399999999999999" hidden="1">
      <c r="A2872" t="s">
        <v>15393</v>
      </c>
      <c r="B2872" t="s">
        <v>15443</v>
      </c>
      <c r="C2872" t="s">
        <v>15490</v>
      </c>
      <c r="D2872" t="s">
        <v>2253</v>
      </c>
      <c r="E2872" t="s">
        <v>3477</v>
      </c>
      <c r="F2872" t="s">
        <v>3563</v>
      </c>
      <c r="G2872" s="3">
        <v>36.974532768717602</v>
      </c>
      <c r="H2872" s="3">
        <v>127.313661289691</v>
      </c>
      <c r="I2872" t="s">
        <v>6020</v>
      </c>
      <c r="J2872" t="s">
        <v>9376</v>
      </c>
      <c r="K2872" t="s">
        <v>11193</v>
      </c>
      <c r="L2872" t="s">
        <v>3366</v>
      </c>
      <c r="M2872" t="s">
        <v>11903</v>
      </c>
      <c r="N2872" t="s">
        <v>3363</v>
      </c>
      <c r="O2872" t="s">
        <v>15211</v>
      </c>
      <c r="P2872" t="s">
        <v>3363</v>
      </c>
      <c r="Q2872" t="s">
        <v>3358</v>
      </c>
      <c r="R2872" t="s">
        <v>15211</v>
      </c>
      <c r="S2872" t="s">
        <v>15211</v>
      </c>
      <c r="T2872" t="s">
        <v>3372</v>
      </c>
      <c r="U2872" t="s">
        <v>14130</v>
      </c>
      <c r="V2872" t="s">
        <v>15273</v>
      </c>
    </row>
    <row r="2873" spans="1:22" ht="17.399999999999999" hidden="1">
      <c r="A2873" t="s">
        <v>15393</v>
      </c>
      <c r="B2873" t="s">
        <v>15443</v>
      </c>
      <c r="C2873" t="s">
        <v>15490</v>
      </c>
      <c r="D2873" t="s">
        <v>2254</v>
      </c>
      <c r="E2873" t="s">
        <v>3511</v>
      </c>
      <c r="F2873" t="s">
        <v>3477</v>
      </c>
      <c r="G2873" s="3">
        <v>36.974532782346003</v>
      </c>
      <c r="H2873" s="3">
        <v>127.31366141433401</v>
      </c>
      <c r="I2873" t="s">
        <v>6021</v>
      </c>
      <c r="J2873" t="s">
        <v>9377</v>
      </c>
      <c r="K2873" t="s">
        <v>10648</v>
      </c>
      <c r="L2873" t="s">
        <v>3366</v>
      </c>
      <c r="M2873" t="s">
        <v>11903</v>
      </c>
      <c r="N2873" t="s">
        <v>3363</v>
      </c>
      <c r="O2873" t="s">
        <v>15211</v>
      </c>
      <c r="P2873" t="s">
        <v>3364</v>
      </c>
      <c r="Q2873" t="s">
        <v>3358</v>
      </c>
      <c r="R2873" t="s">
        <v>15211</v>
      </c>
      <c r="S2873" t="s">
        <v>15211</v>
      </c>
      <c r="T2873" t="s">
        <v>3373</v>
      </c>
      <c r="U2873" t="s">
        <v>14131</v>
      </c>
      <c r="V2873" t="s">
        <v>15273</v>
      </c>
    </row>
    <row r="2874" spans="1:22" ht="17.399999999999999" hidden="1">
      <c r="A2874" t="s">
        <v>15393</v>
      </c>
      <c r="B2874" t="s">
        <v>15443</v>
      </c>
      <c r="C2874" t="s">
        <v>15487</v>
      </c>
      <c r="D2874" t="s">
        <v>2255</v>
      </c>
      <c r="E2874" t="s">
        <v>3428</v>
      </c>
      <c r="F2874" t="s">
        <v>3432</v>
      </c>
      <c r="G2874" s="3">
        <v>36.974532798437203</v>
      </c>
      <c r="H2874" s="3">
        <v>127.31365967321599</v>
      </c>
      <c r="I2874" t="s">
        <v>6022</v>
      </c>
      <c r="J2874" t="s">
        <v>9378</v>
      </c>
      <c r="K2874" t="s">
        <v>10988</v>
      </c>
      <c r="L2874" t="s">
        <v>3366</v>
      </c>
      <c r="M2874" t="s">
        <v>11903</v>
      </c>
      <c r="N2874" t="s">
        <v>3362</v>
      </c>
      <c r="O2874" t="s">
        <v>15211</v>
      </c>
      <c r="P2874" t="s">
        <v>3364</v>
      </c>
      <c r="Q2874" t="s">
        <v>3359</v>
      </c>
      <c r="R2874" t="s">
        <v>15211</v>
      </c>
      <c r="S2874" t="s">
        <v>15211</v>
      </c>
      <c r="T2874" t="s">
        <v>3373</v>
      </c>
      <c r="U2874" t="s">
        <v>14132</v>
      </c>
      <c r="V2874" t="s">
        <v>15270</v>
      </c>
    </row>
    <row r="2875" spans="1:22" ht="17.399999999999999" hidden="1">
      <c r="A2875" t="s">
        <v>15393</v>
      </c>
      <c r="B2875" t="s">
        <v>15443</v>
      </c>
      <c r="C2875" t="s">
        <v>15487</v>
      </c>
      <c r="D2875" t="s">
        <v>2256</v>
      </c>
      <c r="E2875" t="s">
        <v>3428</v>
      </c>
      <c r="F2875" t="s">
        <v>3452</v>
      </c>
      <c r="G2875" s="3">
        <v>36.974532779005401</v>
      </c>
      <c r="H2875" s="3">
        <v>127.313659633081</v>
      </c>
      <c r="I2875" t="s">
        <v>6023</v>
      </c>
      <c r="J2875" t="s">
        <v>9379</v>
      </c>
      <c r="K2875" t="s">
        <v>11236</v>
      </c>
      <c r="L2875" t="s">
        <v>3366</v>
      </c>
      <c r="M2875" t="s">
        <v>11895</v>
      </c>
      <c r="N2875" t="s">
        <v>3361</v>
      </c>
      <c r="O2875" t="s">
        <v>15211</v>
      </c>
      <c r="P2875" t="s">
        <v>3363</v>
      </c>
      <c r="Q2875" t="s">
        <v>3359</v>
      </c>
      <c r="R2875" t="s">
        <v>15211</v>
      </c>
      <c r="S2875" t="s">
        <v>15211</v>
      </c>
      <c r="T2875" t="s">
        <v>3371</v>
      </c>
      <c r="U2875" t="s">
        <v>14133</v>
      </c>
      <c r="V2875" t="s">
        <v>15270</v>
      </c>
    </row>
    <row r="2876" spans="1:22" ht="17.399999999999999" hidden="1">
      <c r="A2876" t="s">
        <v>15393</v>
      </c>
      <c r="B2876" t="s">
        <v>15443</v>
      </c>
      <c r="C2876" t="s">
        <v>15487</v>
      </c>
      <c r="D2876" t="s">
        <v>2257</v>
      </c>
      <c r="E2876" t="s">
        <v>3436</v>
      </c>
      <c r="F2876" t="s">
        <v>3461</v>
      </c>
      <c r="G2876" s="3">
        <v>36.974532716609197</v>
      </c>
      <c r="H2876" s="3">
        <v>127.313659602263</v>
      </c>
      <c r="I2876" t="s">
        <v>6024</v>
      </c>
      <c r="J2876" t="s">
        <v>9380</v>
      </c>
      <c r="K2876" t="s">
        <v>10560</v>
      </c>
      <c r="L2876" t="s">
        <v>3366</v>
      </c>
      <c r="M2876" t="s">
        <v>11895</v>
      </c>
      <c r="N2876" t="s">
        <v>3361</v>
      </c>
      <c r="O2876" t="s">
        <v>15211</v>
      </c>
      <c r="P2876" t="s">
        <v>3363</v>
      </c>
      <c r="Q2876" t="s">
        <v>3359</v>
      </c>
      <c r="R2876" t="s">
        <v>15211</v>
      </c>
      <c r="S2876" t="s">
        <v>15211</v>
      </c>
      <c r="T2876" t="s">
        <v>3371</v>
      </c>
      <c r="U2876" t="s">
        <v>14134</v>
      </c>
      <c r="V2876" t="s">
        <v>15270</v>
      </c>
    </row>
    <row r="2877" spans="1:22" ht="17.399999999999999" hidden="1">
      <c r="A2877" t="s">
        <v>15393</v>
      </c>
      <c r="B2877" t="s">
        <v>15443</v>
      </c>
      <c r="C2877" t="s">
        <v>15487</v>
      </c>
      <c r="D2877" t="s">
        <v>2258</v>
      </c>
      <c r="E2877" t="s">
        <v>3435</v>
      </c>
      <c r="F2877" t="s">
        <v>3464</v>
      </c>
      <c r="G2877" s="3">
        <v>36.9745327219117</v>
      </c>
      <c r="H2877" s="3">
        <v>127.31365963279499</v>
      </c>
      <c r="I2877" t="s">
        <v>6025</v>
      </c>
      <c r="J2877" t="s">
        <v>9381</v>
      </c>
      <c r="K2877" t="s">
        <v>11635</v>
      </c>
      <c r="L2877" t="s">
        <v>3410</v>
      </c>
      <c r="M2877" t="s">
        <v>11894</v>
      </c>
      <c r="N2877" t="s">
        <v>3361</v>
      </c>
      <c r="O2877" t="s">
        <v>15211</v>
      </c>
      <c r="P2877" t="s">
        <v>3363</v>
      </c>
      <c r="Q2877" t="s">
        <v>3357</v>
      </c>
      <c r="R2877" t="s">
        <v>15211</v>
      </c>
      <c r="S2877" t="s">
        <v>15211</v>
      </c>
      <c r="T2877" t="s">
        <v>3369</v>
      </c>
      <c r="U2877" t="s">
        <v>14135</v>
      </c>
      <c r="V2877" t="s">
        <v>15270</v>
      </c>
    </row>
    <row r="2878" spans="1:22" ht="17.399999999999999" hidden="1">
      <c r="A2878" t="s">
        <v>15393</v>
      </c>
      <c r="B2878" t="s">
        <v>15443</v>
      </c>
      <c r="C2878" t="s">
        <v>15487</v>
      </c>
      <c r="D2878" t="s">
        <v>2259</v>
      </c>
      <c r="E2878" t="s">
        <v>3441</v>
      </c>
      <c r="F2878" t="s">
        <v>3458</v>
      </c>
      <c r="G2878" s="3">
        <v>36.974532691340301</v>
      </c>
      <c r="H2878" s="3">
        <v>127.313659673233</v>
      </c>
      <c r="I2878" t="s">
        <v>6026</v>
      </c>
      <c r="J2878" t="s">
        <v>9382</v>
      </c>
      <c r="K2878" t="s">
        <v>10829</v>
      </c>
      <c r="L2878" t="s">
        <v>3366</v>
      </c>
      <c r="M2878" t="s">
        <v>11903</v>
      </c>
      <c r="N2878" t="s">
        <v>3362</v>
      </c>
      <c r="O2878" t="s">
        <v>15211</v>
      </c>
      <c r="P2878" t="s">
        <v>3364</v>
      </c>
      <c r="Q2878" t="s">
        <v>3358</v>
      </c>
      <c r="R2878" t="s">
        <v>15211</v>
      </c>
      <c r="S2878" t="s">
        <v>15211</v>
      </c>
      <c r="T2878" t="s">
        <v>3372</v>
      </c>
      <c r="U2878" t="s">
        <v>14136</v>
      </c>
      <c r="V2878" t="s">
        <v>15270</v>
      </c>
    </row>
    <row r="2879" spans="1:22" ht="17.399999999999999" hidden="1">
      <c r="A2879" t="s">
        <v>15340</v>
      </c>
      <c r="B2879" t="s">
        <v>15441</v>
      </c>
      <c r="C2879" t="s">
        <v>15445</v>
      </c>
      <c r="D2879" t="s">
        <v>1735</v>
      </c>
      <c r="E2879" t="s">
        <v>3497</v>
      </c>
      <c r="F2879" t="s">
        <v>3651</v>
      </c>
      <c r="G2879" s="3">
        <v>36.489580349024699</v>
      </c>
      <c r="H2879" s="3">
        <v>129.153068870731</v>
      </c>
      <c r="I2879" t="s">
        <v>5501</v>
      </c>
      <c r="J2879" t="s">
        <v>8860</v>
      </c>
      <c r="K2879" t="s">
        <v>11439</v>
      </c>
      <c r="L2879" t="s">
        <v>3372</v>
      </c>
      <c r="M2879" t="s">
        <v>11915</v>
      </c>
      <c r="N2879" t="s">
        <v>3362</v>
      </c>
      <c r="O2879" t="s">
        <v>15211</v>
      </c>
      <c r="P2879" t="s">
        <v>15211</v>
      </c>
      <c r="Q2879" t="s">
        <v>15211</v>
      </c>
      <c r="R2879" t="s">
        <v>15211</v>
      </c>
      <c r="S2879" t="s">
        <v>15211</v>
      </c>
      <c r="T2879" t="s">
        <v>3362</v>
      </c>
      <c r="U2879" t="s">
        <v>13624</v>
      </c>
      <c r="V2879" t="s">
        <v>15212</v>
      </c>
    </row>
    <row r="2880" spans="1:22" ht="17.399999999999999" hidden="1">
      <c r="A2880" t="s">
        <v>15340</v>
      </c>
      <c r="B2880" t="s">
        <v>15441</v>
      </c>
      <c r="C2880" t="s">
        <v>15445</v>
      </c>
      <c r="D2880" t="s">
        <v>1736</v>
      </c>
      <c r="E2880" t="s">
        <v>3498</v>
      </c>
      <c r="F2880" t="s">
        <v>3652</v>
      </c>
      <c r="G2880" s="3">
        <v>36.489579966070103</v>
      </c>
      <c r="H2880" s="3">
        <v>129.15307651036599</v>
      </c>
      <c r="I2880" t="s">
        <v>5502</v>
      </c>
      <c r="J2880" t="s">
        <v>8861</v>
      </c>
      <c r="K2880" t="s">
        <v>11440</v>
      </c>
      <c r="L2880" t="s">
        <v>3366</v>
      </c>
      <c r="M2880" t="s">
        <v>11892</v>
      </c>
      <c r="N2880" t="s">
        <v>3361</v>
      </c>
      <c r="O2880" t="s">
        <v>3358</v>
      </c>
      <c r="P2880" t="s">
        <v>15211</v>
      </c>
      <c r="Q2880" t="s">
        <v>15211</v>
      </c>
      <c r="R2880" t="s">
        <v>15211</v>
      </c>
      <c r="S2880" t="s">
        <v>15211</v>
      </c>
      <c r="T2880" t="s">
        <v>3363</v>
      </c>
      <c r="U2880" t="s">
        <v>13625</v>
      </c>
      <c r="V2880" t="s">
        <v>15212</v>
      </c>
    </row>
    <row r="2881" spans="1:22" ht="17.399999999999999" hidden="1">
      <c r="A2881" t="s">
        <v>15340</v>
      </c>
      <c r="B2881" t="s">
        <v>15441</v>
      </c>
      <c r="C2881" t="s">
        <v>15445</v>
      </c>
      <c r="D2881" t="s">
        <v>1737</v>
      </c>
      <c r="E2881" t="s">
        <v>3499</v>
      </c>
      <c r="F2881" t="s">
        <v>3653</v>
      </c>
      <c r="G2881" s="3">
        <v>36.489581506220503</v>
      </c>
      <c r="H2881" s="3">
        <v>129.153076787515</v>
      </c>
      <c r="I2881" t="s">
        <v>5503</v>
      </c>
      <c r="J2881" t="s">
        <v>8862</v>
      </c>
      <c r="K2881" t="s">
        <v>11441</v>
      </c>
      <c r="L2881" t="s">
        <v>3366</v>
      </c>
      <c r="M2881" t="s">
        <v>11887</v>
      </c>
      <c r="N2881" t="s">
        <v>3362</v>
      </c>
      <c r="O2881" t="s">
        <v>3358</v>
      </c>
      <c r="P2881" t="s">
        <v>15211</v>
      </c>
      <c r="Q2881" t="s">
        <v>15211</v>
      </c>
      <c r="R2881" t="s">
        <v>15211</v>
      </c>
      <c r="S2881" t="s">
        <v>15211</v>
      </c>
      <c r="T2881" t="s">
        <v>3364</v>
      </c>
      <c r="U2881" t="s">
        <v>13626</v>
      </c>
      <c r="V2881" t="s">
        <v>15212</v>
      </c>
    </row>
    <row r="2882" spans="1:22" ht="17.399999999999999" hidden="1">
      <c r="A2882" t="s">
        <v>15340</v>
      </c>
      <c r="B2882" t="s">
        <v>15441</v>
      </c>
      <c r="C2882" t="s">
        <v>15445</v>
      </c>
      <c r="D2882" t="s">
        <v>1738</v>
      </c>
      <c r="E2882" t="s">
        <v>3500</v>
      </c>
      <c r="F2882" t="s">
        <v>3654</v>
      </c>
      <c r="G2882" s="3">
        <v>36.489581237909697</v>
      </c>
      <c r="H2882" s="3">
        <v>129.15307687560701</v>
      </c>
      <c r="I2882" t="s">
        <v>5504</v>
      </c>
      <c r="J2882" t="s">
        <v>8863</v>
      </c>
      <c r="K2882" t="s">
        <v>11442</v>
      </c>
      <c r="L2882" t="s">
        <v>3366</v>
      </c>
      <c r="M2882" t="s">
        <v>11892</v>
      </c>
      <c r="N2882" t="s">
        <v>3361</v>
      </c>
      <c r="O2882" t="s">
        <v>3358</v>
      </c>
      <c r="P2882" t="s">
        <v>15211</v>
      </c>
      <c r="Q2882" t="s">
        <v>15211</v>
      </c>
      <c r="R2882" t="s">
        <v>15211</v>
      </c>
      <c r="S2882" t="s">
        <v>15211</v>
      </c>
      <c r="T2882" t="s">
        <v>3363</v>
      </c>
      <c r="U2882" t="s">
        <v>13627</v>
      </c>
      <c r="V2882" t="s">
        <v>15212</v>
      </c>
    </row>
    <row r="2883" spans="1:22" ht="17.399999999999999" hidden="1">
      <c r="A2883" t="s">
        <v>15340</v>
      </c>
      <c r="B2883" t="s">
        <v>15441</v>
      </c>
      <c r="C2883" t="s">
        <v>15446</v>
      </c>
      <c r="D2883" t="s">
        <v>1739</v>
      </c>
      <c r="E2883" t="s">
        <v>3501</v>
      </c>
      <c r="F2883" t="s">
        <v>3655</v>
      </c>
      <c r="G2883" s="3">
        <v>36.489581108877601</v>
      </c>
      <c r="H2883" s="3">
        <v>129.15307674056999</v>
      </c>
      <c r="I2883" t="s">
        <v>5505</v>
      </c>
      <c r="J2883" t="s">
        <v>8864</v>
      </c>
      <c r="K2883" t="s">
        <v>11443</v>
      </c>
      <c r="L2883" t="s">
        <v>3377</v>
      </c>
      <c r="M2883" t="s">
        <v>11909</v>
      </c>
      <c r="N2883" t="s">
        <v>3362</v>
      </c>
      <c r="O2883" t="s">
        <v>15211</v>
      </c>
      <c r="P2883" t="s">
        <v>15211</v>
      </c>
      <c r="Q2883" t="s">
        <v>15211</v>
      </c>
      <c r="R2883" t="s">
        <v>15211</v>
      </c>
      <c r="S2883" t="s">
        <v>15211</v>
      </c>
      <c r="T2883" t="s">
        <v>3362</v>
      </c>
      <c r="U2883" t="s">
        <v>13628</v>
      </c>
      <c r="V2883" t="s">
        <v>15213</v>
      </c>
    </row>
    <row r="2884" spans="1:22" ht="17.399999999999999" hidden="1">
      <c r="A2884" t="s">
        <v>15340</v>
      </c>
      <c r="B2884" t="s">
        <v>15441</v>
      </c>
      <c r="C2884" t="s">
        <v>15446</v>
      </c>
      <c r="D2884" t="s">
        <v>1740</v>
      </c>
      <c r="E2884" t="s">
        <v>3502</v>
      </c>
      <c r="F2884" t="s">
        <v>3656</v>
      </c>
      <c r="G2884" s="3">
        <v>36.489582866446099</v>
      </c>
      <c r="H2884" s="3">
        <v>129.15307476414301</v>
      </c>
      <c r="I2884" t="s">
        <v>5506</v>
      </c>
      <c r="J2884" t="s">
        <v>8865</v>
      </c>
      <c r="K2884" t="s">
        <v>11444</v>
      </c>
      <c r="L2884" t="s">
        <v>3366</v>
      </c>
      <c r="M2884" t="s">
        <v>11915</v>
      </c>
      <c r="N2884" t="s">
        <v>3361</v>
      </c>
      <c r="O2884" t="s">
        <v>15211</v>
      </c>
      <c r="P2884" t="s">
        <v>15211</v>
      </c>
      <c r="Q2884" t="s">
        <v>15211</v>
      </c>
      <c r="R2884" t="s">
        <v>15211</v>
      </c>
      <c r="S2884" t="s">
        <v>15211</v>
      </c>
      <c r="T2884" t="s">
        <v>3361</v>
      </c>
      <c r="U2884" t="s">
        <v>13629</v>
      </c>
      <c r="V2884" t="s">
        <v>15213</v>
      </c>
    </row>
    <row r="2885" spans="1:22" ht="17.399999999999999" hidden="1">
      <c r="A2885" t="s">
        <v>15340</v>
      </c>
      <c r="B2885" t="s">
        <v>15441</v>
      </c>
      <c r="C2885" t="s">
        <v>15446</v>
      </c>
      <c r="D2885" t="s">
        <v>1741</v>
      </c>
      <c r="E2885" t="s">
        <v>3503</v>
      </c>
      <c r="F2885" t="s">
        <v>3657</v>
      </c>
      <c r="G2885" s="3">
        <v>36.489584496310698</v>
      </c>
      <c r="H2885" s="3">
        <v>129.15307054421999</v>
      </c>
      <c r="I2885" t="s">
        <v>5507</v>
      </c>
      <c r="J2885" t="s">
        <v>8866</v>
      </c>
      <c r="K2885" t="s">
        <v>11445</v>
      </c>
      <c r="L2885" t="s">
        <v>3366</v>
      </c>
      <c r="M2885" t="s">
        <v>11915</v>
      </c>
      <c r="N2885" t="s">
        <v>3361</v>
      </c>
      <c r="O2885" t="s">
        <v>15211</v>
      </c>
      <c r="P2885" t="s">
        <v>15211</v>
      </c>
      <c r="Q2885" t="s">
        <v>15211</v>
      </c>
      <c r="R2885" t="s">
        <v>15211</v>
      </c>
      <c r="S2885" t="s">
        <v>15211</v>
      </c>
      <c r="T2885" t="s">
        <v>3361</v>
      </c>
      <c r="U2885" t="s">
        <v>13630</v>
      </c>
      <c r="V2885" t="s">
        <v>15213</v>
      </c>
    </row>
    <row r="2886" spans="1:22" ht="17.399999999999999" hidden="1">
      <c r="A2886" t="s">
        <v>15340</v>
      </c>
      <c r="B2886" t="s">
        <v>15441</v>
      </c>
      <c r="C2886" t="s">
        <v>15447</v>
      </c>
      <c r="D2886" t="s">
        <v>1742</v>
      </c>
      <c r="E2886" t="s">
        <v>3504</v>
      </c>
      <c r="F2886" t="s">
        <v>3658</v>
      </c>
      <c r="G2886" s="3">
        <v>36.489579169044703</v>
      </c>
      <c r="H2886" s="3">
        <v>129.15306855173799</v>
      </c>
      <c r="I2886" t="s">
        <v>5508</v>
      </c>
      <c r="J2886" t="s">
        <v>8867</v>
      </c>
      <c r="K2886" t="s">
        <v>11446</v>
      </c>
      <c r="L2886" t="s">
        <v>3378</v>
      </c>
      <c r="M2886" t="s">
        <v>11892</v>
      </c>
      <c r="N2886" t="s">
        <v>3362</v>
      </c>
      <c r="O2886" t="s">
        <v>3357</v>
      </c>
      <c r="P2886" t="s">
        <v>15211</v>
      </c>
      <c r="Q2886" t="s">
        <v>15211</v>
      </c>
      <c r="R2886" t="s">
        <v>15211</v>
      </c>
      <c r="S2886" t="s">
        <v>15211</v>
      </c>
      <c r="T2886" t="s">
        <v>3363</v>
      </c>
      <c r="U2886" t="s">
        <v>13631</v>
      </c>
      <c r="V2886" t="s">
        <v>15214</v>
      </c>
    </row>
    <row r="2887" spans="1:22" ht="17.399999999999999" hidden="1">
      <c r="A2887" t="s">
        <v>15340</v>
      </c>
      <c r="B2887" t="s">
        <v>15441</v>
      </c>
      <c r="C2887" t="s">
        <v>15447</v>
      </c>
      <c r="D2887" t="s">
        <v>1743</v>
      </c>
      <c r="E2887" t="s">
        <v>3505</v>
      </c>
      <c r="F2887" t="s">
        <v>3659</v>
      </c>
      <c r="G2887" s="3">
        <v>36.489577929058797</v>
      </c>
      <c r="H2887" s="3">
        <v>129.15307038320799</v>
      </c>
      <c r="I2887" t="s">
        <v>5509</v>
      </c>
      <c r="J2887" t="s">
        <v>8868</v>
      </c>
      <c r="K2887" t="s">
        <v>11447</v>
      </c>
      <c r="L2887" t="s">
        <v>3366</v>
      </c>
      <c r="M2887" t="s">
        <v>11909</v>
      </c>
      <c r="N2887" t="s">
        <v>3362</v>
      </c>
      <c r="O2887" t="s">
        <v>15211</v>
      </c>
      <c r="P2887" t="s">
        <v>15211</v>
      </c>
      <c r="Q2887" t="s">
        <v>15211</v>
      </c>
      <c r="R2887" t="s">
        <v>15211</v>
      </c>
      <c r="S2887" t="s">
        <v>15211</v>
      </c>
      <c r="T2887" t="s">
        <v>3362</v>
      </c>
      <c r="U2887" t="s">
        <v>13632</v>
      </c>
      <c r="V2887" t="s">
        <v>15214</v>
      </c>
    </row>
    <row r="2888" spans="1:22" ht="17.399999999999999" hidden="1">
      <c r="A2888" t="s">
        <v>15340</v>
      </c>
      <c r="B2888" t="s">
        <v>15441</v>
      </c>
      <c r="C2888" t="s">
        <v>15447</v>
      </c>
      <c r="D2888" t="s">
        <v>1744</v>
      </c>
      <c r="E2888" t="s">
        <v>3506</v>
      </c>
      <c r="F2888" t="s">
        <v>3660</v>
      </c>
      <c r="G2888" s="3">
        <v>36.489579134025597</v>
      </c>
      <c r="H2888" s="3">
        <v>129.153077571463</v>
      </c>
      <c r="I2888" t="s">
        <v>5510</v>
      </c>
      <c r="J2888" t="s">
        <v>8869</v>
      </c>
      <c r="K2888" t="s">
        <v>11448</v>
      </c>
      <c r="L2888" t="s">
        <v>3366</v>
      </c>
      <c r="M2888" t="s">
        <v>11909</v>
      </c>
      <c r="N2888" t="s">
        <v>3362</v>
      </c>
      <c r="O2888" t="s">
        <v>15211</v>
      </c>
      <c r="P2888" t="s">
        <v>15211</v>
      </c>
      <c r="Q2888" t="s">
        <v>15211</v>
      </c>
      <c r="R2888" t="s">
        <v>15211</v>
      </c>
      <c r="S2888" t="s">
        <v>15211</v>
      </c>
      <c r="T2888" t="s">
        <v>3362</v>
      </c>
      <c r="U2888" t="s">
        <v>13633</v>
      </c>
      <c r="V2888" t="s">
        <v>15214</v>
      </c>
    </row>
    <row r="2889" spans="1:22" ht="17.399999999999999" hidden="1">
      <c r="A2889" t="s">
        <v>15340</v>
      </c>
      <c r="B2889" t="s">
        <v>15441</v>
      </c>
      <c r="C2889" t="s">
        <v>15448</v>
      </c>
      <c r="D2889" t="s">
        <v>1745</v>
      </c>
      <c r="E2889" t="s">
        <v>3507</v>
      </c>
      <c r="F2889" t="s">
        <v>3661</v>
      </c>
      <c r="G2889" s="3">
        <v>36.489581742745202</v>
      </c>
      <c r="H2889" s="3">
        <v>129.15307878444199</v>
      </c>
      <c r="I2889" t="s">
        <v>5511</v>
      </c>
      <c r="J2889" t="s">
        <v>8870</v>
      </c>
      <c r="K2889" t="s">
        <v>11449</v>
      </c>
      <c r="L2889" t="s">
        <v>3366</v>
      </c>
      <c r="M2889" t="s">
        <v>11894</v>
      </c>
      <c r="N2889" t="s">
        <v>3362</v>
      </c>
      <c r="O2889" t="s">
        <v>15211</v>
      </c>
      <c r="P2889" t="s">
        <v>3360</v>
      </c>
      <c r="Q2889" t="s">
        <v>3360</v>
      </c>
      <c r="R2889" t="s">
        <v>15211</v>
      </c>
      <c r="S2889" t="s">
        <v>15211</v>
      </c>
      <c r="T2889" t="s">
        <v>3370</v>
      </c>
      <c r="U2889" t="s">
        <v>13634</v>
      </c>
      <c r="V2889" t="s">
        <v>15215</v>
      </c>
    </row>
    <row r="2890" spans="1:22" ht="17.399999999999999" hidden="1">
      <c r="A2890" t="s">
        <v>15340</v>
      </c>
      <c r="B2890" t="s">
        <v>15441</v>
      </c>
      <c r="C2890" t="s">
        <v>15448</v>
      </c>
      <c r="D2890" t="s">
        <v>1746</v>
      </c>
      <c r="E2890" t="s">
        <v>3508</v>
      </c>
      <c r="F2890" t="s">
        <v>3482</v>
      </c>
      <c r="G2890" s="3">
        <v>36.4895814241344</v>
      </c>
      <c r="H2890" s="3">
        <v>129.15307930868499</v>
      </c>
      <c r="I2890" t="s">
        <v>5512</v>
      </c>
      <c r="J2890" t="s">
        <v>8871</v>
      </c>
      <c r="K2890" t="s">
        <v>11450</v>
      </c>
      <c r="L2890" t="s">
        <v>3366</v>
      </c>
      <c r="M2890" t="s">
        <v>11894</v>
      </c>
      <c r="N2890" t="s">
        <v>3362</v>
      </c>
      <c r="O2890" t="s">
        <v>15211</v>
      </c>
      <c r="P2890" t="s">
        <v>3360</v>
      </c>
      <c r="Q2890" t="s">
        <v>3360</v>
      </c>
      <c r="R2890" t="s">
        <v>15211</v>
      </c>
      <c r="S2890" t="s">
        <v>15211</v>
      </c>
      <c r="T2890" t="s">
        <v>3370</v>
      </c>
      <c r="U2890" t="s">
        <v>13635</v>
      </c>
      <c r="V2890" t="s">
        <v>15215</v>
      </c>
    </row>
    <row r="2891" spans="1:22" ht="17.399999999999999" hidden="1">
      <c r="A2891" t="s">
        <v>15340</v>
      </c>
      <c r="B2891" t="s">
        <v>15441</v>
      </c>
      <c r="C2891" t="s">
        <v>15448</v>
      </c>
      <c r="D2891" t="s">
        <v>1747</v>
      </c>
      <c r="E2891" t="s">
        <v>3509</v>
      </c>
      <c r="F2891" t="s">
        <v>3662</v>
      </c>
      <c r="G2891" s="3">
        <v>36.489580865916899</v>
      </c>
      <c r="H2891" s="3">
        <v>129.15308051167699</v>
      </c>
      <c r="I2891" t="s">
        <v>5513</v>
      </c>
      <c r="J2891" t="s">
        <v>8872</v>
      </c>
      <c r="K2891" t="s">
        <v>11451</v>
      </c>
      <c r="L2891" t="s">
        <v>3366</v>
      </c>
      <c r="M2891" t="s">
        <v>11894</v>
      </c>
      <c r="N2891" t="s">
        <v>3361</v>
      </c>
      <c r="O2891" t="s">
        <v>15211</v>
      </c>
      <c r="P2891" t="s">
        <v>3360</v>
      </c>
      <c r="Q2891" t="s">
        <v>3360</v>
      </c>
      <c r="R2891" t="s">
        <v>15211</v>
      </c>
      <c r="S2891" t="s">
        <v>15211</v>
      </c>
      <c r="T2891" t="s">
        <v>3369</v>
      </c>
      <c r="U2891" t="s">
        <v>13636</v>
      </c>
      <c r="V2891" t="s">
        <v>15215</v>
      </c>
    </row>
    <row r="2892" spans="1:22" ht="17.399999999999999" hidden="1">
      <c r="A2892" t="s">
        <v>15340</v>
      </c>
      <c r="B2892" t="s">
        <v>15441</v>
      </c>
      <c r="C2892" t="s">
        <v>15448</v>
      </c>
      <c r="D2892" t="s">
        <v>1748</v>
      </c>
      <c r="E2892" t="s">
        <v>3510</v>
      </c>
      <c r="F2892" t="s">
        <v>3663</v>
      </c>
      <c r="G2892" s="3">
        <v>36.489581827108502</v>
      </c>
      <c r="H2892" s="3">
        <v>129.15307853484501</v>
      </c>
      <c r="I2892" t="s">
        <v>5514</v>
      </c>
      <c r="J2892" t="s">
        <v>8873</v>
      </c>
      <c r="K2892" t="s">
        <v>11452</v>
      </c>
      <c r="L2892" t="s">
        <v>3366</v>
      </c>
      <c r="M2892" t="s">
        <v>11894</v>
      </c>
      <c r="N2892" t="s">
        <v>3361</v>
      </c>
      <c r="O2892" t="s">
        <v>15211</v>
      </c>
      <c r="P2892" t="s">
        <v>3360</v>
      </c>
      <c r="Q2892" t="s">
        <v>3360</v>
      </c>
      <c r="R2892" t="s">
        <v>15211</v>
      </c>
      <c r="S2892" t="s">
        <v>15211</v>
      </c>
      <c r="T2892" t="s">
        <v>3369</v>
      </c>
      <c r="U2892" t="s">
        <v>13637</v>
      </c>
      <c r="V2892" t="s">
        <v>15215</v>
      </c>
    </row>
    <row r="2893" spans="1:22" ht="17.399999999999999" hidden="1">
      <c r="A2893" t="s">
        <v>15340</v>
      </c>
      <c r="B2893" t="s">
        <v>15441</v>
      </c>
      <c r="C2893" t="s">
        <v>15449</v>
      </c>
      <c r="D2893" t="s">
        <v>1749</v>
      </c>
      <c r="E2893" t="s">
        <v>3435</v>
      </c>
      <c r="F2893" t="s">
        <v>3461</v>
      </c>
      <c r="G2893" s="3">
        <v>36.4895819810124</v>
      </c>
      <c r="H2893" s="3">
        <v>129.15307824202301</v>
      </c>
      <c r="I2893" t="s">
        <v>5515</v>
      </c>
      <c r="J2893" t="s">
        <v>8874</v>
      </c>
      <c r="K2893" t="s">
        <v>10953</v>
      </c>
      <c r="L2893" t="s">
        <v>3377</v>
      </c>
      <c r="M2893" t="s">
        <v>11898</v>
      </c>
      <c r="N2893" t="s">
        <v>3362</v>
      </c>
      <c r="O2893" t="s">
        <v>15211</v>
      </c>
      <c r="P2893" t="s">
        <v>3362</v>
      </c>
      <c r="Q2893" t="s">
        <v>3361</v>
      </c>
      <c r="R2893" t="s">
        <v>3357</v>
      </c>
      <c r="S2893" t="s">
        <v>15211</v>
      </c>
      <c r="T2893" t="s">
        <v>3374</v>
      </c>
      <c r="U2893" t="s">
        <v>13638</v>
      </c>
      <c r="V2893" t="s">
        <v>15216</v>
      </c>
    </row>
    <row r="2894" spans="1:22" ht="17.399999999999999" hidden="1">
      <c r="A2894" t="s">
        <v>15340</v>
      </c>
      <c r="B2894" t="s">
        <v>15441</v>
      </c>
      <c r="C2894" t="s">
        <v>15449</v>
      </c>
      <c r="D2894" t="s">
        <v>1750</v>
      </c>
      <c r="E2894" t="s">
        <v>3432</v>
      </c>
      <c r="F2894" t="s">
        <v>3477</v>
      </c>
      <c r="G2894" s="3">
        <v>36.489581829166703</v>
      </c>
      <c r="H2894" s="3">
        <v>129.15307837103899</v>
      </c>
      <c r="I2894" t="s">
        <v>5516</v>
      </c>
      <c r="J2894" t="s">
        <v>8875</v>
      </c>
      <c r="K2894" t="s">
        <v>11453</v>
      </c>
      <c r="L2894" t="s">
        <v>3366</v>
      </c>
      <c r="M2894" t="s">
        <v>11899</v>
      </c>
      <c r="N2894" t="s">
        <v>3363</v>
      </c>
      <c r="O2894" t="s">
        <v>15211</v>
      </c>
      <c r="P2894" t="s">
        <v>3362</v>
      </c>
      <c r="Q2894" t="s">
        <v>3361</v>
      </c>
      <c r="R2894" t="s">
        <v>3357</v>
      </c>
      <c r="S2894" t="s">
        <v>15211</v>
      </c>
      <c r="T2894" t="s">
        <v>3375</v>
      </c>
      <c r="U2894" t="s">
        <v>13639</v>
      </c>
      <c r="V2894" t="s">
        <v>15216</v>
      </c>
    </row>
    <row r="2895" spans="1:22" ht="17.399999999999999" hidden="1">
      <c r="A2895" t="s">
        <v>15340</v>
      </c>
      <c r="B2895" t="s">
        <v>15441</v>
      </c>
      <c r="C2895" t="s">
        <v>15449</v>
      </c>
      <c r="D2895" t="s">
        <v>1751</v>
      </c>
      <c r="E2895" t="s">
        <v>3435</v>
      </c>
      <c r="F2895" t="s">
        <v>3465</v>
      </c>
      <c r="G2895" s="3">
        <v>36.489581938707197</v>
      </c>
      <c r="H2895" s="3">
        <v>129.153078335901</v>
      </c>
      <c r="I2895" t="s">
        <v>5517</v>
      </c>
      <c r="J2895" t="s">
        <v>8876</v>
      </c>
      <c r="K2895" t="s">
        <v>10759</v>
      </c>
      <c r="L2895" t="s">
        <v>3366</v>
      </c>
      <c r="M2895" t="s">
        <v>11889</v>
      </c>
      <c r="N2895" t="s">
        <v>3363</v>
      </c>
      <c r="O2895" t="s">
        <v>15211</v>
      </c>
      <c r="P2895" t="s">
        <v>3362</v>
      </c>
      <c r="Q2895" t="s">
        <v>3362</v>
      </c>
      <c r="R2895" t="s">
        <v>3357</v>
      </c>
      <c r="S2895" t="s">
        <v>15211</v>
      </c>
      <c r="T2895" t="s">
        <v>3376</v>
      </c>
      <c r="U2895" t="s">
        <v>13640</v>
      </c>
      <c r="V2895" t="s">
        <v>15216</v>
      </c>
    </row>
    <row r="2896" spans="1:22" ht="17.399999999999999" hidden="1">
      <c r="A2896" t="s">
        <v>15340</v>
      </c>
      <c r="B2896" t="s">
        <v>15442</v>
      </c>
      <c r="C2896" t="s">
        <v>15450</v>
      </c>
      <c r="D2896" t="s">
        <v>1752</v>
      </c>
      <c r="E2896" t="s">
        <v>3462</v>
      </c>
      <c r="F2896" t="s">
        <v>3664</v>
      </c>
      <c r="G2896" s="3">
        <v>36.4895813567313</v>
      </c>
      <c r="H2896" s="3">
        <v>129.15307866091101</v>
      </c>
      <c r="I2896" t="s">
        <v>5518</v>
      </c>
      <c r="J2896" t="s">
        <v>8877</v>
      </c>
      <c r="K2896" t="s">
        <v>11454</v>
      </c>
      <c r="L2896" t="s">
        <v>3374</v>
      </c>
      <c r="M2896" t="s">
        <v>11900</v>
      </c>
      <c r="N2896" t="s">
        <v>3362</v>
      </c>
      <c r="O2896" t="s">
        <v>3358</v>
      </c>
      <c r="P2896" t="s">
        <v>15211</v>
      </c>
      <c r="Q2896" t="s">
        <v>15211</v>
      </c>
      <c r="R2896" t="s">
        <v>15211</v>
      </c>
      <c r="S2896" t="s">
        <v>15211</v>
      </c>
      <c r="T2896" t="s">
        <v>3364</v>
      </c>
      <c r="U2896" t="s">
        <v>13641</v>
      </c>
      <c r="V2896" t="s">
        <v>15217</v>
      </c>
    </row>
    <row r="2897" spans="1:22" ht="17.399999999999999" hidden="1">
      <c r="A2897" t="s">
        <v>15340</v>
      </c>
      <c r="B2897" t="s">
        <v>15442</v>
      </c>
      <c r="C2897" t="s">
        <v>15450</v>
      </c>
      <c r="D2897" t="s">
        <v>1753</v>
      </c>
      <c r="E2897" t="s">
        <v>3465</v>
      </c>
      <c r="F2897" t="s">
        <v>3529</v>
      </c>
      <c r="G2897" s="3">
        <v>36.489581436287096</v>
      </c>
      <c r="H2897" s="3">
        <v>129.15307875043601</v>
      </c>
      <c r="I2897" t="s">
        <v>5519</v>
      </c>
      <c r="J2897" t="s">
        <v>8878</v>
      </c>
      <c r="K2897" t="s">
        <v>11455</v>
      </c>
      <c r="L2897" t="s">
        <v>3366</v>
      </c>
      <c r="M2897" t="s">
        <v>11892</v>
      </c>
      <c r="N2897" t="s">
        <v>3362</v>
      </c>
      <c r="O2897" t="s">
        <v>3358</v>
      </c>
      <c r="P2897" t="s">
        <v>15211</v>
      </c>
      <c r="Q2897" t="s">
        <v>15211</v>
      </c>
      <c r="R2897" t="s">
        <v>15211</v>
      </c>
      <c r="S2897" t="s">
        <v>15211</v>
      </c>
      <c r="T2897" t="s">
        <v>3364</v>
      </c>
      <c r="U2897" t="s">
        <v>13642</v>
      </c>
      <c r="V2897" t="s">
        <v>15217</v>
      </c>
    </row>
    <row r="2898" spans="1:22" ht="17.399999999999999" hidden="1">
      <c r="A2898" t="s">
        <v>15340</v>
      </c>
      <c r="B2898" t="s">
        <v>15442</v>
      </c>
      <c r="C2898" t="s">
        <v>15450</v>
      </c>
      <c r="D2898" t="s">
        <v>1754</v>
      </c>
      <c r="E2898" t="s">
        <v>3511</v>
      </c>
      <c r="F2898" t="s">
        <v>3665</v>
      </c>
      <c r="G2898" s="3">
        <v>36.489581414613802</v>
      </c>
      <c r="H2898" s="3">
        <v>129.153078797879</v>
      </c>
      <c r="I2898" t="s">
        <v>5520</v>
      </c>
      <c r="J2898" t="s">
        <v>8879</v>
      </c>
      <c r="K2898" t="s">
        <v>11456</v>
      </c>
      <c r="L2898" t="s">
        <v>3366</v>
      </c>
      <c r="M2898" t="s">
        <v>11892</v>
      </c>
      <c r="N2898" t="s">
        <v>3361</v>
      </c>
      <c r="O2898" t="s">
        <v>3359</v>
      </c>
      <c r="P2898" t="s">
        <v>15211</v>
      </c>
      <c r="Q2898" t="s">
        <v>15211</v>
      </c>
      <c r="R2898" t="s">
        <v>15211</v>
      </c>
      <c r="S2898" t="s">
        <v>15211</v>
      </c>
      <c r="T2898" t="s">
        <v>3364</v>
      </c>
      <c r="U2898" t="s">
        <v>13643</v>
      </c>
      <c r="V2898" t="s">
        <v>15217</v>
      </c>
    </row>
    <row r="2899" spans="1:22" ht="17.399999999999999" hidden="1">
      <c r="A2899" t="s">
        <v>15340</v>
      </c>
      <c r="B2899" t="s">
        <v>15442</v>
      </c>
      <c r="C2899" t="s">
        <v>15445</v>
      </c>
      <c r="D2899" t="s">
        <v>1755</v>
      </c>
      <c r="E2899" t="s">
        <v>3512</v>
      </c>
      <c r="F2899" t="s">
        <v>3666</v>
      </c>
      <c r="G2899" s="3">
        <v>36.489582978906697</v>
      </c>
      <c r="H2899" s="3">
        <v>129.153076399599</v>
      </c>
      <c r="I2899" t="s">
        <v>5521</v>
      </c>
      <c r="J2899" t="s">
        <v>8880</v>
      </c>
      <c r="K2899" t="s">
        <v>10482</v>
      </c>
      <c r="L2899" t="s">
        <v>3376</v>
      </c>
      <c r="M2899" t="s">
        <v>11902</v>
      </c>
      <c r="N2899" t="s">
        <v>3363</v>
      </c>
      <c r="O2899" t="s">
        <v>3360</v>
      </c>
      <c r="P2899" t="s">
        <v>15211</v>
      </c>
      <c r="Q2899" t="s">
        <v>15211</v>
      </c>
      <c r="R2899" t="s">
        <v>15211</v>
      </c>
      <c r="S2899" t="s">
        <v>15211</v>
      </c>
      <c r="T2899" t="s">
        <v>3367</v>
      </c>
      <c r="U2899" t="s">
        <v>13644</v>
      </c>
      <c r="V2899" t="s">
        <v>15218</v>
      </c>
    </row>
    <row r="2900" spans="1:22" ht="17.399999999999999" hidden="1">
      <c r="A2900" t="s">
        <v>15340</v>
      </c>
      <c r="B2900" t="s">
        <v>15442</v>
      </c>
      <c r="C2900" t="s">
        <v>15445</v>
      </c>
      <c r="D2900" t="s">
        <v>1756</v>
      </c>
      <c r="E2900" t="s">
        <v>3513</v>
      </c>
      <c r="F2900" t="s">
        <v>3667</v>
      </c>
      <c r="G2900" s="3">
        <v>36.489584439782803</v>
      </c>
      <c r="H2900" s="3">
        <v>129.15307668905399</v>
      </c>
      <c r="I2900" t="s">
        <v>5522</v>
      </c>
      <c r="J2900" t="s">
        <v>8881</v>
      </c>
      <c r="K2900" t="s">
        <v>11457</v>
      </c>
      <c r="L2900" t="s">
        <v>3366</v>
      </c>
      <c r="M2900" t="s">
        <v>11902</v>
      </c>
      <c r="N2900" t="s">
        <v>3362</v>
      </c>
      <c r="O2900" t="s">
        <v>3359</v>
      </c>
      <c r="P2900" t="s">
        <v>15211</v>
      </c>
      <c r="Q2900" t="s">
        <v>15211</v>
      </c>
      <c r="R2900" t="s">
        <v>15211</v>
      </c>
      <c r="S2900" t="s">
        <v>15211</v>
      </c>
      <c r="T2900" t="s">
        <v>3365</v>
      </c>
      <c r="U2900" t="s">
        <v>13645</v>
      </c>
      <c r="V2900" t="s">
        <v>15218</v>
      </c>
    </row>
    <row r="2901" spans="1:22" ht="17.399999999999999" hidden="1">
      <c r="A2901" t="s">
        <v>15340</v>
      </c>
      <c r="B2901" t="s">
        <v>15442</v>
      </c>
      <c r="C2901" t="s">
        <v>15445</v>
      </c>
      <c r="D2901" t="s">
        <v>1757</v>
      </c>
      <c r="E2901" t="s">
        <v>3514</v>
      </c>
      <c r="F2901" t="s">
        <v>3668</v>
      </c>
      <c r="G2901" s="3">
        <v>36.489582973835297</v>
      </c>
      <c r="H2901" s="3">
        <v>129.15307819233001</v>
      </c>
      <c r="I2901" t="s">
        <v>5523</v>
      </c>
      <c r="J2901" t="s">
        <v>8882</v>
      </c>
      <c r="K2901" t="s">
        <v>11458</v>
      </c>
      <c r="L2901" t="s">
        <v>3366</v>
      </c>
      <c r="M2901" t="s">
        <v>11902</v>
      </c>
      <c r="N2901" t="s">
        <v>3363</v>
      </c>
      <c r="O2901" t="s">
        <v>3359</v>
      </c>
      <c r="P2901" t="s">
        <v>15211</v>
      </c>
      <c r="Q2901" t="s">
        <v>15211</v>
      </c>
      <c r="R2901" t="s">
        <v>15211</v>
      </c>
      <c r="S2901" t="s">
        <v>15211</v>
      </c>
      <c r="T2901" t="s">
        <v>3366</v>
      </c>
      <c r="U2901" t="s">
        <v>13646</v>
      </c>
      <c r="V2901" t="s">
        <v>15218</v>
      </c>
    </row>
    <row r="2902" spans="1:22" ht="17.399999999999999" hidden="1">
      <c r="A2902" t="s">
        <v>15340</v>
      </c>
      <c r="B2902" t="s">
        <v>15442</v>
      </c>
      <c r="C2902" t="s">
        <v>15451</v>
      </c>
      <c r="D2902" t="s">
        <v>1758</v>
      </c>
      <c r="E2902" t="s">
        <v>3431</v>
      </c>
      <c r="F2902" t="s">
        <v>3452</v>
      </c>
      <c r="G2902" s="3">
        <v>36.489581828187703</v>
      </c>
      <c r="H2902" s="3">
        <v>129.15307823551399</v>
      </c>
      <c r="I2902" t="s">
        <v>5524</v>
      </c>
      <c r="J2902" t="s">
        <v>8883</v>
      </c>
      <c r="K2902" t="s">
        <v>11459</v>
      </c>
      <c r="L2902" t="s">
        <v>3382</v>
      </c>
      <c r="M2902" t="s">
        <v>11889</v>
      </c>
      <c r="N2902" t="s">
        <v>3361</v>
      </c>
      <c r="O2902" t="s">
        <v>3359</v>
      </c>
      <c r="P2902" t="s">
        <v>3363</v>
      </c>
      <c r="Q2902" t="s">
        <v>3360</v>
      </c>
      <c r="R2902" t="s">
        <v>15211</v>
      </c>
      <c r="S2902" t="s">
        <v>15211</v>
      </c>
      <c r="T2902" t="s">
        <v>3375</v>
      </c>
      <c r="U2902" t="s">
        <v>13647</v>
      </c>
      <c r="V2902" t="s">
        <v>15219</v>
      </c>
    </row>
    <row r="2903" spans="1:22" ht="17.399999999999999" hidden="1">
      <c r="A2903" t="s">
        <v>15340</v>
      </c>
      <c r="B2903" t="s">
        <v>15442</v>
      </c>
      <c r="C2903" t="s">
        <v>15451</v>
      </c>
      <c r="D2903" t="s">
        <v>1759</v>
      </c>
      <c r="E2903" t="s">
        <v>3435</v>
      </c>
      <c r="F2903" t="s">
        <v>3426</v>
      </c>
      <c r="G2903" s="3">
        <v>36.489581812374603</v>
      </c>
      <c r="H2903" s="3">
        <v>129.153078250183</v>
      </c>
      <c r="I2903" t="s">
        <v>5525</v>
      </c>
      <c r="J2903" t="s">
        <v>8884</v>
      </c>
      <c r="K2903" t="s">
        <v>11460</v>
      </c>
      <c r="L2903" t="s">
        <v>3366</v>
      </c>
      <c r="M2903" t="s">
        <v>11888</v>
      </c>
      <c r="N2903" t="s">
        <v>3361</v>
      </c>
      <c r="O2903" t="s">
        <v>3359</v>
      </c>
      <c r="P2903" t="s">
        <v>3364</v>
      </c>
      <c r="Q2903" t="s">
        <v>3361</v>
      </c>
      <c r="R2903" t="s">
        <v>15211</v>
      </c>
      <c r="S2903" t="s">
        <v>15211</v>
      </c>
      <c r="T2903" t="s">
        <v>3377</v>
      </c>
      <c r="U2903" t="s">
        <v>13648</v>
      </c>
      <c r="V2903" t="s">
        <v>15219</v>
      </c>
    </row>
    <row r="2904" spans="1:22" ht="17.399999999999999" hidden="1">
      <c r="A2904" t="s">
        <v>15340</v>
      </c>
      <c r="B2904" t="s">
        <v>15442</v>
      </c>
      <c r="C2904" t="s">
        <v>15451</v>
      </c>
      <c r="D2904" t="s">
        <v>1760</v>
      </c>
      <c r="E2904" t="s">
        <v>3429</v>
      </c>
      <c r="F2904" t="s">
        <v>3465</v>
      </c>
      <c r="G2904" s="3">
        <v>36.489581789401299</v>
      </c>
      <c r="H2904" s="3">
        <v>129.15307820377501</v>
      </c>
      <c r="I2904" t="s">
        <v>5526</v>
      </c>
      <c r="J2904" t="s">
        <v>8885</v>
      </c>
      <c r="K2904" t="s">
        <v>11042</v>
      </c>
      <c r="L2904" t="s">
        <v>3366</v>
      </c>
      <c r="M2904" t="s">
        <v>11896</v>
      </c>
      <c r="N2904" t="s">
        <v>3363</v>
      </c>
      <c r="O2904" t="s">
        <v>3359</v>
      </c>
      <c r="P2904" t="s">
        <v>3364</v>
      </c>
      <c r="Q2904" t="s">
        <v>3361</v>
      </c>
      <c r="R2904" t="s">
        <v>15211</v>
      </c>
      <c r="S2904" t="s">
        <v>15211</v>
      </c>
      <c r="T2904" t="s">
        <v>3379</v>
      </c>
      <c r="U2904" t="s">
        <v>13649</v>
      </c>
      <c r="V2904" t="s">
        <v>15219</v>
      </c>
    </row>
    <row r="2905" spans="1:22" ht="17.399999999999999">
      <c r="A2905" t="s">
        <v>15340</v>
      </c>
      <c r="B2905" t="s">
        <v>15443</v>
      </c>
      <c r="C2905" t="s">
        <v>15452</v>
      </c>
      <c r="D2905" t="s">
        <v>1761</v>
      </c>
      <c r="E2905" t="s">
        <v>3425</v>
      </c>
      <c r="F2905" t="s">
        <v>3453</v>
      </c>
      <c r="G2905" s="3">
        <v>36.489581788844703</v>
      </c>
      <c r="H2905" s="3">
        <v>129.15307791028701</v>
      </c>
      <c r="I2905" t="s">
        <v>5527</v>
      </c>
      <c r="J2905" t="s">
        <v>8886</v>
      </c>
      <c r="K2905" t="s">
        <v>10575</v>
      </c>
      <c r="L2905" t="s">
        <v>3372</v>
      </c>
      <c r="M2905" t="s">
        <v>11901</v>
      </c>
      <c r="N2905" t="s">
        <v>3361</v>
      </c>
      <c r="O2905" t="s">
        <v>15211</v>
      </c>
      <c r="P2905" t="s">
        <v>3363</v>
      </c>
      <c r="Q2905" t="s">
        <v>3360</v>
      </c>
      <c r="R2905" t="s">
        <v>15211</v>
      </c>
      <c r="S2905" t="s">
        <v>15211</v>
      </c>
      <c r="T2905" t="s">
        <v>3372</v>
      </c>
      <c r="U2905" t="s">
        <v>13650</v>
      </c>
      <c r="V2905" t="s">
        <v>15220</v>
      </c>
    </row>
    <row r="2906" spans="1:22" ht="17.399999999999999">
      <c r="A2906" t="s">
        <v>15340</v>
      </c>
      <c r="B2906" t="s">
        <v>15443</v>
      </c>
      <c r="C2906" t="s">
        <v>15452</v>
      </c>
      <c r="D2906" t="s">
        <v>1762</v>
      </c>
      <c r="E2906" t="s">
        <v>3434</v>
      </c>
      <c r="F2906" t="s">
        <v>3452</v>
      </c>
      <c r="G2906" s="3">
        <v>36.489581681748902</v>
      </c>
      <c r="H2906" s="3">
        <v>129.15307791019799</v>
      </c>
      <c r="I2906" t="s">
        <v>5528</v>
      </c>
      <c r="J2906" t="s">
        <v>8887</v>
      </c>
      <c r="K2906" t="s">
        <v>10912</v>
      </c>
      <c r="L2906" t="s">
        <v>3366</v>
      </c>
      <c r="M2906" t="s">
        <v>11903</v>
      </c>
      <c r="N2906" t="s">
        <v>3361</v>
      </c>
      <c r="O2906" t="s">
        <v>15211</v>
      </c>
      <c r="P2906" t="s">
        <v>3364</v>
      </c>
      <c r="Q2906" t="s">
        <v>3359</v>
      </c>
      <c r="R2906" t="s">
        <v>15211</v>
      </c>
      <c r="S2906" t="s">
        <v>15211</v>
      </c>
      <c r="T2906" t="s">
        <v>3372</v>
      </c>
      <c r="U2906" t="s">
        <v>13651</v>
      </c>
      <c r="V2906" t="s">
        <v>15220</v>
      </c>
    </row>
    <row r="2907" spans="1:22" ht="17.399999999999999">
      <c r="A2907" t="s">
        <v>15340</v>
      </c>
      <c r="B2907" t="s">
        <v>15443</v>
      </c>
      <c r="C2907" t="s">
        <v>15452</v>
      </c>
      <c r="D2907" t="s">
        <v>1763</v>
      </c>
      <c r="E2907" t="s">
        <v>3450</v>
      </c>
      <c r="F2907" t="s">
        <v>3564</v>
      </c>
      <c r="G2907" s="3">
        <v>36.489581638826301</v>
      </c>
      <c r="H2907" s="3">
        <v>129.15307798206601</v>
      </c>
      <c r="I2907" t="s">
        <v>5529</v>
      </c>
      <c r="J2907" t="s">
        <v>8888</v>
      </c>
      <c r="K2907" t="s">
        <v>11036</v>
      </c>
      <c r="L2907" t="s">
        <v>3366</v>
      </c>
      <c r="M2907" t="s">
        <v>11895</v>
      </c>
      <c r="N2907" t="s">
        <v>3360</v>
      </c>
      <c r="O2907" t="s">
        <v>15211</v>
      </c>
      <c r="P2907" t="s">
        <v>3364</v>
      </c>
      <c r="Q2907" t="s">
        <v>3359</v>
      </c>
      <c r="R2907" t="s">
        <v>15211</v>
      </c>
      <c r="S2907" t="s">
        <v>15211</v>
      </c>
      <c r="T2907" t="s">
        <v>3371</v>
      </c>
      <c r="U2907" t="s">
        <v>13652</v>
      </c>
      <c r="V2907" t="s">
        <v>15220</v>
      </c>
    </row>
    <row r="2908" spans="1:22" ht="17.399999999999999">
      <c r="A2908" t="s">
        <v>15340</v>
      </c>
      <c r="B2908" t="s">
        <v>15443</v>
      </c>
      <c r="C2908" t="s">
        <v>15452</v>
      </c>
      <c r="D2908" t="s">
        <v>1764</v>
      </c>
      <c r="E2908" t="s">
        <v>3478</v>
      </c>
      <c r="F2908" t="s">
        <v>3495</v>
      </c>
      <c r="G2908" s="3">
        <v>36.489581679484402</v>
      </c>
      <c r="H2908" s="3">
        <v>129.15307816176801</v>
      </c>
      <c r="I2908" t="s">
        <v>5530</v>
      </c>
      <c r="J2908" t="s">
        <v>8889</v>
      </c>
      <c r="K2908" t="s">
        <v>11214</v>
      </c>
      <c r="L2908" t="s">
        <v>3366</v>
      </c>
      <c r="M2908" t="s">
        <v>11894</v>
      </c>
      <c r="N2908" t="s">
        <v>3360</v>
      </c>
      <c r="O2908" t="s">
        <v>15211</v>
      </c>
      <c r="P2908" t="s">
        <v>3363</v>
      </c>
      <c r="Q2908" t="s">
        <v>3359</v>
      </c>
      <c r="R2908" t="s">
        <v>15211</v>
      </c>
      <c r="S2908" t="s">
        <v>15211</v>
      </c>
      <c r="T2908" t="s">
        <v>3370</v>
      </c>
      <c r="U2908" t="s">
        <v>13653</v>
      </c>
      <c r="V2908" t="s">
        <v>15220</v>
      </c>
    </row>
    <row r="2909" spans="1:22" ht="17.399999999999999">
      <c r="A2909" t="s">
        <v>15340</v>
      </c>
      <c r="B2909" t="s">
        <v>15443</v>
      </c>
      <c r="C2909" t="s">
        <v>15452</v>
      </c>
      <c r="D2909" t="s">
        <v>1765</v>
      </c>
      <c r="E2909" t="s">
        <v>3511</v>
      </c>
      <c r="F2909" t="s">
        <v>3542</v>
      </c>
      <c r="G2909" s="3">
        <v>36.489581574346403</v>
      </c>
      <c r="H2909" s="3">
        <v>129.15307824262399</v>
      </c>
      <c r="I2909" t="s">
        <v>5531</v>
      </c>
      <c r="J2909" t="s">
        <v>8890</v>
      </c>
      <c r="K2909" t="s">
        <v>11273</v>
      </c>
      <c r="L2909" t="s">
        <v>3366</v>
      </c>
      <c r="M2909" t="s">
        <v>11895</v>
      </c>
      <c r="N2909" t="s">
        <v>3360</v>
      </c>
      <c r="O2909" t="s">
        <v>15211</v>
      </c>
      <c r="P2909" t="s">
        <v>3363</v>
      </c>
      <c r="Q2909" t="s">
        <v>3360</v>
      </c>
      <c r="R2909" t="s">
        <v>15211</v>
      </c>
      <c r="S2909" t="s">
        <v>15211</v>
      </c>
      <c r="T2909" t="s">
        <v>3371</v>
      </c>
      <c r="U2909" t="s">
        <v>13654</v>
      </c>
      <c r="V2909" t="s">
        <v>15220</v>
      </c>
    </row>
    <row r="2910" spans="1:22" ht="17.399999999999999">
      <c r="A2910" t="s">
        <v>15340</v>
      </c>
      <c r="B2910" t="s">
        <v>15443</v>
      </c>
      <c r="C2910" t="s">
        <v>15452</v>
      </c>
      <c r="D2910" t="s">
        <v>1766</v>
      </c>
      <c r="E2910" t="s">
        <v>3461</v>
      </c>
      <c r="F2910" t="s">
        <v>3590</v>
      </c>
      <c r="G2910" s="3">
        <v>36.489581595873901</v>
      </c>
      <c r="H2910" s="3">
        <v>129.153078187402</v>
      </c>
      <c r="I2910" t="s">
        <v>5532</v>
      </c>
      <c r="J2910" t="s">
        <v>8891</v>
      </c>
      <c r="K2910" t="s">
        <v>10904</v>
      </c>
      <c r="L2910" t="s">
        <v>3366</v>
      </c>
      <c r="M2910" t="s">
        <v>11895</v>
      </c>
      <c r="N2910" t="s">
        <v>3360</v>
      </c>
      <c r="O2910" t="s">
        <v>15211</v>
      </c>
      <c r="P2910" t="s">
        <v>3363</v>
      </c>
      <c r="Q2910" t="s">
        <v>3360</v>
      </c>
      <c r="R2910" t="s">
        <v>15211</v>
      </c>
      <c r="S2910" t="s">
        <v>15211</v>
      </c>
      <c r="T2910" t="s">
        <v>3371</v>
      </c>
      <c r="U2910" t="s">
        <v>13655</v>
      </c>
      <c r="V2910" t="s">
        <v>15220</v>
      </c>
    </row>
    <row r="2911" spans="1:22" ht="17.399999999999999" hidden="1">
      <c r="A2911" t="s">
        <v>15340</v>
      </c>
      <c r="B2911" t="s">
        <v>15443</v>
      </c>
      <c r="C2911" t="s">
        <v>15476</v>
      </c>
      <c r="D2911" t="s">
        <v>1767</v>
      </c>
      <c r="E2911" t="s">
        <v>3511</v>
      </c>
      <c r="F2911" t="s">
        <v>3534</v>
      </c>
      <c r="G2911" s="3">
        <v>36.489581609330799</v>
      </c>
      <c r="H2911" s="3">
        <v>129.15307807814199</v>
      </c>
      <c r="I2911" t="s">
        <v>5533</v>
      </c>
      <c r="J2911" t="s">
        <v>8892</v>
      </c>
      <c r="K2911" t="s">
        <v>10888</v>
      </c>
      <c r="L2911" t="s">
        <v>3382</v>
      </c>
      <c r="M2911" t="s">
        <v>11895</v>
      </c>
      <c r="N2911" t="s">
        <v>3360</v>
      </c>
      <c r="O2911" t="s">
        <v>15211</v>
      </c>
      <c r="P2911" t="s">
        <v>3363</v>
      </c>
      <c r="Q2911" t="s">
        <v>3360</v>
      </c>
      <c r="R2911" t="s">
        <v>15211</v>
      </c>
      <c r="S2911" t="s">
        <v>15211</v>
      </c>
      <c r="T2911" t="s">
        <v>3371</v>
      </c>
      <c r="U2911" t="s">
        <v>13656</v>
      </c>
      <c r="V2911" t="s">
        <v>15259</v>
      </c>
    </row>
    <row r="2912" spans="1:22" ht="17.399999999999999" hidden="1">
      <c r="A2912" t="s">
        <v>15340</v>
      </c>
      <c r="B2912" t="s">
        <v>15443</v>
      </c>
      <c r="C2912" t="s">
        <v>15476</v>
      </c>
      <c r="D2912" t="s">
        <v>1768</v>
      </c>
      <c r="E2912" t="s">
        <v>3464</v>
      </c>
      <c r="F2912" t="s">
        <v>3535</v>
      </c>
      <c r="G2912" s="3">
        <v>36.489581724422102</v>
      </c>
      <c r="H2912" s="3">
        <v>129.15307798245101</v>
      </c>
      <c r="I2912" t="s">
        <v>5534</v>
      </c>
      <c r="J2912" t="s">
        <v>8893</v>
      </c>
      <c r="K2912" t="s">
        <v>11461</v>
      </c>
      <c r="L2912" t="s">
        <v>3366</v>
      </c>
      <c r="M2912" t="s">
        <v>11903</v>
      </c>
      <c r="N2912" t="s">
        <v>3361</v>
      </c>
      <c r="O2912" t="s">
        <v>15211</v>
      </c>
      <c r="P2912" t="s">
        <v>3363</v>
      </c>
      <c r="Q2912" t="s">
        <v>3360</v>
      </c>
      <c r="R2912" t="s">
        <v>15211</v>
      </c>
      <c r="S2912" t="s">
        <v>15211</v>
      </c>
      <c r="T2912" t="s">
        <v>3372</v>
      </c>
      <c r="U2912" t="s">
        <v>13657</v>
      </c>
      <c r="V2912" t="s">
        <v>15259</v>
      </c>
    </row>
    <row r="2913" spans="1:22" ht="17.399999999999999" hidden="1">
      <c r="A2913" t="s">
        <v>15340</v>
      </c>
      <c r="B2913" t="s">
        <v>15443</v>
      </c>
      <c r="C2913" t="s">
        <v>15476</v>
      </c>
      <c r="D2913" t="s">
        <v>1769</v>
      </c>
      <c r="E2913" t="s">
        <v>3515</v>
      </c>
      <c r="F2913" t="s">
        <v>3535</v>
      </c>
      <c r="G2913" s="3">
        <v>36.489581742776501</v>
      </c>
      <c r="H2913" s="3">
        <v>129.15307789425</v>
      </c>
      <c r="I2913" t="s">
        <v>5535</v>
      </c>
      <c r="J2913" t="s">
        <v>8894</v>
      </c>
      <c r="K2913" t="s">
        <v>11095</v>
      </c>
      <c r="L2913" t="s">
        <v>3366</v>
      </c>
      <c r="M2913" t="s">
        <v>11903</v>
      </c>
      <c r="N2913" t="s">
        <v>3361</v>
      </c>
      <c r="O2913" t="s">
        <v>15211</v>
      </c>
      <c r="P2913" t="s">
        <v>3363</v>
      </c>
      <c r="Q2913" t="s">
        <v>3360</v>
      </c>
      <c r="R2913" t="s">
        <v>15211</v>
      </c>
      <c r="S2913" t="s">
        <v>15211</v>
      </c>
      <c r="T2913" t="s">
        <v>3372</v>
      </c>
      <c r="U2913" t="s">
        <v>13658</v>
      </c>
      <c r="V2913" t="s">
        <v>15259</v>
      </c>
    </row>
    <row r="2914" spans="1:22" ht="17.399999999999999" hidden="1">
      <c r="A2914" t="s">
        <v>15341</v>
      </c>
      <c r="B2914" t="s">
        <v>15441</v>
      </c>
      <c r="C2914" t="s">
        <v>15445</v>
      </c>
      <c r="D2914" t="s">
        <v>1770</v>
      </c>
      <c r="E2914" t="s">
        <v>3516</v>
      </c>
      <c r="F2914" t="s">
        <v>3669</v>
      </c>
      <c r="G2914" s="3">
        <v>36.307658723645602</v>
      </c>
      <c r="H2914" s="3">
        <v>129.05159135960301</v>
      </c>
      <c r="I2914" t="s">
        <v>5536</v>
      </c>
      <c r="J2914" t="s">
        <v>8895</v>
      </c>
      <c r="K2914" t="s">
        <v>11462</v>
      </c>
      <c r="L2914" t="s">
        <v>3366</v>
      </c>
      <c r="M2914" t="s">
        <v>11915</v>
      </c>
      <c r="N2914" t="s">
        <v>3361</v>
      </c>
      <c r="O2914" t="s">
        <v>15211</v>
      </c>
      <c r="P2914" t="s">
        <v>15211</v>
      </c>
      <c r="Q2914" t="s">
        <v>15211</v>
      </c>
      <c r="R2914" t="s">
        <v>15211</v>
      </c>
      <c r="S2914" t="s">
        <v>15211</v>
      </c>
      <c r="T2914" t="s">
        <v>3361</v>
      </c>
      <c r="U2914" t="s">
        <v>13659</v>
      </c>
      <c r="V2914" t="s">
        <v>15212</v>
      </c>
    </row>
    <row r="2915" spans="1:22" ht="17.399999999999999" hidden="1">
      <c r="A2915" t="s">
        <v>15341</v>
      </c>
      <c r="B2915" t="s">
        <v>15441</v>
      </c>
      <c r="C2915" t="s">
        <v>15445</v>
      </c>
      <c r="D2915" t="s">
        <v>1771</v>
      </c>
      <c r="E2915" t="s">
        <v>3517</v>
      </c>
      <c r="F2915" t="s">
        <v>3670</v>
      </c>
      <c r="G2915" s="3">
        <v>36.307652986250098</v>
      </c>
      <c r="H2915" s="3">
        <v>129.05159306470699</v>
      </c>
      <c r="I2915" t="s">
        <v>5537</v>
      </c>
      <c r="J2915" t="s">
        <v>8896</v>
      </c>
      <c r="K2915" t="s">
        <v>11463</v>
      </c>
      <c r="L2915" t="s">
        <v>3366</v>
      </c>
      <c r="M2915" t="s">
        <v>11915</v>
      </c>
      <c r="N2915" t="s">
        <v>3361</v>
      </c>
      <c r="O2915" t="s">
        <v>15211</v>
      </c>
      <c r="P2915" t="s">
        <v>15211</v>
      </c>
      <c r="Q2915" t="s">
        <v>15211</v>
      </c>
      <c r="R2915" t="s">
        <v>15211</v>
      </c>
      <c r="S2915" t="s">
        <v>15211</v>
      </c>
      <c r="T2915" t="s">
        <v>3361</v>
      </c>
      <c r="U2915" t="s">
        <v>13660</v>
      </c>
      <c r="V2915" t="s">
        <v>15212</v>
      </c>
    </row>
    <row r="2916" spans="1:22" ht="17.399999999999999" hidden="1">
      <c r="A2916" t="s">
        <v>15341</v>
      </c>
      <c r="B2916" t="s">
        <v>15441</v>
      </c>
      <c r="C2916" t="s">
        <v>15445</v>
      </c>
      <c r="D2916" t="s">
        <v>1772</v>
      </c>
      <c r="E2916" t="s">
        <v>3518</v>
      </c>
      <c r="F2916" t="s">
        <v>3671</v>
      </c>
      <c r="G2916" s="3">
        <v>36.307651985064503</v>
      </c>
      <c r="H2916" s="3">
        <v>129.05159351042701</v>
      </c>
      <c r="I2916" t="s">
        <v>5538</v>
      </c>
      <c r="J2916" t="s">
        <v>8897</v>
      </c>
      <c r="K2916" t="s">
        <v>11464</v>
      </c>
      <c r="L2916" t="s">
        <v>3366</v>
      </c>
      <c r="M2916" t="s">
        <v>11915</v>
      </c>
      <c r="N2916" t="s">
        <v>3361</v>
      </c>
      <c r="O2916" t="s">
        <v>15211</v>
      </c>
      <c r="P2916" t="s">
        <v>15211</v>
      </c>
      <c r="Q2916" t="s">
        <v>15211</v>
      </c>
      <c r="R2916" t="s">
        <v>15211</v>
      </c>
      <c r="S2916" t="s">
        <v>15211</v>
      </c>
      <c r="T2916" t="s">
        <v>3361</v>
      </c>
      <c r="U2916" t="s">
        <v>13661</v>
      </c>
      <c r="V2916" t="s">
        <v>15212</v>
      </c>
    </row>
    <row r="2917" spans="1:22" ht="17.399999999999999" hidden="1">
      <c r="A2917" t="s">
        <v>15341</v>
      </c>
      <c r="B2917" t="s">
        <v>15441</v>
      </c>
      <c r="C2917" t="s">
        <v>15446</v>
      </c>
      <c r="D2917" t="s">
        <v>1773</v>
      </c>
      <c r="E2917" t="s">
        <v>3519</v>
      </c>
      <c r="F2917" t="s">
        <v>3672</v>
      </c>
      <c r="G2917" s="3">
        <v>36.307654342309803</v>
      </c>
      <c r="H2917" s="3">
        <v>129.05159534606901</v>
      </c>
      <c r="I2917" t="s">
        <v>5539</v>
      </c>
      <c r="J2917" t="s">
        <v>8898</v>
      </c>
      <c r="K2917" t="s">
        <v>11465</v>
      </c>
      <c r="L2917" t="s">
        <v>3370</v>
      </c>
      <c r="M2917" t="s">
        <v>11915</v>
      </c>
      <c r="N2917" t="s">
        <v>3361</v>
      </c>
      <c r="O2917" t="s">
        <v>15211</v>
      </c>
      <c r="P2917" t="s">
        <v>15211</v>
      </c>
      <c r="Q2917" t="s">
        <v>15211</v>
      </c>
      <c r="R2917" t="s">
        <v>15211</v>
      </c>
      <c r="S2917" t="s">
        <v>15211</v>
      </c>
      <c r="T2917" t="s">
        <v>3361</v>
      </c>
      <c r="U2917" t="s">
        <v>13662</v>
      </c>
      <c r="V2917" t="s">
        <v>15213</v>
      </c>
    </row>
    <row r="2918" spans="1:22" ht="17.399999999999999" hidden="1">
      <c r="A2918" t="s">
        <v>15341</v>
      </c>
      <c r="B2918" t="s">
        <v>15441</v>
      </c>
      <c r="C2918" t="s">
        <v>15446</v>
      </c>
      <c r="D2918" t="s">
        <v>1774</v>
      </c>
      <c r="E2918" t="s">
        <v>3490</v>
      </c>
      <c r="F2918" t="s">
        <v>3483</v>
      </c>
      <c r="G2918" s="3">
        <v>36.307651690533199</v>
      </c>
      <c r="H2918" s="3">
        <v>129.05159472039</v>
      </c>
      <c r="I2918" t="s">
        <v>5540</v>
      </c>
      <c r="J2918" t="s">
        <v>8899</v>
      </c>
      <c r="K2918" t="s">
        <v>11466</v>
      </c>
      <c r="L2918" t="s">
        <v>3366</v>
      </c>
      <c r="M2918" t="s">
        <v>11915</v>
      </c>
      <c r="N2918" t="s">
        <v>3361</v>
      </c>
      <c r="O2918" t="s">
        <v>15211</v>
      </c>
      <c r="P2918" t="s">
        <v>15211</v>
      </c>
      <c r="Q2918" t="s">
        <v>15211</v>
      </c>
      <c r="R2918" t="s">
        <v>15211</v>
      </c>
      <c r="S2918" t="s">
        <v>15211</v>
      </c>
      <c r="T2918" t="s">
        <v>3361</v>
      </c>
      <c r="U2918" t="s">
        <v>13663</v>
      </c>
      <c r="V2918" t="s">
        <v>15213</v>
      </c>
    </row>
    <row r="2919" spans="1:22" ht="17.399999999999999" hidden="1">
      <c r="A2919" t="s">
        <v>15341</v>
      </c>
      <c r="B2919" t="s">
        <v>15441</v>
      </c>
      <c r="C2919" t="s">
        <v>15446</v>
      </c>
      <c r="D2919" t="s">
        <v>1775</v>
      </c>
      <c r="E2919" t="s">
        <v>3520</v>
      </c>
      <c r="F2919" t="s">
        <v>3673</v>
      </c>
      <c r="G2919" s="3">
        <v>36.3076518102135</v>
      </c>
      <c r="H2919" s="3">
        <v>129.05159542617099</v>
      </c>
      <c r="I2919" t="s">
        <v>5541</v>
      </c>
      <c r="J2919" t="s">
        <v>8900</v>
      </c>
      <c r="K2919" t="s">
        <v>11467</v>
      </c>
      <c r="L2919" t="s">
        <v>3366</v>
      </c>
      <c r="M2919" t="s">
        <v>11915</v>
      </c>
      <c r="N2919" t="s">
        <v>3361</v>
      </c>
      <c r="O2919" t="s">
        <v>15211</v>
      </c>
      <c r="P2919" t="s">
        <v>15211</v>
      </c>
      <c r="Q2919" t="s">
        <v>15211</v>
      </c>
      <c r="R2919" t="s">
        <v>15211</v>
      </c>
      <c r="S2919" t="s">
        <v>15211</v>
      </c>
      <c r="T2919" t="s">
        <v>3361</v>
      </c>
      <c r="U2919" t="s">
        <v>13664</v>
      </c>
      <c r="V2919" t="s">
        <v>15213</v>
      </c>
    </row>
    <row r="2920" spans="1:22" hidden="1">
      <c r="A2920" t="s">
        <v>15305</v>
      </c>
      <c r="B2920" t="s">
        <v>15441</v>
      </c>
      <c r="C2920" t="s">
        <v>15445</v>
      </c>
      <c r="D2920" t="s">
        <v>2915</v>
      </c>
      <c r="E2920" t="s">
        <v>3437</v>
      </c>
      <c r="F2920" t="s">
        <v>3425</v>
      </c>
      <c r="G2920" s="3">
        <v>36.870382712522201</v>
      </c>
      <c r="H2920" s="3">
        <v>127.85442297069299</v>
      </c>
      <c r="I2920" t="s">
        <v>6685</v>
      </c>
      <c r="J2920" t="s">
        <v>10041</v>
      </c>
      <c r="K2920" t="s">
        <v>10579</v>
      </c>
      <c r="L2920" t="s">
        <v>3366</v>
      </c>
      <c r="M2920" t="s">
        <v>11886</v>
      </c>
      <c r="N2920" t="s">
        <v>15211</v>
      </c>
      <c r="O2920" t="s">
        <v>15211</v>
      </c>
      <c r="P2920" t="s">
        <v>15211</v>
      </c>
      <c r="Q2920" t="s">
        <v>15211</v>
      </c>
      <c r="R2920" t="s">
        <v>15211</v>
      </c>
      <c r="S2920" t="s">
        <v>15211</v>
      </c>
      <c r="T2920" t="s">
        <v>15211</v>
      </c>
      <c r="U2920" t="s">
        <v>14781</v>
      </c>
      <c r="V2920" t="s">
        <v>15228</v>
      </c>
    </row>
    <row r="2921" spans="1:22" hidden="1">
      <c r="A2921" t="s">
        <v>15305</v>
      </c>
      <c r="B2921" t="s">
        <v>15441</v>
      </c>
      <c r="C2921" t="s">
        <v>15445</v>
      </c>
      <c r="D2921" t="s">
        <v>2916</v>
      </c>
      <c r="E2921" t="s">
        <v>3437</v>
      </c>
      <c r="F2921" t="s">
        <v>3436</v>
      </c>
      <c r="G2921" s="3">
        <v>36.870382728862303</v>
      </c>
      <c r="H2921" s="3">
        <v>127.854422926818</v>
      </c>
      <c r="I2921" t="s">
        <v>6686</v>
      </c>
      <c r="J2921" t="s">
        <v>10042</v>
      </c>
      <c r="K2921" t="s">
        <v>10773</v>
      </c>
      <c r="L2921" t="s">
        <v>3366</v>
      </c>
      <c r="M2921" t="s">
        <v>11886</v>
      </c>
      <c r="N2921" t="s">
        <v>15211</v>
      </c>
      <c r="O2921" t="s">
        <v>15211</v>
      </c>
      <c r="P2921" t="s">
        <v>15211</v>
      </c>
      <c r="Q2921" t="s">
        <v>15211</v>
      </c>
      <c r="R2921" t="s">
        <v>15211</v>
      </c>
      <c r="S2921" t="s">
        <v>15211</v>
      </c>
      <c r="T2921" t="s">
        <v>15211</v>
      </c>
      <c r="U2921" t="s">
        <v>14782</v>
      </c>
      <c r="V2921" t="s">
        <v>15228</v>
      </c>
    </row>
    <row r="2922" spans="1:22" hidden="1">
      <c r="A2922" t="s">
        <v>15305</v>
      </c>
      <c r="B2922" t="s">
        <v>15441</v>
      </c>
      <c r="C2922" t="s">
        <v>15445</v>
      </c>
      <c r="D2922" t="s">
        <v>2917</v>
      </c>
      <c r="E2922" t="s">
        <v>3437</v>
      </c>
      <c r="F2922" t="s">
        <v>3436</v>
      </c>
      <c r="G2922" s="3">
        <v>36.870382722122898</v>
      </c>
      <c r="H2922" s="3">
        <v>127.854422932375</v>
      </c>
      <c r="I2922" t="s">
        <v>6687</v>
      </c>
      <c r="J2922" t="s">
        <v>10043</v>
      </c>
      <c r="K2922" t="s">
        <v>10539</v>
      </c>
      <c r="L2922" t="s">
        <v>3366</v>
      </c>
      <c r="M2922" t="s">
        <v>11886</v>
      </c>
      <c r="N2922" t="s">
        <v>15211</v>
      </c>
      <c r="O2922" t="s">
        <v>15211</v>
      </c>
      <c r="P2922" t="s">
        <v>15211</v>
      </c>
      <c r="Q2922" t="s">
        <v>15211</v>
      </c>
      <c r="R2922" t="s">
        <v>15211</v>
      </c>
      <c r="S2922" t="s">
        <v>15211</v>
      </c>
      <c r="T2922" t="s">
        <v>15211</v>
      </c>
      <c r="U2922" t="s">
        <v>14783</v>
      </c>
      <c r="V2922" t="s">
        <v>15228</v>
      </c>
    </row>
    <row r="2923" spans="1:22" hidden="1">
      <c r="A2923" t="s">
        <v>15305</v>
      </c>
      <c r="B2923" t="s">
        <v>15441</v>
      </c>
      <c r="C2923" t="s">
        <v>15445</v>
      </c>
      <c r="D2923" t="s">
        <v>2918</v>
      </c>
      <c r="E2923" t="s">
        <v>3439</v>
      </c>
      <c r="F2923" t="s">
        <v>3436</v>
      </c>
      <c r="G2923" s="3">
        <v>36.870382708147503</v>
      </c>
      <c r="H2923" s="3">
        <v>127.854422973694</v>
      </c>
      <c r="I2923" t="s">
        <v>6688</v>
      </c>
      <c r="J2923" t="s">
        <v>10044</v>
      </c>
      <c r="K2923" t="s">
        <v>10749</v>
      </c>
      <c r="L2923" t="s">
        <v>3366</v>
      </c>
      <c r="M2923" t="s">
        <v>11885</v>
      </c>
      <c r="N2923" t="s">
        <v>15211</v>
      </c>
      <c r="O2923" t="s">
        <v>15211</v>
      </c>
      <c r="P2923" t="s">
        <v>15211</v>
      </c>
      <c r="Q2923" t="s">
        <v>15211</v>
      </c>
      <c r="R2923" t="s">
        <v>15211</v>
      </c>
      <c r="S2923" t="s">
        <v>15211</v>
      </c>
      <c r="T2923" t="s">
        <v>15211</v>
      </c>
      <c r="U2923" t="s">
        <v>14784</v>
      </c>
      <c r="V2923" t="s">
        <v>15228</v>
      </c>
    </row>
    <row r="2924" spans="1:22" hidden="1">
      <c r="A2924" t="s">
        <v>15305</v>
      </c>
      <c r="B2924" t="s">
        <v>15441</v>
      </c>
      <c r="C2924" t="s">
        <v>15445</v>
      </c>
      <c r="D2924" t="s">
        <v>2919</v>
      </c>
      <c r="E2924" t="s">
        <v>3439</v>
      </c>
      <c r="F2924" t="s">
        <v>3436</v>
      </c>
      <c r="G2924" s="3">
        <v>36.870382715309603</v>
      </c>
      <c r="H2924" s="3">
        <v>127.854422976932</v>
      </c>
      <c r="I2924" t="s">
        <v>6689</v>
      </c>
      <c r="J2924" t="s">
        <v>10045</v>
      </c>
      <c r="K2924" t="s">
        <v>11430</v>
      </c>
      <c r="L2924" t="s">
        <v>3366</v>
      </c>
      <c r="M2924" t="s">
        <v>11885</v>
      </c>
      <c r="N2924" t="s">
        <v>15211</v>
      </c>
      <c r="O2924" t="s">
        <v>15211</v>
      </c>
      <c r="P2924" t="s">
        <v>15211</v>
      </c>
      <c r="Q2924" t="s">
        <v>15211</v>
      </c>
      <c r="R2924" t="s">
        <v>15211</v>
      </c>
      <c r="S2924" t="s">
        <v>15211</v>
      </c>
      <c r="T2924" t="s">
        <v>15211</v>
      </c>
      <c r="U2924" t="s">
        <v>14785</v>
      </c>
      <c r="V2924" t="s">
        <v>15228</v>
      </c>
    </row>
    <row r="2925" spans="1:22" hidden="1">
      <c r="A2925" t="s">
        <v>15305</v>
      </c>
      <c r="B2925" t="s">
        <v>15441</v>
      </c>
      <c r="C2925" t="s">
        <v>15445</v>
      </c>
      <c r="D2925" t="s">
        <v>2920</v>
      </c>
      <c r="E2925" t="s">
        <v>3439</v>
      </c>
      <c r="F2925" t="s">
        <v>3436</v>
      </c>
      <c r="G2925" s="3">
        <v>36.870382704193702</v>
      </c>
      <c r="H2925" s="3">
        <v>127.854422987756</v>
      </c>
      <c r="I2925" t="s">
        <v>6690</v>
      </c>
      <c r="J2925" t="s">
        <v>10046</v>
      </c>
      <c r="K2925" t="s">
        <v>11430</v>
      </c>
      <c r="L2925" t="s">
        <v>3366</v>
      </c>
      <c r="M2925" t="s">
        <v>11885</v>
      </c>
      <c r="N2925" t="s">
        <v>15211</v>
      </c>
      <c r="O2925" t="s">
        <v>15211</v>
      </c>
      <c r="P2925" t="s">
        <v>15211</v>
      </c>
      <c r="Q2925" t="s">
        <v>15211</v>
      </c>
      <c r="R2925" t="s">
        <v>15211</v>
      </c>
      <c r="S2925" t="s">
        <v>15211</v>
      </c>
      <c r="T2925" t="s">
        <v>15211</v>
      </c>
      <c r="U2925" t="s">
        <v>14786</v>
      </c>
      <c r="V2925" t="s">
        <v>15228</v>
      </c>
    </row>
    <row r="2926" spans="1:22" hidden="1">
      <c r="A2926" t="s">
        <v>15305</v>
      </c>
      <c r="B2926" t="s">
        <v>15441</v>
      </c>
      <c r="C2926" t="s">
        <v>15446</v>
      </c>
      <c r="D2926" t="s">
        <v>2921</v>
      </c>
      <c r="E2926" t="s">
        <v>3437</v>
      </c>
      <c r="F2926" t="s">
        <v>3425</v>
      </c>
      <c r="G2926" s="3">
        <v>36.870382658148003</v>
      </c>
      <c r="H2926" s="3">
        <v>127.85442297013</v>
      </c>
      <c r="I2926" t="s">
        <v>6691</v>
      </c>
      <c r="J2926" t="s">
        <v>10047</v>
      </c>
      <c r="K2926" t="s">
        <v>11426</v>
      </c>
      <c r="L2926" t="s">
        <v>3368</v>
      </c>
      <c r="M2926" t="s">
        <v>11885</v>
      </c>
      <c r="N2926" t="s">
        <v>15211</v>
      </c>
      <c r="O2926" t="s">
        <v>15211</v>
      </c>
      <c r="P2926" t="s">
        <v>15211</v>
      </c>
      <c r="Q2926" t="s">
        <v>15211</v>
      </c>
      <c r="R2926" t="s">
        <v>15211</v>
      </c>
      <c r="S2926" t="s">
        <v>15211</v>
      </c>
      <c r="T2926" t="s">
        <v>15211</v>
      </c>
      <c r="U2926" t="s">
        <v>14787</v>
      </c>
      <c r="V2926" t="s">
        <v>15229</v>
      </c>
    </row>
    <row r="2927" spans="1:22" hidden="1">
      <c r="A2927" t="s">
        <v>15305</v>
      </c>
      <c r="B2927" t="s">
        <v>15441</v>
      </c>
      <c r="C2927" t="s">
        <v>15446</v>
      </c>
      <c r="D2927" t="s">
        <v>2922</v>
      </c>
      <c r="E2927" t="s">
        <v>3437</v>
      </c>
      <c r="F2927" t="s">
        <v>3436</v>
      </c>
      <c r="G2927" s="3">
        <v>36.870382680288898</v>
      </c>
      <c r="H2927" s="3">
        <v>127.854422962502</v>
      </c>
      <c r="I2927" t="s">
        <v>6692</v>
      </c>
      <c r="J2927" t="s">
        <v>10048</v>
      </c>
      <c r="K2927" t="s">
        <v>10650</v>
      </c>
      <c r="L2927" t="s">
        <v>3366</v>
      </c>
      <c r="M2927" t="s">
        <v>11885</v>
      </c>
      <c r="N2927" t="s">
        <v>15211</v>
      </c>
      <c r="O2927" t="s">
        <v>15211</v>
      </c>
      <c r="P2927" t="s">
        <v>15211</v>
      </c>
      <c r="Q2927" t="s">
        <v>15211</v>
      </c>
      <c r="R2927" t="s">
        <v>15211</v>
      </c>
      <c r="S2927" t="s">
        <v>15211</v>
      </c>
      <c r="T2927" t="s">
        <v>15211</v>
      </c>
      <c r="U2927" t="s">
        <v>14784</v>
      </c>
      <c r="V2927" t="s">
        <v>15229</v>
      </c>
    </row>
    <row r="2928" spans="1:22" hidden="1">
      <c r="A2928" t="s">
        <v>15305</v>
      </c>
      <c r="B2928" t="s">
        <v>15441</v>
      </c>
      <c r="C2928" t="s">
        <v>15446</v>
      </c>
      <c r="D2928" t="s">
        <v>2923</v>
      </c>
      <c r="E2928" t="s">
        <v>3437</v>
      </c>
      <c r="F2928" t="s">
        <v>3436</v>
      </c>
      <c r="G2928" s="3">
        <v>36.870382678274503</v>
      </c>
      <c r="H2928" s="3">
        <v>127.85442297512699</v>
      </c>
      <c r="I2928" t="s">
        <v>6693</v>
      </c>
      <c r="J2928" t="s">
        <v>10049</v>
      </c>
      <c r="K2928" t="s">
        <v>11425</v>
      </c>
      <c r="L2928" t="s">
        <v>3366</v>
      </c>
      <c r="M2928" t="s">
        <v>11885</v>
      </c>
      <c r="N2928" t="s">
        <v>15211</v>
      </c>
      <c r="O2928" t="s">
        <v>15211</v>
      </c>
      <c r="P2928" t="s">
        <v>15211</v>
      </c>
      <c r="Q2928" t="s">
        <v>15211</v>
      </c>
      <c r="R2928" t="s">
        <v>15211</v>
      </c>
      <c r="S2928" t="s">
        <v>15211</v>
      </c>
      <c r="T2928" t="s">
        <v>15211</v>
      </c>
      <c r="U2928" t="s">
        <v>14788</v>
      </c>
      <c r="V2928" t="s">
        <v>15229</v>
      </c>
    </row>
    <row r="2929" spans="1:22" hidden="1">
      <c r="A2929" t="s">
        <v>15305</v>
      </c>
      <c r="B2929" t="s">
        <v>15441</v>
      </c>
      <c r="C2929" t="s">
        <v>15447</v>
      </c>
      <c r="D2929" t="s">
        <v>2924</v>
      </c>
      <c r="E2929" t="s">
        <v>3438</v>
      </c>
      <c r="F2929" t="s">
        <v>3442</v>
      </c>
      <c r="G2929" s="3">
        <v>36.870382757310303</v>
      </c>
      <c r="H2929" s="3">
        <v>127.854422951533</v>
      </c>
      <c r="I2929" t="s">
        <v>6694</v>
      </c>
      <c r="J2929" t="s">
        <v>10050</v>
      </c>
      <c r="K2929" t="s">
        <v>11069</v>
      </c>
      <c r="L2929" t="s">
        <v>3367</v>
      </c>
      <c r="M2929" t="s">
        <v>11900</v>
      </c>
      <c r="N2929" t="s">
        <v>15211</v>
      </c>
      <c r="O2929" t="s">
        <v>15211</v>
      </c>
      <c r="P2929" t="s">
        <v>15211</v>
      </c>
      <c r="Q2929" t="s">
        <v>15211</v>
      </c>
      <c r="R2929" t="s">
        <v>15211</v>
      </c>
      <c r="S2929" t="s">
        <v>15211</v>
      </c>
      <c r="T2929" t="s">
        <v>15211</v>
      </c>
      <c r="U2929" t="s">
        <v>14789</v>
      </c>
      <c r="V2929" t="s">
        <v>15235</v>
      </c>
    </row>
    <row r="2930" spans="1:22" hidden="1">
      <c r="A2930" t="s">
        <v>15305</v>
      </c>
      <c r="B2930" t="s">
        <v>15441</v>
      </c>
      <c r="C2930" t="s">
        <v>15447</v>
      </c>
      <c r="D2930" t="s">
        <v>2925</v>
      </c>
      <c r="E2930" t="s">
        <v>3440</v>
      </c>
      <c r="F2930" t="s">
        <v>3435</v>
      </c>
      <c r="G2930" s="3">
        <v>36.870382737324803</v>
      </c>
      <c r="H2930" s="3">
        <v>127.854422956091</v>
      </c>
      <c r="I2930" t="s">
        <v>6695</v>
      </c>
      <c r="J2930" t="s">
        <v>10051</v>
      </c>
      <c r="K2930" t="s">
        <v>11069</v>
      </c>
      <c r="L2930" t="s">
        <v>3366</v>
      </c>
      <c r="M2930" t="s">
        <v>11900</v>
      </c>
      <c r="N2930" t="s">
        <v>15211</v>
      </c>
      <c r="O2930" t="s">
        <v>15211</v>
      </c>
      <c r="P2930" t="s">
        <v>15211</v>
      </c>
      <c r="Q2930" t="s">
        <v>15211</v>
      </c>
      <c r="R2930" t="s">
        <v>15211</v>
      </c>
      <c r="S2930" t="s">
        <v>15211</v>
      </c>
      <c r="T2930" t="s">
        <v>15211</v>
      </c>
      <c r="U2930" t="s">
        <v>14790</v>
      </c>
      <c r="V2930" t="s">
        <v>15235</v>
      </c>
    </row>
    <row r="2931" spans="1:22" hidden="1">
      <c r="A2931" t="s">
        <v>15305</v>
      </c>
      <c r="B2931" t="s">
        <v>15441</v>
      </c>
      <c r="C2931" t="s">
        <v>15447</v>
      </c>
      <c r="D2931" t="s">
        <v>2926</v>
      </c>
      <c r="E2931" t="s">
        <v>3440</v>
      </c>
      <c r="F2931" t="s">
        <v>3435</v>
      </c>
      <c r="G2931" s="3">
        <v>36.870382718203203</v>
      </c>
      <c r="H2931" s="3">
        <v>127.85442292883199</v>
      </c>
      <c r="I2931" t="s">
        <v>6696</v>
      </c>
      <c r="J2931" t="s">
        <v>10052</v>
      </c>
      <c r="K2931" t="s">
        <v>11069</v>
      </c>
      <c r="L2931" t="s">
        <v>3366</v>
      </c>
      <c r="M2931" t="s">
        <v>11900</v>
      </c>
      <c r="N2931" t="s">
        <v>15211</v>
      </c>
      <c r="O2931" t="s">
        <v>15211</v>
      </c>
      <c r="P2931" t="s">
        <v>15211</v>
      </c>
      <c r="Q2931" t="s">
        <v>15211</v>
      </c>
      <c r="R2931" t="s">
        <v>15211</v>
      </c>
      <c r="S2931" t="s">
        <v>15211</v>
      </c>
      <c r="T2931" t="s">
        <v>15211</v>
      </c>
      <c r="U2931" t="s">
        <v>14790</v>
      </c>
      <c r="V2931" t="s">
        <v>15235</v>
      </c>
    </row>
    <row r="2932" spans="1:22" hidden="1">
      <c r="A2932" t="s">
        <v>15305</v>
      </c>
      <c r="B2932" t="s">
        <v>15441</v>
      </c>
      <c r="C2932" t="s">
        <v>15448</v>
      </c>
      <c r="D2932" t="s">
        <v>2927</v>
      </c>
      <c r="E2932" t="s">
        <v>3431</v>
      </c>
      <c r="F2932" t="s">
        <v>3426</v>
      </c>
      <c r="G2932" s="3">
        <v>36.870382729667597</v>
      </c>
      <c r="H2932" s="3">
        <v>127.854422800919</v>
      </c>
      <c r="I2932" t="s">
        <v>6697</v>
      </c>
      <c r="J2932" t="s">
        <v>10053</v>
      </c>
      <c r="K2932" t="s">
        <v>3633</v>
      </c>
      <c r="L2932" t="s">
        <v>3366</v>
      </c>
      <c r="M2932" t="s">
        <v>11888</v>
      </c>
      <c r="N2932" t="s">
        <v>15211</v>
      </c>
      <c r="O2932" t="s">
        <v>15211</v>
      </c>
      <c r="P2932" t="s">
        <v>15211</v>
      </c>
      <c r="Q2932" t="s">
        <v>15211</v>
      </c>
      <c r="R2932" t="s">
        <v>15211</v>
      </c>
      <c r="S2932" t="s">
        <v>15211</v>
      </c>
      <c r="T2932" t="s">
        <v>15211</v>
      </c>
      <c r="U2932" t="s">
        <v>14791</v>
      </c>
      <c r="V2932" t="s">
        <v>15230</v>
      </c>
    </row>
    <row r="2933" spans="1:22" hidden="1">
      <c r="A2933" t="s">
        <v>15305</v>
      </c>
      <c r="B2933" t="s">
        <v>15441</v>
      </c>
      <c r="C2933" t="s">
        <v>15448</v>
      </c>
      <c r="D2933" t="s">
        <v>2928</v>
      </c>
      <c r="E2933" t="s">
        <v>3435</v>
      </c>
      <c r="F2933" t="s">
        <v>3449</v>
      </c>
      <c r="G2933" s="3">
        <v>36.870382732897298</v>
      </c>
      <c r="H2933" s="3">
        <v>127.854422820469</v>
      </c>
      <c r="I2933" t="s">
        <v>6698</v>
      </c>
      <c r="J2933" t="s">
        <v>10054</v>
      </c>
      <c r="K2933" t="s">
        <v>10932</v>
      </c>
      <c r="L2933" t="s">
        <v>3366</v>
      </c>
      <c r="M2933" t="s">
        <v>11888</v>
      </c>
      <c r="N2933" t="s">
        <v>15211</v>
      </c>
      <c r="O2933" t="s">
        <v>15211</v>
      </c>
      <c r="P2933" t="s">
        <v>15211</v>
      </c>
      <c r="Q2933" t="s">
        <v>15211</v>
      </c>
      <c r="R2933" t="s">
        <v>15211</v>
      </c>
      <c r="S2933" t="s">
        <v>15211</v>
      </c>
      <c r="T2933" t="s">
        <v>15211</v>
      </c>
      <c r="U2933" t="s">
        <v>14792</v>
      </c>
      <c r="V2933" t="s">
        <v>15230</v>
      </c>
    </row>
    <row r="2934" spans="1:22" hidden="1">
      <c r="A2934" t="s">
        <v>15305</v>
      </c>
      <c r="B2934" t="s">
        <v>15441</v>
      </c>
      <c r="C2934" t="s">
        <v>15448</v>
      </c>
      <c r="D2934" t="s">
        <v>2929</v>
      </c>
      <c r="E2934" t="s">
        <v>3429</v>
      </c>
      <c r="F2934" t="s">
        <v>3484</v>
      </c>
      <c r="G2934" s="3">
        <v>36.870382738026102</v>
      </c>
      <c r="H2934" s="3">
        <v>127.854422833268</v>
      </c>
      <c r="I2934" t="s">
        <v>6699</v>
      </c>
      <c r="J2934" t="s">
        <v>10055</v>
      </c>
      <c r="K2934" t="s">
        <v>11344</v>
      </c>
      <c r="L2934" t="s">
        <v>3366</v>
      </c>
      <c r="M2934" t="s">
        <v>11896</v>
      </c>
      <c r="N2934" t="s">
        <v>15211</v>
      </c>
      <c r="O2934" t="s">
        <v>15211</v>
      </c>
      <c r="P2934" t="s">
        <v>15211</v>
      </c>
      <c r="Q2934" t="s">
        <v>15211</v>
      </c>
      <c r="R2934" t="s">
        <v>15211</v>
      </c>
      <c r="S2934" t="s">
        <v>15211</v>
      </c>
      <c r="T2934" t="s">
        <v>15211</v>
      </c>
      <c r="U2934" t="s">
        <v>14793</v>
      </c>
      <c r="V2934" t="s">
        <v>15230</v>
      </c>
    </row>
    <row r="2935" spans="1:22" hidden="1">
      <c r="A2935" t="s">
        <v>15305</v>
      </c>
      <c r="B2935" t="s">
        <v>15441</v>
      </c>
      <c r="C2935" t="s">
        <v>15449</v>
      </c>
      <c r="D2935" t="s">
        <v>2930</v>
      </c>
      <c r="E2935" t="s">
        <v>3425</v>
      </c>
      <c r="F2935" t="s">
        <v>3433</v>
      </c>
      <c r="G2935" s="3">
        <v>36.870382790400903</v>
      </c>
      <c r="H2935" s="3">
        <v>127.854422883325</v>
      </c>
      <c r="I2935" t="s">
        <v>6700</v>
      </c>
      <c r="J2935" t="s">
        <v>10056</v>
      </c>
      <c r="K2935" t="s">
        <v>11796</v>
      </c>
      <c r="L2935" t="s">
        <v>3366</v>
      </c>
      <c r="M2935" t="s">
        <v>11908</v>
      </c>
      <c r="N2935" t="s">
        <v>15211</v>
      </c>
      <c r="O2935" t="s">
        <v>15211</v>
      </c>
      <c r="P2935" t="s">
        <v>15211</v>
      </c>
      <c r="Q2935" t="s">
        <v>15211</v>
      </c>
      <c r="R2935" t="s">
        <v>15211</v>
      </c>
      <c r="S2935" t="s">
        <v>15211</v>
      </c>
      <c r="T2935" t="s">
        <v>15211</v>
      </c>
      <c r="U2935" t="s">
        <v>14794</v>
      </c>
      <c r="V2935" t="s">
        <v>15231</v>
      </c>
    </row>
    <row r="2936" spans="1:22" hidden="1">
      <c r="A2936" t="s">
        <v>15305</v>
      </c>
      <c r="B2936" t="s">
        <v>15441</v>
      </c>
      <c r="C2936" t="s">
        <v>15449</v>
      </c>
      <c r="D2936" t="s">
        <v>2931</v>
      </c>
      <c r="E2936" t="s">
        <v>3425</v>
      </c>
      <c r="F2936" t="s">
        <v>3452</v>
      </c>
      <c r="G2936" s="3">
        <v>36.870382795314796</v>
      </c>
      <c r="H2936" s="3">
        <v>127.854422881088</v>
      </c>
      <c r="I2936" t="s">
        <v>6701</v>
      </c>
      <c r="J2936" t="s">
        <v>10057</v>
      </c>
      <c r="K2936" t="s">
        <v>10799</v>
      </c>
      <c r="L2936" t="s">
        <v>3366</v>
      </c>
      <c r="M2936" t="s">
        <v>11908</v>
      </c>
      <c r="N2936" t="s">
        <v>15211</v>
      </c>
      <c r="O2936" t="s">
        <v>15211</v>
      </c>
      <c r="P2936" t="s">
        <v>15211</v>
      </c>
      <c r="Q2936" t="s">
        <v>15211</v>
      </c>
      <c r="R2936" t="s">
        <v>15211</v>
      </c>
      <c r="S2936" t="s">
        <v>15211</v>
      </c>
      <c r="T2936" t="s">
        <v>15211</v>
      </c>
      <c r="U2936" t="s">
        <v>14795</v>
      </c>
      <c r="V2936" t="s">
        <v>15231</v>
      </c>
    </row>
    <row r="2937" spans="1:22" hidden="1">
      <c r="A2937" t="s">
        <v>15305</v>
      </c>
      <c r="B2937" t="s">
        <v>15441</v>
      </c>
      <c r="C2937" t="s">
        <v>15449</v>
      </c>
      <c r="D2937" t="s">
        <v>2932</v>
      </c>
      <c r="E2937" t="s">
        <v>3425</v>
      </c>
      <c r="F2937" t="s">
        <v>3452</v>
      </c>
      <c r="G2937" s="3">
        <v>36.870382789885397</v>
      </c>
      <c r="H2937" s="3">
        <v>127.854422890419</v>
      </c>
      <c r="I2937" t="s">
        <v>6702</v>
      </c>
      <c r="J2937" t="s">
        <v>10058</v>
      </c>
      <c r="K2937" t="s">
        <v>11502</v>
      </c>
      <c r="L2937" t="s">
        <v>3366</v>
      </c>
      <c r="M2937" t="s">
        <v>11899</v>
      </c>
      <c r="N2937" t="s">
        <v>15211</v>
      </c>
      <c r="O2937" t="s">
        <v>15211</v>
      </c>
      <c r="P2937" t="s">
        <v>15211</v>
      </c>
      <c r="Q2937" t="s">
        <v>15211</v>
      </c>
      <c r="R2937" t="s">
        <v>15211</v>
      </c>
      <c r="S2937" t="s">
        <v>15211</v>
      </c>
      <c r="T2937" t="s">
        <v>15211</v>
      </c>
      <c r="U2937" t="s">
        <v>14796</v>
      </c>
      <c r="V2937" t="s">
        <v>15231</v>
      </c>
    </row>
    <row r="2938" spans="1:22" hidden="1">
      <c r="A2938" t="s">
        <v>15305</v>
      </c>
      <c r="B2938" t="s">
        <v>15442</v>
      </c>
      <c r="C2938" t="s">
        <v>15450</v>
      </c>
      <c r="D2938" t="s">
        <v>2933</v>
      </c>
      <c r="E2938" t="s">
        <v>3438</v>
      </c>
      <c r="F2938" t="s">
        <v>3429</v>
      </c>
      <c r="G2938" s="3">
        <v>36.870382839970198</v>
      </c>
      <c r="H2938" s="3">
        <v>127.854422852344</v>
      </c>
      <c r="I2938" t="s">
        <v>6703</v>
      </c>
      <c r="J2938" t="s">
        <v>10059</v>
      </c>
      <c r="K2938" t="s">
        <v>10788</v>
      </c>
      <c r="L2938" t="s">
        <v>3366</v>
      </c>
      <c r="M2938" t="s">
        <v>11885</v>
      </c>
      <c r="N2938" t="s">
        <v>3365</v>
      </c>
      <c r="O2938" t="s">
        <v>3359</v>
      </c>
      <c r="P2938" t="s">
        <v>15211</v>
      </c>
      <c r="Q2938" t="s">
        <v>15211</v>
      </c>
      <c r="R2938" t="s">
        <v>15211</v>
      </c>
      <c r="S2938" t="s">
        <v>15211</v>
      </c>
      <c r="T2938" t="s">
        <v>3368</v>
      </c>
      <c r="U2938" t="s">
        <v>14797</v>
      </c>
      <c r="V2938" t="s">
        <v>15232</v>
      </c>
    </row>
    <row r="2939" spans="1:22" hidden="1">
      <c r="A2939" t="s">
        <v>15305</v>
      </c>
      <c r="B2939" t="s">
        <v>15442</v>
      </c>
      <c r="C2939" t="s">
        <v>15450</v>
      </c>
      <c r="D2939" t="s">
        <v>2934</v>
      </c>
      <c r="E2939" t="s">
        <v>3438</v>
      </c>
      <c r="F2939" t="s">
        <v>3429</v>
      </c>
      <c r="G2939" s="3">
        <v>36.870382855734597</v>
      </c>
      <c r="H2939" s="3">
        <v>127.854422879106</v>
      </c>
      <c r="I2939" t="s">
        <v>6704</v>
      </c>
      <c r="J2939" t="s">
        <v>10060</v>
      </c>
      <c r="K2939" t="s">
        <v>11797</v>
      </c>
      <c r="L2939" t="s">
        <v>3366</v>
      </c>
      <c r="M2939" t="s">
        <v>11890</v>
      </c>
      <c r="N2939" t="s">
        <v>3365</v>
      </c>
      <c r="O2939" t="s">
        <v>3360</v>
      </c>
      <c r="P2939" t="s">
        <v>15211</v>
      </c>
      <c r="Q2939" t="s">
        <v>15211</v>
      </c>
      <c r="R2939" t="s">
        <v>15211</v>
      </c>
      <c r="S2939" t="s">
        <v>15211</v>
      </c>
      <c r="T2939" t="s">
        <v>3369</v>
      </c>
      <c r="U2939" t="s">
        <v>14798</v>
      </c>
      <c r="V2939" t="s">
        <v>15232</v>
      </c>
    </row>
    <row r="2940" spans="1:22" hidden="1">
      <c r="A2940" t="s">
        <v>15305</v>
      </c>
      <c r="B2940" t="s">
        <v>15442</v>
      </c>
      <c r="C2940" t="s">
        <v>15450</v>
      </c>
      <c r="D2940" t="s">
        <v>2935</v>
      </c>
      <c r="E2940" t="s">
        <v>3428</v>
      </c>
      <c r="F2940" t="s">
        <v>3432</v>
      </c>
      <c r="G2940" s="3">
        <v>36.870382873611</v>
      </c>
      <c r="H2940" s="3">
        <v>127.854422854102</v>
      </c>
      <c r="I2940" t="s">
        <v>6705</v>
      </c>
      <c r="J2940" t="s">
        <v>10061</v>
      </c>
      <c r="K2940" t="s">
        <v>11797</v>
      </c>
      <c r="L2940" t="s">
        <v>3366</v>
      </c>
      <c r="M2940" t="s">
        <v>11890</v>
      </c>
      <c r="N2940" t="s">
        <v>3365</v>
      </c>
      <c r="O2940" t="s">
        <v>3360</v>
      </c>
      <c r="P2940" t="s">
        <v>15211</v>
      </c>
      <c r="Q2940" t="s">
        <v>15211</v>
      </c>
      <c r="R2940" t="s">
        <v>15211</v>
      </c>
      <c r="S2940" t="s">
        <v>15211</v>
      </c>
      <c r="T2940" t="s">
        <v>3369</v>
      </c>
      <c r="U2940" t="s">
        <v>14799</v>
      </c>
      <c r="V2940" t="s">
        <v>15232</v>
      </c>
    </row>
    <row r="2941" spans="1:22" hidden="1">
      <c r="A2941" t="s">
        <v>15305</v>
      </c>
      <c r="B2941" t="s">
        <v>15442</v>
      </c>
      <c r="C2941" t="s">
        <v>15445</v>
      </c>
      <c r="D2941" t="s">
        <v>2936</v>
      </c>
      <c r="E2941" t="s">
        <v>3427</v>
      </c>
      <c r="F2941" t="s">
        <v>3442</v>
      </c>
      <c r="G2941" s="3">
        <v>36.870382948337699</v>
      </c>
      <c r="H2941" s="3">
        <v>127.85442289294301</v>
      </c>
      <c r="I2941" t="s">
        <v>6706</v>
      </c>
      <c r="J2941" t="s">
        <v>10062</v>
      </c>
      <c r="K2941" t="s">
        <v>10573</v>
      </c>
      <c r="L2941" t="s">
        <v>3366</v>
      </c>
      <c r="M2941" t="s">
        <v>11885</v>
      </c>
      <c r="N2941" t="s">
        <v>3364</v>
      </c>
      <c r="O2941" t="s">
        <v>3360</v>
      </c>
      <c r="P2941" t="s">
        <v>15211</v>
      </c>
      <c r="Q2941" t="s">
        <v>15211</v>
      </c>
      <c r="R2941" t="s">
        <v>15211</v>
      </c>
      <c r="S2941" t="s">
        <v>15211</v>
      </c>
      <c r="T2941" t="s">
        <v>3368</v>
      </c>
      <c r="U2941" t="s">
        <v>14800</v>
      </c>
      <c r="V2941" t="s">
        <v>15233</v>
      </c>
    </row>
    <row r="2942" spans="1:22" hidden="1">
      <c r="A2942" t="s">
        <v>15305</v>
      </c>
      <c r="B2942" t="s">
        <v>15442</v>
      </c>
      <c r="C2942" t="s">
        <v>15445</v>
      </c>
      <c r="D2942" t="s">
        <v>2937</v>
      </c>
      <c r="E2942" t="s">
        <v>3425</v>
      </c>
      <c r="F2942" t="s">
        <v>3433</v>
      </c>
      <c r="G2942" s="3">
        <v>36.870382959799699</v>
      </c>
      <c r="H2942" s="3">
        <v>127.854422834209</v>
      </c>
      <c r="I2942" t="s">
        <v>6707</v>
      </c>
      <c r="J2942" t="s">
        <v>10063</v>
      </c>
      <c r="K2942" t="s">
        <v>10574</v>
      </c>
      <c r="L2942" t="s">
        <v>3366</v>
      </c>
      <c r="M2942" t="s">
        <v>11885</v>
      </c>
      <c r="N2942" t="s">
        <v>3364</v>
      </c>
      <c r="O2942" t="s">
        <v>3360</v>
      </c>
      <c r="P2942" t="s">
        <v>15211</v>
      </c>
      <c r="Q2942" t="s">
        <v>15211</v>
      </c>
      <c r="R2942" t="s">
        <v>15211</v>
      </c>
      <c r="S2942" t="s">
        <v>15211</v>
      </c>
      <c r="T2942" t="s">
        <v>3368</v>
      </c>
      <c r="U2942" t="s">
        <v>14801</v>
      </c>
      <c r="V2942" t="s">
        <v>15233</v>
      </c>
    </row>
    <row r="2943" spans="1:22" hidden="1">
      <c r="A2943" t="s">
        <v>15305</v>
      </c>
      <c r="B2943" t="s">
        <v>15442</v>
      </c>
      <c r="C2943" t="s">
        <v>15445</v>
      </c>
      <c r="D2943" t="s">
        <v>2938</v>
      </c>
      <c r="E2943" t="s">
        <v>3428</v>
      </c>
      <c r="F2943" t="s">
        <v>3453</v>
      </c>
      <c r="G2943" s="3">
        <v>36.870382930488901</v>
      </c>
      <c r="H2943" s="3">
        <v>127.854422874977</v>
      </c>
      <c r="I2943" t="s">
        <v>6708</v>
      </c>
      <c r="J2943" t="s">
        <v>10064</v>
      </c>
      <c r="K2943" t="s">
        <v>11758</v>
      </c>
      <c r="L2943" t="s">
        <v>3366</v>
      </c>
      <c r="M2943" t="s">
        <v>11885</v>
      </c>
      <c r="N2943" t="s">
        <v>3364</v>
      </c>
      <c r="O2943" t="s">
        <v>3360</v>
      </c>
      <c r="P2943" t="s">
        <v>15211</v>
      </c>
      <c r="Q2943" t="s">
        <v>15211</v>
      </c>
      <c r="R2943" t="s">
        <v>15211</v>
      </c>
      <c r="S2943" t="s">
        <v>15211</v>
      </c>
      <c r="T2943" t="s">
        <v>3368</v>
      </c>
      <c r="U2943" t="s">
        <v>14802</v>
      </c>
      <c r="V2943" t="s">
        <v>15233</v>
      </c>
    </row>
    <row r="2944" spans="1:22" hidden="1">
      <c r="A2944" t="s">
        <v>15305</v>
      </c>
      <c r="B2944" t="s">
        <v>15442</v>
      </c>
      <c r="C2944" t="s">
        <v>15445</v>
      </c>
      <c r="D2944" t="s">
        <v>2939</v>
      </c>
      <c r="E2944" t="s">
        <v>3428</v>
      </c>
      <c r="F2944" t="s">
        <v>3453</v>
      </c>
      <c r="G2944" s="3">
        <v>36.870382899300601</v>
      </c>
      <c r="H2944" s="3">
        <v>127.854422882317</v>
      </c>
      <c r="I2944" t="s">
        <v>6709</v>
      </c>
      <c r="J2944" t="s">
        <v>10065</v>
      </c>
      <c r="K2944" t="s">
        <v>11368</v>
      </c>
      <c r="L2944" t="s">
        <v>3366</v>
      </c>
      <c r="M2944" t="s">
        <v>11885</v>
      </c>
      <c r="N2944" t="s">
        <v>3364</v>
      </c>
      <c r="O2944" t="s">
        <v>3360</v>
      </c>
      <c r="P2944" t="s">
        <v>15211</v>
      </c>
      <c r="Q2944" t="s">
        <v>15211</v>
      </c>
      <c r="R2944" t="s">
        <v>15211</v>
      </c>
      <c r="S2944" t="s">
        <v>15211</v>
      </c>
      <c r="T2944" t="s">
        <v>3368</v>
      </c>
      <c r="U2944" t="s">
        <v>14803</v>
      </c>
      <c r="V2944" t="s">
        <v>15233</v>
      </c>
    </row>
    <row r="2945" spans="1:25" hidden="1">
      <c r="A2945" t="s">
        <v>15305</v>
      </c>
      <c r="B2945" t="s">
        <v>15442</v>
      </c>
      <c r="C2945" t="s">
        <v>15451</v>
      </c>
      <c r="D2945" t="s">
        <v>2940</v>
      </c>
      <c r="E2945" t="s">
        <v>3427</v>
      </c>
      <c r="F2945" t="s">
        <v>3442</v>
      </c>
      <c r="G2945" s="3">
        <v>36.8703828126473</v>
      </c>
      <c r="H2945" s="3">
        <v>127.854422862597</v>
      </c>
      <c r="I2945" t="s">
        <v>6710</v>
      </c>
      <c r="J2945" t="s">
        <v>10066</v>
      </c>
      <c r="K2945" t="s">
        <v>10669</v>
      </c>
      <c r="L2945" t="s">
        <v>3366</v>
      </c>
      <c r="M2945" t="s">
        <v>11889</v>
      </c>
      <c r="N2945" t="s">
        <v>3364</v>
      </c>
      <c r="O2945" t="s">
        <v>3360</v>
      </c>
      <c r="P2945" t="s">
        <v>3361</v>
      </c>
      <c r="Q2945" t="s">
        <v>3361</v>
      </c>
      <c r="R2945" t="s">
        <v>15211</v>
      </c>
      <c r="S2945" t="s">
        <v>15211</v>
      </c>
      <c r="T2945" t="s">
        <v>3378</v>
      </c>
      <c r="U2945" t="s">
        <v>14804</v>
      </c>
      <c r="V2945" t="s">
        <v>15234</v>
      </c>
    </row>
    <row r="2946" spans="1:25" hidden="1">
      <c r="A2946" t="s">
        <v>15305</v>
      </c>
      <c r="B2946" t="s">
        <v>15442</v>
      </c>
      <c r="C2946" t="s">
        <v>15451</v>
      </c>
      <c r="D2946" t="s">
        <v>2941</v>
      </c>
      <c r="E2946" t="s">
        <v>3428</v>
      </c>
      <c r="F2946" t="s">
        <v>3453</v>
      </c>
      <c r="G2946" s="3">
        <v>36.870382800318097</v>
      </c>
      <c r="H2946" s="3">
        <v>127.854422849114</v>
      </c>
      <c r="I2946" t="s">
        <v>6711</v>
      </c>
      <c r="J2946" t="s">
        <v>10067</v>
      </c>
      <c r="K2946" t="s">
        <v>10845</v>
      </c>
      <c r="L2946" t="s">
        <v>3366</v>
      </c>
      <c r="M2946" t="s">
        <v>11889</v>
      </c>
      <c r="N2946" t="s">
        <v>3363</v>
      </c>
      <c r="O2946" t="s">
        <v>3360</v>
      </c>
      <c r="P2946" t="s">
        <v>3361</v>
      </c>
      <c r="Q2946" t="s">
        <v>3361</v>
      </c>
      <c r="R2946" t="s">
        <v>15211</v>
      </c>
      <c r="S2946" t="s">
        <v>15211</v>
      </c>
      <c r="T2946" t="s">
        <v>3377</v>
      </c>
      <c r="U2946" t="s">
        <v>14805</v>
      </c>
      <c r="V2946" t="s">
        <v>15234</v>
      </c>
    </row>
    <row r="2947" spans="1:25">
      <c r="A2947" t="s">
        <v>15305</v>
      </c>
      <c r="B2947" t="s">
        <v>15443</v>
      </c>
      <c r="C2947" t="s">
        <v>15452</v>
      </c>
      <c r="D2947" t="s">
        <v>2942</v>
      </c>
      <c r="E2947" t="s">
        <v>3427</v>
      </c>
      <c r="F2947" t="s">
        <v>3430</v>
      </c>
      <c r="G2947" s="3">
        <v>36.8703828116479</v>
      </c>
      <c r="H2947" s="3">
        <v>127.85442268601901</v>
      </c>
      <c r="I2947" t="s">
        <v>6712</v>
      </c>
      <c r="J2947" t="s">
        <v>10068</v>
      </c>
      <c r="K2947" t="s">
        <v>10835</v>
      </c>
      <c r="L2947" t="s">
        <v>3366</v>
      </c>
      <c r="M2947" t="s">
        <v>11886</v>
      </c>
      <c r="N2947" t="s">
        <v>3362</v>
      </c>
      <c r="O2947" t="s">
        <v>15211</v>
      </c>
      <c r="P2947" t="s">
        <v>3361</v>
      </c>
      <c r="Q2947" t="s">
        <v>15211</v>
      </c>
      <c r="R2947" t="s">
        <v>15211</v>
      </c>
      <c r="S2947" t="s">
        <v>15211</v>
      </c>
      <c r="T2947" t="s">
        <v>3367</v>
      </c>
      <c r="U2947" t="s">
        <v>14806</v>
      </c>
      <c r="V2947" t="s">
        <v>15220</v>
      </c>
    </row>
    <row r="2948" spans="1:25">
      <c r="A2948" t="s">
        <v>15305</v>
      </c>
      <c r="B2948" t="s">
        <v>15443</v>
      </c>
      <c r="C2948" t="s">
        <v>15452</v>
      </c>
      <c r="D2948" t="s">
        <v>2943</v>
      </c>
      <c r="E2948" t="s">
        <v>3427</v>
      </c>
      <c r="F2948" t="s">
        <v>3430</v>
      </c>
      <c r="G2948" s="3">
        <v>36.870382871903701</v>
      </c>
      <c r="H2948" s="3">
        <v>127.854422680179</v>
      </c>
      <c r="I2948" t="s">
        <v>6713</v>
      </c>
      <c r="J2948" t="s">
        <v>10069</v>
      </c>
      <c r="K2948" t="s">
        <v>11709</v>
      </c>
      <c r="L2948" t="s">
        <v>3366</v>
      </c>
      <c r="M2948" t="s">
        <v>11886</v>
      </c>
      <c r="N2948" t="s">
        <v>3362</v>
      </c>
      <c r="O2948" t="s">
        <v>15211</v>
      </c>
      <c r="P2948" t="s">
        <v>3361</v>
      </c>
      <c r="Q2948" t="s">
        <v>15211</v>
      </c>
      <c r="R2948" t="s">
        <v>15211</v>
      </c>
      <c r="S2948" t="s">
        <v>15211</v>
      </c>
      <c r="T2948" t="s">
        <v>3367</v>
      </c>
      <c r="U2948" t="s">
        <v>14807</v>
      </c>
      <c r="V2948" t="s">
        <v>15220</v>
      </c>
    </row>
    <row r="2949" spans="1:25">
      <c r="A2949" t="s">
        <v>15305</v>
      </c>
      <c r="B2949" t="s">
        <v>15443</v>
      </c>
      <c r="C2949" t="s">
        <v>15452</v>
      </c>
      <c r="D2949" t="s">
        <v>2944</v>
      </c>
      <c r="E2949" t="s">
        <v>3428</v>
      </c>
      <c r="F2949" t="s">
        <v>3442</v>
      </c>
      <c r="G2949" s="3">
        <v>36.870382824526303</v>
      </c>
      <c r="H2949" s="3">
        <v>127.854422718538</v>
      </c>
      <c r="I2949" t="s">
        <v>6714</v>
      </c>
      <c r="J2949" t="s">
        <v>10070</v>
      </c>
      <c r="K2949" t="s">
        <v>11041</v>
      </c>
      <c r="L2949" t="s">
        <v>3366</v>
      </c>
      <c r="M2949" t="s">
        <v>11886</v>
      </c>
      <c r="N2949" t="s">
        <v>3362</v>
      </c>
      <c r="O2949" t="s">
        <v>15211</v>
      </c>
      <c r="P2949" t="s">
        <v>3361</v>
      </c>
      <c r="Q2949" t="s">
        <v>15211</v>
      </c>
      <c r="R2949" t="s">
        <v>15211</v>
      </c>
      <c r="S2949" t="s">
        <v>15211</v>
      </c>
      <c r="T2949" t="s">
        <v>3367</v>
      </c>
      <c r="U2949" t="s">
        <v>14808</v>
      </c>
      <c r="V2949" t="s">
        <v>15220</v>
      </c>
    </row>
    <row r="2950" spans="1:25" hidden="1">
      <c r="A2950" t="s">
        <v>15305</v>
      </c>
      <c r="B2950" t="s">
        <v>15443</v>
      </c>
      <c r="C2950" t="s">
        <v>15493</v>
      </c>
      <c r="D2950" t="s">
        <v>2945</v>
      </c>
      <c r="E2950" t="s">
        <v>3434</v>
      </c>
      <c r="F2950" t="s">
        <v>3462</v>
      </c>
      <c r="G2950" s="3">
        <v>36.870382857644202</v>
      </c>
      <c r="H2950" s="3">
        <v>127.85442285340601</v>
      </c>
      <c r="I2950" t="s">
        <v>6715</v>
      </c>
      <c r="J2950" t="s">
        <v>10071</v>
      </c>
      <c r="K2950" t="s">
        <v>11660</v>
      </c>
      <c r="L2950" t="s">
        <v>3366</v>
      </c>
      <c r="M2950" t="s">
        <v>11885</v>
      </c>
      <c r="N2950" t="s">
        <v>3363</v>
      </c>
      <c r="O2950" t="s">
        <v>15211</v>
      </c>
      <c r="P2950" t="s">
        <v>3361</v>
      </c>
      <c r="Q2950" t="s">
        <v>15211</v>
      </c>
      <c r="R2950" t="s">
        <v>15211</v>
      </c>
      <c r="S2950" t="s">
        <v>15211</v>
      </c>
      <c r="T2950" t="s">
        <v>3368</v>
      </c>
      <c r="U2950" t="s">
        <v>14809</v>
      </c>
      <c r="V2950" t="s">
        <v>15283</v>
      </c>
    </row>
    <row r="2951" spans="1:25" hidden="1">
      <c r="A2951" t="s">
        <v>15305</v>
      </c>
      <c r="B2951" t="s">
        <v>15443</v>
      </c>
      <c r="C2951" t="s">
        <v>15493</v>
      </c>
      <c r="D2951" t="s">
        <v>2946</v>
      </c>
      <c r="E2951" t="s">
        <v>3434</v>
      </c>
      <c r="F2951" t="s">
        <v>3462</v>
      </c>
      <c r="G2951" s="3">
        <v>36.870382836302298</v>
      </c>
      <c r="H2951" s="3">
        <v>127.854422920663</v>
      </c>
      <c r="I2951" t="s">
        <v>6716</v>
      </c>
      <c r="J2951" t="s">
        <v>10072</v>
      </c>
      <c r="K2951" t="s">
        <v>10533</v>
      </c>
      <c r="L2951" t="s">
        <v>3366</v>
      </c>
      <c r="M2951" t="s">
        <v>11885</v>
      </c>
      <c r="N2951" t="s">
        <v>3363</v>
      </c>
      <c r="O2951" t="s">
        <v>15211</v>
      </c>
      <c r="P2951" t="s">
        <v>3361</v>
      </c>
      <c r="Q2951" t="s">
        <v>15211</v>
      </c>
      <c r="R2951" t="s">
        <v>15211</v>
      </c>
      <c r="S2951" t="s">
        <v>15211</v>
      </c>
      <c r="T2951" t="s">
        <v>3368</v>
      </c>
      <c r="U2951" t="s">
        <v>14810</v>
      </c>
      <c r="V2951" t="s">
        <v>15283</v>
      </c>
    </row>
    <row r="2952" spans="1:25" hidden="1">
      <c r="A2952" t="s">
        <v>15305</v>
      </c>
      <c r="B2952" t="s">
        <v>15443</v>
      </c>
      <c r="C2952" t="s">
        <v>15493</v>
      </c>
      <c r="D2952" t="s">
        <v>2947</v>
      </c>
      <c r="E2952" t="s">
        <v>3429</v>
      </c>
      <c r="F2952" t="s">
        <v>3450</v>
      </c>
      <c r="G2952" s="3">
        <v>36.870382832077198</v>
      </c>
      <c r="H2952" s="3">
        <v>127.854422894954</v>
      </c>
      <c r="I2952" t="s">
        <v>6717</v>
      </c>
      <c r="J2952" t="s">
        <v>10073</v>
      </c>
      <c r="K2952" t="s">
        <v>10892</v>
      </c>
      <c r="L2952" t="s">
        <v>3366</v>
      </c>
      <c r="M2952" t="s">
        <v>11885</v>
      </c>
      <c r="N2952" t="s">
        <v>3363</v>
      </c>
      <c r="O2952" t="s">
        <v>15211</v>
      </c>
      <c r="P2952" t="s">
        <v>3361</v>
      </c>
      <c r="Q2952" t="s">
        <v>15211</v>
      </c>
      <c r="R2952" t="s">
        <v>15211</v>
      </c>
      <c r="S2952" t="s">
        <v>15211</v>
      </c>
      <c r="T2952" t="s">
        <v>3368</v>
      </c>
      <c r="U2952" t="s">
        <v>14811</v>
      </c>
      <c r="V2952" t="s">
        <v>15283</v>
      </c>
    </row>
    <row r="2953" spans="1:25" ht="17.399999999999999" hidden="1">
      <c r="A2953" t="s">
        <v>15518</v>
      </c>
      <c r="B2953" t="s">
        <v>15441</v>
      </c>
      <c r="C2953" t="s">
        <v>15447</v>
      </c>
      <c r="D2953" t="s">
        <v>15519</v>
      </c>
      <c r="E2953" t="s">
        <v>3521</v>
      </c>
      <c r="F2953" t="s">
        <v>3674</v>
      </c>
      <c r="G2953">
        <v>36.3076499896288</v>
      </c>
      <c r="H2953">
        <v>129.05160151588501</v>
      </c>
      <c r="I2953" t="s">
        <v>5542</v>
      </c>
      <c r="J2953" t="s">
        <v>8901</v>
      </c>
      <c r="K2953" t="s">
        <v>11468</v>
      </c>
      <c r="L2953" t="s">
        <v>3379</v>
      </c>
      <c r="M2953" t="s">
        <v>11915</v>
      </c>
      <c r="N2953" t="s">
        <v>3361</v>
      </c>
      <c r="O2953" t="s">
        <v>15211</v>
      </c>
      <c r="P2953" t="s">
        <v>15211</v>
      </c>
      <c r="Q2953" t="s">
        <v>15211</v>
      </c>
      <c r="R2953" t="s">
        <v>15211</v>
      </c>
      <c r="S2953" t="s">
        <v>15211</v>
      </c>
      <c r="T2953" t="s">
        <v>3361</v>
      </c>
      <c r="U2953" t="s">
        <v>13665</v>
      </c>
      <c r="V2953" t="s">
        <v>15214</v>
      </c>
      <c r="W2953">
        <v>36.307651999999997</v>
      </c>
      <c r="X2953">
        <v>129.051602</v>
      </c>
      <c r="Y2953">
        <f>G2953-W2953</f>
        <v>-2.0103711975139049E-6</v>
      </c>
    </row>
    <row r="2954" spans="1:25" ht="17.399999999999999" hidden="1">
      <c r="A2954" t="s">
        <v>15341</v>
      </c>
      <c r="B2954" t="s">
        <v>15441</v>
      </c>
      <c r="C2954" t="s">
        <v>15447</v>
      </c>
      <c r="D2954" t="s">
        <v>1776</v>
      </c>
      <c r="E2954" t="s">
        <v>3522</v>
      </c>
      <c r="F2954" t="s">
        <v>3675</v>
      </c>
      <c r="G2954" s="3">
        <v>36.307652083170098</v>
      </c>
      <c r="H2954" s="3">
        <v>129.051601326748</v>
      </c>
      <c r="I2954" t="s">
        <v>5543</v>
      </c>
      <c r="J2954" t="s">
        <v>8902</v>
      </c>
      <c r="K2954" t="s">
        <v>11469</v>
      </c>
      <c r="L2954" t="s">
        <v>3366</v>
      </c>
      <c r="M2954" t="s">
        <v>11915</v>
      </c>
      <c r="N2954" t="s">
        <v>3361</v>
      </c>
      <c r="O2954" t="s">
        <v>15211</v>
      </c>
      <c r="P2954" t="s">
        <v>15211</v>
      </c>
      <c r="Q2954" t="s">
        <v>15211</v>
      </c>
      <c r="R2954" t="s">
        <v>15211</v>
      </c>
      <c r="S2954" t="s">
        <v>15211</v>
      </c>
      <c r="T2954" t="s">
        <v>3361</v>
      </c>
      <c r="U2954" t="s">
        <v>13666</v>
      </c>
      <c r="V2954" t="s">
        <v>15214</v>
      </c>
    </row>
    <row r="2955" spans="1:25" ht="17.399999999999999" hidden="1">
      <c r="A2955" t="s">
        <v>15341</v>
      </c>
      <c r="B2955" t="s">
        <v>15441</v>
      </c>
      <c r="C2955" t="s">
        <v>15447</v>
      </c>
      <c r="D2955" t="s">
        <v>1777</v>
      </c>
      <c r="E2955" t="s">
        <v>3523</v>
      </c>
      <c r="F2955" t="s">
        <v>3676</v>
      </c>
      <c r="G2955" s="3">
        <v>36.307651974991899</v>
      </c>
      <c r="H2955" s="3">
        <v>129.05160192180099</v>
      </c>
      <c r="I2955" t="s">
        <v>5544</v>
      </c>
      <c r="J2955" t="s">
        <v>8903</v>
      </c>
      <c r="K2955" t="s">
        <v>11470</v>
      </c>
      <c r="L2955" t="s">
        <v>3366</v>
      </c>
      <c r="M2955" t="s">
        <v>11915</v>
      </c>
      <c r="N2955" t="s">
        <v>3361</v>
      </c>
      <c r="O2955" t="s">
        <v>15211</v>
      </c>
      <c r="P2955" t="s">
        <v>15211</v>
      </c>
      <c r="Q2955" t="s">
        <v>15211</v>
      </c>
      <c r="R2955" t="s">
        <v>15211</v>
      </c>
      <c r="S2955" t="s">
        <v>15211</v>
      </c>
      <c r="T2955" t="s">
        <v>3361</v>
      </c>
      <c r="U2955" t="s">
        <v>13667</v>
      </c>
      <c r="V2955" t="s">
        <v>15214</v>
      </c>
    </row>
    <row r="2956" spans="1:25" ht="17.399999999999999" hidden="1">
      <c r="A2956" t="s">
        <v>15341</v>
      </c>
      <c r="B2956" t="s">
        <v>15441</v>
      </c>
      <c r="C2956" t="s">
        <v>15448</v>
      </c>
      <c r="D2956" t="s">
        <v>1778</v>
      </c>
      <c r="E2956" t="s">
        <v>3476</v>
      </c>
      <c r="F2956" t="s">
        <v>3536</v>
      </c>
      <c r="G2956" s="3">
        <v>36.307651581277398</v>
      </c>
      <c r="H2956" s="3">
        <v>129.05160232426499</v>
      </c>
      <c r="I2956" t="s">
        <v>5545</v>
      </c>
      <c r="J2956" t="s">
        <v>8904</v>
      </c>
      <c r="K2956" t="s">
        <v>10578</v>
      </c>
      <c r="L2956" t="s">
        <v>3372</v>
      </c>
      <c r="M2956" t="s">
        <v>11899</v>
      </c>
      <c r="N2956" t="s">
        <v>3361</v>
      </c>
      <c r="O2956" t="s">
        <v>15211</v>
      </c>
      <c r="P2956" t="s">
        <v>3362</v>
      </c>
      <c r="Q2956" t="s">
        <v>3364</v>
      </c>
      <c r="R2956" t="s">
        <v>3357</v>
      </c>
      <c r="S2956" t="s">
        <v>15211</v>
      </c>
      <c r="T2956" t="s">
        <v>3376</v>
      </c>
      <c r="U2956" t="s">
        <v>13668</v>
      </c>
      <c r="V2956" t="s">
        <v>15215</v>
      </c>
    </row>
    <row r="2957" spans="1:25" ht="17.399999999999999" hidden="1">
      <c r="A2957" t="s">
        <v>15341</v>
      </c>
      <c r="B2957" t="s">
        <v>15441</v>
      </c>
      <c r="C2957" t="s">
        <v>15448</v>
      </c>
      <c r="D2957" t="s">
        <v>1779</v>
      </c>
      <c r="E2957" t="s">
        <v>3467</v>
      </c>
      <c r="F2957" t="s">
        <v>3445</v>
      </c>
      <c r="G2957" s="3">
        <v>36.307651577543801</v>
      </c>
      <c r="H2957" s="3">
        <v>129.05160223495301</v>
      </c>
      <c r="I2957" t="s">
        <v>5546</v>
      </c>
      <c r="J2957" t="s">
        <v>8905</v>
      </c>
      <c r="K2957" t="s">
        <v>10610</v>
      </c>
      <c r="L2957" t="s">
        <v>3366</v>
      </c>
      <c r="M2957" t="s">
        <v>11908</v>
      </c>
      <c r="N2957" t="s">
        <v>3361</v>
      </c>
      <c r="O2957" t="s">
        <v>15211</v>
      </c>
      <c r="P2957" t="s">
        <v>3362</v>
      </c>
      <c r="Q2957" t="s">
        <v>3364</v>
      </c>
      <c r="R2957" t="s">
        <v>3357</v>
      </c>
      <c r="S2957" t="s">
        <v>15211</v>
      </c>
      <c r="T2957" t="s">
        <v>3376</v>
      </c>
      <c r="U2957" t="s">
        <v>13669</v>
      </c>
      <c r="V2957" t="s">
        <v>15215</v>
      </c>
    </row>
    <row r="2958" spans="1:25" ht="17.399999999999999" hidden="1">
      <c r="A2958" t="s">
        <v>15341</v>
      </c>
      <c r="B2958" t="s">
        <v>15441</v>
      </c>
      <c r="C2958" t="s">
        <v>15448</v>
      </c>
      <c r="D2958" t="s">
        <v>1780</v>
      </c>
      <c r="E2958" t="s">
        <v>3466</v>
      </c>
      <c r="F2958" t="s">
        <v>3535</v>
      </c>
      <c r="G2958" s="3">
        <v>36.307651498882997</v>
      </c>
      <c r="H2958" s="3">
        <v>129.05160221374101</v>
      </c>
      <c r="I2958" t="s">
        <v>5547</v>
      </c>
      <c r="J2958" t="s">
        <v>8906</v>
      </c>
      <c r="K2958" t="s">
        <v>11099</v>
      </c>
      <c r="L2958" t="s">
        <v>3366</v>
      </c>
      <c r="M2958" t="s">
        <v>11899</v>
      </c>
      <c r="N2958" t="s">
        <v>3361</v>
      </c>
      <c r="O2958" t="s">
        <v>15211</v>
      </c>
      <c r="P2958" t="s">
        <v>3361</v>
      </c>
      <c r="Q2958" t="s">
        <v>3364</v>
      </c>
      <c r="R2958" t="s">
        <v>3357</v>
      </c>
      <c r="S2958" t="s">
        <v>15211</v>
      </c>
      <c r="T2958" t="s">
        <v>3375</v>
      </c>
      <c r="U2958" t="s">
        <v>13670</v>
      </c>
      <c r="V2958" t="s">
        <v>15215</v>
      </c>
    </row>
    <row r="2959" spans="1:25" ht="17.399999999999999" hidden="1">
      <c r="A2959" t="s">
        <v>15341</v>
      </c>
      <c r="B2959" t="s">
        <v>15441</v>
      </c>
      <c r="C2959" t="s">
        <v>15449</v>
      </c>
      <c r="D2959" t="s">
        <v>1781</v>
      </c>
      <c r="E2959" t="s">
        <v>3430</v>
      </c>
      <c r="F2959" t="s">
        <v>3511</v>
      </c>
      <c r="G2959" s="3">
        <v>36.307651433741697</v>
      </c>
      <c r="H2959" s="3">
        <v>129.051602154401</v>
      </c>
      <c r="I2959" t="s">
        <v>5548</v>
      </c>
      <c r="J2959" t="s">
        <v>8907</v>
      </c>
      <c r="K2959" t="s">
        <v>11383</v>
      </c>
      <c r="L2959" t="s">
        <v>3375</v>
      </c>
      <c r="M2959" t="s">
        <v>11901</v>
      </c>
      <c r="N2959" t="s">
        <v>3361</v>
      </c>
      <c r="O2959" t="s">
        <v>15211</v>
      </c>
      <c r="P2959" t="s">
        <v>3361</v>
      </c>
      <c r="Q2959" t="s">
        <v>3362</v>
      </c>
      <c r="R2959" t="s">
        <v>15211</v>
      </c>
      <c r="S2959" t="s">
        <v>15211</v>
      </c>
      <c r="T2959" t="s">
        <v>3372</v>
      </c>
      <c r="U2959" t="s">
        <v>13671</v>
      </c>
      <c r="V2959" t="s">
        <v>15216</v>
      </c>
    </row>
    <row r="2960" spans="1:25" ht="17.399999999999999" hidden="1">
      <c r="A2960" t="s">
        <v>15341</v>
      </c>
      <c r="B2960" t="s">
        <v>15441</v>
      </c>
      <c r="C2960" t="s">
        <v>15449</v>
      </c>
      <c r="D2960" t="s">
        <v>1782</v>
      </c>
      <c r="E2960" t="s">
        <v>3453</v>
      </c>
      <c r="F2960" t="s">
        <v>3466</v>
      </c>
      <c r="G2960" s="3">
        <v>36.307651485316399</v>
      </c>
      <c r="H2960" s="3">
        <v>129.051602201154</v>
      </c>
      <c r="I2960" t="s">
        <v>5549</v>
      </c>
      <c r="J2960" t="s">
        <v>8908</v>
      </c>
      <c r="K2960" t="s">
        <v>10851</v>
      </c>
      <c r="L2960" t="s">
        <v>3366</v>
      </c>
      <c r="M2960" t="s">
        <v>11901</v>
      </c>
      <c r="N2960" t="s">
        <v>3362</v>
      </c>
      <c r="O2960" t="s">
        <v>15211</v>
      </c>
      <c r="P2960" t="s">
        <v>3361</v>
      </c>
      <c r="Q2960" t="s">
        <v>3362</v>
      </c>
      <c r="R2960" t="s">
        <v>3357</v>
      </c>
      <c r="S2960" t="s">
        <v>15211</v>
      </c>
      <c r="T2960" t="s">
        <v>3374</v>
      </c>
      <c r="U2960" t="s">
        <v>13672</v>
      </c>
      <c r="V2960" t="s">
        <v>15216</v>
      </c>
    </row>
    <row r="2961" spans="1:22" ht="17.399999999999999" hidden="1">
      <c r="A2961" t="s">
        <v>15341</v>
      </c>
      <c r="B2961" t="s">
        <v>15441</v>
      </c>
      <c r="C2961" t="s">
        <v>15449</v>
      </c>
      <c r="D2961" t="s">
        <v>1783</v>
      </c>
      <c r="E2961" t="s">
        <v>3441</v>
      </c>
      <c r="F2961" t="s">
        <v>3579</v>
      </c>
      <c r="G2961" s="3">
        <v>36.307651520076</v>
      </c>
      <c r="H2961" s="3">
        <v>129.05160222160001</v>
      </c>
      <c r="I2961" t="s">
        <v>5550</v>
      </c>
      <c r="J2961" t="s">
        <v>8909</v>
      </c>
      <c r="K2961" t="s">
        <v>11471</v>
      </c>
      <c r="L2961" t="s">
        <v>3366</v>
      </c>
      <c r="M2961" t="s">
        <v>11901</v>
      </c>
      <c r="N2961" t="s">
        <v>3361</v>
      </c>
      <c r="O2961" t="s">
        <v>15211</v>
      </c>
      <c r="P2961" t="s">
        <v>3361</v>
      </c>
      <c r="Q2961" t="s">
        <v>3361</v>
      </c>
      <c r="R2961" t="s">
        <v>3357</v>
      </c>
      <c r="S2961" t="s">
        <v>15211</v>
      </c>
      <c r="T2961" t="s">
        <v>3372</v>
      </c>
      <c r="U2961" t="s">
        <v>13673</v>
      </c>
      <c r="V2961" t="s">
        <v>15216</v>
      </c>
    </row>
    <row r="2962" spans="1:22" ht="17.399999999999999" hidden="1">
      <c r="A2962" t="s">
        <v>15341</v>
      </c>
      <c r="B2962" t="s">
        <v>15442</v>
      </c>
      <c r="C2962" t="s">
        <v>15450</v>
      </c>
      <c r="D2962" t="s">
        <v>1784</v>
      </c>
      <c r="E2962" t="s">
        <v>3524</v>
      </c>
      <c r="F2962" t="s">
        <v>3677</v>
      </c>
      <c r="G2962" s="3">
        <v>36.307651759551099</v>
      </c>
      <c r="H2962" s="3">
        <v>129.051594089048</v>
      </c>
      <c r="I2962" t="s">
        <v>5551</v>
      </c>
      <c r="J2962" t="s">
        <v>8910</v>
      </c>
      <c r="K2962" t="s">
        <v>11472</v>
      </c>
      <c r="L2962" t="s">
        <v>3377</v>
      </c>
      <c r="M2962" t="s">
        <v>11915</v>
      </c>
      <c r="N2962" t="s">
        <v>3361</v>
      </c>
      <c r="O2962" t="s">
        <v>15211</v>
      </c>
      <c r="P2962" t="s">
        <v>15211</v>
      </c>
      <c r="Q2962" t="s">
        <v>15211</v>
      </c>
      <c r="R2962" t="s">
        <v>15211</v>
      </c>
      <c r="S2962" t="s">
        <v>15211</v>
      </c>
      <c r="T2962" t="s">
        <v>3361</v>
      </c>
      <c r="U2962" t="s">
        <v>13674</v>
      </c>
      <c r="V2962" t="s">
        <v>15217</v>
      </c>
    </row>
    <row r="2963" spans="1:22" ht="17.399999999999999" hidden="1">
      <c r="A2963" t="s">
        <v>15341</v>
      </c>
      <c r="B2963" t="s">
        <v>15442</v>
      </c>
      <c r="C2963" t="s">
        <v>15450</v>
      </c>
      <c r="D2963" t="s">
        <v>1785</v>
      </c>
      <c r="E2963" t="s">
        <v>3523</v>
      </c>
      <c r="F2963" t="s">
        <v>3678</v>
      </c>
      <c r="G2963" s="3">
        <v>36.307651478293501</v>
      </c>
      <c r="H2963" s="3">
        <v>129.05159510131199</v>
      </c>
      <c r="I2963" t="s">
        <v>5552</v>
      </c>
      <c r="J2963" t="s">
        <v>8911</v>
      </c>
      <c r="K2963" t="s">
        <v>11472</v>
      </c>
      <c r="L2963" t="s">
        <v>3366</v>
      </c>
      <c r="M2963" t="s">
        <v>11915</v>
      </c>
      <c r="N2963" t="s">
        <v>3361</v>
      </c>
      <c r="O2963" t="s">
        <v>15211</v>
      </c>
      <c r="P2963" t="s">
        <v>15211</v>
      </c>
      <c r="Q2963" t="s">
        <v>15211</v>
      </c>
      <c r="R2963" t="s">
        <v>15211</v>
      </c>
      <c r="S2963" t="s">
        <v>15211</v>
      </c>
      <c r="T2963" t="s">
        <v>3361</v>
      </c>
      <c r="U2963" t="s">
        <v>13675</v>
      </c>
      <c r="V2963" t="s">
        <v>15217</v>
      </c>
    </row>
    <row r="2964" spans="1:22" ht="17.399999999999999" hidden="1">
      <c r="A2964" t="s">
        <v>15341</v>
      </c>
      <c r="B2964" t="s">
        <v>15442</v>
      </c>
      <c r="C2964" t="s">
        <v>15450</v>
      </c>
      <c r="D2964" t="s">
        <v>1786</v>
      </c>
      <c r="E2964" t="s">
        <v>3525</v>
      </c>
      <c r="F2964" t="s">
        <v>3679</v>
      </c>
      <c r="G2964" s="3">
        <v>36.307651527844001</v>
      </c>
      <c r="H2964" s="3">
        <v>129.05159501513199</v>
      </c>
      <c r="I2964" t="s">
        <v>5553</v>
      </c>
      <c r="J2964" t="s">
        <v>8912</v>
      </c>
      <c r="K2964" t="s">
        <v>11472</v>
      </c>
      <c r="L2964" t="s">
        <v>3366</v>
      </c>
      <c r="M2964" t="s">
        <v>11915</v>
      </c>
      <c r="N2964" t="s">
        <v>3361</v>
      </c>
      <c r="O2964" t="s">
        <v>15211</v>
      </c>
      <c r="P2964" t="s">
        <v>15211</v>
      </c>
      <c r="Q2964" t="s">
        <v>15211</v>
      </c>
      <c r="R2964" t="s">
        <v>15211</v>
      </c>
      <c r="S2964" t="s">
        <v>15211</v>
      </c>
      <c r="T2964" t="s">
        <v>3361</v>
      </c>
      <c r="U2964" t="s">
        <v>13676</v>
      </c>
      <c r="V2964" t="s">
        <v>15217</v>
      </c>
    </row>
    <row r="2965" spans="1:22" ht="17.399999999999999" hidden="1">
      <c r="A2965" t="s">
        <v>15341</v>
      </c>
      <c r="B2965" t="s">
        <v>15442</v>
      </c>
      <c r="C2965" t="s">
        <v>15445</v>
      </c>
      <c r="D2965" t="s">
        <v>1787</v>
      </c>
      <c r="E2965" t="s">
        <v>3526</v>
      </c>
      <c r="F2965" t="s">
        <v>3680</v>
      </c>
      <c r="G2965" s="3">
        <v>36.307652022336399</v>
      </c>
      <c r="H2965" s="3">
        <v>129.05159654503501</v>
      </c>
      <c r="I2965" t="s">
        <v>5554</v>
      </c>
      <c r="J2965" t="s">
        <v>8913</v>
      </c>
      <c r="K2965" t="s">
        <v>11473</v>
      </c>
      <c r="L2965" t="s">
        <v>3375</v>
      </c>
      <c r="M2965" t="s">
        <v>11915</v>
      </c>
      <c r="N2965" t="s">
        <v>3361</v>
      </c>
      <c r="O2965" t="s">
        <v>15211</v>
      </c>
      <c r="P2965" t="s">
        <v>15211</v>
      </c>
      <c r="Q2965" t="s">
        <v>15211</v>
      </c>
      <c r="R2965" t="s">
        <v>15211</v>
      </c>
      <c r="S2965" t="s">
        <v>15211</v>
      </c>
      <c r="T2965" t="s">
        <v>3361</v>
      </c>
      <c r="U2965" t="s">
        <v>13677</v>
      </c>
      <c r="V2965" t="s">
        <v>15218</v>
      </c>
    </row>
    <row r="2966" spans="1:22" ht="17.399999999999999" hidden="1">
      <c r="A2966" t="s">
        <v>15341</v>
      </c>
      <c r="B2966" t="s">
        <v>15442</v>
      </c>
      <c r="C2966" t="s">
        <v>15445</v>
      </c>
      <c r="D2966" t="s">
        <v>1788</v>
      </c>
      <c r="E2966" t="s">
        <v>3527</v>
      </c>
      <c r="F2966" t="s">
        <v>3681</v>
      </c>
      <c r="G2966" s="3">
        <v>36.307655397992797</v>
      </c>
      <c r="H2966" s="3">
        <v>129.05160360970601</v>
      </c>
      <c r="I2966" t="s">
        <v>5555</v>
      </c>
      <c r="J2966" t="s">
        <v>8914</v>
      </c>
      <c r="K2966" t="s">
        <v>11474</v>
      </c>
      <c r="L2966" t="s">
        <v>3366</v>
      </c>
      <c r="M2966" t="s">
        <v>11915</v>
      </c>
      <c r="N2966" t="s">
        <v>3361</v>
      </c>
      <c r="O2966" t="s">
        <v>15211</v>
      </c>
      <c r="P2966" t="s">
        <v>15211</v>
      </c>
      <c r="Q2966" t="s">
        <v>15211</v>
      </c>
      <c r="R2966" t="s">
        <v>15211</v>
      </c>
      <c r="S2966" t="s">
        <v>15211</v>
      </c>
      <c r="T2966" t="s">
        <v>3361</v>
      </c>
      <c r="U2966" t="s">
        <v>13678</v>
      </c>
      <c r="V2966" t="s">
        <v>15218</v>
      </c>
    </row>
    <row r="2967" spans="1:22" ht="17.399999999999999" hidden="1">
      <c r="A2967" t="s">
        <v>15341</v>
      </c>
      <c r="B2967" t="s">
        <v>15442</v>
      </c>
      <c r="C2967" t="s">
        <v>15445</v>
      </c>
      <c r="D2967" t="s">
        <v>1789</v>
      </c>
      <c r="E2967" t="s">
        <v>3528</v>
      </c>
      <c r="F2967" t="s">
        <v>3682</v>
      </c>
      <c r="G2967" s="3">
        <v>36.307655572898</v>
      </c>
      <c r="H2967" s="3">
        <v>129.05160515850699</v>
      </c>
      <c r="I2967" t="s">
        <v>5556</v>
      </c>
      <c r="J2967" t="s">
        <v>8915</v>
      </c>
      <c r="K2967" t="s">
        <v>11474</v>
      </c>
      <c r="L2967" t="s">
        <v>3366</v>
      </c>
      <c r="M2967" t="s">
        <v>11915</v>
      </c>
      <c r="N2967" t="s">
        <v>3361</v>
      </c>
      <c r="O2967" t="s">
        <v>15211</v>
      </c>
      <c r="P2967" t="s">
        <v>15211</v>
      </c>
      <c r="Q2967" t="s">
        <v>15211</v>
      </c>
      <c r="R2967" t="s">
        <v>15211</v>
      </c>
      <c r="S2967" t="s">
        <v>15211</v>
      </c>
      <c r="T2967" t="s">
        <v>3361</v>
      </c>
      <c r="U2967" t="s">
        <v>13679</v>
      </c>
      <c r="V2967" t="s">
        <v>15218</v>
      </c>
    </row>
    <row r="2968" spans="1:22" ht="17.399999999999999" hidden="1">
      <c r="A2968" t="s">
        <v>15341</v>
      </c>
      <c r="B2968" t="s">
        <v>15442</v>
      </c>
      <c r="C2968" t="s">
        <v>15451</v>
      </c>
      <c r="D2968" t="s">
        <v>1790</v>
      </c>
      <c r="E2968" t="s">
        <v>3427</v>
      </c>
      <c r="F2968" t="s">
        <v>3441</v>
      </c>
      <c r="G2968" s="3">
        <v>36.3076518569166</v>
      </c>
      <c r="H2968" s="3">
        <v>129.051602375568</v>
      </c>
      <c r="I2968" t="s">
        <v>5557</v>
      </c>
      <c r="J2968" t="s">
        <v>8916</v>
      </c>
      <c r="K2968" t="s">
        <v>10574</v>
      </c>
      <c r="L2968" t="s">
        <v>3380</v>
      </c>
      <c r="M2968" t="s">
        <v>11903</v>
      </c>
      <c r="N2968" t="s">
        <v>3361</v>
      </c>
      <c r="O2968" t="s">
        <v>15211</v>
      </c>
      <c r="P2968" t="s">
        <v>3360</v>
      </c>
      <c r="Q2968" t="s">
        <v>3360</v>
      </c>
      <c r="R2968" t="s">
        <v>15211</v>
      </c>
      <c r="S2968" t="s">
        <v>15211</v>
      </c>
      <c r="T2968" t="s">
        <v>3369</v>
      </c>
      <c r="U2968" t="s">
        <v>13680</v>
      </c>
      <c r="V2968" t="s">
        <v>15219</v>
      </c>
    </row>
    <row r="2969" spans="1:22" ht="17.399999999999999" hidden="1">
      <c r="A2969" t="s">
        <v>15341</v>
      </c>
      <c r="B2969" t="s">
        <v>15442</v>
      </c>
      <c r="C2969" t="s">
        <v>15451</v>
      </c>
      <c r="D2969" t="s">
        <v>1791</v>
      </c>
      <c r="E2969" t="s">
        <v>3431</v>
      </c>
      <c r="F2969" t="s">
        <v>3462</v>
      </c>
      <c r="G2969" s="3">
        <v>36.307651886756503</v>
      </c>
      <c r="H2969" s="3">
        <v>129.05160235879001</v>
      </c>
      <c r="I2969" t="s">
        <v>5558</v>
      </c>
      <c r="J2969" t="s">
        <v>8917</v>
      </c>
      <c r="K2969" t="s">
        <v>11184</v>
      </c>
      <c r="L2969" t="s">
        <v>3366</v>
      </c>
      <c r="M2969" t="s">
        <v>11903</v>
      </c>
      <c r="N2969" t="s">
        <v>3361</v>
      </c>
      <c r="O2969" t="s">
        <v>15211</v>
      </c>
      <c r="P2969" t="s">
        <v>3361</v>
      </c>
      <c r="Q2969" t="s">
        <v>3362</v>
      </c>
      <c r="R2969" t="s">
        <v>15211</v>
      </c>
      <c r="S2969" t="s">
        <v>15211</v>
      </c>
      <c r="T2969" t="s">
        <v>3372</v>
      </c>
      <c r="U2969" t="s">
        <v>13681</v>
      </c>
      <c r="V2969" t="s">
        <v>15219</v>
      </c>
    </row>
    <row r="2970" spans="1:22" ht="17.399999999999999" hidden="1">
      <c r="A2970" t="s">
        <v>15341</v>
      </c>
      <c r="B2970" t="s">
        <v>15442</v>
      </c>
      <c r="C2970" t="s">
        <v>15451</v>
      </c>
      <c r="D2970" t="s">
        <v>1792</v>
      </c>
      <c r="E2970" t="s">
        <v>3431</v>
      </c>
      <c r="F2970" t="s">
        <v>3426</v>
      </c>
      <c r="G2970" s="3">
        <v>36.307651890979699</v>
      </c>
      <c r="H2970" s="3">
        <v>129.05160236152699</v>
      </c>
      <c r="I2970" t="s">
        <v>5559</v>
      </c>
      <c r="J2970" t="s">
        <v>8918</v>
      </c>
      <c r="K2970" t="s">
        <v>10842</v>
      </c>
      <c r="L2970" t="s">
        <v>3366</v>
      </c>
      <c r="M2970" t="s">
        <v>11903</v>
      </c>
      <c r="N2970" t="s">
        <v>3361</v>
      </c>
      <c r="O2970" t="s">
        <v>15211</v>
      </c>
      <c r="P2970" t="s">
        <v>3362</v>
      </c>
      <c r="Q2970" t="s">
        <v>3362</v>
      </c>
      <c r="R2970" t="s">
        <v>15211</v>
      </c>
      <c r="S2970" t="s">
        <v>15211</v>
      </c>
      <c r="T2970" t="s">
        <v>3373</v>
      </c>
      <c r="U2970" t="s">
        <v>13682</v>
      </c>
      <c r="V2970" t="s">
        <v>15219</v>
      </c>
    </row>
    <row r="2971" spans="1:22" ht="17.399999999999999">
      <c r="A2971" t="s">
        <v>15341</v>
      </c>
      <c r="B2971" t="s">
        <v>15443</v>
      </c>
      <c r="C2971" t="s">
        <v>15452</v>
      </c>
      <c r="D2971" t="s">
        <v>1793</v>
      </c>
      <c r="E2971" t="s">
        <v>3445</v>
      </c>
      <c r="F2971" t="s">
        <v>3683</v>
      </c>
      <c r="G2971" s="3">
        <v>36.307651550234098</v>
      </c>
      <c r="H2971" s="3">
        <v>129.05160187277801</v>
      </c>
      <c r="I2971" t="s">
        <v>5560</v>
      </c>
      <c r="J2971" t="s">
        <v>8919</v>
      </c>
      <c r="K2971" t="s">
        <v>11475</v>
      </c>
      <c r="L2971" t="s">
        <v>3380</v>
      </c>
      <c r="M2971" t="s">
        <v>11890</v>
      </c>
      <c r="N2971" t="s">
        <v>3361</v>
      </c>
      <c r="O2971" t="s">
        <v>15211</v>
      </c>
      <c r="P2971" t="s">
        <v>3361</v>
      </c>
      <c r="Q2971" t="s">
        <v>3359</v>
      </c>
      <c r="R2971" t="s">
        <v>15211</v>
      </c>
      <c r="S2971" t="s">
        <v>15211</v>
      </c>
      <c r="T2971" t="s">
        <v>3369</v>
      </c>
      <c r="U2971" t="s">
        <v>13683</v>
      </c>
      <c r="V2971" t="s">
        <v>15220</v>
      </c>
    </row>
    <row r="2972" spans="1:22" ht="17.399999999999999">
      <c r="A2972" t="s">
        <v>15341</v>
      </c>
      <c r="B2972" t="s">
        <v>15443</v>
      </c>
      <c r="C2972" t="s">
        <v>15452</v>
      </c>
      <c r="D2972" t="s">
        <v>1794</v>
      </c>
      <c r="E2972" t="s">
        <v>3529</v>
      </c>
      <c r="F2972" t="s">
        <v>3684</v>
      </c>
      <c r="G2972" s="3">
        <v>36.307651574191297</v>
      </c>
      <c r="H2972" s="3">
        <v>129.05160186098101</v>
      </c>
      <c r="I2972" t="s">
        <v>5561</v>
      </c>
      <c r="J2972" t="s">
        <v>8920</v>
      </c>
      <c r="K2972" t="s">
        <v>11476</v>
      </c>
      <c r="L2972" t="s">
        <v>3366</v>
      </c>
      <c r="M2972" t="s">
        <v>11885</v>
      </c>
      <c r="N2972" t="s">
        <v>3361</v>
      </c>
      <c r="O2972" t="s">
        <v>15211</v>
      </c>
      <c r="P2972" t="s">
        <v>3360</v>
      </c>
      <c r="Q2972" t="s">
        <v>3359</v>
      </c>
      <c r="R2972" t="s">
        <v>15211</v>
      </c>
      <c r="S2972" t="s">
        <v>15211</v>
      </c>
      <c r="T2972" t="s">
        <v>3368</v>
      </c>
      <c r="U2972" t="s">
        <v>13684</v>
      </c>
      <c r="V2972" t="s">
        <v>15220</v>
      </c>
    </row>
    <row r="2973" spans="1:22" ht="17.399999999999999">
      <c r="A2973" t="s">
        <v>15341</v>
      </c>
      <c r="B2973" t="s">
        <v>15443</v>
      </c>
      <c r="C2973" t="s">
        <v>15452</v>
      </c>
      <c r="D2973" t="s">
        <v>1795</v>
      </c>
      <c r="E2973" t="s">
        <v>3529</v>
      </c>
      <c r="F2973" t="s">
        <v>3684</v>
      </c>
      <c r="G2973" s="3">
        <v>36.307651590608501</v>
      </c>
      <c r="H2973" s="3">
        <v>129.05160190670099</v>
      </c>
      <c r="I2973" t="s">
        <v>5562</v>
      </c>
      <c r="J2973" t="s">
        <v>8921</v>
      </c>
      <c r="K2973" t="s">
        <v>11355</v>
      </c>
      <c r="L2973" t="s">
        <v>3366</v>
      </c>
      <c r="M2973" t="s">
        <v>11885</v>
      </c>
      <c r="N2973" t="s">
        <v>3361</v>
      </c>
      <c r="O2973" t="s">
        <v>15211</v>
      </c>
      <c r="P2973" t="s">
        <v>3360</v>
      </c>
      <c r="Q2973" t="s">
        <v>3359</v>
      </c>
      <c r="R2973" t="s">
        <v>15211</v>
      </c>
      <c r="S2973" t="s">
        <v>15211</v>
      </c>
      <c r="T2973" t="s">
        <v>3368</v>
      </c>
      <c r="U2973" t="s">
        <v>13685</v>
      </c>
      <c r="V2973" t="s">
        <v>15220</v>
      </c>
    </row>
    <row r="2974" spans="1:22" ht="17.399999999999999" hidden="1">
      <c r="A2974" t="s">
        <v>15341</v>
      </c>
      <c r="B2974" t="s">
        <v>15443</v>
      </c>
      <c r="C2974" t="s">
        <v>15477</v>
      </c>
      <c r="D2974" t="s">
        <v>1796</v>
      </c>
      <c r="E2974" t="s">
        <v>3434</v>
      </c>
      <c r="F2974" t="s">
        <v>3426</v>
      </c>
      <c r="G2974" s="3">
        <v>36.307651763020601</v>
      </c>
      <c r="H2974" s="3">
        <v>129.05160203227399</v>
      </c>
      <c r="I2974" t="s">
        <v>5563</v>
      </c>
      <c r="J2974" t="s">
        <v>8922</v>
      </c>
      <c r="K2974" t="s">
        <v>11477</v>
      </c>
      <c r="L2974" t="s">
        <v>3388</v>
      </c>
      <c r="M2974" t="s">
        <v>11890</v>
      </c>
      <c r="N2974" t="s">
        <v>3361</v>
      </c>
      <c r="O2974" t="s">
        <v>15211</v>
      </c>
      <c r="P2974" t="s">
        <v>3360</v>
      </c>
      <c r="Q2974" t="s">
        <v>3359</v>
      </c>
      <c r="R2974" t="s">
        <v>15211</v>
      </c>
      <c r="S2974" t="s">
        <v>15211</v>
      </c>
      <c r="T2974" t="s">
        <v>3368</v>
      </c>
      <c r="U2974" t="s">
        <v>13686</v>
      </c>
      <c r="V2974" t="s">
        <v>15260</v>
      </c>
    </row>
    <row r="2975" spans="1:22" ht="17.399999999999999" hidden="1">
      <c r="A2975" t="s">
        <v>15341</v>
      </c>
      <c r="B2975" t="s">
        <v>15443</v>
      </c>
      <c r="C2975" t="s">
        <v>15477</v>
      </c>
      <c r="D2975" t="s">
        <v>1797</v>
      </c>
      <c r="E2975" t="s">
        <v>3435</v>
      </c>
      <c r="F2975" t="s">
        <v>3465</v>
      </c>
      <c r="G2975" s="3">
        <v>36.307651743273297</v>
      </c>
      <c r="H2975" s="3">
        <v>129.051602014043</v>
      </c>
      <c r="I2975" t="s">
        <v>5564</v>
      </c>
      <c r="J2975" t="s">
        <v>8923</v>
      </c>
      <c r="K2975" t="s">
        <v>11478</v>
      </c>
      <c r="L2975" t="s">
        <v>3366</v>
      </c>
      <c r="M2975" t="s">
        <v>11890</v>
      </c>
      <c r="N2975" t="s">
        <v>3361</v>
      </c>
      <c r="O2975" t="s">
        <v>15211</v>
      </c>
      <c r="P2975" t="s">
        <v>3361</v>
      </c>
      <c r="Q2975" t="s">
        <v>3359</v>
      </c>
      <c r="R2975" t="s">
        <v>15211</v>
      </c>
      <c r="S2975" t="s">
        <v>15211</v>
      </c>
      <c r="T2975" t="s">
        <v>3369</v>
      </c>
      <c r="U2975" t="s">
        <v>13687</v>
      </c>
      <c r="V2975" t="s">
        <v>15260</v>
      </c>
    </row>
    <row r="2976" spans="1:22" ht="17.399999999999999" hidden="1">
      <c r="A2976" t="s">
        <v>15341</v>
      </c>
      <c r="B2976" t="s">
        <v>15443</v>
      </c>
      <c r="C2976" t="s">
        <v>15477</v>
      </c>
      <c r="D2976" t="s">
        <v>1798</v>
      </c>
      <c r="E2976" t="s">
        <v>3435</v>
      </c>
      <c r="F2976" t="s">
        <v>3465</v>
      </c>
      <c r="G2976" s="3">
        <v>36.307651759036503</v>
      </c>
      <c r="H2976" s="3">
        <v>129.051602042757</v>
      </c>
      <c r="I2976" t="s">
        <v>5565</v>
      </c>
      <c r="J2976" t="s">
        <v>8924</v>
      </c>
      <c r="K2976" t="s">
        <v>11478</v>
      </c>
      <c r="L2976" t="s">
        <v>3366</v>
      </c>
      <c r="M2976" t="s">
        <v>11890</v>
      </c>
      <c r="N2976" t="s">
        <v>3361</v>
      </c>
      <c r="O2976" t="s">
        <v>15211</v>
      </c>
      <c r="P2976" t="s">
        <v>3361</v>
      </c>
      <c r="Q2976" t="s">
        <v>3359</v>
      </c>
      <c r="R2976" t="s">
        <v>15211</v>
      </c>
      <c r="S2976" t="s">
        <v>15211</v>
      </c>
      <c r="T2976" t="s">
        <v>3369</v>
      </c>
      <c r="U2976" t="s">
        <v>13688</v>
      </c>
      <c r="V2976" t="s">
        <v>15260</v>
      </c>
    </row>
    <row r="2977" spans="1:22" ht="17.399999999999999" hidden="1">
      <c r="A2977" t="s">
        <v>15344</v>
      </c>
      <c r="B2977" t="s">
        <v>15441</v>
      </c>
      <c r="C2977" t="s">
        <v>15445</v>
      </c>
      <c r="D2977" t="s">
        <v>1</v>
      </c>
      <c r="E2977" t="s">
        <v>3425</v>
      </c>
      <c r="F2977" t="s">
        <v>3452</v>
      </c>
      <c r="G2977" s="3">
        <v>36.096111265730499</v>
      </c>
      <c r="H2977" s="3">
        <v>129.37416320676701</v>
      </c>
      <c r="I2977" t="s">
        <v>3768</v>
      </c>
      <c r="J2977" t="s">
        <v>7127</v>
      </c>
      <c r="K2977" t="s">
        <v>10480</v>
      </c>
      <c r="L2977" t="s">
        <v>3366</v>
      </c>
      <c r="M2977" t="s">
        <v>11885</v>
      </c>
      <c r="N2977" t="s">
        <v>3363</v>
      </c>
      <c r="O2977" t="s">
        <v>3361</v>
      </c>
      <c r="P2977" t="s">
        <v>15211</v>
      </c>
      <c r="Q2977" t="s">
        <v>15211</v>
      </c>
      <c r="R2977" t="s">
        <v>15211</v>
      </c>
      <c r="S2977" t="s">
        <v>15211</v>
      </c>
      <c r="T2977" t="s">
        <v>3368</v>
      </c>
      <c r="U2977" t="s">
        <v>11923</v>
      </c>
      <c r="V2977" t="s">
        <v>15212</v>
      </c>
    </row>
    <row r="2978" spans="1:22" ht="17.399999999999999" hidden="1">
      <c r="A2978" t="s">
        <v>15344</v>
      </c>
      <c r="B2978" s="6" t="s">
        <v>15517</v>
      </c>
      <c r="C2978" t="s">
        <v>15445</v>
      </c>
      <c r="D2978" t="s">
        <v>2</v>
      </c>
      <c r="E2978">
        <v>1.2E-2</v>
      </c>
      <c r="F2978" t="s">
        <v>3461</v>
      </c>
      <c r="G2978" s="3">
        <v>36.0961112670688</v>
      </c>
      <c r="H2978" s="3">
        <v>129.37416319856399</v>
      </c>
      <c r="I2978" t="s">
        <v>3769</v>
      </c>
      <c r="J2978" t="s">
        <v>7128</v>
      </c>
      <c r="K2978" t="s">
        <v>10481</v>
      </c>
      <c r="L2978" t="s">
        <v>3366</v>
      </c>
      <c r="M2978" t="s">
        <v>11886</v>
      </c>
      <c r="N2978" t="s">
        <v>3363</v>
      </c>
      <c r="O2978" t="s">
        <v>3361</v>
      </c>
      <c r="P2978" t="s">
        <v>15211</v>
      </c>
      <c r="Q2978" t="s">
        <v>15211</v>
      </c>
      <c r="R2978" t="s">
        <v>15211</v>
      </c>
      <c r="S2978" t="s">
        <v>15211</v>
      </c>
      <c r="T2978" t="s">
        <v>3368</v>
      </c>
      <c r="U2978" t="s">
        <v>11924</v>
      </c>
      <c r="V2978" t="s">
        <v>15212</v>
      </c>
    </row>
    <row r="2979" spans="1:22" ht="17.399999999999999" hidden="1">
      <c r="A2979" t="s">
        <v>15344</v>
      </c>
      <c r="B2979" t="s">
        <v>15441</v>
      </c>
      <c r="C2979" t="s">
        <v>15445</v>
      </c>
      <c r="D2979" t="s">
        <v>3</v>
      </c>
      <c r="E2979" t="s">
        <v>3426</v>
      </c>
      <c r="F2979" t="s">
        <v>3464</v>
      </c>
      <c r="G2979" s="3">
        <v>36.096111312994303</v>
      </c>
      <c r="H2979" s="3">
        <v>129.37416307038799</v>
      </c>
      <c r="I2979" t="s">
        <v>3770</v>
      </c>
      <c r="J2979" t="s">
        <v>7129</v>
      </c>
      <c r="K2979" t="s">
        <v>10482</v>
      </c>
      <c r="L2979" t="s">
        <v>3366</v>
      </c>
      <c r="M2979" t="s">
        <v>11886</v>
      </c>
      <c r="N2979" t="s">
        <v>3363</v>
      </c>
      <c r="O2979" t="s">
        <v>3360</v>
      </c>
      <c r="P2979" t="s">
        <v>15211</v>
      </c>
      <c r="Q2979" t="s">
        <v>15211</v>
      </c>
      <c r="R2979" t="s">
        <v>15211</v>
      </c>
      <c r="S2979" t="s">
        <v>15211</v>
      </c>
      <c r="T2979" t="s">
        <v>3367</v>
      </c>
      <c r="U2979" t="s">
        <v>11925</v>
      </c>
      <c r="V2979" t="s">
        <v>15212</v>
      </c>
    </row>
    <row r="2980" spans="1:22" ht="17.399999999999999" hidden="1">
      <c r="A2980" t="s">
        <v>15344</v>
      </c>
      <c r="B2980" t="s">
        <v>15441</v>
      </c>
      <c r="C2980" t="s">
        <v>15446</v>
      </c>
      <c r="D2980" t="s">
        <v>4</v>
      </c>
      <c r="E2980" t="s">
        <v>3427</v>
      </c>
      <c r="F2980" t="s">
        <v>3442</v>
      </c>
      <c r="G2980" s="3">
        <v>36.096111234420697</v>
      </c>
      <c r="H2980" s="3">
        <v>129.37416324108599</v>
      </c>
      <c r="I2980" t="s">
        <v>3771</v>
      </c>
      <c r="J2980" t="s">
        <v>7130</v>
      </c>
      <c r="K2980" t="s">
        <v>10483</v>
      </c>
      <c r="L2980" t="s">
        <v>3380</v>
      </c>
      <c r="M2980" t="s">
        <v>11886</v>
      </c>
      <c r="N2980" t="s">
        <v>3363</v>
      </c>
      <c r="O2980" t="s">
        <v>3360</v>
      </c>
      <c r="P2980" t="s">
        <v>15211</v>
      </c>
      <c r="Q2980" t="s">
        <v>15211</v>
      </c>
      <c r="R2980" t="s">
        <v>15211</v>
      </c>
      <c r="S2980" t="s">
        <v>15211</v>
      </c>
      <c r="T2980" t="s">
        <v>3367</v>
      </c>
      <c r="U2980" t="s">
        <v>11926</v>
      </c>
      <c r="V2980" t="s">
        <v>15213</v>
      </c>
    </row>
    <row r="2981" spans="1:22" ht="17.399999999999999" hidden="1">
      <c r="A2981" t="s">
        <v>15344</v>
      </c>
      <c r="B2981" t="s">
        <v>15441</v>
      </c>
      <c r="C2981" t="s">
        <v>15446</v>
      </c>
      <c r="D2981" t="s">
        <v>5</v>
      </c>
      <c r="E2981" t="s">
        <v>3428</v>
      </c>
      <c r="F2981" t="s">
        <v>3441</v>
      </c>
      <c r="G2981" s="3">
        <v>36.096111209477399</v>
      </c>
      <c r="H2981" s="3">
        <v>129.37416324095901</v>
      </c>
      <c r="I2981" t="s">
        <v>3772</v>
      </c>
      <c r="J2981" t="s">
        <v>7131</v>
      </c>
      <c r="K2981" t="s">
        <v>10484</v>
      </c>
      <c r="L2981" t="s">
        <v>3366</v>
      </c>
      <c r="M2981" t="s">
        <v>11885</v>
      </c>
      <c r="N2981" t="s">
        <v>3363</v>
      </c>
      <c r="O2981" t="s">
        <v>3361</v>
      </c>
      <c r="P2981" t="s">
        <v>15211</v>
      </c>
      <c r="Q2981" t="s">
        <v>15211</v>
      </c>
      <c r="R2981" t="s">
        <v>15211</v>
      </c>
      <c r="S2981" t="s">
        <v>15211</v>
      </c>
      <c r="T2981" t="s">
        <v>3368</v>
      </c>
      <c r="U2981" t="s">
        <v>11927</v>
      </c>
      <c r="V2981" t="s">
        <v>15213</v>
      </c>
    </row>
    <row r="2982" spans="1:22" ht="17.399999999999999" hidden="1">
      <c r="A2982" t="s">
        <v>15344</v>
      </c>
      <c r="B2982" t="s">
        <v>15441</v>
      </c>
      <c r="C2982" t="s">
        <v>15446</v>
      </c>
      <c r="D2982" t="s">
        <v>6</v>
      </c>
      <c r="E2982" t="s">
        <v>3428</v>
      </c>
      <c r="F2982" t="s">
        <v>3453</v>
      </c>
      <c r="G2982" s="3">
        <v>36.0961111962337</v>
      </c>
      <c r="H2982" s="3">
        <v>129.37416316812701</v>
      </c>
      <c r="I2982" t="s">
        <v>3773</v>
      </c>
      <c r="J2982" t="s">
        <v>7132</v>
      </c>
      <c r="K2982" t="s">
        <v>10485</v>
      </c>
      <c r="L2982" t="s">
        <v>3366</v>
      </c>
      <c r="M2982" t="s">
        <v>11886</v>
      </c>
      <c r="N2982" t="s">
        <v>3363</v>
      </c>
      <c r="O2982" t="s">
        <v>3360</v>
      </c>
      <c r="P2982" t="s">
        <v>15211</v>
      </c>
      <c r="Q2982" t="s">
        <v>15211</v>
      </c>
      <c r="R2982" t="s">
        <v>15211</v>
      </c>
      <c r="S2982" t="s">
        <v>15211</v>
      </c>
      <c r="T2982" t="s">
        <v>3367</v>
      </c>
      <c r="U2982" t="s">
        <v>11928</v>
      </c>
      <c r="V2982" t="s">
        <v>15213</v>
      </c>
    </row>
    <row r="2983" spans="1:22" ht="17.399999999999999" hidden="1">
      <c r="A2983" t="s">
        <v>15344</v>
      </c>
      <c r="B2983" t="s">
        <v>15441</v>
      </c>
      <c r="C2983" t="s">
        <v>15447</v>
      </c>
      <c r="D2983" t="s">
        <v>7</v>
      </c>
      <c r="E2983" t="s">
        <v>3429</v>
      </c>
      <c r="F2983" t="s">
        <v>3478</v>
      </c>
      <c r="G2983" s="3">
        <v>36.096111194719597</v>
      </c>
      <c r="H2983" s="3">
        <v>129.374163181894</v>
      </c>
      <c r="I2983" t="s">
        <v>3774</v>
      </c>
      <c r="J2983" t="s">
        <v>7133</v>
      </c>
      <c r="K2983" t="s">
        <v>10486</v>
      </c>
      <c r="L2983" t="s">
        <v>3376</v>
      </c>
      <c r="M2983" t="s">
        <v>11887</v>
      </c>
      <c r="N2983" t="s">
        <v>3363</v>
      </c>
      <c r="O2983" t="s">
        <v>15211</v>
      </c>
      <c r="P2983" t="s">
        <v>15211</v>
      </c>
      <c r="Q2983" t="s">
        <v>15211</v>
      </c>
      <c r="R2983" t="s">
        <v>15211</v>
      </c>
      <c r="S2983" t="s">
        <v>15211</v>
      </c>
      <c r="T2983" t="s">
        <v>3363</v>
      </c>
      <c r="U2983" t="s">
        <v>11929</v>
      </c>
      <c r="V2983" t="s">
        <v>15214</v>
      </c>
    </row>
    <row r="2984" spans="1:22" ht="17.399999999999999" hidden="1">
      <c r="A2984" t="s">
        <v>15344</v>
      </c>
      <c r="B2984" t="s">
        <v>15441</v>
      </c>
      <c r="C2984" t="s">
        <v>15447</v>
      </c>
      <c r="D2984" t="s">
        <v>8</v>
      </c>
      <c r="E2984" t="s">
        <v>3429</v>
      </c>
      <c r="F2984" t="s">
        <v>3450</v>
      </c>
      <c r="G2984" s="3">
        <v>36.096111188104899</v>
      </c>
      <c r="H2984" s="3">
        <v>129.374163200022</v>
      </c>
      <c r="I2984" t="s">
        <v>3775</v>
      </c>
      <c r="J2984" t="s">
        <v>7134</v>
      </c>
      <c r="K2984" t="s">
        <v>10487</v>
      </c>
      <c r="L2984" t="s">
        <v>3366</v>
      </c>
      <c r="M2984" t="s">
        <v>11887</v>
      </c>
      <c r="N2984" t="s">
        <v>3363</v>
      </c>
      <c r="O2984" t="s">
        <v>15211</v>
      </c>
      <c r="P2984" t="s">
        <v>15211</v>
      </c>
      <c r="Q2984" t="s">
        <v>15211</v>
      </c>
      <c r="R2984" t="s">
        <v>15211</v>
      </c>
      <c r="S2984" t="s">
        <v>15211</v>
      </c>
      <c r="T2984" t="s">
        <v>3363</v>
      </c>
      <c r="U2984" t="s">
        <v>11930</v>
      </c>
      <c r="V2984" t="s">
        <v>15214</v>
      </c>
    </row>
    <row r="2985" spans="1:22" ht="17.399999999999999" hidden="1">
      <c r="A2985" t="s">
        <v>15344</v>
      </c>
      <c r="B2985" t="s">
        <v>15441</v>
      </c>
      <c r="C2985" t="s">
        <v>15447</v>
      </c>
      <c r="D2985" t="s">
        <v>9</v>
      </c>
      <c r="E2985" t="s">
        <v>3430</v>
      </c>
      <c r="F2985" t="s">
        <v>3463</v>
      </c>
      <c r="G2985" s="3">
        <v>36.096111164547501</v>
      </c>
      <c r="H2985" s="3">
        <v>129.37416317919599</v>
      </c>
      <c r="I2985" t="s">
        <v>3776</v>
      </c>
      <c r="J2985" t="s">
        <v>7135</v>
      </c>
      <c r="K2985" t="s">
        <v>10488</v>
      </c>
      <c r="L2985" t="s">
        <v>3366</v>
      </c>
      <c r="M2985" t="s">
        <v>11887</v>
      </c>
      <c r="N2985" t="s">
        <v>3363</v>
      </c>
      <c r="O2985" t="s">
        <v>15211</v>
      </c>
      <c r="P2985" t="s">
        <v>15211</v>
      </c>
      <c r="Q2985" t="s">
        <v>15211</v>
      </c>
      <c r="R2985" t="s">
        <v>15211</v>
      </c>
      <c r="S2985" t="s">
        <v>15211</v>
      </c>
      <c r="T2985" t="s">
        <v>3363</v>
      </c>
      <c r="U2985" t="s">
        <v>11931</v>
      </c>
      <c r="V2985" t="s">
        <v>15214</v>
      </c>
    </row>
    <row r="2986" spans="1:22" hidden="1">
      <c r="A2986" t="s">
        <v>15426</v>
      </c>
      <c r="B2986" t="s">
        <v>15441</v>
      </c>
      <c r="C2986" t="s">
        <v>15445</v>
      </c>
      <c r="D2986" t="s">
        <v>2981</v>
      </c>
      <c r="E2986" t="s">
        <v>3438</v>
      </c>
      <c r="F2986" t="s">
        <v>3429</v>
      </c>
      <c r="G2986" s="3">
        <v>37.073050127033902</v>
      </c>
      <c r="H2986" s="3">
        <v>127.96202952787</v>
      </c>
      <c r="I2986" t="s">
        <v>6751</v>
      </c>
      <c r="J2986" t="s">
        <v>10107</v>
      </c>
      <c r="K2986" t="s">
        <v>10810</v>
      </c>
      <c r="L2986" t="s">
        <v>3366</v>
      </c>
      <c r="M2986" t="s">
        <v>11895</v>
      </c>
      <c r="N2986" t="s">
        <v>3365</v>
      </c>
      <c r="O2986" t="s">
        <v>3362</v>
      </c>
      <c r="P2986" t="s">
        <v>15211</v>
      </c>
      <c r="Q2986" t="s">
        <v>15211</v>
      </c>
      <c r="R2986" t="s">
        <v>15211</v>
      </c>
      <c r="S2986" t="s">
        <v>15211</v>
      </c>
      <c r="T2986" t="s">
        <v>3371</v>
      </c>
      <c r="U2986" t="s">
        <v>14845</v>
      </c>
      <c r="V2986" t="s">
        <v>15228</v>
      </c>
    </row>
    <row r="2987" spans="1:22" hidden="1">
      <c r="A2987" t="s">
        <v>15426</v>
      </c>
      <c r="B2987" t="s">
        <v>15441</v>
      </c>
      <c r="C2987" t="s">
        <v>15445</v>
      </c>
      <c r="D2987" t="s">
        <v>2982</v>
      </c>
      <c r="E2987" t="s">
        <v>3438</v>
      </c>
      <c r="F2987" t="s">
        <v>3429</v>
      </c>
      <c r="G2987" s="3">
        <v>37.073050136904797</v>
      </c>
      <c r="H2987" s="3">
        <v>127.962029514761</v>
      </c>
      <c r="I2987" t="s">
        <v>6752</v>
      </c>
      <c r="J2987" t="s">
        <v>10108</v>
      </c>
      <c r="K2987" t="s">
        <v>10810</v>
      </c>
      <c r="L2987" t="s">
        <v>3366</v>
      </c>
      <c r="M2987" t="s">
        <v>11895</v>
      </c>
      <c r="N2987" t="s">
        <v>3365</v>
      </c>
      <c r="O2987" t="s">
        <v>3362</v>
      </c>
      <c r="P2987" t="s">
        <v>15211</v>
      </c>
      <c r="Q2987" t="s">
        <v>15211</v>
      </c>
      <c r="R2987" t="s">
        <v>15211</v>
      </c>
      <c r="S2987" t="s">
        <v>15211</v>
      </c>
      <c r="T2987" t="s">
        <v>3371</v>
      </c>
      <c r="U2987" t="s">
        <v>14846</v>
      </c>
      <c r="V2987" t="s">
        <v>15228</v>
      </c>
    </row>
    <row r="2988" spans="1:22" hidden="1">
      <c r="A2988" t="s">
        <v>15426</v>
      </c>
      <c r="B2988" t="s">
        <v>15441</v>
      </c>
      <c r="C2988" t="s">
        <v>15445</v>
      </c>
      <c r="D2988" t="s">
        <v>2983</v>
      </c>
      <c r="E2988" t="s">
        <v>3438</v>
      </c>
      <c r="F2988" t="s">
        <v>3429</v>
      </c>
      <c r="G2988" s="3">
        <v>37.073050129494099</v>
      </c>
      <c r="H2988" s="3">
        <v>127.962029500718</v>
      </c>
      <c r="I2988" t="s">
        <v>6753</v>
      </c>
      <c r="J2988" t="s">
        <v>10109</v>
      </c>
      <c r="K2988" t="s">
        <v>10810</v>
      </c>
      <c r="L2988" t="s">
        <v>3366</v>
      </c>
      <c r="M2988" t="s">
        <v>11895</v>
      </c>
      <c r="N2988" t="s">
        <v>3365</v>
      </c>
      <c r="O2988" t="s">
        <v>3362</v>
      </c>
      <c r="P2988" t="s">
        <v>15211</v>
      </c>
      <c r="Q2988" t="s">
        <v>15211</v>
      </c>
      <c r="R2988" t="s">
        <v>15211</v>
      </c>
      <c r="S2988" t="s">
        <v>15211</v>
      </c>
      <c r="T2988" t="s">
        <v>3371</v>
      </c>
      <c r="U2988" t="s">
        <v>14847</v>
      </c>
      <c r="V2988" t="s">
        <v>15228</v>
      </c>
    </row>
    <row r="2989" spans="1:22" hidden="1">
      <c r="A2989" t="s">
        <v>15426</v>
      </c>
      <c r="B2989" t="s">
        <v>15441</v>
      </c>
      <c r="C2989" t="s">
        <v>15446</v>
      </c>
      <c r="D2989" t="s">
        <v>2984</v>
      </c>
      <c r="E2989" t="s">
        <v>3431</v>
      </c>
      <c r="F2989" t="s">
        <v>3453</v>
      </c>
      <c r="G2989" s="3">
        <v>37.073050281544802</v>
      </c>
      <c r="H2989" s="3">
        <v>127.962029514202</v>
      </c>
      <c r="I2989" t="s">
        <v>6754</v>
      </c>
      <c r="J2989" t="s">
        <v>10110</v>
      </c>
      <c r="K2989" t="s">
        <v>11070</v>
      </c>
      <c r="L2989" t="s">
        <v>3371</v>
      </c>
      <c r="M2989" t="s">
        <v>11895</v>
      </c>
      <c r="N2989" t="s">
        <v>3365</v>
      </c>
      <c r="O2989" t="s">
        <v>3362</v>
      </c>
      <c r="P2989" t="s">
        <v>15211</v>
      </c>
      <c r="Q2989" t="s">
        <v>15211</v>
      </c>
      <c r="R2989" t="s">
        <v>15211</v>
      </c>
      <c r="S2989" t="s">
        <v>15211</v>
      </c>
      <c r="T2989" t="s">
        <v>3371</v>
      </c>
      <c r="U2989" t="s">
        <v>14848</v>
      </c>
      <c r="V2989" t="s">
        <v>15229</v>
      </c>
    </row>
    <row r="2990" spans="1:22" hidden="1">
      <c r="A2990" t="s">
        <v>15426</v>
      </c>
      <c r="B2990" t="s">
        <v>15441</v>
      </c>
      <c r="C2990" t="s">
        <v>15446</v>
      </c>
      <c r="D2990" t="s">
        <v>2985</v>
      </c>
      <c r="E2990" t="s">
        <v>3425</v>
      </c>
      <c r="F2990" t="s">
        <v>3453</v>
      </c>
      <c r="G2990" s="3">
        <v>37.073050281595897</v>
      </c>
      <c r="H2990" s="3">
        <v>127.962029522512</v>
      </c>
      <c r="I2990" t="s">
        <v>6755</v>
      </c>
      <c r="J2990" t="s">
        <v>10111</v>
      </c>
      <c r="K2990" t="s">
        <v>11809</v>
      </c>
      <c r="L2990" t="s">
        <v>3366</v>
      </c>
      <c r="M2990" t="s">
        <v>11894</v>
      </c>
      <c r="N2990" t="s">
        <v>3364</v>
      </c>
      <c r="O2990" t="s">
        <v>3362</v>
      </c>
      <c r="P2990" t="s">
        <v>15211</v>
      </c>
      <c r="Q2990" t="s">
        <v>15211</v>
      </c>
      <c r="R2990" t="s">
        <v>15211</v>
      </c>
      <c r="S2990" t="s">
        <v>15211</v>
      </c>
      <c r="T2990" t="s">
        <v>3370</v>
      </c>
      <c r="U2990" t="s">
        <v>14849</v>
      </c>
      <c r="V2990" t="s">
        <v>15229</v>
      </c>
    </row>
    <row r="2991" spans="1:22" hidden="1">
      <c r="A2991" t="s">
        <v>15426</v>
      </c>
      <c r="B2991" t="s">
        <v>15441</v>
      </c>
      <c r="C2991" t="s">
        <v>15446</v>
      </c>
      <c r="D2991" t="s">
        <v>2986</v>
      </c>
      <c r="E2991" t="s">
        <v>3425</v>
      </c>
      <c r="F2991" t="s">
        <v>3453</v>
      </c>
      <c r="G2991" s="3">
        <v>37.073050266127296</v>
      </c>
      <c r="H2991" s="3">
        <v>127.962029532133</v>
      </c>
      <c r="I2991" t="s">
        <v>6756</v>
      </c>
      <c r="J2991" t="s">
        <v>10112</v>
      </c>
      <c r="K2991" t="s">
        <v>11521</v>
      </c>
      <c r="L2991" t="s">
        <v>3366</v>
      </c>
      <c r="M2991" t="s">
        <v>11894</v>
      </c>
      <c r="N2991" t="s">
        <v>3364</v>
      </c>
      <c r="O2991" t="s">
        <v>3362</v>
      </c>
      <c r="P2991" t="s">
        <v>15211</v>
      </c>
      <c r="Q2991" t="s">
        <v>15211</v>
      </c>
      <c r="R2991" t="s">
        <v>15211</v>
      </c>
      <c r="S2991" t="s">
        <v>15211</v>
      </c>
      <c r="T2991" t="s">
        <v>3370</v>
      </c>
      <c r="U2991" t="s">
        <v>14850</v>
      </c>
      <c r="V2991" t="s">
        <v>15229</v>
      </c>
    </row>
    <row r="2992" spans="1:22" hidden="1">
      <c r="A2992" t="s">
        <v>15426</v>
      </c>
      <c r="B2992" t="s">
        <v>15441</v>
      </c>
      <c r="C2992" t="s">
        <v>15448</v>
      </c>
      <c r="D2992" t="s">
        <v>2987</v>
      </c>
      <c r="E2992" t="s">
        <v>3425</v>
      </c>
      <c r="F2992" t="s">
        <v>3463</v>
      </c>
      <c r="G2992" s="3">
        <v>37.073050088550197</v>
      </c>
      <c r="H2992" s="3">
        <v>127.96202959069301</v>
      </c>
      <c r="I2992" t="s">
        <v>6757</v>
      </c>
      <c r="J2992" t="s">
        <v>10113</v>
      </c>
      <c r="K2992" t="s">
        <v>11810</v>
      </c>
      <c r="L2992" t="s">
        <v>3366</v>
      </c>
      <c r="M2992" t="s">
        <v>11907</v>
      </c>
      <c r="N2992" t="s">
        <v>3365</v>
      </c>
      <c r="O2992" t="s">
        <v>3362</v>
      </c>
      <c r="P2992" t="s">
        <v>3362</v>
      </c>
      <c r="Q2992" t="s">
        <v>3366</v>
      </c>
      <c r="R2992" t="s">
        <v>15211</v>
      </c>
      <c r="S2992" t="s">
        <v>15211</v>
      </c>
      <c r="T2992" t="s">
        <v>3387</v>
      </c>
      <c r="U2992" t="s">
        <v>14851</v>
      </c>
      <c r="V2992" t="s">
        <v>15230</v>
      </c>
    </row>
    <row r="2993" spans="1:22" hidden="1">
      <c r="A2993" t="s">
        <v>15426</v>
      </c>
      <c r="B2993" t="s">
        <v>15441</v>
      </c>
      <c r="C2993" t="s">
        <v>15448</v>
      </c>
      <c r="D2993" t="s">
        <v>2988</v>
      </c>
      <c r="E2993" t="s">
        <v>3436</v>
      </c>
      <c r="F2993" t="s">
        <v>3449</v>
      </c>
      <c r="G2993" s="3">
        <v>37.073050094904701</v>
      </c>
      <c r="H2993" s="3">
        <v>127.96202961063899</v>
      </c>
      <c r="I2993" t="s">
        <v>6758</v>
      </c>
      <c r="J2993" t="s">
        <v>10114</v>
      </c>
      <c r="K2993" t="s">
        <v>11811</v>
      </c>
      <c r="L2993" t="s">
        <v>3366</v>
      </c>
      <c r="M2993" t="s">
        <v>11913</v>
      </c>
      <c r="N2993" t="s">
        <v>3365</v>
      </c>
      <c r="O2993" t="s">
        <v>3362</v>
      </c>
      <c r="P2993" t="s">
        <v>3362</v>
      </c>
      <c r="Q2993" t="s">
        <v>3366</v>
      </c>
      <c r="R2993" t="s">
        <v>15211</v>
      </c>
      <c r="S2993" t="s">
        <v>15211</v>
      </c>
      <c r="T2993" t="s">
        <v>3387</v>
      </c>
      <c r="U2993" t="s">
        <v>14852</v>
      </c>
      <c r="V2993" t="s">
        <v>15230</v>
      </c>
    </row>
    <row r="2994" spans="1:22" hidden="1">
      <c r="A2994" t="s">
        <v>15426</v>
      </c>
      <c r="B2994" t="s">
        <v>15441</v>
      </c>
      <c r="C2994" t="s">
        <v>15448</v>
      </c>
      <c r="D2994" t="s">
        <v>2989</v>
      </c>
      <c r="E2994" t="s">
        <v>3436</v>
      </c>
      <c r="F2994" t="s">
        <v>3449</v>
      </c>
      <c r="G2994" s="3">
        <v>37.073050083190097</v>
      </c>
      <c r="H2994" s="3">
        <v>127.96202964484399</v>
      </c>
      <c r="I2994" t="s">
        <v>6759</v>
      </c>
      <c r="J2994" t="s">
        <v>10115</v>
      </c>
      <c r="K2994" t="s">
        <v>10615</v>
      </c>
      <c r="L2994" t="s">
        <v>3366</v>
      </c>
      <c r="M2994" t="s">
        <v>11907</v>
      </c>
      <c r="N2994" t="s">
        <v>3365</v>
      </c>
      <c r="O2994" t="s">
        <v>3362</v>
      </c>
      <c r="P2994" t="s">
        <v>3362</v>
      </c>
      <c r="Q2994" t="s">
        <v>3365</v>
      </c>
      <c r="R2994" t="s">
        <v>15211</v>
      </c>
      <c r="S2994" t="s">
        <v>15211</v>
      </c>
      <c r="T2994" t="s">
        <v>3386</v>
      </c>
      <c r="U2994" t="s">
        <v>14853</v>
      </c>
      <c r="V2994" t="s">
        <v>15230</v>
      </c>
    </row>
    <row r="2995" spans="1:22" hidden="1">
      <c r="A2995" t="s">
        <v>15426</v>
      </c>
      <c r="B2995" t="s">
        <v>15441</v>
      </c>
      <c r="C2995" t="s">
        <v>15449</v>
      </c>
      <c r="D2995" t="s">
        <v>2990</v>
      </c>
      <c r="E2995" t="s">
        <v>3427</v>
      </c>
      <c r="F2995" t="s">
        <v>3430</v>
      </c>
      <c r="G2995" s="3">
        <v>37.073050020121201</v>
      </c>
      <c r="H2995" s="3">
        <v>127.96202965460699</v>
      </c>
      <c r="I2995" t="s">
        <v>6760</v>
      </c>
      <c r="J2995" t="s">
        <v>10116</v>
      </c>
      <c r="K2995" t="s">
        <v>11028</v>
      </c>
      <c r="L2995" t="s">
        <v>3366</v>
      </c>
      <c r="M2995" t="s">
        <v>11914</v>
      </c>
      <c r="N2995" t="s">
        <v>3364</v>
      </c>
      <c r="O2995" t="s">
        <v>3360</v>
      </c>
      <c r="P2995" t="s">
        <v>3362</v>
      </c>
      <c r="Q2995" t="s">
        <v>3365</v>
      </c>
      <c r="R2995" t="s">
        <v>15211</v>
      </c>
      <c r="S2995" t="s">
        <v>15211</v>
      </c>
      <c r="T2995" t="s">
        <v>3383</v>
      </c>
      <c r="U2995" t="s">
        <v>14854</v>
      </c>
      <c r="V2995" t="s">
        <v>15231</v>
      </c>
    </row>
    <row r="2996" spans="1:22" hidden="1">
      <c r="A2996" t="s">
        <v>15426</v>
      </c>
      <c r="B2996" t="s">
        <v>15441</v>
      </c>
      <c r="C2996" t="s">
        <v>15449</v>
      </c>
      <c r="D2996" t="s">
        <v>2991</v>
      </c>
      <c r="E2996" t="s">
        <v>3427</v>
      </c>
      <c r="F2996" t="s">
        <v>3430</v>
      </c>
      <c r="G2996" s="3">
        <v>37.0730500351534</v>
      </c>
      <c r="H2996" s="3">
        <v>127.962029667645</v>
      </c>
      <c r="I2996" t="s">
        <v>6761</v>
      </c>
      <c r="J2996" t="s">
        <v>10117</v>
      </c>
      <c r="K2996" t="s">
        <v>11028</v>
      </c>
      <c r="L2996" t="s">
        <v>3366</v>
      </c>
      <c r="M2996" t="s">
        <v>11914</v>
      </c>
      <c r="N2996" t="s">
        <v>3364</v>
      </c>
      <c r="O2996" t="s">
        <v>3360</v>
      </c>
      <c r="P2996" t="s">
        <v>3362</v>
      </c>
      <c r="Q2996" t="s">
        <v>3365</v>
      </c>
      <c r="R2996" t="s">
        <v>15211</v>
      </c>
      <c r="S2996" t="s">
        <v>15211</v>
      </c>
      <c r="T2996" t="s">
        <v>3383</v>
      </c>
      <c r="U2996" t="s">
        <v>14855</v>
      </c>
      <c r="V2996" t="s">
        <v>15231</v>
      </c>
    </row>
    <row r="2997" spans="1:22" hidden="1">
      <c r="A2997" t="s">
        <v>15426</v>
      </c>
      <c r="B2997" t="s">
        <v>15441</v>
      </c>
      <c r="C2997" t="s">
        <v>15449</v>
      </c>
      <c r="D2997" t="s">
        <v>2992</v>
      </c>
      <c r="E2997" t="s">
        <v>3427</v>
      </c>
      <c r="F2997" t="s">
        <v>3442</v>
      </c>
      <c r="G2997" s="3">
        <v>37.073050018469402</v>
      </c>
      <c r="H2997" s="3">
        <v>127.962029654593</v>
      </c>
      <c r="I2997" t="s">
        <v>6762</v>
      </c>
      <c r="J2997" t="s">
        <v>10118</v>
      </c>
      <c r="K2997" t="s">
        <v>10940</v>
      </c>
      <c r="L2997" t="s">
        <v>3366</v>
      </c>
      <c r="M2997" t="s">
        <v>11914</v>
      </c>
      <c r="N2997" t="s">
        <v>3364</v>
      </c>
      <c r="O2997" t="s">
        <v>3360</v>
      </c>
      <c r="P2997" t="s">
        <v>3362</v>
      </c>
      <c r="Q2997" t="s">
        <v>3365</v>
      </c>
      <c r="R2997" t="s">
        <v>15211</v>
      </c>
      <c r="S2997" t="s">
        <v>15211</v>
      </c>
      <c r="T2997" t="s">
        <v>3383</v>
      </c>
      <c r="U2997" t="s">
        <v>14856</v>
      </c>
      <c r="V2997" t="s">
        <v>15231</v>
      </c>
    </row>
    <row r="2998" spans="1:22" hidden="1">
      <c r="A2998" t="s">
        <v>15426</v>
      </c>
      <c r="B2998" t="s">
        <v>15442</v>
      </c>
      <c r="C2998" t="s">
        <v>15445</v>
      </c>
      <c r="D2998" t="s">
        <v>2993</v>
      </c>
      <c r="E2998" t="s">
        <v>3427</v>
      </c>
      <c r="F2998" t="s">
        <v>3435</v>
      </c>
      <c r="G2998" s="3">
        <v>37.073050092502697</v>
      </c>
      <c r="H2998" s="3">
        <v>127.96202981467</v>
      </c>
      <c r="I2998" t="s">
        <v>6763</v>
      </c>
      <c r="J2998" t="s">
        <v>10119</v>
      </c>
      <c r="K2998" t="s">
        <v>3604</v>
      </c>
      <c r="L2998" t="s">
        <v>3375</v>
      </c>
      <c r="M2998" t="s">
        <v>11895</v>
      </c>
      <c r="N2998" t="s">
        <v>3365</v>
      </c>
      <c r="O2998" t="s">
        <v>3362</v>
      </c>
      <c r="P2998" t="s">
        <v>15211</v>
      </c>
      <c r="Q2998" t="s">
        <v>15211</v>
      </c>
      <c r="R2998" t="s">
        <v>15211</v>
      </c>
      <c r="S2998" t="s">
        <v>15211</v>
      </c>
      <c r="T2998" t="s">
        <v>3371</v>
      </c>
      <c r="U2998" t="s">
        <v>14857</v>
      </c>
      <c r="V2998" t="s">
        <v>15233</v>
      </c>
    </row>
    <row r="2999" spans="1:22" hidden="1">
      <c r="A2999" t="s">
        <v>15426</v>
      </c>
      <c r="B2999" t="s">
        <v>15442</v>
      </c>
      <c r="C2999" t="s">
        <v>15445</v>
      </c>
      <c r="D2999" t="s">
        <v>2994</v>
      </c>
      <c r="E2999" t="s">
        <v>3428</v>
      </c>
      <c r="F2999" t="s">
        <v>3429</v>
      </c>
      <c r="G2999" s="3">
        <v>37.073050044623798</v>
      </c>
      <c r="H2999" s="3">
        <v>127.962029794214</v>
      </c>
      <c r="I2999" t="s">
        <v>6764</v>
      </c>
      <c r="J2999" t="s">
        <v>10120</v>
      </c>
      <c r="K2999" t="s">
        <v>10825</v>
      </c>
      <c r="L2999" t="s">
        <v>3366</v>
      </c>
      <c r="M2999" t="s">
        <v>11895</v>
      </c>
      <c r="N2999" t="s">
        <v>3365</v>
      </c>
      <c r="O2999" t="s">
        <v>3362</v>
      </c>
      <c r="P2999" t="s">
        <v>15211</v>
      </c>
      <c r="Q2999" t="s">
        <v>15211</v>
      </c>
      <c r="R2999" t="s">
        <v>15211</v>
      </c>
      <c r="S2999" t="s">
        <v>15211</v>
      </c>
      <c r="T2999" t="s">
        <v>3371</v>
      </c>
      <c r="U2999" t="s">
        <v>14858</v>
      </c>
      <c r="V2999" t="s">
        <v>15233</v>
      </c>
    </row>
    <row r="3000" spans="1:22" hidden="1">
      <c r="A3000" t="s">
        <v>15426</v>
      </c>
      <c r="B3000" t="s">
        <v>15442</v>
      </c>
      <c r="C3000" t="s">
        <v>15445</v>
      </c>
      <c r="D3000" t="s">
        <v>2995</v>
      </c>
      <c r="E3000" t="s">
        <v>3436</v>
      </c>
      <c r="F3000" t="s">
        <v>3430</v>
      </c>
      <c r="G3000" s="3">
        <v>37.0730500562792</v>
      </c>
      <c r="H3000" s="3">
        <v>127.962029780653</v>
      </c>
      <c r="I3000" t="s">
        <v>6765</v>
      </c>
      <c r="J3000" t="s">
        <v>10121</v>
      </c>
      <c r="K3000" t="s">
        <v>10825</v>
      </c>
      <c r="L3000" t="s">
        <v>3366</v>
      </c>
      <c r="M3000" t="s">
        <v>11895</v>
      </c>
      <c r="N3000" t="s">
        <v>3365</v>
      </c>
      <c r="O3000" t="s">
        <v>3362</v>
      </c>
      <c r="P3000" t="s">
        <v>15211</v>
      </c>
      <c r="Q3000" t="s">
        <v>15211</v>
      </c>
      <c r="R3000" t="s">
        <v>15211</v>
      </c>
      <c r="S3000" t="s">
        <v>15211</v>
      </c>
      <c r="T3000" t="s">
        <v>3371</v>
      </c>
      <c r="U3000" t="s">
        <v>14859</v>
      </c>
      <c r="V3000" t="s">
        <v>15233</v>
      </c>
    </row>
    <row r="3001" spans="1:22" hidden="1">
      <c r="A3001" t="s">
        <v>15426</v>
      </c>
      <c r="B3001" t="s">
        <v>15442</v>
      </c>
      <c r="C3001" t="s">
        <v>15451</v>
      </c>
      <c r="D3001" t="s">
        <v>2996</v>
      </c>
      <c r="E3001" t="s">
        <v>3438</v>
      </c>
      <c r="F3001" t="s">
        <v>3433</v>
      </c>
      <c r="G3001" s="3">
        <v>37.073050079081</v>
      </c>
      <c r="H3001" s="3">
        <v>127.962029653805</v>
      </c>
      <c r="I3001" t="s">
        <v>6766</v>
      </c>
      <c r="J3001" t="s">
        <v>10122</v>
      </c>
      <c r="K3001" t="s">
        <v>3657</v>
      </c>
      <c r="L3001" t="s">
        <v>3380</v>
      </c>
      <c r="M3001" t="s">
        <v>11910</v>
      </c>
      <c r="N3001" t="s">
        <v>3365</v>
      </c>
      <c r="O3001" t="s">
        <v>3362</v>
      </c>
      <c r="P3001" t="s">
        <v>3360</v>
      </c>
      <c r="Q3001" t="s">
        <v>3361</v>
      </c>
      <c r="R3001" t="s">
        <v>15211</v>
      </c>
      <c r="S3001" t="s">
        <v>15211</v>
      </c>
      <c r="T3001" t="s">
        <v>3380</v>
      </c>
      <c r="U3001" t="s">
        <v>14860</v>
      </c>
      <c r="V3001" t="s">
        <v>15234</v>
      </c>
    </row>
    <row r="3002" spans="1:22" hidden="1">
      <c r="A3002" t="s">
        <v>15426</v>
      </c>
      <c r="B3002" t="s">
        <v>15442</v>
      </c>
      <c r="C3002" t="s">
        <v>15451</v>
      </c>
      <c r="D3002" t="s">
        <v>2997</v>
      </c>
      <c r="E3002" t="s">
        <v>3438</v>
      </c>
      <c r="F3002" t="s">
        <v>3452</v>
      </c>
      <c r="G3002" s="3">
        <v>37.0730500430303</v>
      </c>
      <c r="H3002" s="3">
        <v>127.962029652974</v>
      </c>
      <c r="I3002" t="s">
        <v>6767</v>
      </c>
      <c r="J3002" t="s">
        <v>10123</v>
      </c>
      <c r="K3002" t="s">
        <v>11812</v>
      </c>
      <c r="L3002" t="s">
        <v>3366</v>
      </c>
      <c r="M3002" t="s">
        <v>11910</v>
      </c>
      <c r="N3002" t="s">
        <v>3365</v>
      </c>
      <c r="O3002" t="s">
        <v>3362</v>
      </c>
      <c r="P3002" t="s">
        <v>3362</v>
      </c>
      <c r="Q3002" t="s">
        <v>3363</v>
      </c>
      <c r="R3002" t="s">
        <v>15211</v>
      </c>
      <c r="S3002" t="s">
        <v>15211</v>
      </c>
      <c r="T3002" t="s">
        <v>3384</v>
      </c>
      <c r="U3002" t="s">
        <v>14861</v>
      </c>
      <c r="V3002" t="s">
        <v>15234</v>
      </c>
    </row>
    <row r="3003" spans="1:22" hidden="1">
      <c r="A3003" t="s">
        <v>15426</v>
      </c>
      <c r="B3003" t="s">
        <v>15442</v>
      </c>
      <c r="C3003" t="s">
        <v>15451</v>
      </c>
      <c r="D3003" t="s">
        <v>2998</v>
      </c>
      <c r="E3003" t="s">
        <v>3438</v>
      </c>
      <c r="F3003" t="s">
        <v>3461</v>
      </c>
      <c r="G3003" s="3">
        <v>37.073050013459898</v>
      </c>
      <c r="H3003" s="3">
        <v>127.962029641086</v>
      </c>
      <c r="I3003" t="s">
        <v>6768</v>
      </c>
      <c r="J3003" t="s">
        <v>10124</v>
      </c>
      <c r="K3003" t="s">
        <v>11812</v>
      </c>
      <c r="L3003" t="s">
        <v>3366</v>
      </c>
      <c r="M3003" t="s">
        <v>11910</v>
      </c>
      <c r="N3003" t="s">
        <v>3365</v>
      </c>
      <c r="O3003" t="s">
        <v>3362</v>
      </c>
      <c r="P3003" t="s">
        <v>3362</v>
      </c>
      <c r="Q3003" t="s">
        <v>3363</v>
      </c>
      <c r="R3003" t="s">
        <v>15211</v>
      </c>
      <c r="S3003" t="s">
        <v>15211</v>
      </c>
      <c r="T3003" t="s">
        <v>3384</v>
      </c>
      <c r="U3003" t="s">
        <v>14862</v>
      </c>
      <c r="V3003" t="s">
        <v>15234</v>
      </c>
    </row>
    <row r="3004" spans="1:22" hidden="1">
      <c r="A3004" t="s">
        <v>15412</v>
      </c>
      <c r="B3004" t="s">
        <v>15441</v>
      </c>
      <c r="C3004" t="s">
        <v>15445</v>
      </c>
      <c r="D3004" t="s">
        <v>2999</v>
      </c>
      <c r="E3004" t="s">
        <v>3427</v>
      </c>
      <c r="F3004" t="s">
        <v>3441</v>
      </c>
      <c r="G3004" s="3">
        <v>37.067019782175002</v>
      </c>
      <c r="H3004" s="3">
        <v>128.16568333280199</v>
      </c>
      <c r="I3004" t="s">
        <v>6769</v>
      </c>
      <c r="J3004" t="s">
        <v>10125</v>
      </c>
      <c r="K3004" t="s">
        <v>11577</v>
      </c>
      <c r="L3004" t="s">
        <v>3366</v>
      </c>
      <c r="M3004" t="s">
        <v>11886</v>
      </c>
      <c r="N3004" t="s">
        <v>3363</v>
      </c>
      <c r="O3004" t="s">
        <v>3360</v>
      </c>
      <c r="P3004" t="s">
        <v>15211</v>
      </c>
      <c r="Q3004" t="s">
        <v>15211</v>
      </c>
      <c r="R3004" t="s">
        <v>15211</v>
      </c>
      <c r="S3004" t="s">
        <v>15211</v>
      </c>
      <c r="T3004" t="s">
        <v>3367</v>
      </c>
      <c r="U3004" t="s">
        <v>14863</v>
      </c>
      <c r="V3004" t="s">
        <v>15228</v>
      </c>
    </row>
    <row r="3005" spans="1:22" hidden="1">
      <c r="A3005" t="s">
        <v>15412</v>
      </c>
      <c r="B3005" t="s">
        <v>15441</v>
      </c>
      <c r="C3005" t="s">
        <v>15445</v>
      </c>
      <c r="D3005" t="s">
        <v>3000</v>
      </c>
      <c r="E3005" t="s">
        <v>3427</v>
      </c>
      <c r="F3005" t="s">
        <v>3442</v>
      </c>
      <c r="G3005" s="3">
        <v>37.067019797727397</v>
      </c>
      <c r="H3005" s="3">
        <v>128.16568333685899</v>
      </c>
      <c r="I3005" t="s">
        <v>6770</v>
      </c>
      <c r="J3005" t="s">
        <v>10126</v>
      </c>
      <c r="K3005" t="s">
        <v>11813</v>
      </c>
      <c r="L3005" t="s">
        <v>3366</v>
      </c>
      <c r="M3005" t="s">
        <v>11886</v>
      </c>
      <c r="N3005" t="s">
        <v>3363</v>
      </c>
      <c r="O3005" t="s">
        <v>3360</v>
      </c>
      <c r="P3005" t="s">
        <v>15211</v>
      </c>
      <c r="Q3005" t="s">
        <v>15211</v>
      </c>
      <c r="R3005" t="s">
        <v>15211</v>
      </c>
      <c r="S3005" t="s">
        <v>15211</v>
      </c>
      <c r="T3005" t="s">
        <v>3367</v>
      </c>
      <c r="U3005" t="s">
        <v>14864</v>
      </c>
      <c r="V3005" t="s">
        <v>15228</v>
      </c>
    </row>
    <row r="3006" spans="1:22" hidden="1">
      <c r="A3006" t="s">
        <v>15412</v>
      </c>
      <c r="B3006" t="s">
        <v>15441</v>
      </c>
      <c r="C3006" t="s">
        <v>15445</v>
      </c>
      <c r="D3006" t="s">
        <v>3001</v>
      </c>
      <c r="E3006" t="s">
        <v>3427</v>
      </c>
      <c r="F3006" t="s">
        <v>3442</v>
      </c>
      <c r="G3006" s="3">
        <v>37.067019786916497</v>
      </c>
      <c r="H3006" s="3">
        <v>128.16568335863201</v>
      </c>
      <c r="I3006" t="s">
        <v>6771</v>
      </c>
      <c r="J3006" t="s">
        <v>10127</v>
      </c>
      <c r="K3006" t="s">
        <v>11628</v>
      </c>
      <c r="L3006" t="s">
        <v>3366</v>
      </c>
      <c r="M3006" t="s">
        <v>11886</v>
      </c>
      <c r="N3006" t="s">
        <v>3363</v>
      </c>
      <c r="O3006" t="s">
        <v>3360</v>
      </c>
      <c r="P3006" t="s">
        <v>15211</v>
      </c>
      <c r="Q3006" t="s">
        <v>15211</v>
      </c>
      <c r="R3006" t="s">
        <v>15211</v>
      </c>
      <c r="S3006" t="s">
        <v>15211</v>
      </c>
      <c r="T3006" t="s">
        <v>3367</v>
      </c>
      <c r="U3006" t="s">
        <v>14865</v>
      </c>
      <c r="V3006" t="s">
        <v>15228</v>
      </c>
    </row>
    <row r="3007" spans="1:22" hidden="1">
      <c r="A3007" t="s">
        <v>15412</v>
      </c>
      <c r="B3007" t="s">
        <v>15441</v>
      </c>
      <c r="C3007" t="s">
        <v>15446</v>
      </c>
      <c r="D3007" t="s">
        <v>3002</v>
      </c>
      <c r="E3007" t="s">
        <v>3435</v>
      </c>
      <c r="F3007" t="s">
        <v>3462</v>
      </c>
      <c r="G3007" s="3">
        <v>37.0670198642215</v>
      </c>
      <c r="H3007" s="3">
        <v>128.16568321474301</v>
      </c>
      <c r="I3007" t="s">
        <v>6772</v>
      </c>
      <c r="J3007" t="s">
        <v>10128</v>
      </c>
      <c r="K3007" t="s">
        <v>11768</v>
      </c>
      <c r="L3007" t="s">
        <v>3376</v>
      </c>
      <c r="M3007" t="s">
        <v>11886</v>
      </c>
      <c r="N3007" t="s">
        <v>3363</v>
      </c>
      <c r="O3007" t="s">
        <v>3360</v>
      </c>
      <c r="P3007" t="s">
        <v>15211</v>
      </c>
      <c r="Q3007" t="s">
        <v>15211</v>
      </c>
      <c r="R3007" t="s">
        <v>15211</v>
      </c>
      <c r="S3007" t="s">
        <v>15211</v>
      </c>
      <c r="T3007" t="s">
        <v>3367</v>
      </c>
      <c r="U3007" t="s">
        <v>14866</v>
      </c>
      <c r="V3007" t="s">
        <v>15229</v>
      </c>
    </row>
    <row r="3008" spans="1:22" hidden="1">
      <c r="A3008" t="s">
        <v>15412</v>
      </c>
      <c r="B3008" t="s">
        <v>15441</v>
      </c>
      <c r="C3008" t="s">
        <v>15446</v>
      </c>
      <c r="D3008" t="s">
        <v>3003</v>
      </c>
      <c r="E3008" t="s">
        <v>3434</v>
      </c>
      <c r="F3008" t="s">
        <v>3461</v>
      </c>
      <c r="G3008" s="3">
        <v>37.067019896626597</v>
      </c>
      <c r="H3008" s="3">
        <v>128.165683210818</v>
      </c>
      <c r="I3008" t="s">
        <v>6773</v>
      </c>
      <c r="J3008" t="s">
        <v>10129</v>
      </c>
      <c r="K3008" t="s">
        <v>11814</v>
      </c>
      <c r="L3008" t="s">
        <v>3366</v>
      </c>
      <c r="M3008" t="s">
        <v>11886</v>
      </c>
      <c r="N3008" t="s">
        <v>3363</v>
      </c>
      <c r="O3008" t="s">
        <v>3360</v>
      </c>
      <c r="P3008" t="s">
        <v>15211</v>
      </c>
      <c r="Q3008" t="s">
        <v>15211</v>
      </c>
      <c r="R3008" t="s">
        <v>15211</v>
      </c>
      <c r="S3008" t="s">
        <v>15211</v>
      </c>
      <c r="T3008" t="s">
        <v>3367</v>
      </c>
      <c r="U3008" t="s">
        <v>14867</v>
      </c>
      <c r="V3008" t="s">
        <v>15229</v>
      </c>
    </row>
    <row r="3009" spans="1:22" hidden="1">
      <c r="A3009" t="s">
        <v>15412</v>
      </c>
      <c r="B3009" t="s">
        <v>15441</v>
      </c>
      <c r="C3009" t="s">
        <v>15446</v>
      </c>
      <c r="D3009" t="s">
        <v>3004</v>
      </c>
      <c r="E3009" t="s">
        <v>3431</v>
      </c>
      <c r="F3009" t="s">
        <v>3461</v>
      </c>
      <c r="G3009" s="3">
        <v>37.067019872034003</v>
      </c>
      <c r="H3009" s="3">
        <v>128.16568321961299</v>
      </c>
      <c r="I3009" t="s">
        <v>6774</v>
      </c>
      <c r="J3009" t="s">
        <v>10130</v>
      </c>
      <c r="K3009" t="s">
        <v>11815</v>
      </c>
      <c r="L3009" t="s">
        <v>3366</v>
      </c>
      <c r="M3009" t="s">
        <v>11886</v>
      </c>
      <c r="N3009" t="s">
        <v>3363</v>
      </c>
      <c r="O3009" t="s">
        <v>3360</v>
      </c>
      <c r="P3009" t="s">
        <v>15211</v>
      </c>
      <c r="Q3009" t="s">
        <v>15211</v>
      </c>
      <c r="R3009" t="s">
        <v>15211</v>
      </c>
      <c r="S3009" t="s">
        <v>15211</v>
      </c>
      <c r="T3009" t="s">
        <v>3367</v>
      </c>
      <c r="U3009" t="s">
        <v>14868</v>
      </c>
      <c r="V3009" t="s">
        <v>15229</v>
      </c>
    </row>
    <row r="3010" spans="1:22" hidden="1">
      <c r="A3010" t="s">
        <v>15412</v>
      </c>
      <c r="B3010" t="s">
        <v>15441</v>
      </c>
      <c r="C3010" t="s">
        <v>15448</v>
      </c>
      <c r="D3010" t="s">
        <v>3005</v>
      </c>
      <c r="E3010" t="s">
        <v>3436</v>
      </c>
      <c r="F3010" t="s">
        <v>3540</v>
      </c>
      <c r="G3010" s="3">
        <v>37.067019848888798</v>
      </c>
      <c r="H3010" s="3">
        <v>128.16568333056199</v>
      </c>
      <c r="I3010" t="s">
        <v>6775</v>
      </c>
      <c r="J3010" t="s">
        <v>10131</v>
      </c>
      <c r="K3010" t="s">
        <v>11583</v>
      </c>
      <c r="L3010" t="s">
        <v>3378</v>
      </c>
      <c r="M3010" t="s">
        <v>11914</v>
      </c>
      <c r="N3010" t="s">
        <v>3363</v>
      </c>
      <c r="O3010" t="s">
        <v>3360</v>
      </c>
      <c r="P3010" t="s">
        <v>3361</v>
      </c>
      <c r="Q3010" t="s">
        <v>3364</v>
      </c>
      <c r="R3010" t="s">
        <v>15211</v>
      </c>
      <c r="S3010" t="s">
        <v>15211</v>
      </c>
      <c r="T3010" t="s">
        <v>3380</v>
      </c>
      <c r="U3010" t="s">
        <v>14869</v>
      </c>
      <c r="V3010" t="s">
        <v>15230</v>
      </c>
    </row>
    <row r="3011" spans="1:22" hidden="1">
      <c r="A3011" t="s">
        <v>15412</v>
      </c>
      <c r="B3011" t="s">
        <v>15441</v>
      </c>
      <c r="C3011" t="s">
        <v>15448</v>
      </c>
      <c r="D3011" t="s">
        <v>3006</v>
      </c>
      <c r="E3011" t="s">
        <v>3428</v>
      </c>
      <c r="F3011" t="s">
        <v>3611</v>
      </c>
      <c r="G3011" s="3">
        <v>37.067019866125896</v>
      </c>
      <c r="H3011" s="3">
        <v>128.16568335645999</v>
      </c>
      <c r="I3011" t="s">
        <v>6776</v>
      </c>
      <c r="J3011" t="s">
        <v>10132</v>
      </c>
      <c r="K3011" t="s">
        <v>11314</v>
      </c>
      <c r="L3011" t="s">
        <v>3366</v>
      </c>
      <c r="M3011" t="s">
        <v>11910</v>
      </c>
      <c r="N3011" t="s">
        <v>3363</v>
      </c>
      <c r="O3011" t="s">
        <v>3361</v>
      </c>
      <c r="P3011" t="s">
        <v>3362</v>
      </c>
      <c r="Q3011" t="s">
        <v>3366</v>
      </c>
      <c r="R3011" t="s">
        <v>15211</v>
      </c>
      <c r="S3011" t="s">
        <v>15211</v>
      </c>
      <c r="T3011" t="s">
        <v>3384</v>
      </c>
      <c r="U3011" t="s">
        <v>14870</v>
      </c>
      <c r="V3011" t="s">
        <v>15230</v>
      </c>
    </row>
    <row r="3012" spans="1:22" hidden="1">
      <c r="A3012" t="s">
        <v>15412</v>
      </c>
      <c r="B3012" t="s">
        <v>15441</v>
      </c>
      <c r="C3012" t="s">
        <v>15448</v>
      </c>
      <c r="D3012" t="s">
        <v>3007</v>
      </c>
      <c r="E3012" t="s">
        <v>3428</v>
      </c>
      <c r="F3012" t="s">
        <v>3467</v>
      </c>
      <c r="G3012" s="3">
        <v>37.067019880625999</v>
      </c>
      <c r="H3012" s="3">
        <v>128.16568333886099</v>
      </c>
      <c r="I3012" t="s">
        <v>6777</v>
      </c>
      <c r="J3012" t="s">
        <v>5833</v>
      </c>
      <c r="K3012" t="s">
        <v>11816</v>
      </c>
      <c r="L3012" t="s">
        <v>3366</v>
      </c>
      <c r="M3012" t="s">
        <v>11914</v>
      </c>
      <c r="N3012" t="s">
        <v>3363</v>
      </c>
      <c r="O3012" t="s">
        <v>3361</v>
      </c>
      <c r="P3012" t="s">
        <v>3362</v>
      </c>
      <c r="Q3012" t="s">
        <v>3365</v>
      </c>
      <c r="R3012" t="s">
        <v>15211</v>
      </c>
      <c r="S3012" t="s">
        <v>15211</v>
      </c>
      <c r="T3012" t="s">
        <v>3383</v>
      </c>
      <c r="U3012" t="s">
        <v>14871</v>
      </c>
      <c r="V3012" t="s">
        <v>15230</v>
      </c>
    </row>
    <row r="3013" spans="1:22" hidden="1">
      <c r="A3013" t="s">
        <v>15412</v>
      </c>
      <c r="B3013" t="s">
        <v>15441</v>
      </c>
      <c r="C3013" t="s">
        <v>15449</v>
      </c>
      <c r="D3013" t="s">
        <v>3008</v>
      </c>
      <c r="E3013" t="s">
        <v>3439</v>
      </c>
      <c r="F3013" t="s">
        <v>3425</v>
      </c>
      <c r="G3013" s="3">
        <v>37.067019782209798</v>
      </c>
      <c r="H3013" s="3">
        <v>128.165683354165</v>
      </c>
      <c r="I3013" t="s">
        <v>6778</v>
      </c>
      <c r="J3013" t="s">
        <v>10133</v>
      </c>
      <c r="K3013" t="s">
        <v>10666</v>
      </c>
      <c r="L3013" t="s">
        <v>3366</v>
      </c>
      <c r="M3013" t="s">
        <v>11912</v>
      </c>
      <c r="N3013" t="s">
        <v>3363</v>
      </c>
      <c r="O3013" t="s">
        <v>3360</v>
      </c>
      <c r="P3013" t="s">
        <v>3362</v>
      </c>
      <c r="Q3013" t="s">
        <v>3365</v>
      </c>
      <c r="R3013" t="s">
        <v>15211</v>
      </c>
      <c r="S3013" t="s">
        <v>15211</v>
      </c>
      <c r="T3013" t="s">
        <v>3382</v>
      </c>
      <c r="U3013" t="s">
        <v>14872</v>
      </c>
      <c r="V3013" t="s">
        <v>15231</v>
      </c>
    </row>
    <row r="3014" spans="1:22" hidden="1">
      <c r="A3014" t="s">
        <v>15412</v>
      </c>
      <c r="B3014" t="s">
        <v>15441</v>
      </c>
      <c r="C3014" t="s">
        <v>15449</v>
      </c>
      <c r="D3014" t="s">
        <v>3009</v>
      </c>
      <c r="E3014" t="s">
        <v>3439</v>
      </c>
      <c r="F3014" t="s">
        <v>3425</v>
      </c>
      <c r="G3014" s="3">
        <v>37.067019790801602</v>
      </c>
      <c r="H3014" s="3">
        <v>128.16568333491799</v>
      </c>
      <c r="I3014" t="s">
        <v>6779</v>
      </c>
      <c r="J3014" t="s">
        <v>10134</v>
      </c>
      <c r="K3014" t="s">
        <v>11524</v>
      </c>
      <c r="L3014" t="s">
        <v>3366</v>
      </c>
      <c r="M3014" t="s">
        <v>11912</v>
      </c>
      <c r="N3014" t="s">
        <v>3363</v>
      </c>
      <c r="O3014" t="s">
        <v>3360</v>
      </c>
      <c r="P3014" t="s">
        <v>3361</v>
      </c>
      <c r="Q3014" t="s">
        <v>3365</v>
      </c>
      <c r="R3014" t="s">
        <v>15211</v>
      </c>
      <c r="S3014" t="s">
        <v>15211</v>
      </c>
      <c r="T3014" t="s">
        <v>3381</v>
      </c>
      <c r="U3014" t="s">
        <v>14873</v>
      </c>
      <c r="V3014" t="s">
        <v>15231</v>
      </c>
    </row>
    <row r="3015" spans="1:22" hidden="1">
      <c r="A3015" t="s">
        <v>15412</v>
      </c>
      <c r="B3015" t="s">
        <v>15442</v>
      </c>
      <c r="C3015" t="s">
        <v>15450</v>
      </c>
      <c r="D3015" t="s">
        <v>3010</v>
      </c>
      <c r="E3015" t="s">
        <v>3436</v>
      </c>
      <c r="F3015" t="s">
        <v>3432</v>
      </c>
      <c r="G3015" s="3">
        <v>37.067019471844198</v>
      </c>
      <c r="H3015" s="3">
        <v>128.165683292056</v>
      </c>
      <c r="I3015" t="s">
        <v>6780</v>
      </c>
      <c r="J3015" t="s">
        <v>10135</v>
      </c>
      <c r="K3015" t="s">
        <v>11817</v>
      </c>
      <c r="L3015" t="s">
        <v>3366</v>
      </c>
      <c r="M3015" t="s">
        <v>11885</v>
      </c>
      <c r="N3015" t="s">
        <v>3363</v>
      </c>
      <c r="O3015" t="s">
        <v>3361</v>
      </c>
      <c r="P3015" t="s">
        <v>15211</v>
      </c>
      <c r="Q3015" t="s">
        <v>15211</v>
      </c>
      <c r="R3015" t="s">
        <v>15211</v>
      </c>
      <c r="S3015" t="s">
        <v>15211</v>
      </c>
      <c r="T3015" t="s">
        <v>3368</v>
      </c>
      <c r="U3015" t="s">
        <v>14874</v>
      </c>
      <c r="V3015" t="s">
        <v>15232</v>
      </c>
    </row>
    <row r="3016" spans="1:22" hidden="1">
      <c r="A3016" t="s">
        <v>15412</v>
      </c>
      <c r="B3016" t="s">
        <v>15442</v>
      </c>
      <c r="C3016" t="s">
        <v>15450</v>
      </c>
      <c r="D3016" t="s">
        <v>3011</v>
      </c>
      <c r="E3016" t="s">
        <v>3425</v>
      </c>
      <c r="F3016" t="s">
        <v>3462</v>
      </c>
      <c r="G3016" s="3">
        <v>37.067019500994597</v>
      </c>
      <c r="H3016" s="3">
        <v>128.165683276842</v>
      </c>
      <c r="I3016" t="s">
        <v>6781</v>
      </c>
      <c r="J3016" t="s">
        <v>10136</v>
      </c>
      <c r="K3016" t="s">
        <v>11385</v>
      </c>
      <c r="L3016" t="s">
        <v>3366</v>
      </c>
      <c r="M3016" t="s">
        <v>11885</v>
      </c>
      <c r="N3016" t="s">
        <v>3363</v>
      </c>
      <c r="O3016" t="s">
        <v>3361</v>
      </c>
      <c r="P3016" t="s">
        <v>15211</v>
      </c>
      <c r="Q3016" t="s">
        <v>15211</v>
      </c>
      <c r="R3016" t="s">
        <v>15211</v>
      </c>
      <c r="S3016" t="s">
        <v>15211</v>
      </c>
      <c r="T3016" t="s">
        <v>3368</v>
      </c>
      <c r="U3016" t="s">
        <v>14875</v>
      </c>
      <c r="V3016" t="s">
        <v>15232</v>
      </c>
    </row>
    <row r="3017" spans="1:22" hidden="1">
      <c r="A3017" t="s">
        <v>15412</v>
      </c>
      <c r="B3017" t="s">
        <v>15442</v>
      </c>
      <c r="C3017" t="s">
        <v>15450</v>
      </c>
      <c r="D3017" t="s">
        <v>3012</v>
      </c>
      <c r="E3017" t="s">
        <v>3425</v>
      </c>
      <c r="F3017" t="s">
        <v>3461</v>
      </c>
      <c r="G3017" s="3">
        <v>37.067019527016697</v>
      </c>
      <c r="H3017" s="3">
        <v>128.165683306848</v>
      </c>
      <c r="I3017" t="s">
        <v>6782</v>
      </c>
      <c r="J3017" t="s">
        <v>10137</v>
      </c>
      <c r="K3017" t="s">
        <v>10964</v>
      </c>
      <c r="L3017" t="s">
        <v>3366</v>
      </c>
      <c r="M3017" t="s">
        <v>11885</v>
      </c>
      <c r="N3017" t="s">
        <v>3363</v>
      </c>
      <c r="O3017" t="s">
        <v>3361</v>
      </c>
      <c r="P3017" t="s">
        <v>15211</v>
      </c>
      <c r="Q3017" t="s">
        <v>15211</v>
      </c>
      <c r="R3017" t="s">
        <v>15211</v>
      </c>
      <c r="S3017" t="s">
        <v>15211</v>
      </c>
      <c r="T3017" t="s">
        <v>3368</v>
      </c>
      <c r="U3017" t="s">
        <v>14876</v>
      </c>
      <c r="V3017" t="s">
        <v>15232</v>
      </c>
    </row>
    <row r="3018" spans="1:22" hidden="1">
      <c r="A3018" t="s">
        <v>15412</v>
      </c>
      <c r="B3018" t="s">
        <v>15442</v>
      </c>
      <c r="C3018" t="s">
        <v>15445</v>
      </c>
      <c r="D3018" t="s">
        <v>3013</v>
      </c>
      <c r="E3018" t="s">
        <v>3429</v>
      </c>
      <c r="F3018" t="s">
        <v>3441</v>
      </c>
      <c r="G3018" s="3">
        <v>37.067019671605699</v>
      </c>
      <c r="H3018" s="3">
        <v>128.165683321503</v>
      </c>
      <c r="I3018" t="s">
        <v>6783</v>
      </c>
      <c r="J3018" t="s">
        <v>10138</v>
      </c>
      <c r="K3018" t="s">
        <v>10662</v>
      </c>
      <c r="L3018" t="s">
        <v>3387</v>
      </c>
      <c r="M3018" t="s">
        <v>11890</v>
      </c>
      <c r="N3018" t="s">
        <v>3364</v>
      </c>
      <c r="O3018" t="s">
        <v>3361</v>
      </c>
      <c r="P3018" t="s">
        <v>15211</v>
      </c>
      <c r="Q3018" t="s">
        <v>15211</v>
      </c>
      <c r="R3018" t="s">
        <v>15211</v>
      </c>
      <c r="S3018" t="s">
        <v>15211</v>
      </c>
      <c r="T3018" t="s">
        <v>3369</v>
      </c>
      <c r="U3018" t="s">
        <v>14877</v>
      </c>
      <c r="V3018" t="s">
        <v>15233</v>
      </c>
    </row>
    <row r="3019" spans="1:22" hidden="1">
      <c r="A3019" t="s">
        <v>15412</v>
      </c>
      <c r="B3019" t="s">
        <v>15442</v>
      </c>
      <c r="C3019" t="s">
        <v>15445</v>
      </c>
      <c r="D3019" t="s">
        <v>3014</v>
      </c>
      <c r="E3019" t="s">
        <v>3441</v>
      </c>
      <c r="F3019" t="s">
        <v>3432</v>
      </c>
      <c r="G3019" s="3">
        <v>37.067019662502801</v>
      </c>
      <c r="H3019" s="3">
        <v>128.165683282267</v>
      </c>
      <c r="I3019" t="s">
        <v>6784</v>
      </c>
      <c r="J3019" t="s">
        <v>10139</v>
      </c>
      <c r="K3019" t="s">
        <v>10662</v>
      </c>
      <c r="L3019" t="s">
        <v>3374</v>
      </c>
      <c r="M3019" t="s">
        <v>11890</v>
      </c>
      <c r="N3019" t="s">
        <v>3364</v>
      </c>
      <c r="O3019" t="s">
        <v>3361</v>
      </c>
      <c r="P3019" t="s">
        <v>15211</v>
      </c>
      <c r="Q3019" t="s">
        <v>15211</v>
      </c>
      <c r="R3019" t="s">
        <v>15211</v>
      </c>
      <c r="S3019" t="s">
        <v>15211</v>
      </c>
      <c r="T3019" t="s">
        <v>3369</v>
      </c>
      <c r="U3019" t="s">
        <v>14878</v>
      </c>
      <c r="V3019" t="s">
        <v>15233</v>
      </c>
    </row>
    <row r="3020" spans="1:22" hidden="1">
      <c r="A3020" t="s">
        <v>15412</v>
      </c>
      <c r="B3020" t="s">
        <v>15442</v>
      </c>
      <c r="C3020" t="s">
        <v>15445</v>
      </c>
      <c r="D3020" t="s">
        <v>3015</v>
      </c>
      <c r="E3020" t="s">
        <v>3436</v>
      </c>
      <c r="F3020" t="s">
        <v>3429</v>
      </c>
      <c r="G3020" s="3">
        <v>37.067019653014697</v>
      </c>
      <c r="H3020" s="3">
        <v>128.165683282803</v>
      </c>
      <c r="I3020" t="s">
        <v>6785</v>
      </c>
      <c r="J3020" t="s">
        <v>10140</v>
      </c>
      <c r="K3020" t="s">
        <v>10662</v>
      </c>
      <c r="L3020" t="s">
        <v>3366</v>
      </c>
      <c r="M3020" t="s">
        <v>11890</v>
      </c>
      <c r="N3020" t="s">
        <v>3364</v>
      </c>
      <c r="O3020" t="s">
        <v>3361</v>
      </c>
      <c r="P3020" t="s">
        <v>15211</v>
      </c>
      <c r="Q3020" t="s">
        <v>15211</v>
      </c>
      <c r="R3020" t="s">
        <v>15211</v>
      </c>
      <c r="S3020" t="s">
        <v>15211</v>
      </c>
      <c r="T3020" t="s">
        <v>3369</v>
      </c>
      <c r="U3020" t="s">
        <v>14879</v>
      </c>
      <c r="V3020" t="s">
        <v>15233</v>
      </c>
    </row>
    <row r="3021" spans="1:22" hidden="1">
      <c r="A3021" t="s">
        <v>15412</v>
      </c>
      <c r="B3021" t="s">
        <v>15442</v>
      </c>
      <c r="C3021" t="s">
        <v>15451</v>
      </c>
      <c r="D3021" t="s">
        <v>3016</v>
      </c>
      <c r="E3021" t="s">
        <v>3437</v>
      </c>
      <c r="F3021" t="s">
        <v>3431</v>
      </c>
      <c r="G3021" s="3">
        <v>37.067019691445999</v>
      </c>
      <c r="H3021" s="3">
        <v>128.16568342916599</v>
      </c>
      <c r="I3021" t="s">
        <v>6786</v>
      </c>
      <c r="J3021" t="s">
        <v>10141</v>
      </c>
      <c r="K3021" t="s">
        <v>11154</v>
      </c>
      <c r="L3021" t="s">
        <v>3367</v>
      </c>
      <c r="M3021" t="s">
        <v>11914</v>
      </c>
      <c r="N3021" t="s">
        <v>3364</v>
      </c>
      <c r="O3021" t="s">
        <v>3361</v>
      </c>
      <c r="P3021" t="s">
        <v>3360</v>
      </c>
      <c r="Q3021" t="s">
        <v>3361</v>
      </c>
      <c r="R3021" t="s">
        <v>15211</v>
      </c>
      <c r="S3021" t="s">
        <v>15211</v>
      </c>
      <c r="T3021" t="s">
        <v>3378</v>
      </c>
      <c r="U3021" t="s">
        <v>14880</v>
      </c>
      <c r="V3021" t="s">
        <v>15234</v>
      </c>
    </row>
    <row r="3022" spans="1:22" hidden="1">
      <c r="A3022" t="s">
        <v>15412</v>
      </c>
      <c r="B3022" t="s">
        <v>15442</v>
      </c>
      <c r="C3022" t="s">
        <v>15451</v>
      </c>
      <c r="D3022" t="s">
        <v>3017</v>
      </c>
      <c r="E3022" t="s">
        <v>3437</v>
      </c>
      <c r="F3022" t="s">
        <v>3434</v>
      </c>
      <c r="G3022" s="3">
        <v>37.0670197167425</v>
      </c>
      <c r="H3022" s="3">
        <v>128.16568343224199</v>
      </c>
      <c r="I3022" t="s">
        <v>6787</v>
      </c>
      <c r="J3022" t="s">
        <v>10142</v>
      </c>
      <c r="K3022" t="s">
        <v>11154</v>
      </c>
      <c r="L3022" t="s">
        <v>3366</v>
      </c>
      <c r="M3022" t="s">
        <v>11914</v>
      </c>
      <c r="N3022" t="s">
        <v>3364</v>
      </c>
      <c r="O3022" t="s">
        <v>3361</v>
      </c>
      <c r="P3022" t="s">
        <v>3362</v>
      </c>
      <c r="Q3022" t="s">
        <v>3364</v>
      </c>
      <c r="R3022" t="s">
        <v>15211</v>
      </c>
      <c r="S3022" t="s">
        <v>15211</v>
      </c>
      <c r="T3022" t="s">
        <v>3383</v>
      </c>
      <c r="U3022" t="s">
        <v>14881</v>
      </c>
      <c r="V3022" t="s">
        <v>15234</v>
      </c>
    </row>
    <row r="3023" spans="1:22" hidden="1">
      <c r="A3023" t="s">
        <v>15412</v>
      </c>
      <c r="B3023" t="s">
        <v>15442</v>
      </c>
      <c r="C3023" t="s">
        <v>15451</v>
      </c>
      <c r="D3023" t="s">
        <v>3018</v>
      </c>
      <c r="E3023" t="s">
        <v>3437</v>
      </c>
      <c r="F3023" t="s">
        <v>3434</v>
      </c>
      <c r="G3023" s="3">
        <v>37.067019731412003</v>
      </c>
      <c r="H3023" s="3">
        <v>128.16568343810999</v>
      </c>
      <c r="I3023" t="s">
        <v>6788</v>
      </c>
      <c r="J3023" t="s">
        <v>10143</v>
      </c>
      <c r="K3023" t="s">
        <v>11154</v>
      </c>
      <c r="L3023" t="s">
        <v>3366</v>
      </c>
      <c r="M3023" t="s">
        <v>11914</v>
      </c>
      <c r="N3023" t="s">
        <v>3364</v>
      </c>
      <c r="O3023" t="s">
        <v>3361</v>
      </c>
      <c r="P3023" t="s">
        <v>3361</v>
      </c>
      <c r="Q3023" t="s">
        <v>3364</v>
      </c>
      <c r="R3023" t="s">
        <v>15211</v>
      </c>
      <c r="S3023" t="s">
        <v>15211</v>
      </c>
      <c r="T3023" t="s">
        <v>3382</v>
      </c>
      <c r="U3023" t="s">
        <v>14882</v>
      </c>
      <c r="V3023" t="s">
        <v>15234</v>
      </c>
    </row>
    <row r="3024" spans="1:22" hidden="1">
      <c r="A3024" t="s">
        <v>15299</v>
      </c>
      <c r="B3024" t="s">
        <v>15441</v>
      </c>
      <c r="C3024" t="s">
        <v>15445</v>
      </c>
      <c r="D3024" t="s">
        <v>3019</v>
      </c>
      <c r="E3024" t="s">
        <v>3434</v>
      </c>
      <c r="F3024" t="s">
        <v>3433</v>
      </c>
      <c r="G3024" s="3">
        <v>37.617474943568098</v>
      </c>
      <c r="H3024" s="3">
        <v>128.99160925982301</v>
      </c>
      <c r="I3024" t="s">
        <v>6789</v>
      </c>
      <c r="J3024" t="s">
        <v>10144</v>
      </c>
      <c r="K3024" t="s">
        <v>11818</v>
      </c>
      <c r="L3024" t="s">
        <v>3366</v>
      </c>
      <c r="M3024" t="s">
        <v>11894</v>
      </c>
      <c r="N3024" t="s">
        <v>3365</v>
      </c>
      <c r="O3024" t="s">
        <v>3361</v>
      </c>
      <c r="P3024" t="s">
        <v>15211</v>
      </c>
      <c r="Q3024" t="s">
        <v>15211</v>
      </c>
      <c r="R3024" t="s">
        <v>15211</v>
      </c>
      <c r="S3024" t="s">
        <v>15211</v>
      </c>
      <c r="T3024" t="s">
        <v>3370</v>
      </c>
      <c r="U3024" t="s">
        <v>14883</v>
      </c>
      <c r="V3024" t="s">
        <v>15228</v>
      </c>
    </row>
    <row r="3025" spans="1:22" hidden="1">
      <c r="A3025" t="s">
        <v>15299</v>
      </c>
      <c r="B3025" t="s">
        <v>15441</v>
      </c>
      <c r="C3025" t="s">
        <v>15445</v>
      </c>
      <c r="D3025" t="s">
        <v>3020</v>
      </c>
      <c r="E3025" t="s">
        <v>3431</v>
      </c>
      <c r="F3025" t="s">
        <v>3433</v>
      </c>
      <c r="G3025" s="3">
        <v>37.617474928037701</v>
      </c>
      <c r="H3025" s="3">
        <v>128.991609286456</v>
      </c>
      <c r="I3025" t="s">
        <v>6790</v>
      </c>
      <c r="J3025" t="s">
        <v>10145</v>
      </c>
      <c r="K3025" t="s">
        <v>11819</v>
      </c>
      <c r="L3025" t="s">
        <v>3366</v>
      </c>
      <c r="M3025" t="s">
        <v>11890</v>
      </c>
      <c r="N3025" t="s">
        <v>3364</v>
      </c>
      <c r="O3025" t="s">
        <v>3361</v>
      </c>
      <c r="P3025" t="s">
        <v>15211</v>
      </c>
      <c r="Q3025" t="s">
        <v>15211</v>
      </c>
      <c r="R3025" t="s">
        <v>15211</v>
      </c>
      <c r="S3025" t="s">
        <v>15211</v>
      </c>
      <c r="T3025" t="s">
        <v>3369</v>
      </c>
      <c r="U3025" t="s">
        <v>14884</v>
      </c>
      <c r="V3025" t="s">
        <v>15228</v>
      </c>
    </row>
    <row r="3026" spans="1:22" hidden="1">
      <c r="A3026" t="s">
        <v>15299</v>
      </c>
      <c r="B3026" t="s">
        <v>15441</v>
      </c>
      <c r="C3026" t="s">
        <v>15445</v>
      </c>
      <c r="D3026" t="s">
        <v>3021</v>
      </c>
      <c r="E3026" t="s">
        <v>3431</v>
      </c>
      <c r="F3026" t="s">
        <v>3433</v>
      </c>
      <c r="G3026" s="3">
        <v>37.617474922969897</v>
      </c>
      <c r="H3026" s="3">
        <v>128.99160929211999</v>
      </c>
      <c r="I3026" t="s">
        <v>6791</v>
      </c>
      <c r="J3026" t="s">
        <v>10146</v>
      </c>
      <c r="K3026" t="s">
        <v>11820</v>
      </c>
      <c r="L3026" t="s">
        <v>3366</v>
      </c>
      <c r="M3026" t="s">
        <v>11890</v>
      </c>
      <c r="N3026" t="s">
        <v>3364</v>
      </c>
      <c r="O3026" t="s">
        <v>3361</v>
      </c>
      <c r="P3026" t="s">
        <v>15211</v>
      </c>
      <c r="Q3026" t="s">
        <v>15211</v>
      </c>
      <c r="R3026" t="s">
        <v>15211</v>
      </c>
      <c r="S3026" t="s">
        <v>15211</v>
      </c>
      <c r="T3026" t="s">
        <v>3369</v>
      </c>
      <c r="U3026" t="s">
        <v>14885</v>
      </c>
      <c r="V3026" t="s">
        <v>15228</v>
      </c>
    </row>
    <row r="3027" spans="1:22" hidden="1">
      <c r="A3027" t="s">
        <v>15299</v>
      </c>
      <c r="B3027" t="s">
        <v>15441</v>
      </c>
      <c r="C3027" t="s">
        <v>15446</v>
      </c>
      <c r="D3027" t="s">
        <v>3022</v>
      </c>
      <c r="E3027" t="s">
        <v>3453</v>
      </c>
      <c r="F3027" t="s">
        <v>3463</v>
      </c>
      <c r="G3027" s="3">
        <v>37.617474940810801</v>
      </c>
      <c r="H3027" s="3">
        <v>128.991609345976</v>
      </c>
      <c r="I3027" t="s">
        <v>6792</v>
      </c>
      <c r="J3027" t="s">
        <v>10147</v>
      </c>
      <c r="K3027" t="s">
        <v>11821</v>
      </c>
      <c r="L3027" t="s">
        <v>3377</v>
      </c>
      <c r="M3027" t="s">
        <v>11890</v>
      </c>
      <c r="N3027" t="s">
        <v>3364</v>
      </c>
      <c r="O3027" t="s">
        <v>3361</v>
      </c>
      <c r="P3027" t="s">
        <v>15211</v>
      </c>
      <c r="Q3027" t="s">
        <v>15211</v>
      </c>
      <c r="R3027" t="s">
        <v>15211</v>
      </c>
      <c r="S3027" t="s">
        <v>15211</v>
      </c>
      <c r="T3027" t="s">
        <v>3369</v>
      </c>
      <c r="U3027" t="s">
        <v>14886</v>
      </c>
      <c r="V3027" t="s">
        <v>15229</v>
      </c>
    </row>
    <row r="3028" spans="1:22" hidden="1">
      <c r="A3028" t="s">
        <v>15299</v>
      </c>
      <c r="B3028" t="s">
        <v>15441</v>
      </c>
      <c r="C3028" t="s">
        <v>15446</v>
      </c>
      <c r="D3028" t="s">
        <v>3023</v>
      </c>
      <c r="E3028" t="s">
        <v>3453</v>
      </c>
      <c r="F3028" t="s">
        <v>3511</v>
      </c>
      <c r="G3028" s="3">
        <v>37.617474590563099</v>
      </c>
      <c r="H3028" s="3">
        <v>128.99160926044399</v>
      </c>
      <c r="I3028" t="s">
        <v>6793</v>
      </c>
      <c r="J3028" t="s">
        <v>10148</v>
      </c>
      <c r="K3028" t="s">
        <v>10873</v>
      </c>
      <c r="L3028" t="s">
        <v>3366</v>
      </c>
      <c r="M3028" t="s">
        <v>11895</v>
      </c>
      <c r="N3028" t="s">
        <v>3365</v>
      </c>
      <c r="O3028" t="s">
        <v>3362</v>
      </c>
      <c r="P3028" t="s">
        <v>15211</v>
      </c>
      <c r="Q3028" t="s">
        <v>15211</v>
      </c>
      <c r="R3028" t="s">
        <v>15211</v>
      </c>
      <c r="S3028" t="s">
        <v>15211</v>
      </c>
      <c r="T3028" t="s">
        <v>3371</v>
      </c>
      <c r="U3028" t="s">
        <v>14887</v>
      </c>
      <c r="V3028" t="s">
        <v>15229</v>
      </c>
    </row>
    <row r="3029" spans="1:22" hidden="1">
      <c r="A3029" t="s">
        <v>15299</v>
      </c>
      <c r="B3029" t="s">
        <v>15441</v>
      </c>
      <c r="C3029" t="s">
        <v>15446</v>
      </c>
      <c r="D3029" t="s">
        <v>3024</v>
      </c>
      <c r="E3029" t="s">
        <v>3441</v>
      </c>
      <c r="F3029" t="s">
        <v>3449</v>
      </c>
      <c r="G3029" s="3">
        <v>37.617474580546698</v>
      </c>
      <c r="H3029" s="3">
        <v>128.991609232337</v>
      </c>
      <c r="I3029" t="s">
        <v>6794</v>
      </c>
      <c r="J3029" t="s">
        <v>10149</v>
      </c>
      <c r="K3029" t="s">
        <v>10984</v>
      </c>
      <c r="L3029" t="s">
        <v>3366</v>
      </c>
      <c r="M3029" t="s">
        <v>11895</v>
      </c>
      <c r="N3029" t="s">
        <v>3365</v>
      </c>
      <c r="O3029" t="s">
        <v>3362</v>
      </c>
      <c r="P3029" t="s">
        <v>15211</v>
      </c>
      <c r="Q3029" t="s">
        <v>15211</v>
      </c>
      <c r="R3029" t="s">
        <v>15211</v>
      </c>
      <c r="S3029" t="s">
        <v>15211</v>
      </c>
      <c r="T3029" t="s">
        <v>3371</v>
      </c>
      <c r="U3029" t="s">
        <v>14888</v>
      </c>
      <c r="V3029" t="s">
        <v>15229</v>
      </c>
    </row>
    <row r="3030" spans="1:22" hidden="1">
      <c r="A3030" t="s">
        <v>15299</v>
      </c>
      <c r="B3030" t="s">
        <v>15441</v>
      </c>
      <c r="C3030" t="s">
        <v>15448</v>
      </c>
      <c r="D3030" t="s">
        <v>3025</v>
      </c>
      <c r="E3030" t="s">
        <v>3435</v>
      </c>
      <c r="F3030" t="s">
        <v>3511</v>
      </c>
      <c r="G3030" s="3">
        <v>37.617474792034002</v>
      </c>
      <c r="H3030" s="3">
        <v>128.99160941153599</v>
      </c>
      <c r="I3030" t="s">
        <v>6795</v>
      </c>
      <c r="J3030" t="s">
        <v>10150</v>
      </c>
      <c r="K3030" t="s">
        <v>11822</v>
      </c>
      <c r="L3030" t="s">
        <v>3366</v>
      </c>
      <c r="M3030" t="s">
        <v>11918</v>
      </c>
      <c r="N3030" t="s">
        <v>3365</v>
      </c>
      <c r="O3030" t="s">
        <v>3363</v>
      </c>
      <c r="P3030" t="s">
        <v>3362</v>
      </c>
      <c r="Q3030" t="s">
        <v>3369</v>
      </c>
      <c r="R3030" t="s">
        <v>3359</v>
      </c>
      <c r="S3030" t="s">
        <v>15211</v>
      </c>
      <c r="T3030" t="s">
        <v>3394</v>
      </c>
      <c r="U3030" t="s">
        <v>14889</v>
      </c>
      <c r="V3030" t="s">
        <v>15230</v>
      </c>
    </row>
    <row r="3031" spans="1:22" hidden="1">
      <c r="A3031" t="s">
        <v>15299</v>
      </c>
      <c r="B3031" t="s">
        <v>15441</v>
      </c>
      <c r="C3031" t="s">
        <v>15448</v>
      </c>
      <c r="D3031" t="s">
        <v>3026</v>
      </c>
      <c r="E3031" t="s">
        <v>3435</v>
      </c>
      <c r="F3031" t="s">
        <v>3463</v>
      </c>
      <c r="G3031" s="3">
        <v>37.617474800318199</v>
      </c>
      <c r="H3031" s="3">
        <v>128.99160939951901</v>
      </c>
      <c r="I3031" t="s">
        <v>6796</v>
      </c>
      <c r="J3031" t="s">
        <v>10151</v>
      </c>
      <c r="K3031" t="s">
        <v>11822</v>
      </c>
      <c r="L3031" t="s">
        <v>3366</v>
      </c>
      <c r="M3031" t="s">
        <v>11918</v>
      </c>
      <c r="N3031" t="s">
        <v>3365</v>
      </c>
      <c r="O3031" t="s">
        <v>3363</v>
      </c>
      <c r="P3031" t="s">
        <v>3362</v>
      </c>
      <c r="Q3031" t="s">
        <v>3369</v>
      </c>
      <c r="R3031" t="s">
        <v>3359</v>
      </c>
      <c r="S3031" t="s">
        <v>15211</v>
      </c>
      <c r="T3031" t="s">
        <v>3394</v>
      </c>
      <c r="U3031" t="s">
        <v>14890</v>
      </c>
      <c r="V3031" t="s">
        <v>15230</v>
      </c>
    </row>
    <row r="3032" spans="1:22" hidden="1">
      <c r="A3032" t="s">
        <v>15299</v>
      </c>
      <c r="B3032" t="s">
        <v>15441</v>
      </c>
      <c r="C3032" t="s">
        <v>15448</v>
      </c>
      <c r="D3032" t="s">
        <v>3027</v>
      </c>
      <c r="E3032" t="s">
        <v>3435</v>
      </c>
      <c r="F3032" t="s">
        <v>3463</v>
      </c>
      <c r="G3032" s="3">
        <v>37.617474784325204</v>
      </c>
      <c r="H3032" s="3">
        <v>128.991609408107</v>
      </c>
      <c r="I3032" t="s">
        <v>6797</v>
      </c>
      <c r="J3032" t="s">
        <v>10152</v>
      </c>
      <c r="K3032" t="s">
        <v>11822</v>
      </c>
      <c r="L3032" t="s">
        <v>3366</v>
      </c>
      <c r="M3032" t="s">
        <v>11918</v>
      </c>
      <c r="N3032" t="s">
        <v>3365</v>
      </c>
      <c r="O3032" t="s">
        <v>3363</v>
      </c>
      <c r="P3032" t="s">
        <v>3362</v>
      </c>
      <c r="Q3032" t="s">
        <v>3369</v>
      </c>
      <c r="R3032" t="s">
        <v>3359</v>
      </c>
      <c r="S3032" t="s">
        <v>15211</v>
      </c>
      <c r="T3032" t="s">
        <v>3394</v>
      </c>
      <c r="U3032" t="s">
        <v>14891</v>
      </c>
      <c r="V3032" t="s">
        <v>15230</v>
      </c>
    </row>
    <row r="3033" spans="1:22" hidden="1">
      <c r="A3033" t="s">
        <v>15299</v>
      </c>
      <c r="B3033" t="s">
        <v>15441</v>
      </c>
      <c r="C3033" t="s">
        <v>15449</v>
      </c>
      <c r="D3033" t="s">
        <v>3028</v>
      </c>
      <c r="E3033" t="s">
        <v>3434</v>
      </c>
      <c r="F3033" t="s">
        <v>3466</v>
      </c>
      <c r="G3033" s="3">
        <v>37.617474720568303</v>
      </c>
      <c r="H3033" s="3">
        <v>128.99160924328999</v>
      </c>
      <c r="I3033" t="s">
        <v>6798</v>
      </c>
      <c r="J3033" t="s">
        <v>10153</v>
      </c>
      <c r="K3033" t="s">
        <v>11823</v>
      </c>
      <c r="L3033" t="s">
        <v>3373</v>
      </c>
      <c r="M3033" t="s">
        <v>11905</v>
      </c>
      <c r="N3033" t="s">
        <v>3363</v>
      </c>
      <c r="O3033" t="s">
        <v>3363</v>
      </c>
      <c r="P3033" t="s">
        <v>3362</v>
      </c>
      <c r="Q3033" t="s">
        <v>3368</v>
      </c>
      <c r="R3033" t="s">
        <v>3358</v>
      </c>
      <c r="S3033" t="s">
        <v>15211</v>
      </c>
      <c r="T3033" t="s">
        <v>3390</v>
      </c>
      <c r="U3033" t="s">
        <v>14892</v>
      </c>
      <c r="V3033" t="s">
        <v>15231</v>
      </c>
    </row>
    <row r="3034" spans="1:22" hidden="1">
      <c r="A3034" t="s">
        <v>15299</v>
      </c>
      <c r="B3034" t="s">
        <v>15441</v>
      </c>
      <c r="C3034" t="s">
        <v>15449</v>
      </c>
      <c r="D3034" t="s">
        <v>3029</v>
      </c>
      <c r="E3034" t="s">
        <v>3431</v>
      </c>
      <c r="F3034" t="s">
        <v>3511</v>
      </c>
      <c r="G3034" s="3">
        <v>37.617474695099901</v>
      </c>
      <c r="H3034" s="3">
        <v>128.991609207886</v>
      </c>
      <c r="I3034" t="s">
        <v>6799</v>
      </c>
      <c r="J3034" t="s">
        <v>10154</v>
      </c>
      <c r="K3034" t="s">
        <v>11824</v>
      </c>
      <c r="L3034" t="s">
        <v>3366</v>
      </c>
      <c r="M3034" t="s">
        <v>11905</v>
      </c>
      <c r="N3034" t="s">
        <v>3364</v>
      </c>
      <c r="O3034" t="s">
        <v>3362</v>
      </c>
      <c r="P3034" t="s">
        <v>3362</v>
      </c>
      <c r="Q3034" t="s">
        <v>3368</v>
      </c>
      <c r="R3034" t="s">
        <v>3358</v>
      </c>
      <c r="S3034" t="s">
        <v>15211</v>
      </c>
      <c r="T3034" t="s">
        <v>3390</v>
      </c>
      <c r="U3034" t="s">
        <v>14893</v>
      </c>
      <c r="V3034" t="s">
        <v>15231</v>
      </c>
    </row>
    <row r="3035" spans="1:22" hidden="1">
      <c r="A3035" t="s">
        <v>15299</v>
      </c>
      <c r="B3035" t="s">
        <v>15441</v>
      </c>
      <c r="C3035" t="s">
        <v>15449</v>
      </c>
      <c r="D3035" t="s">
        <v>3030</v>
      </c>
      <c r="E3035" t="s">
        <v>3425</v>
      </c>
      <c r="F3035" t="s">
        <v>3450</v>
      </c>
      <c r="G3035" s="3">
        <v>37.617474662199299</v>
      </c>
      <c r="H3035" s="3">
        <v>128.99160922700199</v>
      </c>
      <c r="I3035" t="s">
        <v>6800</v>
      </c>
      <c r="J3035" t="s">
        <v>10155</v>
      </c>
      <c r="K3035" t="s">
        <v>11824</v>
      </c>
      <c r="L3035" t="s">
        <v>3366</v>
      </c>
      <c r="M3035" t="s">
        <v>11905</v>
      </c>
      <c r="N3035" t="s">
        <v>3364</v>
      </c>
      <c r="O3035" t="s">
        <v>3362</v>
      </c>
      <c r="P3035" t="s">
        <v>3362</v>
      </c>
      <c r="Q3035" t="s">
        <v>3368</v>
      </c>
      <c r="R3035" t="s">
        <v>3358</v>
      </c>
      <c r="S3035" t="s">
        <v>15211</v>
      </c>
      <c r="T3035" t="s">
        <v>3390</v>
      </c>
      <c r="U3035" t="s">
        <v>14894</v>
      </c>
      <c r="V3035" t="s">
        <v>15231</v>
      </c>
    </row>
    <row r="3036" spans="1:22" hidden="1">
      <c r="A3036" t="s">
        <v>15299</v>
      </c>
      <c r="B3036" t="s">
        <v>15444</v>
      </c>
      <c r="C3036" t="s">
        <v>15445</v>
      </c>
      <c r="D3036" t="s">
        <v>3031</v>
      </c>
      <c r="E3036" t="s">
        <v>3440</v>
      </c>
      <c r="F3036" t="s">
        <v>3435</v>
      </c>
      <c r="G3036" s="3">
        <v>37.6174748207522</v>
      </c>
      <c r="H3036" s="3">
        <v>128.991609308748</v>
      </c>
      <c r="I3036" t="s">
        <v>6801</v>
      </c>
      <c r="J3036" t="s">
        <v>10156</v>
      </c>
      <c r="K3036" t="s">
        <v>10799</v>
      </c>
      <c r="L3036" t="s">
        <v>3366</v>
      </c>
      <c r="M3036" t="s">
        <v>11895</v>
      </c>
      <c r="N3036" t="s">
        <v>3364</v>
      </c>
      <c r="O3036" t="s">
        <v>3363</v>
      </c>
      <c r="P3036" t="s">
        <v>15211</v>
      </c>
      <c r="Q3036" t="s">
        <v>15211</v>
      </c>
      <c r="R3036" t="s">
        <v>15211</v>
      </c>
      <c r="S3036" t="s">
        <v>15211</v>
      </c>
      <c r="T3036" t="s">
        <v>3371</v>
      </c>
      <c r="U3036" t="s">
        <v>14895</v>
      </c>
      <c r="V3036" t="s">
        <v>15242</v>
      </c>
    </row>
    <row r="3037" spans="1:22" hidden="1">
      <c r="A3037" t="s">
        <v>15299</v>
      </c>
      <c r="B3037" t="s">
        <v>15444</v>
      </c>
      <c r="C3037" t="s">
        <v>15445</v>
      </c>
      <c r="D3037" t="s">
        <v>3032</v>
      </c>
      <c r="E3037" t="s">
        <v>3438</v>
      </c>
      <c r="F3037" t="s">
        <v>3429</v>
      </c>
      <c r="G3037" s="3">
        <v>37.617474829228897</v>
      </c>
      <c r="H3037" s="3">
        <v>128.99160928697299</v>
      </c>
      <c r="I3037" t="s">
        <v>6802</v>
      </c>
      <c r="J3037" t="s">
        <v>10157</v>
      </c>
      <c r="K3037" t="s">
        <v>11428</v>
      </c>
      <c r="L3037" t="s">
        <v>3366</v>
      </c>
      <c r="M3037" t="s">
        <v>11895</v>
      </c>
      <c r="N3037" t="s">
        <v>3364</v>
      </c>
      <c r="O3037" t="s">
        <v>3363</v>
      </c>
      <c r="P3037" t="s">
        <v>15211</v>
      </c>
      <c r="Q3037" t="s">
        <v>15211</v>
      </c>
      <c r="R3037" t="s">
        <v>15211</v>
      </c>
      <c r="S3037" t="s">
        <v>15211</v>
      </c>
      <c r="T3037" t="s">
        <v>3371</v>
      </c>
      <c r="U3037" t="s">
        <v>14896</v>
      </c>
      <c r="V3037" t="s">
        <v>15242</v>
      </c>
    </row>
    <row r="3038" spans="1:22" hidden="1">
      <c r="A3038" t="s">
        <v>15299</v>
      </c>
      <c r="B3038" t="s">
        <v>15444</v>
      </c>
      <c r="C3038" t="s">
        <v>15445</v>
      </c>
      <c r="D3038" t="s">
        <v>3033</v>
      </c>
      <c r="E3038" t="s">
        <v>3438</v>
      </c>
      <c r="F3038" t="s">
        <v>3430</v>
      </c>
      <c r="G3038" s="3">
        <v>37.617474835552798</v>
      </c>
      <c r="H3038" s="3">
        <v>128.99160928587801</v>
      </c>
      <c r="I3038" t="s">
        <v>6803</v>
      </c>
      <c r="J3038" t="s">
        <v>10158</v>
      </c>
      <c r="K3038" t="s">
        <v>11312</v>
      </c>
      <c r="L3038" t="s">
        <v>3366</v>
      </c>
      <c r="M3038" t="s">
        <v>11895</v>
      </c>
      <c r="N3038" t="s">
        <v>3364</v>
      </c>
      <c r="O3038" t="s">
        <v>3363</v>
      </c>
      <c r="P3038" t="s">
        <v>15211</v>
      </c>
      <c r="Q3038" t="s">
        <v>15211</v>
      </c>
      <c r="R3038" t="s">
        <v>15211</v>
      </c>
      <c r="S3038" t="s">
        <v>15211</v>
      </c>
      <c r="T3038" t="s">
        <v>3371</v>
      </c>
      <c r="U3038" t="s">
        <v>14897</v>
      </c>
      <c r="V3038" t="s">
        <v>15242</v>
      </c>
    </row>
    <row r="3039" spans="1:22" hidden="1">
      <c r="A3039" t="s">
        <v>15299</v>
      </c>
      <c r="B3039" t="s">
        <v>15444</v>
      </c>
      <c r="C3039" t="s">
        <v>15451</v>
      </c>
      <c r="D3039" t="s">
        <v>3034</v>
      </c>
      <c r="E3039" t="s">
        <v>3438</v>
      </c>
      <c r="F3039" t="s">
        <v>3435</v>
      </c>
      <c r="G3039" s="3">
        <v>37.617474843310802</v>
      </c>
      <c r="H3039" s="3">
        <v>128.991609375331</v>
      </c>
      <c r="I3039" t="s">
        <v>6804</v>
      </c>
      <c r="J3039" t="s">
        <v>10159</v>
      </c>
      <c r="K3039" t="s">
        <v>11745</v>
      </c>
      <c r="L3039" t="s">
        <v>3366</v>
      </c>
      <c r="M3039" t="s">
        <v>11906</v>
      </c>
      <c r="N3039" t="s">
        <v>3365</v>
      </c>
      <c r="O3039" t="s">
        <v>3363</v>
      </c>
      <c r="P3039" t="s">
        <v>3362</v>
      </c>
      <c r="Q3039" t="s">
        <v>3366</v>
      </c>
      <c r="R3039" t="s">
        <v>15211</v>
      </c>
      <c r="S3039" t="s">
        <v>15211</v>
      </c>
      <c r="T3039" t="s">
        <v>3388</v>
      </c>
      <c r="U3039" t="s">
        <v>14898</v>
      </c>
      <c r="V3039" t="s">
        <v>15241</v>
      </c>
    </row>
    <row r="3040" spans="1:22" hidden="1">
      <c r="A3040" t="s">
        <v>15299</v>
      </c>
      <c r="B3040" t="s">
        <v>15444</v>
      </c>
      <c r="C3040" t="s">
        <v>15451</v>
      </c>
      <c r="D3040" t="s">
        <v>3035</v>
      </c>
      <c r="E3040" t="s">
        <v>3438</v>
      </c>
      <c r="F3040" t="s">
        <v>3435</v>
      </c>
      <c r="G3040" s="3">
        <v>37.617474848946003</v>
      </c>
      <c r="H3040" s="3">
        <v>128.99160938624701</v>
      </c>
      <c r="I3040" t="s">
        <v>6805</v>
      </c>
      <c r="J3040" t="s">
        <v>10160</v>
      </c>
      <c r="K3040" t="s">
        <v>3479</v>
      </c>
      <c r="L3040" t="s">
        <v>3366</v>
      </c>
      <c r="M3040" t="s">
        <v>11906</v>
      </c>
      <c r="N3040" t="s">
        <v>3365</v>
      </c>
      <c r="O3040" t="s">
        <v>3363</v>
      </c>
      <c r="P3040" t="s">
        <v>3362</v>
      </c>
      <c r="Q3040" t="s">
        <v>3366</v>
      </c>
      <c r="R3040" t="s">
        <v>15211</v>
      </c>
      <c r="S3040" t="s">
        <v>15211</v>
      </c>
      <c r="T3040" t="s">
        <v>3388</v>
      </c>
      <c r="U3040" t="s">
        <v>14899</v>
      </c>
      <c r="V3040" t="s">
        <v>15241</v>
      </c>
    </row>
    <row r="3041" spans="1:22" hidden="1">
      <c r="A3041" t="s">
        <v>15299</v>
      </c>
      <c r="B3041" t="s">
        <v>15444</v>
      </c>
      <c r="C3041" t="s">
        <v>15451</v>
      </c>
      <c r="D3041" t="s">
        <v>3036</v>
      </c>
      <c r="E3041" t="s">
        <v>3438</v>
      </c>
      <c r="F3041" t="s">
        <v>3435</v>
      </c>
      <c r="G3041" s="3">
        <v>37.617474873437999</v>
      </c>
      <c r="H3041" s="3">
        <v>128.99160939715199</v>
      </c>
      <c r="I3041" t="s">
        <v>6806</v>
      </c>
      <c r="J3041" t="s">
        <v>10161</v>
      </c>
      <c r="K3041" t="s">
        <v>3675</v>
      </c>
      <c r="L3041" t="s">
        <v>3366</v>
      </c>
      <c r="M3041" t="s">
        <v>11906</v>
      </c>
      <c r="N3041" t="s">
        <v>3365</v>
      </c>
      <c r="O3041" t="s">
        <v>3363</v>
      </c>
      <c r="P3041" t="s">
        <v>3362</v>
      </c>
      <c r="Q3041" t="s">
        <v>3366</v>
      </c>
      <c r="R3041" t="s">
        <v>15211</v>
      </c>
      <c r="S3041" t="s">
        <v>15211</v>
      </c>
      <c r="T3041" t="s">
        <v>3388</v>
      </c>
      <c r="U3041" t="s">
        <v>14900</v>
      </c>
      <c r="V3041" t="s">
        <v>15241</v>
      </c>
    </row>
    <row r="3042" spans="1:22" hidden="1">
      <c r="A3042" t="s">
        <v>15300</v>
      </c>
      <c r="B3042" t="s">
        <v>15444</v>
      </c>
      <c r="C3042" t="s">
        <v>15450</v>
      </c>
      <c r="D3042" t="s">
        <v>3037</v>
      </c>
      <c r="E3042" t="s">
        <v>3431</v>
      </c>
      <c r="F3042" t="s">
        <v>3460</v>
      </c>
      <c r="G3042" s="3">
        <v>37.527697067788999</v>
      </c>
      <c r="H3042" s="3">
        <v>128.942207212325</v>
      </c>
      <c r="I3042" t="s">
        <v>6807</v>
      </c>
      <c r="J3042" t="s">
        <v>10162</v>
      </c>
      <c r="K3042" t="s">
        <v>10723</v>
      </c>
      <c r="L3042" t="s">
        <v>3366</v>
      </c>
      <c r="M3042" t="s">
        <v>11894</v>
      </c>
      <c r="N3042" t="s">
        <v>3363</v>
      </c>
      <c r="O3042" t="s">
        <v>3363</v>
      </c>
      <c r="P3042" t="s">
        <v>15211</v>
      </c>
      <c r="Q3042" t="s">
        <v>15211</v>
      </c>
      <c r="R3042" t="s">
        <v>15211</v>
      </c>
      <c r="S3042" t="s">
        <v>15211</v>
      </c>
      <c r="T3042" t="s">
        <v>3370</v>
      </c>
      <c r="U3042" t="s">
        <v>14901</v>
      </c>
      <c r="V3042" t="s">
        <v>15244</v>
      </c>
    </row>
    <row r="3043" spans="1:22" hidden="1">
      <c r="A3043" t="s">
        <v>15300</v>
      </c>
      <c r="B3043" t="s">
        <v>15444</v>
      </c>
      <c r="C3043" t="s">
        <v>15450</v>
      </c>
      <c r="D3043" t="s">
        <v>3038</v>
      </c>
      <c r="E3043" t="s">
        <v>3431</v>
      </c>
      <c r="F3043" t="s">
        <v>3460</v>
      </c>
      <c r="G3043" s="3">
        <v>37.527697072442201</v>
      </c>
      <c r="H3043" s="3">
        <v>128.94220719107901</v>
      </c>
      <c r="I3043" t="s">
        <v>6808</v>
      </c>
      <c r="J3043" t="s">
        <v>10163</v>
      </c>
      <c r="K3043" t="s">
        <v>10723</v>
      </c>
      <c r="L3043" t="s">
        <v>3366</v>
      </c>
      <c r="M3043" t="s">
        <v>11894</v>
      </c>
      <c r="N3043" t="s">
        <v>3363</v>
      </c>
      <c r="O3043" t="s">
        <v>3363</v>
      </c>
      <c r="P3043" t="s">
        <v>15211</v>
      </c>
      <c r="Q3043" t="s">
        <v>15211</v>
      </c>
      <c r="R3043" t="s">
        <v>15211</v>
      </c>
      <c r="S3043" t="s">
        <v>15211</v>
      </c>
      <c r="T3043" t="s">
        <v>3370</v>
      </c>
      <c r="U3043" t="s">
        <v>14902</v>
      </c>
      <c r="V3043" t="s">
        <v>15244</v>
      </c>
    </row>
    <row r="3044" spans="1:22" hidden="1">
      <c r="A3044" t="s">
        <v>15300</v>
      </c>
      <c r="B3044" t="s">
        <v>15444</v>
      </c>
      <c r="C3044" t="s">
        <v>15450</v>
      </c>
      <c r="D3044" t="s">
        <v>3039</v>
      </c>
      <c r="E3044" t="s">
        <v>3425</v>
      </c>
      <c r="F3044" t="s">
        <v>3460</v>
      </c>
      <c r="G3044" s="3">
        <v>37.527697111717899</v>
      </c>
      <c r="H3044" s="3">
        <v>128.942207191145</v>
      </c>
      <c r="I3044" t="s">
        <v>6809</v>
      </c>
      <c r="J3044" t="s">
        <v>10164</v>
      </c>
      <c r="K3044" t="s">
        <v>11825</v>
      </c>
      <c r="L3044" t="s">
        <v>3366</v>
      </c>
      <c r="M3044" t="s">
        <v>11894</v>
      </c>
      <c r="N3044" t="s">
        <v>3363</v>
      </c>
      <c r="O3044" t="s">
        <v>3363</v>
      </c>
      <c r="P3044" t="s">
        <v>15211</v>
      </c>
      <c r="Q3044" t="s">
        <v>15211</v>
      </c>
      <c r="R3044" t="s">
        <v>15211</v>
      </c>
      <c r="S3044" t="s">
        <v>15211</v>
      </c>
      <c r="T3044" t="s">
        <v>3370</v>
      </c>
      <c r="U3044" t="s">
        <v>14903</v>
      </c>
      <c r="V3044" t="s">
        <v>15244</v>
      </c>
    </row>
    <row r="3045" spans="1:22" hidden="1">
      <c r="A3045" t="s">
        <v>15300</v>
      </c>
      <c r="B3045" t="s">
        <v>15444</v>
      </c>
      <c r="C3045" t="s">
        <v>15445</v>
      </c>
      <c r="D3045" t="s">
        <v>3040</v>
      </c>
      <c r="E3045" t="s">
        <v>3428</v>
      </c>
      <c r="F3045" t="s">
        <v>3453</v>
      </c>
      <c r="G3045" s="3">
        <v>37.527697323770703</v>
      </c>
      <c r="H3045" s="3">
        <v>128.94220692100299</v>
      </c>
      <c r="I3045" t="s">
        <v>6810</v>
      </c>
      <c r="J3045" t="s">
        <v>10165</v>
      </c>
      <c r="K3045" t="s">
        <v>10723</v>
      </c>
      <c r="L3045" t="s">
        <v>3366</v>
      </c>
      <c r="M3045" t="s">
        <v>11894</v>
      </c>
      <c r="N3045" t="s">
        <v>3363</v>
      </c>
      <c r="O3045" t="s">
        <v>3363</v>
      </c>
      <c r="P3045" t="s">
        <v>15211</v>
      </c>
      <c r="Q3045" t="s">
        <v>15211</v>
      </c>
      <c r="R3045" t="s">
        <v>15211</v>
      </c>
      <c r="S3045" t="s">
        <v>15211</v>
      </c>
      <c r="T3045" t="s">
        <v>3370</v>
      </c>
      <c r="U3045" t="s">
        <v>14904</v>
      </c>
      <c r="V3045" t="s">
        <v>15242</v>
      </c>
    </row>
    <row r="3046" spans="1:22" hidden="1">
      <c r="A3046" t="s">
        <v>15300</v>
      </c>
      <c r="B3046" t="s">
        <v>15444</v>
      </c>
      <c r="C3046" t="s">
        <v>15445</v>
      </c>
      <c r="D3046" t="s">
        <v>3041</v>
      </c>
      <c r="E3046" t="s">
        <v>3427</v>
      </c>
      <c r="F3046" t="s">
        <v>3441</v>
      </c>
      <c r="G3046" s="3">
        <v>37.527697372902601</v>
      </c>
      <c r="H3046" s="3">
        <v>128.94220691233801</v>
      </c>
      <c r="I3046" t="s">
        <v>6811</v>
      </c>
      <c r="J3046" t="s">
        <v>10166</v>
      </c>
      <c r="K3046" t="s">
        <v>10723</v>
      </c>
      <c r="L3046" t="s">
        <v>3366</v>
      </c>
      <c r="M3046" t="s">
        <v>11894</v>
      </c>
      <c r="N3046" t="s">
        <v>3363</v>
      </c>
      <c r="O3046" t="s">
        <v>3363</v>
      </c>
      <c r="P3046" t="s">
        <v>15211</v>
      </c>
      <c r="Q3046" t="s">
        <v>15211</v>
      </c>
      <c r="R3046" t="s">
        <v>15211</v>
      </c>
      <c r="S3046" t="s">
        <v>15211</v>
      </c>
      <c r="T3046" t="s">
        <v>3370</v>
      </c>
      <c r="U3046" t="s">
        <v>14905</v>
      </c>
      <c r="V3046" t="s">
        <v>15242</v>
      </c>
    </row>
    <row r="3047" spans="1:22" hidden="1">
      <c r="A3047" t="s">
        <v>15300</v>
      </c>
      <c r="B3047" t="s">
        <v>15444</v>
      </c>
      <c r="C3047" t="s">
        <v>15445</v>
      </c>
      <c r="D3047" t="s">
        <v>3042</v>
      </c>
      <c r="E3047" t="s">
        <v>3438</v>
      </c>
      <c r="F3047" t="s">
        <v>3441</v>
      </c>
      <c r="G3047" s="3">
        <v>37.527697368750403</v>
      </c>
      <c r="H3047" s="3">
        <v>128.94220692414399</v>
      </c>
      <c r="I3047" t="s">
        <v>6812</v>
      </c>
      <c r="J3047" t="s">
        <v>10167</v>
      </c>
      <c r="K3047" t="s">
        <v>10723</v>
      </c>
      <c r="L3047" t="s">
        <v>3366</v>
      </c>
      <c r="M3047" t="s">
        <v>11894</v>
      </c>
      <c r="N3047" t="s">
        <v>3363</v>
      </c>
      <c r="O3047" t="s">
        <v>3363</v>
      </c>
      <c r="P3047" t="s">
        <v>15211</v>
      </c>
      <c r="Q3047" t="s">
        <v>15211</v>
      </c>
      <c r="R3047" t="s">
        <v>15211</v>
      </c>
      <c r="S3047" t="s">
        <v>15211</v>
      </c>
      <c r="T3047" t="s">
        <v>3370</v>
      </c>
      <c r="U3047" t="s">
        <v>14906</v>
      </c>
      <c r="V3047" t="s">
        <v>15242</v>
      </c>
    </row>
    <row r="3048" spans="1:22" hidden="1">
      <c r="A3048" t="s">
        <v>15300</v>
      </c>
      <c r="B3048" t="s">
        <v>15444</v>
      </c>
      <c r="C3048" t="s">
        <v>15451</v>
      </c>
      <c r="D3048" t="s">
        <v>3043</v>
      </c>
      <c r="E3048" t="s">
        <v>3439</v>
      </c>
      <c r="F3048" t="s">
        <v>3435</v>
      </c>
      <c r="G3048" s="3">
        <v>37.527697341997801</v>
      </c>
      <c r="H3048" s="3">
        <v>128.94220697588099</v>
      </c>
      <c r="I3048" t="s">
        <v>6813</v>
      </c>
      <c r="J3048" t="s">
        <v>10168</v>
      </c>
      <c r="K3048" t="s">
        <v>11826</v>
      </c>
      <c r="L3048" t="s">
        <v>3366</v>
      </c>
      <c r="M3048" t="s">
        <v>11893</v>
      </c>
      <c r="N3048" t="s">
        <v>3363</v>
      </c>
      <c r="O3048" t="s">
        <v>3363</v>
      </c>
      <c r="P3048" t="s">
        <v>3361</v>
      </c>
      <c r="Q3048" t="s">
        <v>3361</v>
      </c>
      <c r="R3048" t="s">
        <v>15211</v>
      </c>
      <c r="S3048" t="s">
        <v>15211</v>
      </c>
      <c r="T3048" t="s">
        <v>3380</v>
      </c>
      <c r="U3048" t="s">
        <v>14907</v>
      </c>
      <c r="V3048" t="s">
        <v>15241</v>
      </c>
    </row>
    <row r="3049" spans="1:22" hidden="1">
      <c r="A3049" t="s">
        <v>15300</v>
      </c>
      <c r="B3049" t="s">
        <v>15444</v>
      </c>
      <c r="C3049" t="s">
        <v>15451</v>
      </c>
      <c r="D3049" t="s">
        <v>3044</v>
      </c>
      <c r="E3049" t="s">
        <v>3437</v>
      </c>
      <c r="F3049" t="s">
        <v>3429</v>
      </c>
      <c r="G3049" s="3">
        <v>37.5276973516225</v>
      </c>
      <c r="H3049" s="3">
        <v>128.94220700137299</v>
      </c>
      <c r="I3049" t="s">
        <v>6814</v>
      </c>
      <c r="J3049" t="s">
        <v>10169</v>
      </c>
      <c r="K3049" t="s">
        <v>11826</v>
      </c>
      <c r="L3049" t="s">
        <v>3366</v>
      </c>
      <c r="M3049" t="s">
        <v>11893</v>
      </c>
      <c r="N3049" t="s">
        <v>3363</v>
      </c>
      <c r="O3049" t="s">
        <v>3363</v>
      </c>
      <c r="P3049" t="s">
        <v>3361</v>
      </c>
      <c r="Q3049" t="s">
        <v>3362</v>
      </c>
      <c r="R3049" t="s">
        <v>15211</v>
      </c>
      <c r="S3049" t="s">
        <v>15211</v>
      </c>
      <c r="T3049" t="s">
        <v>3381</v>
      </c>
      <c r="U3049" t="s">
        <v>14908</v>
      </c>
      <c r="V3049" t="s">
        <v>15241</v>
      </c>
    </row>
    <row r="3050" spans="1:22" hidden="1">
      <c r="A3050" t="s">
        <v>15300</v>
      </c>
      <c r="B3050" t="s">
        <v>15444</v>
      </c>
      <c r="C3050" t="s">
        <v>15451</v>
      </c>
      <c r="D3050" t="s">
        <v>3045</v>
      </c>
      <c r="E3050" t="s">
        <v>3437</v>
      </c>
      <c r="F3050" t="s">
        <v>3429</v>
      </c>
      <c r="G3050" s="3">
        <v>37.527697347941398</v>
      </c>
      <c r="H3050" s="3">
        <v>128.94220699687901</v>
      </c>
      <c r="I3050" t="s">
        <v>6815</v>
      </c>
      <c r="J3050" t="s">
        <v>10170</v>
      </c>
      <c r="K3050" t="s">
        <v>11487</v>
      </c>
      <c r="L3050" t="s">
        <v>3366</v>
      </c>
      <c r="M3050" t="s">
        <v>11893</v>
      </c>
      <c r="N3050" t="s">
        <v>3363</v>
      </c>
      <c r="O3050" t="s">
        <v>3363</v>
      </c>
      <c r="P3050" t="s">
        <v>3361</v>
      </c>
      <c r="Q3050" t="s">
        <v>3362</v>
      </c>
      <c r="R3050" t="s">
        <v>15211</v>
      </c>
      <c r="S3050" t="s">
        <v>15211</v>
      </c>
      <c r="T3050" t="s">
        <v>3381</v>
      </c>
      <c r="U3050" t="s">
        <v>14909</v>
      </c>
      <c r="V3050" t="s">
        <v>15241</v>
      </c>
    </row>
    <row r="3051" spans="1:22" hidden="1">
      <c r="A3051" t="s">
        <v>15300</v>
      </c>
      <c r="B3051" t="s">
        <v>15441</v>
      </c>
      <c r="C3051" t="s">
        <v>15445</v>
      </c>
      <c r="D3051" t="s">
        <v>3046</v>
      </c>
      <c r="E3051" t="s">
        <v>3436</v>
      </c>
      <c r="F3051" t="s">
        <v>3426</v>
      </c>
      <c r="G3051" s="3">
        <v>37.527697305084999</v>
      </c>
      <c r="H3051" s="3">
        <v>128.94220712076799</v>
      </c>
      <c r="I3051" t="s">
        <v>6816</v>
      </c>
      <c r="J3051" t="s">
        <v>10171</v>
      </c>
      <c r="K3051" t="s">
        <v>10935</v>
      </c>
      <c r="L3051" t="s">
        <v>3366</v>
      </c>
      <c r="M3051" t="s">
        <v>11894</v>
      </c>
      <c r="N3051" t="s">
        <v>3363</v>
      </c>
      <c r="O3051" t="s">
        <v>3363</v>
      </c>
      <c r="P3051" t="s">
        <v>3357</v>
      </c>
      <c r="Q3051" t="s">
        <v>3357</v>
      </c>
      <c r="R3051" t="s">
        <v>15211</v>
      </c>
      <c r="S3051" t="s">
        <v>15211</v>
      </c>
      <c r="T3051" t="s">
        <v>3372</v>
      </c>
      <c r="U3051" t="s">
        <v>14910</v>
      </c>
      <c r="V3051" t="s">
        <v>15228</v>
      </c>
    </row>
    <row r="3052" spans="1:22" hidden="1">
      <c r="A3052" t="s">
        <v>15300</v>
      </c>
      <c r="B3052" t="s">
        <v>15441</v>
      </c>
      <c r="C3052" t="s">
        <v>15445</v>
      </c>
      <c r="D3052" t="s">
        <v>3047</v>
      </c>
      <c r="E3052" t="s">
        <v>3436</v>
      </c>
      <c r="F3052" t="s">
        <v>3462</v>
      </c>
      <c r="G3052" s="3">
        <v>37.527697300821401</v>
      </c>
      <c r="H3052" s="3">
        <v>128.94220712273801</v>
      </c>
      <c r="I3052" t="s">
        <v>6817</v>
      </c>
      <c r="J3052" t="s">
        <v>10172</v>
      </c>
      <c r="K3052" t="s">
        <v>10935</v>
      </c>
      <c r="L3052" t="s">
        <v>3366</v>
      </c>
      <c r="M3052" t="s">
        <v>11894</v>
      </c>
      <c r="N3052" t="s">
        <v>3363</v>
      </c>
      <c r="O3052" t="s">
        <v>3363</v>
      </c>
      <c r="P3052" t="s">
        <v>15211</v>
      </c>
      <c r="Q3052" t="s">
        <v>15211</v>
      </c>
      <c r="R3052" t="s">
        <v>15211</v>
      </c>
      <c r="S3052" t="s">
        <v>15211</v>
      </c>
      <c r="T3052" t="s">
        <v>3370</v>
      </c>
      <c r="U3052" t="s">
        <v>14911</v>
      </c>
      <c r="V3052" t="s">
        <v>15228</v>
      </c>
    </row>
    <row r="3053" spans="1:22" hidden="1">
      <c r="A3053" t="s">
        <v>15300</v>
      </c>
      <c r="B3053" t="s">
        <v>15441</v>
      </c>
      <c r="C3053" t="s">
        <v>15445</v>
      </c>
      <c r="D3053" t="s">
        <v>3048</v>
      </c>
      <c r="E3053" t="s">
        <v>3436</v>
      </c>
      <c r="F3053" t="s">
        <v>3462</v>
      </c>
      <c r="G3053" s="3">
        <v>37.527697289878198</v>
      </c>
      <c r="H3053" s="3">
        <v>128.94220711144399</v>
      </c>
      <c r="I3053" t="s">
        <v>6818</v>
      </c>
      <c r="J3053" t="s">
        <v>10173</v>
      </c>
      <c r="K3053" t="s">
        <v>10936</v>
      </c>
      <c r="L3053" t="s">
        <v>3366</v>
      </c>
      <c r="M3053" t="s">
        <v>11894</v>
      </c>
      <c r="N3053" t="s">
        <v>3363</v>
      </c>
      <c r="O3053" t="s">
        <v>3363</v>
      </c>
      <c r="P3053" t="s">
        <v>15211</v>
      </c>
      <c r="Q3053" t="s">
        <v>15211</v>
      </c>
      <c r="R3053" t="s">
        <v>15211</v>
      </c>
      <c r="S3053" t="s">
        <v>15211</v>
      </c>
      <c r="T3053" t="s">
        <v>3370</v>
      </c>
      <c r="U3053" t="s">
        <v>14912</v>
      </c>
      <c r="V3053" t="s">
        <v>15228</v>
      </c>
    </row>
    <row r="3054" spans="1:22" hidden="1">
      <c r="A3054" t="s">
        <v>15300</v>
      </c>
      <c r="B3054" t="s">
        <v>15441</v>
      </c>
      <c r="C3054" t="s">
        <v>15446</v>
      </c>
      <c r="D3054" t="s">
        <v>3049</v>
      </c>
      <c r="E3054" t="s">
        <v>3425</v>
      </c>
      <c r="F3054" t="s">
        <v>3449</v>
      </c>
      <c r="G3054" s="3">
        <v>37.527697275778102</v>
      </c>
      <c r="H3054" s="3">
        <v>128.94220711388101</v>
      </c>
      <c r="I3054" t="s">
        <v>6819</v>
      </c>
      <c r="J3054" t="s">
        <v>10174</v>
      </c>
      <c r="K3054" t="s">
        <v>3643</v>
      </c>
      <c r="L3054" t="s">
        <v>3382</v>
      </c>
      <c r="M3054" t="s">
        <v>11894</v>
      </c>
      <c r="N3054" t="s">
        <v>3363</v>
      </c>
      <c r="O3054" t="s">
        <v>3363</v>
      </c>
      <c r="P3054" t="s">
        <v>15211</v>
      </c>
      <c r="Q3054" t="s">
        <v>15211</v>
      </c>
      <c r="R3054" t="s">
        <v>15211</v>
      </c>
      <c r="S3054" t="s">
        <v>15211</v>
      </c>
      <c r="T3054" t="s">
        <v>3370</v>
      </c>
      <c r="U3054" t="s">
        <v>14913</v>
      </c>
      <c r="V3054" t="s">
        <v>15229</v>
      </c>
    </row>
    <row r="3055" spans="1:22" hidden="1">
      <c r="A3055" t="s">
        <v>15300</v>
      </c>
      <c r="B3055" t="s">
        <v>15441</v>
      </c>
      <c r="C3055" t="s">
        <v>15446</v>
      </c>
      <c r="D3055" t="s">
        <v>3050</v>
      </c>
      <c r="E3055" t="s">
        <v>3436</v>
      </c>
      <c r="F3055" t="s">
        <v>3449</v>
      </c>
      <c r="G3055" s="3">
        <v>37.527697263284097</v>
      </c>
      <c r="H3055" s="3">
        <v>128.94220707517101</v>
      </c>
      <c r="I3055" t="s">
        <v>6820</v>
      </c>
      <c r="J3055" t="s">
        <v>10175</v>
      </c>
      <c r="K3055" t="s">
        <v>10945</v>
      </c>
      <c r="L3055" t="s">
        <v>3366</v>
      </c>
      <c r="M3055" t="s">
        <v>11894</v>
      </c>
      <c r="N3055" t="s">
        <v>3363</v>
      </c>
      <c r="O3055" t="s">
        <v>3363</v>
      </c>
      <c r="P3055" t="s">
        <v>15211</v>
      </c>
      <c r="Q3055" t="s">
        <v>15211</v>
      </c>
      <c r="R3055" t="s">
        <v>15211</v>
      </c>
      <c r="S3055" t="s">
        <v>15211</v>
      </c>
      <c r="T3055" t="s">
        <v>3370</v>
      </c>
      <c r="U3055" t="s">
        <v>14914</v>
      </c>
      <c r="V3055" t="s">
        <v>15229</v>
      </c>
    </row>
    <row r="3056" spans="1:22" hidden="1">
      <c r="A3056" t="s">
        <v>15300</v>
      </c>
      <c r="B3056" t="s">
        <v>15441</v>
      </c>
      <c r="C3056" t="s">
        <v>15446</v>
      </c>
      <c r="D3056" t="s">
        <v>3051</v>
      </c>
      <c r="E3056" t="s">
        <v>3425</v>
      </c>
      <c r="F3056" t="s">
        <v>3449</v>
      </c>
      <c r="G3056" s="3">
        <v>37.527697274153802</v>
      </c>
      <c r="H3056" s="3">
        <v>128.94220707140801</v>
      </c>
      <c r="I3056" t="s">
        <v>6821</v>
      </c>
      <c r="J3056" t="s">
        <v>10176</v>
      </c>
      <c r="K3056" t="s">
        <v>10946</v>
      </c>
      <c r="L3056" t="s">
        <v>3366</v>
      </c>
      <c r="M3056" t="s">
        <v>11894</v>
      </c>
      <c r="N3056" t="s">
        <v>3363</v>
      </c>
      <c r="O3056" t="s">
        <v>3363</v>
      </c>
      <c r="P3056" t="s">
        <v>15211</v>
      </c>
      <c r="Q3056" t="s">
        <v>15211</v>
      </c>
      <c r="R3056" t="s">
        <v>15211</v>
      </c>
      <c r="S3056" t="s">
        <v>15211</v>
      </c>
      <c r="T3056" t="s">
        <v>3370</v>
      </c>
      <c r="U3056" t="s">
        <v>14915</v>
      </c>
      <c r="V3056" t="s">
        <v>15229</v>
      </c>
    </row>
    <row r="3057" spans="1:22" hidden="1">
      <c r="A3057" t="s">
        <v>15300</v>
      </c>
      <c r="B3057" t="s">
        <v>15441</v>
      </c>
      <c r="C3057" t="s">
        <v>15448</v>
      </c>
      <c r="D3057" t="s">
        <v>3052</v>
      </c>
      <c r="E3057" t="s">
        <v>3434</v>
      </c>
      <c r="F3057" t="s">
        <v>3445</v>
      </c>
      <c r="G3057" s="3">
        <v>37.527697181176698</v>
      </c>
      <c r="H3057" s="3">
        <v>128.94220703794301</v>
      </c>
      <c r="I3057" t="s">
        <v>6822</v>
      </c>
      <c r="J3057" t="s">
        <v>10177</v>
      </c>
      <c r="K3057" t="s">
        <v>11287</v>
      </c>
      <c r="L3057" t="s">
        <v>3366</v>
      </c>
      <c r="M3057" t="s">
        <v>11912</v>
      </c>
      <c r="N3057" t="s">
        <v>3363</v>
      </c>
      <c r="O3057" t="s">
        <v>3362</v>
      </c>
      <c r="P3057" t="s">
        <v>3360</v>
      </c>
      <c r="Q3057" t="s">
        <v>3362</v>
      </c>
      <c r="R3057" t="s">
        <v>3359</v>
      </c>
      <c r="S3057" t="s">
        <v>15211</v>
      </c>
      <c r="T3057" t="s">
        <v>3382</v>
      </c>
      <c r="U3057" t="s">
        <v>14916</v>
      </c>
      <c r="V3057" t="s">
        <v>15230</v>
      </c>
    </row>
    <row r="3058" spans="1:22" hidden="1">
      <c r="A3058" t="s">
        <v>15300</v>
      </c>
      <c r="B3058" t="s">
        <v>15441</v>
      </c>
      <c r="C3058" t="s">
        <v>15448</v>
      </c>
      <c r="D3058" t="s">
        <v>3053</v>
      </c>
      <c r="E3058" t="s">
        <v>3431</v>
      </c>
      <c r="F3058" t="s">
        <v>3535</v>
      </c>
      <c r="G3058" s="3">
        <v>37.527697133941402</v>
      </c>
      <c r="H3058" s="3">
        <v>128.94220704632701</v>
      </c>
      <c r="I3058" t="s">
        <v>6823</v>
      </c>
      <c r="J3058" t="s">
        <v>10178</v>
      </c>
      <c r="K3058" t="s">
        <v>11827</v>
      </c>
      <c r="L3058" t="s">
        <v>3366</v>
      </c>
      <c r="M3058" t="s">
        <v>11912</v>
      </c>
      <c r="N3058" t="s">
        <v>3363</v>
      </c>
      <c r="O3058" t="s">
        <v>3362</v>
      </c>
      <c r="P3058" t="s">
        <v>3360</v>
      </c>
      <c r="Q3058" t="s">
        <v>3362</v>
      </c>
      <c r="R3058" t="s">
        <v>3359</v>
      </c>
      <c r="S3058" t="s">
        <v>15211</v>
      </c>
      <c r="T3058" t="s">
        <v>3382</v>
      </c>
      <c r="U3058" t="s">
        <v>14917</v>
      </c>
      <c r="V3058" t="s">
        <v>15230</v>
      </c>
    </row>
    <row r="3059" spans="1:22" hidden="1">
      <c r="A3059" t="s">
        <v>15300</v>
      </c>
      <c r="B3059" t="s">
        <v>15441</v>
      </c>
      <c r="C3059" t="s">
        <v>15448</v>
      </c>
      <c r="D3059" t="s">
        <v>3054</v>
      </c>
      <c r="E3059" t="s">
        <v>3431</v>
      </c>
      <c r="F3059" t="s">
        <v>3535</v>
      </c>
      <c r="G3059" s="3">
        <v>37.527697123958099</v>
      </c>
      <c r="H3059" s="3">
        <v>128.942207064835</v>
      </c>
      <c r="I3059" t="s">
        <v>6824</v>
      </c>
      <c r="J3059" t="s">
        <v>10179</v>
      </c>
      <c r="K3059" t="s">
        <v>11828</v>
      </c>
      <c r="L3059" t="s">
        <v>3366</v>
      </c>
      <c r="M3059" t="s">
        <v>11912</v>
      </c>
      <c r="N3059" t="s">
        <v>3363</v>
      </c>
      <c r="O3059" t="s">
        <v>3362</v>
      </c>
      <c r="P3059" t="s">
        <v>3360</v>
      </c>
      <c r="Q3059" t="s">
        <v>3362</v>
      </c>
      <c r="R3059" t="s">
        <v>3359</v>
      </c>
      <c r="S3059" t="s">
        <v>15211</v>
      </c>
      <c r="T3059" t="s">
        <v>3382</v>
      </c>
      <c r="U3059" t="s">
        <v>14918</v>
      </c>
      <c r="V3059" t="s">
        <v>15230</v>
      </c>
    </row>
    <row r="3060" spans="1:22" hidden="1">
      <c r="A3060" t="s">
        <v>15300</v>
      </c>
      <c r="B3060" t="s">
        <v>15441</v>
      </c>
      <c r="C3060" t="s">
        <v>15449</v>
      </c>
      <c r="D3060" t="s">
        <v>3055</v>
      </c>
      <c r="E3060" t="s">
        <v>3440</v>
      </c>
      <c r="F3060" t="s">
        <v>3432</v>
      </c>
      <c r="G3060" s="3">
        <v>37.527697131479997</v>
      </c>
      <c r="H3060" s="3">
        <v>128.94220702374801</v>
      </c>
      <c r="I3060" t="s">
        <v>6825</v>
      </c>
      <c r="J3060" t="s">
        <v>10180</v>
      </c>
      <c r="K3060" t="s">
        <v>11817</v>
      </c>
      <c r="L3060" t="s">
        <v>3374</v>
      </c>
      <c r="M3060" t="s">
        <v>11888</v>
      </c>
      <c r="N3060" t="s">
        <v>3363</v>
      </c>
      <c r="O3060" t="s">
        <v>3362</v>
      </c>
      <c r="P3060" t="s">
        <v>3360</v>
      </c>
      <c r="Q3060" t="s">
        <v>3359</v>
      </c>
      <c r="R3060" t="s">
        <v>3358</v>
      </c>
      <c r="S3060" t="s">
        <v>15211</v>
      </c>
      <c r="T3060" t="s">
        <v>3378</v>
      </c>
      <c r="U3060" t="s">
        <v>14919</v>
      </c>
      <c r="V3060" t="s">
        <v>15231</v>
      </c>
    </row>
    <row r="3061" spans="1:22" hidden="1">
      <c r="A3061" t="s">
        <v>15300</v>
      </c>
      <c r="B3061" t="s">
        <v>15441</v>
      </c>
      <c r="C3061" t="s">
        <v>15449</v>
      </c>
      <c r="D3061" t="s">
        <v>3056</v>
      </c>
      <c r="E3061" t="s">
        <v>3438</v>
      </c>
      <c r="F3061" t="s">
        <v>3433</v>
      </c>
      <c r="G3061" s="3">
        <v>37.527697092529699</v>
      </c>
      <c r="H3061" s="3">
        <v>128.94220703387199</v>
      </c>
      <c r="I3061" t="s">
        <v>6826</v>
      </c>
      <c r="J3061" t="s">
        <v>10181</v>
      </c>
      <c r="K3061" t="s">
        <v>11817</v>
      </c>
      <c r="L3061" t="s">
        <v>3366</v>
      </c>
      <c r="M3061" t="s">
        <v>11888</v>
      </c>
      <c r="N3061" t="s">
        <v>3363</v>
      </c>
      <c r="O3061" t="s">
        <v>3362</v>
      </c>
      <c r="P3061" t="s">
        <v>3360</v>
      </c>
      <c r="Q3061" t="s">
        <v>3359</v>
      </c>
      <c r="R3061" t="s">
        <v>3358</v>
      </c>
      <c r="S3061" t="s">
        <v>15211</v>
      </c>
      <c r="T3061" t="s">
        <v>3378</v>
      </c>
      <c r="U3061" t="s">
        <v>14920</v>
      </c>
      <c r="V3061" t="s">
        <v>15231</v>
      </c>
    </row>
    <row r="3062" spans="1:22" hidden="1">
      <c r="A3062" t="s">
        <v>15300</v>
      </c>
      <c r="B3062" t="s">
        <v>15441</v>
      </c>
      <c r="C3062" t="s">
        <v>15449</v>
      </c>
      <c r="D3062" t="s">
        <v>3057</v>
      </c>
      <c r="E3062" t="s">
        <v>3438</v>
      </c>
      <c r="F3062" t="s">
        <v>3433</v>
      </c>
      <c r="G3062" s="3">
        <v>37.527697093754902</v>
      </c>
      <c r="H3062" s="3">
        <v>128.94220702659999</v>
      </c>
      <c r="I3062" t="s">
        <v>6827</v>
      </c>
      <c r="J3062" t="s">
        <v>10182</v>
      </c>
      <c r="K3062" t="s">
        <v>11817</v>
      </c>
      <c r="L3062" t="s">
        <v>3366</v>
      </c>
      <c r="M3062" t="s">
        <v>11888</v>
      </c>
      <c r="N3062" t="s">
        <v>3363</v>
      </c>
      <c r="O3062" t="s">
        <v>3362</v>
      </c>
      <c r="P3062" t="s">
        <v>3360</v>
      </c>
      <c r="Q3062" t="s">
        <v>3359</v>
      </c>
      <c r="R3062" t="s">
        <v>3358</v>
      </c>
      <c r="S3062" t="s">
        <v>15211</v>
      </c>
      <c r="T3062" t="s">
        <v>3378</v>
      </c>
      <c r="U3062" t="s">
        <v>14921</v>
      </c>
      <c r="V3062" t="s">
        <v>15231</v>
      </c>
    </row>
    <row r="3063" spans="1:22" hidden="1">
      <c r="A3063" t="s">
        <v>15300</v>
      </c>
      <c r="B3063" t="s">
        <v>15443</v>
      </c>
      <c r="C3063" t="s">
        <v>15498</v>
      </c>
      <c r="D3063" t="s">
        <v>3058</v>
      </c>
      <c r="E3063" t="s">
        <v>3434</v>
      </c>
      <c r="F3063" t="s">
        <v>3600</v>
      </c>
      <c r="G3063" s="3">
        <v>37.527697123063803</v>
      </c>
      <c r="H3063" s="3">
        <v>128.94220713283801</v>
      </c>
      <c r="I3063" t="s">
        <v>6828</v>
      </c>
      <c r="J3063" t="s">
        <v>10183</v>
      </c>
      <c r="K3063" t="s">
        <v>11119</v>
      </c>
      <c r="L3063" t="s">
        <v>3376</v>
      </c>
      <c r="M3063" t="s">
        <v>11889</v>
      </c>
      <c r="N3063" t="s">
        <v>3362</v>
      </c>
      <c r="O3063" t="s">
        <v>15211</v>
      </c>
      <c r="P3063" t="s">
        <v>3360</v>
      </c>
      <c r="Q3063" t="s">
        <v>3367</v>
      </c>
      <c r="R3063" t="s">
        <v>15211</v>
      </c>
      <c r="S3063" t="s">
        <v>15211</v>
      </c>
      <c r="T3063" t="s">
        <v>3377</v>
      </c>
      <c r="U3063" t="s">
        <v>14922</v>
      </c>
      <c r="V3063" t="s">
        <v>15288</v>
      </c>
    </row>
    <row r="3064" spans="1:22" hidden="1">
      <c r="A3064" t="s">
        <v>15300</v>
      </c>
      <c r="B3064" t="s">
        <v>15443</v>
      </c>
      <c r="C3064" t="s">
        <v>15498</v>
      </c>
      <c r="D3064" t="s">
        <v>3059</v>
      </c>
      <c r="E3064" t="s">
        <v>3431</v>
      </c>
      <c r="F3064" t="s">
        <v>3539</v>
      </c>
      <c r="G3064" s="3">
        <v>37.527697088721702</v>
      </c>
      <c r="H3064" s="3">
        <v>128.94220715823701</v>
      </c>
      <c r="I3064" t="s">
        <v>6829</v>
      </c>
      <c r="J3064" t="s">
        <v>10184</v>
      </c>
      <c r="K3064" t="s">
        <v>11119</v>
      </c>
      <c r="L3064" t="s">
        <v>3366</v>
      </c>
      <c r="M3064" t="s">
        <v>11889</v>
      </c>
      <c r="N3064" t="s">
        <v>3362</v>
      </c>
      <c r="O3064" t="s">
        <v>15211</v>
      </c>
      <c r="P3064" t="s">
        <v>3360</v>
      </c>
      <c r="Q3064" t="s">
        <v>3367</v>
      </c>
      <c r="R3064" t="s">
        <v>15211</v>
      </c>
      <c r="S3064" t="s">
        <v>15211</v>
      </c>
      <c r="T3064" t="s">
        <v>3377</v>
      </c>
      <c r="U3064" t="s">
        <v>14923</v>
      </c>
      <c r="V3064" t="s">
        <v>15288</v>
      </c>
    </row>
    <row r="3065" spans="1:22" hidden="1">
      <c r="A3065" t="s">
        <v>15300</v>
      </c>
      <c r="B3065" t="s">
        <v>15443</v>
      </c>
      <c r="C3065" t="s">
        <v>15498</v>
      </c>
      <c r="D3065" t="s">
        <v>3060</v>
      </c>
      <c r="E3065" t="s">
        <v>3431</v>
      </c>
      <c r="F3065" t="s">
        <v>3445</v>
      </c>
      <c r="G3065" s="3">
        <v>37.527697101639198</v>
      </c>
      <c r="H3065" s="3">
        <v>128.94220716652001</v>
      </c>
      <c r="I3065" t="s">
        <v>6830</v>
      </c>
      <c r="J3065" t="s">
        <v>10185</v>
      </c>
      <c r="K3065" t="s">
        <v>11119</v>
      </c>
      <c r="L3065" t="s">
        <v>3366</v>
      </c>
      <c r="M3065" t="s">
        <v>11889</v>
      </c>
      <c r="N3065" t="s">
        <v>3362</v>
      </c>
      <c r="O3065" t="s">
        <v>15211</v>
      </c>
      <c r="P3065" t="s">
        <v>3360</v>
      </c>
      <c r="Q3065" t="s">
        <v>3367</v>
      </c>
      <c r="R3065" t="s">
        <v>15211</v>
      </c>
      <c r="S3065" t="s">
        <v>15211</v>
      </c>
      <c r="T3065" t="s">
        <v>3377</v>
      </c>
      <c r="U3065" t="s">
        <v>14924</v>
      </c>
      <c r="V3065" t="s">
        <v>15288</v>
      </c>
    </row>
    <row r="3066" spans="1:22" ht="17.399999999999999" hidden="1">
      <c r="A3066" t="s">
        <v>15344</v>
      </c>
      <c r="B3066" t="s">
        <v>15441</v>
      </c>
      <c r="C3066" t="s">
        <v>15448</v>
      </c>
      <c r="D3066" t="s">
        <v>10</v>
      </c>
      <c r="E3066" t="s">
        <v>3431</v>
      </c>
      <c r="F3066" t="s">
        <v>3462</v>
      </c>
      <c r="G3066" s="3">
        <v>36.096111155912197</v>
      </c>
      <c r="H3066" s="3">
        <v>129.374163102799</v>
      </c>
      <c r="I3066" t="s">
        <v>3777</v>
      </c>
      <c r="J3066" t="s">
        <v>7136</v>
      </c>
      <c r="K3066" t="s">
        <v>10489</v>
      </c>
      <c r="L3066" t="s">
        <v>3372</v>
      </c>
      <c r="M3066" t="s">
        <v>11886</v>
      </c>
      <c r="N3066" t="s">
        <v>3363</v>
      </c>
      <c r="O3066" t="s">
        <v>3360</v>
      </c>
      <c r="P3066" t="s">
        <v>15211</v>
      </c>
      <c r="Q3066" t="s">
        <v>15211</v>
      </c>
      <c r="R3066" t="s">
        <v>15211</v>
      </c>
      <c r="S3066" t="s">
        <v>15211</v>
      </c>
      <c r="T3066" t="s">
        <v>3367</v>
      </c>
      <c r="U3066" t="s">
        <v>11932</v>
      </c>
      <c r="V3066" t="s">
        <v>15215</v>
      </c>
    </row>
    <row r="3067" spans="1:22" ht="17.399999999999999" hidden="1">
      <c r="A3067" t="s">
        <v>15344</v>
      </c>
      <c r="B3067" t="s">
        <v>15441</v>
      </c>
      <c r="C3067" t="s">
        <v>15448</v>
      </c>
      <c r="D3067" t="s">
        <v>11</v>
      </c>
      <c r="E3067" t="s">
        <v>3431</v>
      </c>
      <c r="F3067" t="s">
        <v>3462</v>
      </c>
      <c r="G3067" s="3">
        <v>36.096111117932303</v>
      </c>
      <c r="H3067" s="3">
        <v>129.374163116701</v>
      </c>
      <c r="I3067" t="s">
        <v>3778</v>
      </c>
      <c r="J3067" t="s">
        <v>7137</v>
      </c>
      <c r="K3067" t="s">
        <v>10490</v>
      </c>
      <c r="L3067" t="s">
        <v>3366</v>
      </c>
      <c r="M3067" t="s">
        <v>11886</v>
      </c>
      <c r="N3067" t="s">
        <v>3363</v>
      </c>
      <c r="O3067" t="s">
        <v>3360</v>
      </c>
      <c r="P3067" t="s">
        <v>15211</v>
      </c>
      <c r="Q3067" t="s">
        <v>15211</v>
      </c>
      <c r="R3067" t="s">
        <v>15211</v>
      </c>
      <c r="S3067" t="s">
        <v>15211</v>
      </c>
      <c r="T3067" t="s">
        <v>3367</v>
      </c>
      <c r="U3067" t="s">
        <v>11933</v>
      </c>
      <c r="V3067" t="s">
        <v>15215</v>
      </c>
    </row>
    <row r="3068" spans="1:22" ht="17.399999999999999" hidden="1">
      <c r="A3068" t="s">
        <v>15344</v>
      </c>
      <c r="B3068" t="s">
        <v>15441</v>
      </c>
      <c r="C3068" t="s">
        <v>15448</v>
      </c>
      <c r="D3068" t="s">
        <v>12</v>
      </c>
      <c r="E3068" t="s">
        <v>3431</v>
      </c>
      <c r="F3068" t="s">
        <v>3462</v>
      </c>
      <c r="G3068" s="3">
        <v>36.096111134730201</v>
      </c>
      <c r="H3068" s="3">
        <v>129.37416310970801</v>
      </c>
      <c r="I3068" t="s">
        <v>3779</v>
      </c>
      <c r="J3068" t="s">
        <v>7138</v>
      </c>
      <c r="K3068" t="s">
        <v>10491</v>
      </c>
      <c r="L3068" t="s">
        <v>3366</v>
      </c>
      <c r="M3068" t="s">
        <v>11886</v>
      </c>
      <c r="N3068" t="s">
        <v>3363</v>
      </c>
      <c r="O3068" t="s">
        <v>3360</v>
      </c>
      <c r="P3068" t="s">
        <v>15211</v>
      </c>
      <c r="Q3068" t="s">
        <v>15211</v>
      </c>
      <c r="R3068" t="s">
        <v>15211</v>
      </c>
      <c r="S3068" t="s">
        <v>15211</v>
      </c>
      <c r="T3068" t="s">
        <v>3367</v>
      </c>
      <c r="U3068" t="s">
        <v>11934</v>
      </c>
      <c r="V3068" t="s">
        <v>15215</v>
      </c>
    </row>
    <row r="3069" spans="1:22" ht="17.399999999999999" hidden="1">
      <c r="A3069" t="s">
        <v>15344</v>
      </c>
      <c r="B3069" t="s">
        <v>15441</v>
      </c>
      <c r="C3069" t="s">
        <v>15449</v>
      </c>
      <c r="D3069" t="s">
        <v>13</v>
      </c>
      <c r="E3069" t="s">
        <v>3431</v>
      </c>
      <c r="F3069" t="s">
        <v>3452</v>
      </c>
      <c r="G3069" s="3">
        <v>36.096111218480502</v>
      </c>
      <c r="H3069" s="3">
        <v>129.374163253619</v>
      </c>
      <c r="I3069" t="s">
        <v>3780</v>
      </c>
      <c r="J3069" t="s">
        <v>7139</v>
      </c>
      <c r="K3069" t="s">
        <v>10492</v>
      </c>
      <c r="L3069" t="s">
        <v>3378</v>
      </c>
      <c r="M3069" t="s">
        <v>11887</v>
      </c>
      <c r="N3069" t="s">
        <v>3363</v>
      </c>
      <c r="O3069" t="s">
        <v>3357</v>
      </c>
      <c r="P3069" t="s">
        <v>15211</v>
      </c>
      <c r="Q3069" t="s">
        <v>15211</v>
      </c>
      <c r="R3069" t="s">
        <v>15211</v>
      </c>
      <c r="S3069" t="s">
        <v>15211</v>
      </c>
      <c r="T3069" t="s">
        <v>3364</v>
      </c>
      <c r="U3069" t="s">
        <v>11935</v>
      </c>
      <c r="V3069" t="s">
        <v>15216</v>
      </c>
    </row>
    <row r="3070" spans="1:22" ht="17.399999999999999" hidden="1">
      <c r="A3070" t="s">
        <v>15344</v>
      </c>
      <c r="B3070" t="s">
        <v>15441</v>
      </c>
      <c r="C3070" t="s">
        <v>15449</v>
      </c>
      <c r="D3070" t="s">
        <v>14</v>
      </c>
      <c r="E3070" t="s">
        <v>3432</v>
      </c>
      <c r="F3070" t="s">
        <v>3464</v>
      </c>
      <c r="G3070" s="3">
        <v>36.0961112578171</v>
      </c>
      <c r="H3070" s="3">
        <v>129.374163215115</v>
      </c>
      <c r="I3070" t="s">
        <v>3781</v>
      </c>
      <c r="J3070" t="s">
        <v>7140</v>
      </c>
      <c r="K3070" t="s">
        <v>10493</v>
      </c>
      <c r="L3070" t="s">
        <v>3366</v>
      </c>
      <c r="M3070" t="s">
        <v>11887</v>
      </c>
      <c r="N3070" t="s">
        <v>3363</v>
      </c>
      <c r="O3070" t="s">
        <v>15211</v>
      </c>
      <c r="P3070" t="s">
        <v>15211</v>
      </c>
      <c r="Q3070" t="s">
        <v>15211</v>
      </c>
      <c r="R3070" t="s">
        <v>15211</v>
      </c>
      <c r="S3070" t="s">
        <v>15211</v>
      </c>
      <c r="T3070" t="s">
        <v>3363</v>
      </c>
      <c r="U3070" t="s">
        <v>11936</v>
      </c>
      <c r="V3070" t="s">
        <v>15216</v>
      </c>
    </row>
    <row r="3071" spans="1:22" ht="17.399999999999999" hidden="1">
      <c r="A3071" t="s">
        <v>15344</v>
      </c>
      <c r="B3071" t="s">
        <v>15441</v>
      </c>
      <c r="C3071" t="s">
        <v>15449</v>
      </c>
      <c r="D3071" t="s">
        <v>15</v>
      </c>
      <c r="E3071" t="s">
        <v>3433</v>
      </c>
      <c r="F3071" t="s">
        <v>3466</v>
      </c>
      <c r="G3071" s="3">
        <v>36.096111233146097</v>
      </c>
      <c r="H3071" s="3">
        <v>129.37416325915899</v>
      </c>
      <c r="I3071" t="s">
        <v>3782</v>
      </c>
      <c r="J3071" t="s">
        <v>7141</v>
      </c>
      <c r="K3071" t="s">
        <v>10494</v>
      </c>
      <c r="L3071" t="s">
        <v>3366</v>
      </c>
      <c r="M3071" t="s">
        <v>11887</v>
      </c>
      <c r="N3071" t="s">
        <v>3363</v>
      </c>
      <c r="O3071" t="s">
        <v>15211</v>
      </c>
      <c r="P3071" t="s">
        <v>15211</v>
      </c>
      <c r="Q3071" t="s">
        <v>15211</v>
      </c>
      <c r="R3071" t="s">
        <v>15211</v>
      </c>
      <c r="S3071" t="s">
        <v>15211</v>
      </c>
      <c r="T3071" t="s">
        <v>3363</v>
      </c>
      <c r="U3071" t="s">
        <v>11937</v>
      </c>
      <c r="V3071" t="s">
        <v>15216</v>
      </c>
    </row>
    <row r="3072" spans="1:22" ht="17.399999999999999" hidden="1">
      <c r="A3072" t="s">
        <v>15344</v>
      </c>
      <c r="B3072" t="s">
        <v>15442</v>
      </c>
      <c r="C3072" t="s">
        <v>15450</v>
      </c>
      <c r="D3072" t="s">
        <v>16</v>
      </c>
      <c r="E3072" t="s">
        <v>3434</v>
      </c>
      <c r="F3072" t="s">
        <v>3465</v>
      </c>
      <c r="G3072" s="3">
        <v>36.096111050301801</v>
      </c>
      <c r="H3072" s="3">
        <v>129.37416335018699</v>
      </c>
      <c r="I3072" t="s">
        <v>3783</v>
      </c>
      <c r="J3072" t="s">
        <v>7142</v>
      </c>
      <c r="K3072" t="s">
        <v>10495</v>
      </c>
      <c r="L3072" t="s">
        <v>3375</v>
      </c>
      <c r="M3072" t="s">
        <v>11886</v>
      </c>
      <c r="N3072" t="s">
        <v>3363</v>
      </c>
      <c r="O3072" t="s">
        <v>3360</v>
      </c>
      <c r="P3072" t="s">
        <v>15211</v>
      </c>
      <c r="Q3072" t="s">
        <v>15211</v>
      </c>
      <c r="R3072" t="s">
        <v>15211</v>
      </c>
      <c r="S3072" t="s">
        <v>15211</v>
      </c>
      <c r="T3072" t="s">
        <v>3367</v>
      </c>
      <c r="U3072" t="s">
        <v>11938</v>
      </c>
      <c r="V3072" t="s">
        <v>15217</v>
      </c>
    </row>
    <row r="3073" spans="1:22" ht="17.399999999999999" hidden="1">
      <c r="A3073" t="s">
        <v>15344</v>
      </c>
      <c r="B3073" t="s">
        <v>15442</v>
      </c>
      <c r="C3073" t="s">
        <v>15450</v>
      </c>
      <c r="D3073" t="s">
        <v>17</v>
      </c>
      <c r="E3073" t="s">
        <v>3435</v>
      </c>
      <c r="F3073" t="s">
        <v>3449</v>
      </c>
      <c r="G3073" s="3">
        <v>36.096110988880902</v>
      </c>
      <c r="H3073" s="3">
        <v>129.37416323201401</v>
      </c>
      <c r="I3073" t="s">
        <v>3784</v>
      </c>
      <c r="J3073" t="s">
        <v>7143</v>
      </c>
      <c r="K3073" t="s">
        <v>10496</v>
      </c>
      <c r="L3073" t="s">
        <v>3366</v>
      </c>
      <c r="M3073" t="s">
        <v>11886</v>
      </c>
      <c r="N3073" t="s">
        <v>3363</v>
      </c>
      <c r="O3073" t="s">
        <v>3360</v>
      </c>
      <c r="P3073" t="s">
        <v>15211</v>
      </c>
      <c r="Q3073" t="s">
        <v>15211</v>
      </c>
      <c r="R3073" t="s">
        <v>15211</v>
      </c>
      <c r="S3073" t="s">
        <v>15211</v>
      </c>
      <c r="T3073" t="s">
        <v>3367</v>
      </c>
      <c r="U3073" t="s">
        <v>11939</v>
      </c>
      <c r="V3073" t="s">
        <v>15217</v>
      </c>
    </row>
    <row r="3074" spans="1:22" ht="17.399999999999999" hidden="1">
      <c r="A3074" t="s">
        <v>15344</v>
      </c>
      <c r="B3074" t="s">
        <v>15442</v>
      </c>
      <c r="C3074" t="s">
        <v>15450</v>
      </c>
      <c r="D3074" t="s">
        <v>18</v>
      </c>
      <c r="E3074" t="s">
        <v>3429</v>
      </c>
      <c r="F3074" t="s">
        <v>3511</v>
      </c>
      <c r="G3074" s="3">
        <v>36.096111019859002</v>
      </c>
      <c r="H3074" s="3">
        <v>129.37416329635201</v>
      </c>
      <c r="I3074" t="s">
        <v>3785</v>
      </c>
      <c r="J3074" t="s">
        <v>7144</v>
      </c>
      <c r="K3074" t="s">
        <v>10497</v>
      </c>
      <c r="L3074" t="s">
        <v>3366</v>
      </c>
      <c r="M3074" t="s">
        <v>11886</v>
      </c>
      <c r="N3074" t="s">
        <v>3363</v>
      </c>
      <c r="O3074" t="s">
        <v>3360</v>
      </c>
      <c r="P3074" t="s">
        <v>15211</v>
      </c>
      <c r="Q3074" t="s">
        <v>15211</v>
      </c>
      <c r="R3074" t="s">
        <v>15211</v>
      </c>
      <c r="S3074" t="s">
        <v>15211</v>
      </c>
      <c r="T3074" t="s">
        <v>3367</v>
      </c>
      <c r="U3074" t="s">
        <v>11940</v>
      </c>
      <c r="V3074" t="s">
        <v>15217</v>
      </c>
    </row>
    <row r="3075" spans="1:22" ht="17.399999999999999" hidden="1">
      <c r="A3075" t="s">
        <v>15344</v>
      </c>
      <c r="B3075" t="s">
        <v>15442</v>
      </c>
      <c r="C3075" t="s">
        <v>15445</v>
      </c>
      <c r="D3075" t="s">
        <v>19</v>
      </c>
      <c r="E3075" t="s">
        <v>3427</v>
      </c>
      <c r="F3075" t="s">
        <v>3441</v>
      </c>
      <c r="G3075" s="3">
        <v>36.096111014288098</v>
      </c>
      <c r="H3075" s="3">
        <v>129.37416320611501</v>
      </c>
      <c r="I3075" t="s">
        <v>3786</v>
      </c>
      <c r="J3075" t="s">
        <v>7145</v>
      </c>
      <c r="K3075" t="s">
        <v>10498</v>
      </c>
      <c r="L3075" t="s">
        <v>3376</v>
      </c>
      <c r="M3075" t="s">
        <v>11886</v>
      </c>
      <c r="N3075" t="s">
        <v>3363</v>
      </c>
      <c r="O3075" t="s">
        <v>3360</v>
      </c>
      <c r="P3075" t="s">
        <v>15211</v>
      </c>
      <c r="Q3075" t="s">
        <v>15211</v>
      </c>
      <c r="R3075" t="s">
        <v>15211</v>
      </c>
      <c r="S3075" t="s">
        <v>15211</v>
      </c>
      <c r="T3075" t="s">
        <v>3367</v>
      </c>
      <c r="U3075" t="s">
        <v>11941</v>
      </c>
      <c r="V3075" t="s">
        <v>15218</v>
      </c>
    </row>
    <row r="3076" spans="1:22" ht="17.399999999999999" hidden="1">
      <c r="A3076" t="s">
        <v>15344</v>
      </c>
      <c r="B3076" t="s">
        <v>15442</v>
      </c>
      <c r="C3076" t="s">
        <v>15445</v>
      </c>
      <c r="D3076" t="s">
        <v>20</v>
      </c>
      <c r="E3076" t="s">
        <v>3428</v>
      </c>
      <c r="F3076" t="s">
        <v>3441</v>
      </c>
      <c r="G3076" s="3">
        <v>36.096111013077198</v>
      </c>
      <c r="H3076" s="3">
        <v>129.374163295112</v>
      </c>
      <c r="I3076" t="s">
        <v>3787</v>
      </c>
      <c r="J3076" t="s">
        <v>7146</v>
      </c>
      <c r="K3076" t="s">
        <v>10499</v>
      </c>
      <c r="L3076" t="s">
        <v>3366</v>
      </c>
      <c r="M3076" t="s">
        <v>11886</v>
      </c>
      <c r="N3076" t="s">
        <v>3363</v>
      </c>
      <c r="O3076" t="s">
        <v>3360</v>
      </c>
      <c r="P3076" t="s">
        <v>15211</v>
      </c>
      <c r="Q3076" t="s">
        <v>15211</v>
      </c>
      <c r="R3076" t="s">
        <v>15211</v>
      </c>
      <c r="S3076" t="s">
        <v>15211</v>
      </c>
      <c r="T3076" t="s">
        <v>3367</v>
      </c>
      <c r="U3076" t="s">
        <v>11942</v>
      </c>
      <c r="V3076" t="s">
        <v>15218</v>
      </c>
    </row>
    <row r="3077" spans="1:22" ht="17.399999999999999" hidden="1">
      <c r="A3077" t="s">
        <v>15344</v>
      </c>
      <c r="B3077" t="s">
        <v>15442</v>
      </c>
      <c r="C3077" t="s">
        <v>15445</v>
      </c>
      <c r="D3077" t="s">
        <v>21</v>
      </c>
      <c r="E3077" t="s">
        <v>3436</v>
      </c>
      <c r="F3077" t="s">
        <v>3452</v>
      </c>
      <c r="G3077" s="3">
        <v>36.096110903848697</v>
      </c>
      <c r="H3077" s="3">
        <v>129.37416327717</v>
      </c>
      <c r="I3077" t="s">
        <v>3788</v>
      </c>
      <c r="J3077" t="s">
        <v>7147</v>
      </c>
      <c r="K3077" t="s">
        <v>10500</v>
      </c>
      <c r="L3077" t="s">
        <v>3366</v>
      </c>
      <c r="M3077" t="s">
        <v>11886</v>
      </c>
      <c r="N3077" t="s">
        <v>3363</v>
      </c>
      <c r="O3077" t="s">
        <v>3360</v>
      </c>
      <c r="P3077" t="s">
        <v>15211</v>
      </c>
      <c r="Q3077" t="s">
        <v>15211</v>
      </c>
      <c r="R3077" t="s">
        <v>15211</v>
      </c>
      <c r="S3077" t="s">
        <v>15211</v>
      </c>
      <c r="T3077" t="s">
        <v>3367</v>
      </c>
      <c r="U3077" t="s">
        <v>11943</v>
      </c>
      <c r="V3077" t="s">
        <v>15218</v>
      </c>
    </row>
    <row r="3078" spans="1:22" ht="17.399999999999999" hidden="1">
      <c r="A3078" t="s">
        <v>15344</v>
      </c>
      <c r="B3078" t="s">
        <v>15442</v>
      </c>
      <c r="C3078" t="s">
        <v>15451</v>
      </c>
      <c r="D3078" t="s">
        <v>22</v>
      </c>
      <c r="E3078" t="s">
        <v>3437</v>
      </c>
      <c r="F3078" t="s">
        <v>3431</v>
      </c>
      <c r="G3078" s="3">
        <v>36.0961110353877</v>
      </c>
      <c r="H3078" s="3">
        <v>129.37416331908699</v>
      </c>
      <c r="I3078" t="s">
        <v>3789</v>
      </c>
      <c r="J3078" t="s">
        <v>7148</v>
      </c>
      <c r="K3078" t="s">
        <v>10501</v>
      </c>
      <c r="L3078" t="s">
        <v>3379</v>
      </c>
      <c r="M3078" t="s">
        <v>11888</v>
      </c>
      <c r="N3078" t="s">
        <v>3363</v>
      </c>
      <c r="O3078" t="s">
        <v>3360</v>
      </c>
      <c r="P3078" t="s">
        <v>3362</v>
      </c>
      <c r="Q3078" t="s">
        <v>3361</v>
      </c>
      <c r="R3078" t="s">
        <v>15211</v>
      </c>
      <c r="S3078" t="s">
        <v>15211</v>
      </c>
      <c r="T3078" t="s">
        <v>3378</v>
      </c>
      <c r="U3078" t="s">
        <v>11944</v>
      </c>
      <c r="V3078" t="s">
        <v>15219</v>
      </c>
    </row>
    <row r="3079" spans="1:22" ht="17.399999999999999" hidden="1">
      <c r="A3079" t="s">
        <v>15344</v>
      </c>
      <c r="B3079" t="s">
        <v>15442</v>
      </c>
      <c r="C3079" t="s">
        <v>15451</v>
      </c>
      <c r="D3079" t="s">
        <v>23</v>
      </c>
      <c r="E3079" t="s">
        <v>3437</v>
      </c>
      <c r="F3079" t="s">
        <v>3431</v>
      </c>
      <c r="G3079" s="3">
        <v>36.096111026448398</v>
      </c>
      <c r="H3079" s="3">
        <v>129.37416330227501</v>
      </c>
      <c r="I3079" t="s">
        <v>3790</v>
      </c>
      <c r="J3079" t="s">
        <v>7149</v>
      </c>
      <c r="K3079" t="s">
        <v>10502</v>
      </c>
      <c r="L3079" t="s">
        <v>3366</v>
      </c>
      <c r="M3079" t="s">
        <v>11888</v>
      </c>
      <c r="N3079" t="s">
        <v>3363</v>
      </c>
      <c r="O3079" t="s">
        <v>3360</v>
      </c>
      <c r="P3079" t="s">
        <v>3362</v>
      </c>
      <c r="Q3079" t="s">
        <v>3361</v>
      </c>
      <c r="R3079" t="s">
        <v>15211</v>
      </c>
      <c r="S3079" t="s">
        <v>15211</v>
      </c>
      <c r="T3079" t="s">
        <v>3378</v>
      </c>
      <c r="U3079" t="s">
        <v>11945</v>
      </c>
      <c r="V3079" t="s">
        <v>15219</v>
      </c>
    </row>
    <row r="3080" spans="1:22" ht="17.399999999999999" hidden="1">
      <c r="A3080" t="s">
        <v>15344</v>
      </c>
      <c r="B3080" t="s">
        <v>15442</v>
      </c>
      <c r="C3080" t="s">
        <v>15451</v>
      </c>
      <c r="D3080" t="s">
        <v>24</v>
      </c>
      <c r="E3080" t="s">
        <v>3437</v>
      </c>
      <c r="F3080" t="s">
        <v>3431</v>
      </c>
      <c r="G3080" s="3">
        <v>36.096111070814203</v>
      </c>
      <c r="H3080" s="3">
        <v>129.37416331540601</v>
      </c>
      <c r="I3080" t="s">
        <v>3791</v>
      </c>
      <c r="J3080" t="s">
        <v>7150</v>
      </c>
      <c r="K3080" t="s">
        <v>3658</v>
      </c>
      <c r="L3080" t="s">
        <v>3366</v>
      </c>
      <c r="M3080" t="s">
        <v>11889</v>
      </c>
      <c r="N3080" t="s">
        <v>3363</v>
      </c>
      <c r="O3080" t="s">
        <v>3360</v>
      </c>
      <c r="P3080" t="s">
        <v>3362</v>
      </c>
      <c r="Q3080" t="s">
        <v>3361</v>
      </c>
      <c r="R3080" t="s">
        <v>15211</v>
      </c>
      <c r="S3080" t="s">
        <v>15211</v>
      </c>
      <c r="T3080" t="s">
        <v>3378</v>
      </c>
      <c r="U3080" t="s">
        <v>11946</v>
      </c>
      <c r="V3080" t="s">
        <v>15219</v>
      </c>
    </row>
    <row r="3081" spans="1:22" ht="17.399999999999999">
      <c r="A3081" t="s">
        <v>15344</v>
      </c>
      <c r="B3081" t="s">
        <v>15443</v>
      </c>
      <c r="C3081" t="s">
        <v>15452</v>
      </c>
      <c r="D3081" t="s">
        <v>25</v>
      </c>
      <c r="E3081" t="s">
        <v>3425</v>
      </c>
      <c r="F3081" t="s">
        <v>3461</v>
      </c>
      <c r="G3081" s="3">
        <v>36.096111117715097</v>
      </c>
      <c r="H3081" s="3">
        <v>129.37416334989601</v>
      </c>
      <c r="I3081" t="s">
        <v>3792</v>
      </c>
      <c r="J3081" t="s">
        <v>7151</v>
      </c>
      <c r="K3081" t="s">
        <v>3616</v>
      </c>
      <c r="L3081" t="s">
        <v>3379</v>
      </c>
      <c r="M3081" t="s">
        <v>11890</v>
      </c>
      <c r="N3081" t="s">
        <v>3363</v>
      </c>
      <c r="O3081" t="s">
        <v>15211</v>
      </c>
      <c r="P3081" t="s">
        <v>3362</v>
      </c>
      <c r="Q3081" t="s">
        <v>15211</v>
      </c>
      <c r="R3081" t="s">
        <v>15211</v>
      </c>
      <c r="S3081" t="s">
        <v>15211</v>
      </c>
      <c r="T3081" t="s">
        <v>3369</v>
      </c>
      <c r="U3081" t="s">
        <v>11947</v>
      </c>
      <c r="V3081" t="s">
        <v>15220</v>
      </c>
    </row>
    <row r="3082" spans="1:22" ht="17.399999999999999">
      <c r="A3082" t="s">
        <v>15344</v>
      </c>
      <c r="B3082" t="s">
        <v>15443</v>
      </c>
      <c r="C3082" t="s">
        <v>15452</v>
      </c>
      <c r="D3082" t="s">
        <v>26</v>
      </c>
      <c r="E3082" t="s">
        <v>3425</v>
      </c>
      <c r="F3082" t="s">
        <v>3452</v>
      </c>
      <c r="G3082" s="3">
        <v>36.096111144154001</v>
      </c>
      <c r="H3082" s="3">
        <v>129.374163333333</v>
      </c>
      <c r="I3082" t="s">
        <v>3793</v>
      </c>
      <c r="J3082" t="s">
        <v>7152</v>
      </c>
      <c r="K3082" t="s">
        <v>3616</v>
      </c>
      <c r="L3082" t="s">
        <v>3366</v>
      </c>
      <c r="M3082" t="s">
        <v>11890</v>
      </c>
      <c r="N3082" t="s">
        <v>3363</v>
      </c>
      <c r="O3082" t="s">
        <v>15211</v>
      </c>
      <c r="P3082" t="s">
        <v>3362</v>
      </c>
      <c r="Q3082" t="s">
        <v>15211</v>
      </c>
      <c r="R3082" t="s">
        <v>15211</v>
      </c>
      <c r="S3082" t="s">
        <v>15211</v>
      </c>
      <c r="T3082" t="s">
        <v>3369</v>
      </c>
      <c r="U3082" t="s">
        <v>11948</v>
      </c>
      <c r="V3082" t="s">
        <v>15220</v>
      </c>
    </row>
    <row r="3083" spans="1:22" ht="17.399999999999999">
      <c r="A3083" t="s">
        <v>15344</v>
      </c>
      <c r="B3083" t="s">
        <v>15443</v>
      </c>
      <c r="C3083" t="s">
        <v>15452</v>
      </c>
      <c r="D3083" t="s">
        <v>27</v>
      </c>
      <c r="E3083" t="s">
        <v>3425</v>
      </c>
      <c r="F3083" t="s">
        <v>3452</v>
      </c>
      <c r="G3083" s="3">
        <v>36.096111119521098</v>
      </c>
      <c r="H3083" s="3">
        <v>129.374163336218</v>
      </c>
      <c r="I3083" t="s">
        <v>3794</v>
      </c>
      <c r="J3083" t="s">
        <v>7153</v>
      </c>
      <c r="K3083" t="s">
        <v>10503</v>
      </c>
      <c r="L3083" t="s">
        <v>3366</v>
      </c>
      <c r="M3083" t="s">
        <v>11890</v>
      </c>
      <c r="N3083" t="s">
        <v>3363</v>
      </c>
      <c r="O3083" t="s">
        <v>15211</v>
      </c>
      <c r="P3083" t="s">
        <v>3362</v>
      </c>
      <c r="Q3083" t="s">
        <v>15211</v>
      </c>
      <c r="R3083" t="s">
        <v>15211</v>
      </c>
      <c r="S3083" t="s">
        <v>15211</v>
      </c>
      <c r="T3083" t="s">
        <v>3369</v>
      </c>
      <c r="U3083" t="s">
        <v>11949</v>
      </c>
      <c r="V3083" t="s">
        <v>15220</v>
      </c>
    </row>
    <row r="3084" spans="1:22" ht="17.399999999999999" hidden="1">
      <c r="A3084" t="s">
        <v>15344</v>
      </c>
      <c r="B3084" t="s">
        <v>15443</v>
      </c>
      <c r="C3084" t="s">
        <v>15453</v>
      </c>
      <c r="D3084" t="s">
        <v>28</v>
      </c>
      <c r="E3084" t="s">
        <v>3425</v>
      </c>
      <c r="F3084" t="s">
        <v>3461</v>
      </c>
      <c r="G3084" s="3">
        <v>36.096111057465102</v>
      </c>
      <c r="H3084" s="3">
        <v>129.374163324178</v>
      </c>
      <c r="I3084" t="s">
        <v>3795</v>
      </c>
      <c r="J3084" t="s">
        <v>7154</v>
      </c>
      <c r="K3084" t="s">
        <v>10504</v>
      </c>
      <c r="L3084" t="s">
        <v>3382</v>
      </c>
      <c r="M3084" t="s">
        <v>11890</v>
      </c>
      <c r="N3084" t="s">
        <v>3363</v>
      </c>
      <c r="O3084" t="s">
        <v>15211</v>
      </c>
      <c r="P3084" t="s">
        <v>3362</v>
      </c>
      <c r="Q3084" t="s">
        <v>15211</v>
      </c>
      <c r="R3084" t="s">
        <v>15211</v>
      </c>
      <c r="S3084" t="s">
        <v>15211</v>
      </c>
      <c r="T3084" t="s">
        <v>3369</v>
      </c>
      <c r="U3084" t="s">
        <v>11950</v>
      </c>
      <c r="V3084" t="s">
        <v>15221</v>
      </c>
    </row>
    <row r="3085" spans="1:22" ht="17.399999999999999" hidden="1">
      <c r="A3085" t="s">
        <v>15344</v>
      </c>
      <c r="B3085" t="s">
        <v>15443</v>
      </c>
      <c r="C3085" t="s">
        <v>15453</v>
      </c>
      <c r="D3085" t="s">
        <v>29</v>
      </c>
      <c r="E3085" t="s">
        <v>3431</v>
      </c>
      <c r="F3085" t="s">
        <v>3426</v>
      </c>
      <c r="G3085" s="3">
        <v>36.096111051232498</v>
      </c>
      <c r="H3085" s="3">
        <v>129.37416329684501</v>
      </c>
      <c r="I3085" t="s">
        <v>3796</v>
      </c>
      <c r="J3085" t="s">
        <v>7155</v>
      </c>
      <c r="K3085" t="s">
        <v>10505</v>
      </c>
      <c r="L3085" t="s">
        <v>3366</v>
      </c>
      <c r="M3085" t="s">
        <v>11885</v>
      </c>
      <c r="N3085" t="s">
        <v>3363</v>
      </c>
      <c r="O3085" t="s">
        <v>15211</v>
      </c>
      <c r="P3085" t="s">
        <v>3362</v>
      </c>
      <c r="Q3085" t="s">
        <v>15211</v>
      </c>
      <c r="R3085" t="s">
        <v>15211</v>
      </c>
      <c r="S3085" t="s">
        <v>15211</v>
      </c>
      <c r="T3085" t="s">
        <v>3369</v>
      </c>
      <c r="U3085" t="s">
        <v>11951</v>
      </c>
      <c r="V3085" t="s">
        <v>15221</v>
      </c>
    </row>
    <row r="3086" spans="1:22" ht="17.399999999999999" hidden="1">
      <c r="A3086" t="s">
        <v>15344</v>
      </c>
      <c r="B3086" t="s">
        <v>15443</v>
      </c>
      <c r="C3086" t="s">
        <v>15453</v>
      </c>
      <c r="D3086" t="s">
        <v>30</v>
      </c>
      <c r="E3086" t="s">
        <v>3435</v>
      </c>
      <c r="F3086" t="s">
        <v>3463</v>
      </c>
      <c r="G3086" s="3">
        <v>36.096111051201802</v>
      </c>
      <c r="H3086" s="3">
        <v>129.37416325214599</v>
      </c>
      <c r="I3086" t="s">
        <v>3797</v>
      </c>
      <c r="J3086" t="s">
        <v>7156</v>
      </c>
      <c r="K3086" t="s">
        <v>10506</v>
      </c>
      <c r="L3086" t="s">
        <v>3366</v>
      </c>
      <c r="M3086" t="s">
        <v>11885</v>
      </c>
      <c r="N3086" t="s">
        <v>3363</v>
      </c>
      <c r="O3086" t="s">
        <v>15211</v>
      </c>
      <c r="P3086" t="s">
        <v>3361</v>
      </c>
      <c r="Q3086" t="s">
        <v>15211</v>
      </c>
      <c r="R3086" t="s">
        <v>15211</v>
      </c>
      <c r="S3086" t="s">
        <v>15211</v>
      </c>
      <c r="T3086" t="s">
        <v>3368</v>
      </c>
      <c r="U3086" t="s">
        <v>11952</v>
      </c>
      <c r="V3086" t="s">
        <v>15221</v>
      </c>
    </row>
    <row r="3087" spans="1:22" ht="17.399999999999999" hidden="1">
      <c r="A3087" t="s">
        <v>15413</v>
      </c>
      <c r="B3087" t="s">
        <v>15442</v>
      </c>
      <c r="C3087" t="s">
        <v>15445</v>
      </c>
      <c r="D3087" t="s">
        <v>3082</v>
      </c>
      <c r="E3087" t="s">
        <v>3440</v>
      </c>
      <c r="F3087" t="s">
        <v>3442</v>
      </c>
      <c r="G3087" s="3">
        <v>36.797273128750099</v>
      </c>
      <c r="H3087" s="3">
        <v>128.18593825823899</v>
      </c>
      <c r="I3087" t="s">
        <v>6852</v>
      </c>
      <c r="J3087" t="s">
        <v>10205</v>
      </c>
      <c r="K3087" t="s">
        <v>11564</v>
      </c>
      <c r="L3087" t="s">
        <v>3366</v>
      </c>
      <c r="M3087" t="s">
        <v>11886</v>
      </c>
      <c r="N3087" t="s">
        <v>3364</v>
      </c>
      <c r="O3087" t="s">
        <v>3359</v>
      </c>
      <c r="P3087" t="s">
        <v>15211</v>
      </c>
      <c r="Q3087" t="s">
        <v>15211</v>
      </c>
      <c r="R3087" t="s">
        <v>15211</v>
      </c>
      <c r="S3087" t="s">
        <v>15211</v>
      </c>
      <c r="T3087" t="s">
        <v>3367</v>
      </c>
      <c r="U3087" t="s">
        <v>14946</v>
      </c>
      <c r="V3087" t="s">
        <v>15233</v>
      </c>
    </row>
    <row r="3088" spans="1:22" ht="17.399999999999999" hidden="1">
      <c r="A3088" t="s">
        <v>15413</v>
      </c>
      <c r="B3088" t="s">
        <v>15442</v>
      </c>
      <c r="C3088" t="s">
        <v>15445</v>
      </c>
      <c r="D3088" t="s">
        <v>3083</v>
      </c>
      <c r="E3088" t="s">
        <v>3427</v>
      </c>
      <c r="F3088" t="s">
        <v>3441</v>
      </c>
      <c r="G3088" s="3">
        <v>36.7972731797311</v>
      </c>
      <c r="H3088" s="3">
        <v>128.18593827102299</v>
      </c>
      <c r="I3088" t="s">
        <v>6853</v>
      </c>
      <c r="J3088" t="s">
        <v>10206</v>
      </c>
      <c r="K3088" t="s">
        <v>10628</v>
      </c>
      <c r="L3088" t="s">
        <v>3366</v>
      </c>
      <c r="M3088" t="s">
        <v>11900</v>
      </c>
      <c r="N3088" t="s">
        <v>3363</v>
      </c>
      <c r="O3088" t="s">
        <v>3358</v>
      </c>
      <c r="P3088" t="s">
        <v>15211</v>
      </c>
      <c r="Q3088" t="s">
        <v>15211</v>
      </c>
      <c r="R3088" t="s">
        <v>15211</v>
      </c>
      <c r="S3088" t="s">
        <v>15211</v>
      </c>
      <c r="T3088" t="s">
        <v>3365</v>
      </c>
      <c r="U3088" t="s">
        <v>14947</v>
      </c>
      <c r="V3088" t="s">
        <v>15233</v>
      </c>
    </row>
    <row r="3089" spans="1:22" ht="17.399999999999999" hidden="1">
      <c r="A3089" t="s">
        <v>15413</v>
      </c>
      <c r="B3089" t="s">
        <v>15442</v>
      </c>
      <c r="C3089" t="s">
        <v>15445</v>
      </c>
      <c r="D3089" t="s">
        <v>3084</v>
      </c>
      <c r="E3089" t="s">
        <v>3438</v>
      </c>
      <c r="F3089" t="s">
        <v>3430</v>
      </c>
      <c r="G3089" s="3">
        <v>36.797273158946403</v>
      </c>
      <c r="H3089" s="3">
        <v>128.18593826946</v>
      </c>
      <c r="I3089" t="s">
        <v>6854</v>
      </c>
      <c r="J3089" t="s">
        <v>10207</v>
      </c>
      <c r="K3089" t="s">
        <v>11789</v>
      </c>
      <c r="L3089" t="s">
        <v>3366</v>
      </c>
      <c r="M3089" t="s">
        <v>11902</v>
      </c>
      <c r="N3089" t="s">
        <v>3363</v>
      </c>
      <c r="O3089" t="s">
        <v>3359</v>
      </c>
      <c r="P3089" t="s">
        <v>15211</v>
      </c>
      <c r="Q3089" t="s">
        <v>15211</v>
      </c>
      <c r="R3089" t="s">
        <v>15211</v>
      </c>
      <c r="S3089" t="s">
        <v>15211</v>
      </c>
      <c r="T3089" t="s">
        <v>3366</v>
      </c>
      <c r="U3089" t="s">
        <v>14948</v>
      </c>
      <c r="V3089" t="s">
        <v>15233</v>
      </c>
    </row>
    <row r="3090" spans="1:22" ht="17.399999999999999" hidden="1">
      <c r="A3090" t="s">
        <v>15413</v>
      </c>
      <c r="B3090" t="s">
        <v>15441</v>
      </c>
      <c r="C3090" t="s">
        <v>15448</v>
      </c>
      <c r="D3090" t="s">
        <v>3085</v>
      </c>
      <c r="E3090" t="s">
        <v>3436</v>
      </c>
      <c r="F3090" t="s">
        <v>3449</v>
      </c>
      <c r="G3090" s="3">
        <v>36.797273098861503</v>
      </c>
      <c r="H3090" s="3">
        <v>128.18593824381099</v>
      </c>
      <c r="I3090" t="s">
        <v>6855</v>
      </c>
      <c r="J3090" t="s">
        <v>10208</v>
      </c>
      <c r="K3090" t="s">
        <v>11366</v>
      </c>
      <c r="L3090" t="s">
        <v>3366</v>
      </c>
      <c r="M3090" t="s">
        <v>11893</v>
      </c>
      <c r="N3090" t="s">
        <v>3363</v>
      </c>
      <c r="O3090" t="s">
        <v>3358</v>
      </c>
      <c r="P3090" t="s">
        <v>3363</v>
      </c>
      <c r="Q3090" t="s">
        <v>3365</v>
      </c>
      <c r="R3090" t="s">
        <v>15211</v>
      </c>
      <c r="S3090" t="s">
        <v>15211</v>
      </c>
      <c r="T3090" t="s">
        <v>3381</v>
      </c>
      <c r="U3090" t="s">
        <v>14949</v>
      </c>
      <c r="V3090" t="s">
        <v>15230</v>
      </c>
    </row>
    <row r="3091" spans="1:22" ht="17.399999999999999" hidden="1">
      <c r="A3091" t="s">
        <v>15413</v>
      </c>
      <c r="B3091" t="s">
        <v>15441</v>
      </c>
      <c r="C3091" t="s">
        <v>15448</v>
      </c>
      <c r="D3091" t="s">
        <v>3086</v>
      </c>
      <c r="E3091" t="s">
        <v>3428</v>
      </c>
      <c r="F3091" t="s">
        <v>3450</v>
      </c>
      <c r="G3091" s="3">
        <v>36.797273115327698</v>
      </c>
      <c r="H3091" s="3">
        <v>128.185938233728</v>
      </c>
      <c r="I3091" t="s">
        <v>6856</v>
      </c>
      <c r="J3091" t="s">
        <v>10209</v>
      </c>
      <c r="K3091" t="s">
        <v>11519</v>
      </c>
      <c r="L3091" t="s">
        <v>3366</v>
      </c>
      <c r="M3091" t="s">
        <v>11893</v>
      </c>
      <c r="N3091" t="s">
        <v>3363</v>
      </c>
      <c r="O3091" t="s">
        <v>3358</v>
      </c>
      <c r="P3091" t="s">
        <v>3363</v>
      </c>
      <c r="Q3091" t="s">
        <v>3365</v>
      </c>
      <c r="R3091" t="s">
        <v>15211</v>
      </c>
      <c r="S3091" t="s">
        <v>15211</v>
      </c>
      <c r="T3091" t="s">
        <v>3381</v>
      </c>
      <c r="U3091" t="s">
        <v>14950</v>
      </c>
      <c r="V3091" t="s">
        <v>15230</v>
      </c>
    </row>
    <row r="3092" spans="1:22" ht="17.399999999999999" hidden="1">
      <c r="A3092" t="s">
        <v>15413</v>
      </c>
      <c r="B3092" t="s">
        <v>15441</v>
      </c>
      <c r="C3092" t="s">
        <v>15448</v>
      </c>
      <c r="D3092" t="s">
        <v>3087</v>
      </c>
      <c r="E3092" t="s">
        <v>3428</v>
      </c>
      <c r="F3092" t="s">
        <v>3450</v>
      </c>
      <c r="G3092" s="3">
        <v>36.797273113682301</v>
      </c>
      <c r="H3092" s="3">
        <v>128.18593822051901</v>
      </c>
      <c r="I3092" t="s">
        <v>6857</v>
      </c>
      <c r="J3092" t="s">
        <v>10210</v>
      </c>
      <c r="K3092" t="s">
        <v>11344</v>
      </c>
      <c r="L3092" t="s">
        <v>3366</v>
      </c>
      <c r="M3092" t="s">
        <v>11893</v>
      </c>
      <c r="N3092" t="s">
        <v>3363</v>
      </c>
      <c r="O3092" t="s">
        <v>3358</v>
      </c>
      <c r="P3092" t="s">
        <v>3363</v>
      </c>
      <c r="Q3092" t="s">
        <v>3365</v>
      </c>
      <c r="R3092" t="s">
        <v>15211</v>
      </c>
      <c r="S3092" t="s">
        <v>15211</v>
      </c>
      <c r="T3092" t="s">
        <v>3381</v>
      </c>
      <c r="U3092" t="s">
        <v>14951</v>
      </c>
      <c r="V3092" t="s">
        <v>15230</v>
      </c>
    </row>
    <row r="3093" spans="1:22" ht="17.399999999999999" hidden="1">
      <c r="A3093" t="s">
        <v>15413</v>
      </c>
      <c r="B3093" t="s">
        <v>15441</v>
      </c>
      <c r="C3093" t="s">
        <v>15449</v>
      </c>
      <c r="D3093" t="s">
        <v>3088</v>
      </c>
      <c r="E3093" t="s">
        <v>3439</v>
      </c>
      <c r="F3093" t="s">
        <v>3427</v>
      </c>
      <c r="G3093" s="3">
        <v>36.797273203851702</v>
      </c>
      <c r="H3093" s="3">
        <v>128.18593829734201</v>
      </c>
      <c r="I3093" t="s">
        <v>6858</v>
      </c>
      <c r="J3093" t="s">
        <v>10211</v>
      </c>
      <c r="K3093" t="s">
        <v>11407</v>
      </c>
      <c r="L3093" t="s">
        <v>3366</v>
      </c>
      <c r="M3093" t="s">
        <v>11896</v>
      </c>
      <c r="N3093" t="s">
        <v>3363</v>
      </c>
      <c r="O3093" t="s">
        <v>15211</v>
      </c>
      <c r="P3093" t="s">
        <v>3363</v>
      </c>
      <c r="Q3093" t="s">
        <v>3364</v>
      </c>
      <c r="R3093" t="s">
        <v>15211</v>
      </c>
      <c r="S3093" t="s">
        <v>15211</v>
      </c>
      <c r="T3093" t="s">
        <v>3378</v>
      </c>
      <c r="U3093" t="s">
        <v>14952</v>
      </c>
      <c r="V3093" t="s">
        <v>15231</v>
      </c>
    </row>
    <row r="3094" spans="1:22" ht="17.399999999999999" hidden="1">
      <c r="A3094" t="s">
        <v>15413</v>
      </c>
      <c r="B3094" t="s">
        <v>15441</v>
      </c>
      <c r="C3094" t="s">
        <v>15449</v>
      </c>
      <c r="D3094" t="s">
        <v>3089</v>
      </c>
      <c r="E3094" t="s">
        <v>3439</v>
      </c>
      <c r="F3094" t="s">
        <v>3438</v>
      </c>
      <c r="G3094" s="3">
        <v>36.797273185590598</v>
      </c>
      <c r="H3094" s="3">
        <v>128.18593829613999</v>
      </c>
      <c r="I3094" t="s">
        <v>6859</v>
      </c>
      <c r="J3094" t="s">
        <v>10212</v>
      </c>
      <c r="K3094" t="s">
        <v>11407</v>
      </c>
      <c r="L3094" t="s">
        <v>3366</v>
      </c>
      <c r="M3094" t="s">
        <v>11896</v>
      </c>
      <c r="N3094" t="s">
        <v>3363</v>
      </c>
      <c r="O3094" t="s">
        <v>15211</v>
      </c>
      <c r="P3094" t="s">
        <v>3363</v>
      </c>
      <c r="Q3094" t="s">
        <v>3365</v>
      </c>
      <c r="R3094" t="s">
        <v>15211</v>
      </c>
      <c r="S3094" t="s">
        <v>15211</v>
      </c>
      <c r="T3094" t="s">
        <v>3379</v>
      </c>
      <c r="U3094" t="s">
        <v>14953</v>
      </c>
      <c r="V3094" t="s">
        <v>15231</v>
      </c>
    </row>
    <row r="3095" spans="1:22" ht="17.399999999999999" hidden="1">
      <c r="A3095" t="s">
        <v>15413</v>
      </c>
      <c r="B3095" t="s">
        <v>15441</v>
      </c>
      <c r="C3095" t="s">
        <v>15449</v>
      </c>
      <c r="D3095" t="s">
        <v>3090</v>
      </c>
      <c r="E3095" t="s">
        <v>3439</v>
      </c>
      <c r="F3095" t="s">
        <v>3438</v>
      </c>
      <c r="G3095" s="3">
        <v>36.797273178647401</v>
      </c>
      <c r="H3095" s="3">
        <v>128.18593830127799</v>
      </c>
      <c r="I3095" t="s">
        <v>6860</v>
      </c>
      <c r="J3095" t="s">
        <v>10213</v>
      </c>
      <c r="K3095" t="s">
        <v>10805</v>
      </c>
      <c r="L3095" t="s">
        <v>3366</v>
      </c>
      <c r="M3095" t="s">
        <v>11896</v>
      </c>
      <c r="N3095" t="s">
        <v>3363</v>
      </c>
      <c r="O3095" t="s">
        <v>15211</v>
      </c>
      <c r="P3095" t="s">
        <v>3363</v>
      </c>
      <c r="Q3095" t="s">
        <v>3365</v>
      </c>
      <c r="R3095" t="s">
        <v>15211</v>
      </c>
      <c r="S3095" t="s">
        <v>15211</v>
      </c>
      <c r="T3095" t="s">
        <v>3379</v>
      </c>
      <c r="U3095" t="s">
        <v>14954</v>
      </c>
      <c r="V3095" t="s">
        <v>15231</v>
      </c>
    </row>
    <row r="3096" spans="1:22" ht="17.399999999999999" hidden="1">
      <c r="A3096" t="s">
        <v>15413</v>
      </c>
      <c r="B3096" t="s">
        <v>15441</v>
      </c>
      <c r="C3096" t="s">
        <v>15446</v>
      </c>
      <c r="D3096" t="s">
        <v>3091</v>
      </c>
      <c r="E3096" t="s">
        <v>3432</v>
      </c>
      <c r="F3096" t="s">
        <v>3466</v>
      </c>
      <c r="G3096" s="3">
        <v>36.7972730119658</v>
      </c>
      <c r="H3096" s="3">
        <v>128.185937421559</v>
      </c>
      <c r="I3096" t="s">
        <v>5742</v>
      </c>
      <c r="J3096" t="s">
        <v>10214</v>
      </c>
      <c r="K3096" t="s">
        <v>11834</v>
      </c>
      <c r="L3096" t="s">
        <v>3376</v>
      </c>
      <c r="M3096" t="s">
        <v>11900</v>
      </c>
      <c r="N3096" t="s">
        <v>3363</v>
      </c>
      <c r="O3096" t="s">
        <v>3358</v>
      </c>
      <c r="P3096" t="s">
        <v>15211</v>
      </c>
      <c r="Q3096" t="s">
        <v>15211</v>
      </c>
      <c r="R3096" t="s">
        <v>15211</v>
      </c>
      <c r="S3096" t="s">
        <v>15211</v>
      </c>
      <c r="T3096" t="s">
        <v>3365</v>
      </c>
      <c r="U3096" t="s">
        <v>14955</v>
      </c>
      <c r="V3096" t="s">
        <v>15229</v>
      </c>
    </row>
    <row r="3097" spans="1:22" ht="17.399999999999999" hidden="1">
      <c r="A3097" t="s">
        <v>15413</v>
      </c>
      <c r="B3097" t="s">
        <v>15441</v>
      </c>
      <c r="C3097" t="s">
        <v>15446</v>
      </c>
      <c r="D3097" t="s">
        <v>3092</v>
      </c>
      <c r="E3097" t="s">
        <v>3432</v>
      </c>
      <c r="F3097" t="s">
        <v>3476</v>
      </c>
      <c r="G3097" s="3">
        <v>36.7972731322415</v>
      </c>
      <c r="H3097" s="3">
        <v>128.18593737131701</v>
      </c>
      <c r="I3097" t="s">
        <v>6861</v>
      </c>
      <c r="J3097" t="s">
        <v>10215</v>
      </c>
      <c r="K3097" t="s">
        <v>11834</v>
      </c>
      <c r="L3097" t="s">
        <v>3366</v>
      </c>
      <c r="M3097" t="s">
        <v>11900</v>
      </c>
      <c r="N3097" t="s">
        <v>3363</v>
      </c>
      <c r="O3097" t="s">
        <v>3358</v>
      </c>
      <c r="P3097" t="s">
        <v>15211</v>
      </c>
      <c r="Q3097" t="s">
        <v>15211</v>
      </c>
      <c r="R3097" t="s">
        <v>15211</v>
      </c>
      <c r="S3097" t="s">
        <v>15211</v>
      </c>
      <c r="T3097" t="s">
        <v>3365</v>
      </c>
      <c r="U3097" t="s">
        <v>14956</v>
      </c>
      <c r="V3097" t="s">
        <v>15229</v>
      </c>
    </row>
    <row r="3098" spans="1:22" ht="17.399999999999999" hidden="1">
      <c r="A3098" t="s">
        <v>15413</v>
      </c>
      <c r="B3098" t="s">
        <v>15441</v>
      </c>
      <c r="C3098" t="s">
        <v>15446</v>
      </c>
      <c r="D3098" t="s">
        <v>3093</v>
      </c>
      <c r="E3098" t="s">
        <v>3441</v>
      </c>
      <c r="F3098" t="s">
        <v>3464</v>
      </c>
      <c r="G3098" s="3">
        <v>36.797273074269199</v>
      </c>
      <c r="H3098" s="3">
        <v>128.185937372708</v>
      </c>
      <c r="I3098" t="s">
        <v>6862</v>
      </c>
      <c r="J3098" t="s">
        <v>10216</v>
      </c>
      <c r="K3098" t="s">
        <v>11835</v>
      </c>
      <c r="L3098" t="s">
        <v>3377</v>
      </c>
      <c r="M3098" t="s">
        <v>11900</v>
      </c>
      <c r="N3098" t="s">
        <v>3363</v>
      </c>
      <c r="O3098" t="s">
        <v>3358</v>
      </c>
      <c r="P3098" t="s">
        <v>15211</v>
      </c>
      <c r="Q3098" t="s">
        <v>15211</v>
      </c>
      <c r="R3098" t="s">
        <v>15211</v>
      </c>
      <c r="S3098" t="s">
        <v>15211</v>
      </c>
      <c r="T3098" t="s">
        <v>3365</v>
      </c>
      <c r="U3098" t="s">
        <v>14957</v>
      </c>
      <c r="V3098" t="s">
        <v>15229</v>
      </c>
    </row>
    <row r="3099" spans="1:22" ht="17.399999999999999" hidden="1">
      <c r="A3099" t="s">
        <v>15413</v>
      </c>
      <c r="B3099" t="s">
        <v>15442</v>
      </c>
      <c r="C3099" t="s">
        <v>15450</v>
      </c>
      <c r="D3099" t="s">
        <v>3094</v>
      </c>
      <c r="E3099" t="s">
        <v>3434</v>
      </c>
      <c r="F3099" t="s">
        <v>3484</v>
      </c>
      <c r="G3099" s="3">
        <v>36.797273418693898</v>
      </c>
      <c r="H3099" s="3">
        <v>128.18593824922101</v>
      </c>
      <c r="I3099" t="s">
        <v>6863</v>
      </c>
      <c r="J3099" t="s">
        <v>10217</v>
      </c>
      <c r="K3099" t="s">
        <v>11836</v>
      </c>
      <c r="L3099" t="s">
        <v>3367</v>
      </c>
      <c r="M3099" t="s">
        <v>11886</v>
      </c>
      <c r="N3099" t="s">
        <v>3363</v>
      </c>
      <c r="O3099" t="s">
        <v>3360</v>
      </c>
      <c r="P3099" t="s">
        <v>3357</v>
      </c>
      <c r="Q3099" t="s">
        <v>3359</v>
      </c>
      <c r="R3099" t="s">
        <v>15211</v>
      </c>
      <c r="S3099" t="s">
        <v>15211</v>
      </c>
      <c r="T3099" t="s">
        <v>3371</v>
      </c>
      <c r="U3099" t="s">
        <v>14958</v>
      </c>
      <c r="V3099" t="s">
        <v>15232</v>
      </c>
    </row>
    <row r="3100" spans="1:22" ht="17.399999999999999" hidden="1">
      <c r="A3100" t="s">
        <v>15413</v>
      </c>
      <c r="B3100" t="s">
        <v>15442</v>
      </c>
      <c r="C3100" t="s">
        <v>15450</v>
      </c>
      <c r="D3100" t="s">
        <v>3095</v>
      </c>
      <c r="E3100" t="s">
        <v>3425</v>
      </c>
      <c r="F3100" t="s">
        <v>3452</v>
      </c>
      <c r="G3100" s="3">
        <v>36.797273394487398</v>
      </c>
      <c r="H3100" s="3">
        <v>128.18593826869801</v>
      </c>
      <c r="I3100" t="s">
        <v>6864</v>
      </c>
      <c r="J3100" t="s">
        <v>10218</v>
      </c>
      <c r="K3100" t="s">
        <v>10638</v>
      </c>
      <c r="L3100" t="s">
        <v>3366</v>
      </c>
      <c r="M3100" t="s">
        <v>11886</v>
      </c>
      <c r="N3100" t="s">
        <v>3363</v>
      </c>
      <c r="O3100" t="s">
        <v>3360</v>
      </c>
      <c r="P3100" t="s">
        <v>15211</v>
      </c>
      <c r="Q3100" t="s">
        <v>15211</v>
      </c>
      <c r="R3100" t="s">
        <v>15211</v>
      </c>
      <c r="S3100" t="s">
        <v>15211</v>
      </c>
      <c r="T3100" t="s">
        <v>3367</v>
      </c>
      <c r="U3100" t="s">
        <v>14959</v>
      </c>
      <c r="V3100" t="s">
        <v>15232</v>
      </c>
    </row>
    <row r="3101" spans="1:22" ht="17.399999999999999" hidden="1">
      <c r="A3101" t="s">
        <v>15413</v>
      </c>
      <c r="B3101" t="s">
        <v>15442</v>
      </c>
      <c r="C3101" t="s">
        <v>15450</v>
      </c>
      <c r="D3101" t="s">
        <v>3096</v>
      </c>
      <c r="E3101" t="s">
        <v>3431</v>
      </c>
      <c r="F3101" t="s">
        <v>3452</v>
      </c>
      <c r="G3101" s="3">
        <v>36.797273350538099</v>
      </c>
      <c r="H3101" s="3">
        <v>128.185938254186</v>
      </c>
      <c r="I3101" t="s">
        <v>6865</v>
      </c>
      <c r="J3101" t="s">
        <v>10219</v>
      </c>
      <c r="K3101" t="s">
        <v>10639</v>
      </c>
      <c r="L3101" t="s">
        <v>3366</v>
      </c>
      <c r="M3101" t="s">
        <v>11886</v>
      </c>
      <c r="N3101" t="s">
        <v>3363</v>
      </c>
      <c r="O3101" t="s">
        <v>3360</v>
      </c>
      <c r="P3101" t="s">
        <v>15211</v>
      </c>
      <c r="Q3101" t="s">
        <v>15211</v>
      </c>
      <c r="R3101" t="s">
        <v>15211</v>
      </c>
      <c r="S3101" t="s">
        <v>15211</v>
      </c>
      <c r="T3101" t="s">
        <v>3367</v>
      </c>
      <c r="U3101" t="s">
        <v>14960</v>
      </c>
      <c r="V3101" t="s">
        <v>15232</v>
      </c>
    </row>
    <row r="3102" spans="1:22" ht="17.399999999999999" hidden="1">
      <c r="A3102" t="s">
        <v>15413</v>
      </c>
      <c r="B3102" t="s">
        <v>15442</v>
      </c>
      <c r="C3102" t="s">
        <v>15450</v>
      </c>
      <c r="D3102" t="s">
        <v>3097</v>
      </c>
      <c r="E3102" t="s">
        <v>3431</v>
      </c>
      <c r="F3102" t="s">
        <v>3452</v>
      </c>
      <c r="G3102" s="3">
        <v>36.797273341605198</v>
      </c>
      <c r="H3102" s="3">
        <v>128.18593824294899</v>
      </c>
      <c r="I3102" t="s">
        <v>6866</v>
      </c>
      <c r="J3102" t="s">
        <v>10220</v>
      </c>
      <c r="K3102" t="s">
        <v>10729</v>
      </c>
      <c r="L3102" t="s">
        <v>3366</v>
      </c>
      <c r="M3102" t="s">
        <v>11886</v>
      </c>
      <c r="N3102" t="s">
        <v>3363</v>
      </c>
      <c r="O3102" t="s">
        <v>3360</v>
      </c>
      <c r="P3102" t="s">
        <v>15211</v>
      </c>
      <c r="Q3102" t="s">
        <v>15211</v>
      </c>
      <c r="R3102" t="s">
        <v>15211</v>
      </c>
      <c r="S3102" t="s">
        <v>15211</v>
      </c>
      <c r="T3102" t="s">
        <v>3367</v>
      </c>
      <c r="U3102" t="s">
        <v>14961</v>
      </c>
      <c r="V3102" t="s">
        <v>15232</v>
      </c>
    </row>
    <row r="3103" spans="1:22" ht="17.399999999999999" hidden="1">
      <c r="A3103" t="s">
        <v>15413</v>
      </c>
      <c r="B3103" t="s">
        <v>15442</v>
      </c>
      <c r="C3103" t="s">
        <v>15451</v>
      </c>
      <c r="D3103" t="s">
        <v>3098</v>
      </c>
      <c r="E3103" t="s">
        <v>3436</v>
      </c>
      <c r="F3103" t="s">
        <v>3435</v>
      </c>
      <c r="G3103" s="3">
        <v>36.797273140356502</v>
      </c>
      <c r="H3103" s="3">
        <v>128.185938266216</v>
      </c>
      <c r="I3103" t="s">
        <v>6867</v>
      </c>
      <c r="J3103" t="s">
        <v>10221</v>
      </c>
      <c r="K3103" t="s">
        <v>3716</v>
      </c>
      <c r="L3103" t="s">
        <v>3366</v>
      </c>
      <c r="M3103" t="s">
        <v>11889</v>
      </c>
      <c r="N3103" t="s">
        <v>3362</v>
      </c>
      <c r="O3103" t="s">
        <v>3358</v>
      </c>
      <c r="P3103" t="s">
        <v>3362</v>
      </c>
      <c r="Q3103" t="s">
        <v>3363</v>
      </c>
      <c r="R3103" t="s">
        <v>15211</v>
      </c>
      <c r="S3103" t="s">
        <v>15211</v>
      </c>
      <c r="T3103" t="s">
        <v>3377</v>
      </c>
      <c r="U3103" t="s">
        <v>14962</v>
      </c>
      <c r="V3103" t="s">
        <v>15234</v>
      </c>
    </row>
    <row r="3104" spans="1:22" ht="17.399999999999999" hidden="1">
      <c r="A3104" t="s">
        <v>15413</v>
      </c>
      <c r="B3104" t="s">
        <v>15442</v>
      </c>
      <c r="C3104" t="s">
        <v>15451</v>
      </c>
      <c r="D3104" t="s">
        <v>3099</v>
      </c>
      <c r="E3104" t="s">
        <v>3436</v>
      </c>
      <c r="F3104" t="s">
        <v>3435</v>
      </c>
      <c r="G3104" s="3">
        <v>36.7972731560006</v>
      </c>
      <c r="H3104" s="3">
        <v>128.18593826159301</v>
      </c>
      <c r="I3104" t="s">
        <v>6868</v>
      </c>
      <c r="J3104" t="s">
        <v>10222</v>
      </c>
      <c r="K3104" t="s">
        <v>11004</v>
      </c>
      <c r="L3104" t="s">
        <v>3366</v>
      </c>
      <c r="M3104" t="s">
        <v>11889</v>
      </c>
      <c r="N3104" t="s">
        <v>3362</v>
      </c>
      <c r="O3104" t="s">
        <v>3358</v>
      </c>
      <c r="P3104" t="s">
        <v>3362</v>
      </c>
      <c r="Q3104" t="s">
        <v>3363</v>
      </c>
      <c r="R3104" t="s">
        <v>15211</v>
      </c>
      <c r="S3104" t="s">
        <v>15211</v>
      </c>
      <c r="T3104" t="s">
        <v>3377</v>
      </c>
      <c r="U3104" t="s">
        <v>14963</v>
      </c>
      <c r="V3104" t="s">
        <v>15234</v>
      </c>
    </row>
    <row r="3105" spans="1:22" ht="17.399999999999999" hidden="1">
      <c r="A3105" t="s">
        <v>15413</v>
      </c>
      <c r="B3105" t="s">
        <v>15442</v>
      </c>
      <c r="C3105" t="s">
        <v>15451</v>
      </c>
      <c r="D3105" t="s">
        <v>3100</v>
      </c>
      <c r="E3105" t="s">
        <v>3425</v>
      </c>
      <c r="F3105" t="s">
        <v>3435</v>
      </c>
      <c r="G3105" s="3">
        <v>36.797273138301399</v>
      </c>
      <c r="H3105" s="3">
        <v>128.185938266341</v>
      </c>
      <c r="I3105" t="s">
        <v>6869</v>
      </c>
      <c r="J3105" t="s">
        <v>10223</v>
      </c>
      <c r="K3105" t="s">
        <v>11087</v>
      </c>
      <c r="L3105" t="s">
        <v>3366</v>
      </c>
      <c r="M3105" t="s">
        <v>11889</v>
      </c>
      <c r="N3105" t="s">
        <v>3362</v>
      </c>
      <c r="O3105" t="s">
        <v>3358</v>
      </c>
      <c r="P3105" t="s">
        <v>3362</v>
      </c>
      <c r="Q3105" t="s">
        <v>3363</v>
      </c>
      <c r="R3105" t="s">
        <v>15211</v>
      </c>
      <c r="S3105" t="s">
        <v>15211</v>
      </c>
      <c r="T3105" t="s">
        <v>3377</v>
      </c>
      <c r="U3105" t="s">
        <v>14964</v>
      </c>
      <c r="V3105" t="s">
        <v>15234</v>
      </c>
    </row>
    <row r="3106" spans="1:22" ht="17.399999999999999" hidden="1">
      <c r="A3106" t="s">
        <v>15413</v>
      </c>
      <c r="B3106" t="s">
        <v>15442</v>
      </c>
      <c r="C3106" t="s">
        <v>15445</v>
      </c>
      <c r="D3106" t="s">
        <v>3101</v>
      </c>
      <c r="E3106" t="s">
        <v>3428</v>
      </c>
      <c r="F3106" t="s">
        <v>3429</v>
      </c>
      <c r="G3106" s="3">
        <v>36.797273226247803</v>
      </c>
      <c r="H3106" s="3">
        <v>128.18593806149599</v>
      </c>
      <c r="I3106" t="s">
        <v>6870</v>
      </c>
      <c r="J3106" t="s">
        <v>10224</v>
      </c>
      <c r="K3106" t="s">
        <v>11177</v>
      </c>
      <c r="L3106" t="s">
        <v>3366</v>
      </c>
      <c r="M3106" t="s">
        <v>11900</v>
      </c>
      <c r="N3106" t="s">
        <v>3363</v>
      </c>
      <c r="O3106" t="s">
        <v>3358</v>
      </c>
      <c r="P3106" t="s">
        <v>15211</v>
      </c>
      <c r="Q3106" t="s">
        <v>15211</v>
      </c>
      <c r="R3106" t="s">
        <v>15211</v>
      </c>
      <c r="S3106" t="s">
        <v>15211</v>
      </c>
      <c r="T3106" t="s">
        <v>3365</v>
      </c>
      <c r="U3106" t="s">
        <v>14965</v>
      </c>
      <c r="V3106" t="s">
        <v>15233</v>
      </c>
    </row>
    <row r="3107" spans="1:22" ht="17.399999999999999" hidden="1">
      <c r="A3107" t="s">
        <v>15413</v>
      </c>
      <c r="B3107" t="s">
        <v>15442</v>
      </c>
      <c r="C3107" t="s">
        <v>15445</v>
      </c>
      <c r="D3107" t="s">
        <v>3102</v>
      </c>
      <c r="E3107" t="s">
        <v>3428</v>
      </c>
      <c r="F3107" t="s">
        <v>3429</v>
      </c>
      <c r="G3107" s="3">
        <v>36.797273215723997</v>
      </c>
      <c r="H3107" s="3">
        <v>128.18593805996801</v>
      </c>
      <c r="I3107" t="s">
        <v>6871</v>
      </c>
      <c r="J3107" t="s">
        <v>10225</v>
      </c>
      <c r="K3107" t="s">
        <v>11267</v>
      </c>
      <c r="L3107" t="s">
        <v>3366</v>
      </c>
      <c r="M3107" t="s">
        <v>11900</v>
      </c>
      <c r="N3107" t="s">
        <v>3363</v>
      </c>
      <c r="O3107" t="s">
        <v>3358</v>
      </c>
      <c r="P3107" t="s">
        <v>15211</v>
      </c>
      <c r="Q3107" t="s">
        <v>15211</v>
      </c>
      <c r="R3107" t="s">
        <v>15211</v>
      </c>
      <c r="S3107" t="s">
        <v>15211</v>
      </c>
      <c r="T3107" t="s">
        <v>3365</v>
      </c>
      <c r="U3107" t="s">
        <v>14966</v>
      </c>
      <c r="V3107" t="s">
        <v>15233</v>
      </c>
    </row>
    <row r="3108" spans="1:22" ht="17.399999999999999" hidden="1">
      <c r="A3108" t="s">
        <v>15413</v>
      </c>
      <c r="B3108" t="s">
        <v>15442</v>
      </c>
      <c r="C3108" t="s">
        <v>15445</v>
      </c>
      <c r="D3108" t="s">
        <v>3103</v>
      </c>
      <c r="E3108" t="s">
        <v>3428</v>
      </c>
      <c r="F3108" t="s">
        <v>3429</v>
      </c>
      <c r="G3108" s="3">
        <v>36.797273199013198</v>
      </c>
      <c r="H3108" s="3">
        <v>128.18593807102701</v>
      </c>
      <c r="I3108" t="s">
        <v>6872</v>
      </c>
      <c r="J3108" t="s">
        <v>10226</v>
      </c>
      <c r="K3108" t="s">
        <v>11266</v>
      </c>
      <c r="L3108" t="s">
        <v>3366</v>
      </c>
      <c r="M3108" t="s">
        <v>11900</v>
      </c>
      <c r="N3108" t="s">
        <v>3363</v>
      </c>
      <c r="O3108" t="s">
        <v>3358</v>
      </c>
      <c r="P3108" t="s">
        <v>15211</v>
      </c>
      <c r="Q3108" t="s">
        <v>15211</v>
      </c>
      <c r="R3108" t="s">
        <v>15211</v>
      </c>
      <c r="S3108" t="s">
        <v>15211</v>
      </c>
      <c r="T3108" t="s">
        <v>3365</v>
      </c>
      <c r="U3108" t="s">
        <v>14967</v>
      </c>
      <c r="V3108" t="s">
        <v>15233</v>
      </c>
    </row>
    <row r="3109" spans="1:22" ht="17.399999999999999" hidden="1">
      <c r="A3109" t="s">
        <v>15428</v>
      </c>
      <c r="B3109" t="s">
        <v>15441</v>
      </c>
      <c r="C3109" t="s">
        <v>15445</v>
      </c>
      <c r="D3109" t="s">
        <v>3104</v>
      </c>
      <c r="E3109" t="s">
        <v>3435</v>
      </c>
      <c r="F3109" t="s">
        <v>3452</v>
      </c>
      <c r="G3109" s="3">
        <v>36.776749063376997</v>
      </c>
      <c r="H3109" s="3">
        <v>128.586590946629</v>
      </c>
      <c r="I3109" t="s">
        <v>6873</v>
      </c>
      <c r="J3109" t="s">
        <v>10227</v>
      </c>
      <c r="K3109" t="s">
        <v>11837</v>
      </c>
      <c r="L3109" t="s">
        <v>3366</v>
      </c>
      <c r="M3109" t="s">
        <v>11886</v>
      </c>
      <c r="N3109" t="s">
        <v>3363</v>
      </c>
      <c r="O3109" t="s">
        <v>3360</v>
      </c>
      <c r="P3109" t="s">
        <v>15211</v>
      </c>
      <c r="Q3109" t="s">
        <v>15211</v>
      </c>
      <c r="R3109" t="s">
        <v>15211</v>
      </c>
      <c r="S3109" t="s">
        <v>15211</v>
      </c>
      <c r="T3109" t="s">
        <v>3367</v>
      </c>
      <c r="U3109" t="s">
        <v>14968</v>
      </c>
      <c r="V3109" t="s">
        <v>15228</v>
      </c>
    </row>
    <row r="3110" spans="1:22" ht="17.399999999999999" hidden="1">
      <c r="A3110" t="s">
        <v>15428</v>
      </c>
      <c r="B3110" t="s">
        <v>15441</v>
      </c>
      <c r="C3110" t="s">
        <v>15445</v>
      </c>
      <c r="D3110" t="s">
        <v>3105</v>
      </c>
      <c r="E3110" t="s">
        <v>3435</v>
      </c>
      <c r="F3110" t="s">
        <v>3452</v>
      </c>
      <c r="G3110" s="3">
        <v>36.776749024617203</v>
      </c>
      <c r="H3110" s="3">
        <v>128.586590910062</v>
      </c>
      <c r="I3110" t="s">
        <v>6874</v>
      </c>
      <c r="J3110" t="s">
        <v>10228</v>
      </c>
      <c r="K3110" t="s">
        <v>11838</v>
      </c>
      <c r="L3110" t="s">
        <v>3366</v>
      </c>
      <c r="M3110" t="s">
        <v>11886</v>
      </c>
      <c r="N3110" t="s">
        <v>3363</v>
      </c>
      <c r="O3110" t="s">
        <v>3360</v>
      </c>
      <c r="P3110" t="s">
        <v>15211</v>
      </c>
      <c r="Q3110" t="s">
        <v>15211</v>
      </c>
      <c r="R3110" t="s">
        <v>15211</v>
      </c>
      <c r="S3110" t="s">
        <v>15211</v>
      </c>
      <c r="T3110" t="s">
        <v>3367</v>
      </c>
      <c r="U3110" t="s">
        <v>14969</v>
      </c>
      <c r="V3110" t="s">
        <v>15228</v>
      </c>
    </row>
    <row r="3111" spans="1:22" ht="17.399999999999999" hidden="1">
      <c r="A3111" t="s">
        <v>15428</v>
      </c>
      <c r="B3111" t="s">
        <v>15441</v>
      </c>
      <c r="C3111" t="s">
        <v>15445</v>
      </c>
      <c r="D3111" t="s">
        <v>3106</v>
      </c>
      <c r="E3111" t="s">
        <v>3435</v>
      </c>
      <c r="F3111" t="s">
        <v>3452</v>
      </c>
      <c r="G3111" s="3">
        <v>36.776748981441898</v>
      </c>
      <c r="H3111" s="3">
        <v>128.58659091948201</v>
      </c>
      <c r="I3111" t="s">
        <v>6875</v>
      </c>
      <c r="J3111" t="s">
        <v>10229</v>
      </c>
      <c r="K3111" t="s">
        <v>11535</v>
      </c>
      <c r="L3111" t="s">
        <v>3366</v>
      </c>
      <c r="M3111" t="s">
        <v>11886</v>
      </c>
      <c r="N3111" t="s">
        <v>3363</v>
      </c>
      <c r="O3111" t="s">
        <v>3360</v>
      </c>
      <c r="P3111" t="s">
        <v>15211</v>
      </c>
      <c r="Q3111" t="s">
        <v>15211</v>
      </c>
      <c r="R3111" t="s">
        <v>15211</v>
      </c>
      <c r="S3111" t="s">
        <v>15211</v>
      </c>
      <c r="T3111" t="s">
        <v>3367</v>
      </c>
      <c r="U3111" t="s">
        <v>14970</v>
      </c>
      <c r="V3111" t="s">
        <v>15228</v>
      </c>
    </row>
    <row r="3112" spans="1:22" ht="17.399999999999999" hidden="1">
      <c r="A3112" t="s">
        <v>15428</v>
      </c>
      <c r="B3112" t="s">
        <v>15441</v>
      </c>
      <c r="C3112" t="s">
        <v>15446</v>
      </c>
      <c r="D3112" t="s">
        <v>3107</v>
      </c>
      <c r="E3112" t="s">
        <v>3441</v>
      </c>
      <c r="F3112" t="s">
        <v>3426</v>
      </c>
      <c r="G3112" s="3">
        <v>36.776749224831697</v>
      </c>
      <c r="H3112" s="3">
        <v>128.586590907116</v>
      </c>
      <c r="I3112" t="s">
        <v>6876</v>
      </c>
      <c r="J3112" t="s">
        <v>10230</v>
      </c>
      <c r="K3112" t="s">
        <v>11252</v>
      </c>
      <c r="L3112" t="s">
        <v>3382</v>
      </c>
      <c r="M3112" t="s">
        <v>11886</v>
      </c>
      <c r="N3112" t="s">
        <v>3363</v>
      </c>
      <c r="O3112" t="s">
        <v>3360</v>
      </c>
      <c r="P3112" t="s">
        <v>15211</v>
      </c>
      <c r="Q3112" t="s">
        <v>15211</v>
      </c>
      <c r="R3112" t="s">
        <v>15211</v>
      </c>
      <c r="S3112" t="s">
        <v>15211</v>
      </c>
      <c r="T3112" t="s">
        <v>3367</v>
      </c>
      <c r="U3112" t="s">
        <v>14971</v>
      </c>
      <c r="V3112" t="s">
        <v>15229</v>
      </c>
    </row>
    <row r="3113" spans="1:22" ht="17.399999999999999" hidden="1">
      <c r="A3113" t="s">
        <v>15428</v>
      </c>
      <c r="B3113" t="s">
        <v>15441</v>
      </c>
      <c r="C3113" t="s">
        <v>15446</v>
      </c>
      <c r="D3113" t="s">
        <v>3108</v>
      </c>
      <c r="E3113" t="s">
        <v>3430</v>
      </c>
      <c r="F3113" t="s">
        <v>3432</v>
      </c>
      <c r="G3113" s="3">
        <v>36.776749248380099</v>
      </c>
      <c r="H3113" s="3">
        <v>128.58659094167399</v>
      </c>
      <c r="I3113" t="s">
        <v>6877</v>
      </c>
      <c r="J3113" t="s">
        <v>10231</v>
      </c>
      <c r="K3113" t="s">
        <v>10846</v>
      </c>
      <c r="L3113" t="s">
        <v>3366</v>
      </c>
      <c r="M3113" t="s">
        <v>11885</v>
      </c>
      <c r="N3113" t="s">
        <v>3363</v>
      </c>
      <c r="O3113" t="s">
        <v>3361</v>
      </c>
      <c r="P3113" t="s">
        <v>15211</v>
      </c>
      <c r="Q3113" t="s">
        <v>15211</v>
      </c>
      <c r="R3113" t="s">
        <v>15211</v>
      </c>
      <c r="S3113" t="s">
        <v>15211</v>
      </c>
      <c r="T3113" t="s">
        <v>3368</v>
      </c>
      <c r="U3113" t="s">
        <v>14972</v>
      </c>
      <c r="V3113" t="s">
        <v>15229</v>
      </c>
    </row>
    <row r="3114" spans="1:22" ht="17.399999999999999" hidden="1">
      <c r="A3114" t="s">
        <v>15428</v>
      </c>
      <c r="B3114" t="s">
        <v>15441</v>
      </c>
      <c r="C3114" t="s">
        <v>15446</v>
      </c>
      <c r="D3114" t="s">
        <v>3109</v>
      </c>
      <c r="E3114" t="s">
        <v>3430</v>
      </c>
      <c r="F3114" t="s">
        <v>3433</v>
      </c>
      <c r="G3114" s="3">
        <v>36.776749258956201</v>
      </c>
      <c r="H3114" s="3">
        <v>128.586590964078</v>
      </c>
      <c r="I3114" t="s">
        <v>6878</v>
      </c>
      <c r="J3114" t="s">
        <v>10232</v>
      </c>
      <c r="K3114" t="s">
        <v>10845</v>
      </c>
      <c r="L3114" t="s">
        <v>3366</v>
      </c>
      <c r="M3114" t="s">
        <v>11885</v>
      </c>
      <c r="N3114" t="s">
        <v>3363</v>
      </c>
      <c r="O3114" t="s">
        <v>3361</v>
      </c>
      <c r="P3114" t="s">
        <v>15211</v>
      </c>
      <c r="Q3114" t="s">
        <v>15211</v>
      </c>
      <c r="R3114" t="s">
        <v>15211</v>
      </c>
      <c r="S3114" t="s">
        <v>15211</v>
      </c>
      <c r="T3114" t="s">
        <v>3368</v>
      </c>
      <c r="U3114" t="s">
        <v>14973</v>
      </c>
      <c r="V3114" t="s">
        <v>15229</v>
      </c>
    </row>
    <row r="3115" spans="1:22" ht="17.399999999999999" hidden="1">
      <c r="A3115" t="s">
        <v>15428</v>
      </c>
      <c r="B3115" t="s">
        <v>15441</v>
      </c>
      <c r="C3115" t="s">
        <v>15448</v>
      </c>
      <c r="D3115" t="s">
        <v>3110</v>
      </c>
      <c r="E3115" t="s">
        <v>3436</v>
      </c>
      <c r="F3115" t="s">
        <v>3463</v>
      </c>
      <c r="G3115" s="3">
        <v>36.776749362978698</v>
      </c>
      <c r="H3115" s="3">
        <v>128.58659101294799</v>
      </c>
      <c r="I3115" t="s">
        <v>6879</v>
      </c>
      <c r="J3115" t="s">
        <v>10233</v>
      </c>
      <c r="K3115" t="s">
        <v>11682</v>
      </c>
      <c r="L3115" t="s">
        <v>3366</v>
      </c>
      <c r="M3115" t="s">
        <v>11910</v>
      </c>
      <c r="N3115" t="s">
        <v>3364</v>
      </c>
      <c r="O3115" t="s">
        <v>3361</v>
      </c>
      <c r="P3115" t="s">
        <v>3362</v>
      </c>
      <c r="Q3115" t="s">
        <v>3365</v>
      </c>
      <c r="R3115" t="s">
        <v>15211</v>
      </c>
      <c r="S3115" t="s">
        <v>15211</v>
      </c>
      <c r="T3115" t="s">
        <v>3384</v>
      </c>
      <c r="U3115" t="s">
        <v>14974</v>
      </c>
      <c r="V3115" t="s">
        <v>15230</v>
      </c>
    </row>
    <row r="3116" spans="1:22" ht="17.399999999999999" hidden="1">
      <c r="A3116" t="s">
        <v>15428</v>
      </c>
      <c r="B3116" t="s">
        <v>15441</v>
      </c>
      <c r="C3116" t="s">
        <v>15448</v>
      </c>
      <c r="D3116" t="s">
        <v>3111</v>
      </c>
      <c r="E3116" t="s">
        <v>3428</v>
      </c>
      <c r="F3116" t="s">
        <v>3463</v>
      </c>
      <c r="G3116" s="3">
        <v>36.776749335492902</v>
      </c>
      <c r="H3116" s="3">
        <v>128.58659097101199</v>
      </c>
      <c r="I3116" t="s">
        <v>6880</v>
      </c>
      <c r="J3116" t="s">
        <v>10234</v>
      </c>
      <c r="K3116" t="s">
        <v>11839</v>
      </c>
      <c r="L3116" t="s">
        <v>3366</v>
      </c>
      <c r="M3116" t="s">
        <v>11914</v>
      </c>
      <c r="N3116" t="s">
        <v>3364</v>
      </c>
      <c r="O3116" t="s">
        <v>3361</v>
      </c>
      <c r="P3116" t="s">
        <v>3362</v>
      </c>
      <c r="Q3116" t="s">
        <v>3365</v>
      </c>
      <c r="R3116" t="s">
        <v>15211</v>
      </c>
      <c r="S3116" t="s">
        <v>15211</v>
      </c>
      <c r="T3116" t="s">
        <v>3384</v>
      </c>
      <c r="U3116" t="s">
        <v>14975</v>
      </c>
      <c r="V3116" t="s">
        <v>15230</v>
      </c>
    </row>
    <row r="3117" spans="1:22" ht="17.399999999999999" hidden="1">
      <c r="A3117" t="s">
        <v>15428</v>
      </c>
      <c r="B3117" t="s">
        <v>15441</v>
      </c>
      <c r="C3117" t="s">
        <v>15448</v>
      </c>
      <c r="D3117" t="s">
        <v>3112</v>
      </c>
      <c r="E3117" t="s">
        <v>3428</v>
      </c>
      <c r="F3117" t="s">
        <v>3449</v>
      </c>
      <c r="G3117" s="3">
        <v>36.776749326831897</v>
      </c>
      <c r="H3117" s="3">
        <v>128.586590968135</v>
      </c>
      <c r="I3117" t="s">
        <v>6881</v>
      </c>
      <c r="J3117" t="s">
        <v>10235</v>
      </c>
      <c r="K3117" t="s">
        <v>11689</v>
      </c>
      <c r="L3117" t="s">
        <v>3366</v>
      </c>
      <c r="M3117" t="s">
        <v>11914</v>
      </c>
      <c r="N3117" t="s">
        <v>3363</v>
      </c>
      <c r="O3117" t="s">
        <v>3361</v>
      </c>
      <c r="P3117" t="s">
        <v>3362</v>
      </c>
      <c r="Q3117" t="s">
        <v>3365</v>
      </c>
      <c r="R3117" t="s">
        <v>15211</v>
      </c>
      <c r="S3117" t="s">
        <v>15211</v>
      </c>
      <c r="T3117" t="s">
        <v>3383</v>
      </c>
      <c r="U3117" t="s">
        <v>14976</v>
      </c>
      <c r="V3117" t="s">
        <v>15230</v>
      </c>
    </row>
    <row r="3118" spans="1:22" ht="17.399999999999999" hidden="1">
      <c r="A3118" t="s">
        <v>15428</v>
      </c>
      <c r="B3118" t="s">
        <v>15441</v>
      </c>
      <c r="C3118" t="s">
        <v>15449</v>
      </c>
      <c r="D3118" t="s">
        <v>3113</v>
      </c>
      <c r="E3118" t="s">
        <v>3437</v>
      </c>
      <c r="F3118" t="s">
        <v>3428</v>
      </c>
      <c r="G3118" s="3">
        <v>36.776749176614402</v>
      </c>
      <c r="H3118" s="3">
        <v>128.586590895847</v>
      </c>
      <c r="I3118" t="s">
        <v>6882</v>
      </c>
      <c r="J3118" t="s">
        <v>10236</v>
      </c>
      <c r="K3118" t="s">
        <v>10694</v>
      </c>
      <c r="L3118" t="s">
        <v>3369</v>
      </c>
      <c r="M3118" t="s">
        <v>11896</v>
      </c>
      <c r="N3118" t="s">
        <v>3364</v>
      </c>
      <c r="O3118" t="s">
        <v>15211</v>
      </c>
      <c r="P3118" t="s">
        <v>3362</v>
      </c>
      <c r="Q3118" t="s">
        <v>3365</v>
      </c>
      <c r="R3118" t="s">
        <v>15211</v>
      </c>
      <c r="S3118" t="s">
        <v>15211</v>
      </c>
      <c r="T3118" t="s">
        <v>3379</v>
      </c>
      <c r="U3118" t="s">
        <v>14977</v>
      </c>
      <c r="V3118" t="s">
        <v>15231</v>
      </c>
    </row>
    <row r="3119" spans="1:22" ht="17.399999999999999" hidden="1">
      <c r="A3119" t="s">
        <v>15428</v>
      </c>
      <c r="B3119" t="s">
        <v>15441</v>
      </c>
      <c r="C3119" t="s">
        <v>15449</v>
      </c>
      <c r="D3119" t="s">
        <v>3114</v>
      </c>
      <c r="E3119" t="s">
        <v>3439</v>
      </c>
      <c r="F3119" t="s">
        <v>3428</v>
      </c>
      <c r="G3119" s="3">
        <v>36.7767491808278</v>
      </c>
      <c r="H3119" s="3">
        <v>128.58659090425499</v>
      </c>
      <c r="I3119" t="s">
        <v>6883</v>
      </c>
      <c r="J3119" t="s">
        <v>10237</v>
      </c>
      <c r="K3119" t="s">
        <v>11779</v>
      </c>
      <c r="L3119" t="s">
        <v>3366</v>
      </c>
      <c r="M3119" t="s">
        <v>11888</v>
      </c>
      <c r="N3119" t="s">
        <v>3363</v>
      </c>
      <c r="O3119" t="s">
        <v>15211</v>
      </c>
      <c r="P3119" t="s">
        <v>3362</v>
      </c>
      <c r="Q3119" t="s">
        <v>3365</v>
      </c>
      <c r="R3119" t="s">
        <v>15211</v>
      </c>
      <c r="S3119" t="s">
        <v>15211</v>
      </c>
      <c r="T3119" t="s">
        <v>3378</v>
      </c>
      <c r="U3119" t="s">
        <v>14978</v>
      </c>
      <c r="V3119" t="s">
        <v>15231</v>
      </c>
    </row>
    <row r="3120" spans="1:22" ht="17.399999999999999" hidden="1">
      <c r="A3120" t="s">
        <v>15428</v>
      </c>
      <c r="B3120" t="s">
        <v>15441</v>
      </c>
      <c r="C3120" t="s">
        <v>15449</v>
      </c>
      <c r="D3120" t="s">
        <v>3115</v>
      </c>
      <c r="E3120" t="s">
        <v>3439</v>
      </c>
      <c r="F3120" t="s">
        <v>3428</v>
      </c>
      <c r="G3120" s="3">
        <v>36.776749176942502</v>
      </c>
      <c r="H3120" s="3">
        <v>128.58659092024999</v>
      </c>
      <c r="I3120" t="s">
        <v>6884</v>
      </c>
      <c r="J3120" t="s">
        <v>10238</v>
      </c>
      <c r="K3120" t="s">
        <v>11840</v>
      </c>
      <c r="L3120" t="s">
        <v>3366</v>
      </c>
      <c r="M3120" t="s">
        <v>11888</v>
      </c>
      <c r="N3120" t="s">
        <v>3363</v>
      </c>
      <c r="O3120" t="s">
        <v>15211</v>
      </c>
      <c r="P3120" t="s">
        <v>3362</v>
      </c>
      <c r="Q3120" t="s">
        <v>3365</v>
      </c>
      <c r="R3120" t="s">
        <v>15211</v>
      </c>
      <c r="S3120" t="s">
        <v>15211</v>
      </c>
      <c r="T3120" t="s">
        <v>3378</v>
      </c>
      <c r="U3120" t="s">
        <v>14979</v>
      </c>
      <c r="V3120" t="s">
        <v>15231</v>
      </c>
    </row>
    <row r="3121" spans="1:22" ht="17.399999999999999" hidden="1">
      <c r="A3121" t="s">
        <v>15428</v>
      </c>
      <c r="B3121" t="s">
        <v>15442</v>
      </c>
      <c r="C3121" t="s">
        <v>15445</v>
      </c>
      <c r="D3121" t="s">
        <v>3116</v>
      </c>
      <c r="E3121" t="s">
        <v>3440</v>
      </c>
      <c r="F3121" t="s">
        <v>3436</v>
      </c>
      <c r="G3121" s="3">
        <v>36.776749257952503</v>
      </c>
      <c r="H3121" s="3">
        <v>128.586591184703</v>
      </c>
      <c r="I3121" t="s">
        <v>6885</v>
      </c>
      <c r="J3121" t="s">
        <v>10239</v>
      </c>
      <c r="K3121" t="s">
        <v>10849</v>
      </c>
      <c r="L3121" t="s">
        <v>3368</v>
      </c>
      <c r="M3121" t="s">
        <v>11890</v>
      </c>
      <c r="N3121" t="s">
        <v>3364</v>
      </c>
      <c r="O3121" t="s">
        <v>3361</v>
      </c>
      <c r="P3121" t="s">
        <v>15211</v>
      </c>
      <c r="Q3121" t="s">
        <v>15211</v>
      </c>
      <c r="R3121" t="s">
        <v>15211</v>
      </c>
      <c r="S3121" t="s">
        <v>15211</v>
      </c>
      <c r="T3121" t="s">
        <v>3369</v>
      </c>
      <c r="U3121" t="s">
        <v>14980</v>
      </c>
      <c r="V3121" t="s">
        <v>15233</v>
      </c>
    </row>
    <row r="3122" spans="1:22" ht="17.399999999999999" hidden="1">
      <c r="A3122" t="s">
        <v>15428</v>
      </c>
      <c r="B3122" t="s">
        <v>15442</v>
      </c>
      <c r="C3122" t="s">
        <v>15445</v>
      </c>
      <c r="D3122" t="s">
        <v>3117</v>
      </c>
      <c r="E3122" t="s">
        <v>3440</v>
      </c>
      <c r="F3122" t="s">
        <v>3436</v>
      </c>
      <c r="G3122" s="3">
        <v>36.776749260396301</v>
      </c>
      <c r="H3122" s="3">
        <v>128.58659116837899</v>
      </c>
      <c r="I3122" t="s">
        <v>6886</v>
      </c>
      <c r="J3122" t="s">
        <v>10240</v>
      </c>
      <c r="K3122" t="s">
        <v>11422</v>
      </c>
      <c r="L3122" t="s">
        <v>3366</v>
      </c>
      <c r="M3122" t="s">
        <v>11890</v>
      </c>
      <c r="N3122" t="s">
        <v>3364</v>
      </c>
      <c r="O3122" t="s">
        <v>3361</v>
      </c>
      <c r="P3122" t="s">
        <v>15211</v>
      </c>
      <c r="Q3122" t="s">
        <v>15211</v>
      </c>
      <c r="R3122" t="s">
        <v>15211</v>
      </c>
      <c r="S3122" t="s">
        <v>15211</v>
      </c>
      <c r="T3122" t="s">
        <v>3369</v>
      </c>
      <c r="U3122" t="s">
        <v>14981</v>
      </c>
      <c r="V3122" t="s">
        <v>15233</v>
      </c>
    </row>
    <row r="3123" spans="1:22" ht="17.399999999999999" hidden="1">
      <c r="A3123" t="s">
        <v>15428</v>
      </c>
      <c r="B3123" t="s">
        <v>15442</v>
      </c>
      <c r="C3123" t="s">
        <v>15445</v>
      </c>
      <c r="D3123" t="s">
        <v>3118</v>
      </c>
      <c r="E3123" t="s">
        <v>3440</v>
      </c>
      <c r="F3123" t="s">
        <v>3436</v>
      </c>
      <c r="G3123" s="3">
        <v>36.776749287074402</v>
      </c>
      <c r="H3123" s="3">
        <v>128.58659115484201</v>
      </c>
      <c r="I3123" t="s">
        <v>6887</v>
      </c>
      <c r="J3123" t="s">
        <v>10241</v>
      </c>
      <c r="K3123" t="s">
        <v>10502</v>
      </c>
      <c r="L3123" t="s">
        <v>3366</v>
      </c>
      <c r="M3123" t="s">
        <v>11890</v>
      </c>
      <c r="N3123" t="s">
        <v>3364</v>
      </c>
      <c r="O3123" t="s">
        <v>3361</v>
      </c>
      <c r="P3123" t="s">
        <v>15211</v>
      </c>
      <c r="Q3123" t="s">
        <v>15211</v>
      </c>
      <c r="R3123" t="s">
        <v>15211</v>
      </c>
      <c r="S3123" t="s">
        <v>15211</v>
      </c>
      <c r="T3123" t="s">
        <v>3369</v>
      </c>
      <c r="U3123" t="s">
        <v>14982</v>
      </c>
      <c r="V3123" t="s">
        <v>15233</v>
      </c>
    </row>
    <row r="3124" spans="1:22" ht="17.399999999999999" hidden="1">
      <c r="A3124" t="s">
        <v>15428</v>
      </c>
      <c r="B3124" t="s">
        <v>15442</v>
      </c>
      <c r="C3124" t="s">
        <v>15451</v>
      </c>
      <c r="D3124" t="s">
        <v>3119</v>
      </c>
      <c r="E3124" t="s">
        <v>3440</v>
      </c>
      <c r="F3124" t="s">
        <v>3436</v>
      </c>
      <c r="G3124" s="3">
        <v>36.776749301614103</v>
      </c>
      <c r="H3124" s="3">
        <v>128.58659118447201</v>
      </c>
      <c r="I3124" t="s">
        <v>6888</v>
      </c>
      <c r="J3124" t="s">
        <v>10242</v>
      </c>
      <c r="K3124" t="s">
        <v>11841</v>
      </c>
      <c r="L3124" t="s">
        <v>3366</v>
      </c>
      <c r="M3124" t="s">
        <v>11914</v>
      </c>
      <c r="N3124" t="s">
        <v>3365</v>
      </c>
      <c r="O3124" t="s">
        <v>3361</v>
      </c>
      <c r="P3124" t="s">
        <v>3362</v>
      </c>
      <c r="Q3124" t="s">
        <v>3363</v>
      </c>
      <c r="R3124" t="s">
        <v>15211</v>
      </c>
      <c r="S3124" t="s">
        <v>15211</v>
      </c>
      <c r="T3124" t="s">
        <v>3383</v>
      </c>
      <c r="U3124" t="s">
        <v>14983</v>
      </c>
      <c r="V3124" t="s">
        <v>15234</v>
      </c>
    </row>
    <row r="3125" spans="1:22" ht="17.399999999999999" hidden="1">
      <c r="A3125" t="s">
        <v>15428</v>
      </c>
      <c r="B3125" t="s">
        <v>15442</v>
      </c>
      <c r="C3125" t="s">
        <v>15451</v>
      </c>
      <c r="D3125" t="s">
        <v>3120</v>
      </c>
      <c r="E3125" t="s">
        <v>3440</v>
      </c>
      <c r="F3125" t="s">
        <v>3436</v>
      </c>
      <c r="G3125" s="3">
        <v>36.776749288839099</v>
      </c>
      <c r="H3125" s="3">
        <v>128.58659114358599</v>
      </c>
      <c r="I3125" t="s">
        <v>6889</v>
      </c>
      <c r="J3125" t="s">
        <v>10243</v>
      </c>
      <c r="K3125" t="s">
        <v>11276</v>
      </c>
      <c r="L3125" t="s">
        <v>3366</v>
      </c>
      <c r="M3125" t="s">
        <v>11914</v>
      </c>
      <c r="N3125" t="s">
        <v>3365</v>
      </c>
      <c r="O3125" t="s">
        <v>3361</v>
      </c>
      <c r="P3125" t="s">
        <v>3362</v>
      </c>
      <c r="Q3125" t="s">
        <v>3363</v>
      </c>
      <c r="R3125" t="s">
        <v>15211</v>
      </c>
      <c r="S3125" t="s">
        <v>15211</v>
      </c>
      <c r="T3125" t="s">
        <v>3383</v>
      </c>
      <c r="U3125" t="s">
        <v>14984</v>
      </c>
      <c r="V3125" t="s">
        <v>15234</v>
      </c>
    </row>
    <row r="3126" spans="1:22" ht="17.399999999999999" hidden="1">
      <c r="A3126" t="s">
        <v>15428</v>
      </c>
      <c r="B3126" t="s">
        <v>15442</v>
      </c>
      <c r="C3126" t="s">
        <v>15451</v>
      </c>
      <c r="D3126" t="s">
        <v>3121</v>
      </c>
      <c r="E3126" t="s">
        <v>3440</v>
      </c>
      <c r="F3126" t="s">
        <v>3436</v>
      </c>
      <c r="G3126" s="3">
        <v>36.776749286887501</v>
      </c>
      <c r="H3126" s="3">
        <v>128.58659109853201</v>
      </c>
      <c r="I3126" t="s">
        <v>6890</v>
      </c>
      <c r="J3126" t="s">
        <v>10244</v>
      </c>
      <c r="K3126" t="s">
        <v>10844</v>
      </c>
      <c r="L3126" t="s">
        <v>3366</v>
      </c>
      <c r="M3126" t="s">
        <v>11914</v>
      </c>
      <c r="N3126" t="s">
        <v>3365</v>
      </c>
      <c r="O3126" t="s">
        <v>3361</v>
      </c>
      <c r="P3126" t="s">
        <v>3362</v>
      </c>
      <c r="Q3126" t="s">
        <v>3363</v>
      </c>
      <c r="R3126" t="s">
        <v>15211</v>
      </c>
      <c r="S3126" t="s">
        <v>15211</v>
      </c>
      <c r="T3126" t="s">
        <v>3383</v>
      </c>
      <c r="U3126" t="s">
        <v>14985</v>
      </c>
      <c r="V3126" t="s">
        <v>15234</v>
      </c>
    </row>
    <row r="3127" spans="1:22" ht="17.399999999999999" hidden="1">
      <c r="A3127" t="s">
        <v>15429</v>
      </c>
      <c r="B3127" t="s">
        <v>15441</v>
      </c>
      <c r="C3127" t="s">
        <v>15445</v>
      </c>
      <c r="D3127" t="s">
        <v>3122</v>
      </c>
      <c r="E3127" t="s">
        <v>3436</v>
      </c>
      <c r="F3127" t="s">
        <v>3441</v>
      </c>
      <c r="G3127" s="3">
        <v>36.731736505699899</v>
      </c>
      <c r="H3127" s="3">
        <v>128.43715327099099</v>
      </c>
      <c r="I3127" t="s">
        <v>6891</v>
      </c>
      <c r="J3127" t="s">
        <v>10245</v>
      </c>
      <c r="K3127" t="s">
        <v>10786</v>
      </c>
      <c r="L3127" t="s">
        <v>3366</v>
      </c>
      <c r="M3127" t="s">
        <v>11902</v>
      </c>
      <c r="N3127" t="s">
        <v>3362</v>
      </c>
      <c r="O3127" t="s">
        <v>3360</v>
      </c>
      <c r="P3127" t="s">
        <v>15211</v>
      </c>
      <c r="Q3127" t="s">
        <v>15211</v>
      </c>
      <c r="R3127" t="s">
        <v>15211</v>
      </c>
      <c r="S3127" t="s">
        <v>15211</v>
      </c>
      <c r="T3127" t="s">
        <v>3366</v>
      </c>
      <c r="U3127" t="s">
        <v>14986</v>
      </c>
      <c r="V3127" t="s">
        <v>15228</v>
      </c>
    </row>
    <row r="3128" spans="1:22" ht="17.399999999999999" hidden="1">
      <c r="A3128" t="s">
        <v>15429</v>
      </c>
      <c r="B3128" t="s">
        <v>15441</v>
      </c>
      <c r="C3128" t="s">
        <v>15445</v>
      </c>
      <c r="D3128" t="s">
        <v>3123</v>
      </c>
      <c r="E3128" t="s">
        <v>3436</v>
      </c>
      <c r="F3128" t="s">
        <v>3441</v>
      </c>
      <c r="G3128" s="3">
        <v>36.731736521909802</v>
      </c>
      <c r="H3128" s="3">
        <v>128.43715321598901</v>
      </c>
      <c r="I3128" t="s">
        <v>6892</v>
      </c>
      <c r="J3128" t="s">
        <v>10246</v>
      </c>
      <c r="K3128" t="s">
        <v>10545</v>
      </c>
      <c r="L3128" t="s">
        <v>3366</v>
      </c>
      <c r="M3128" t="s">
        <v>11902</v>
      </c>
      <c r="N3128" t="s">
        <v>3362</v>
      </c>
      <c r="O3128" t="s">
        <v>3360</v>
      </c>
      <c r="P3128" t="s">
        <v>15211</v>
      </c>
      <c r="Q3128" t="s">
        <v>15211</v>
      </c>
      <c r="R3128" t="s">
        <v>15211</v>
      </c>
      <c r="S3128" t="s">
        <v>15211</v>
      </c>
      <c r="T3128" t="s">
        <v>3366</v>
      </c>
      <c r="U3128" t="s">
        <v>14986</v>
      </c>
      <c r="V3128" t="s">
        <v>15228</v>
      </c>
    </row>
    <row r="3129" spans="1:22" ht="17.399999999999999" hidden="1">
      <c r="A3129" t="s">
        <v>15429</v>
      </c>
      <c r="B3129" t="s">
        <v>15441</v>
      </c>
      <c r="C3129" t="s">
        <v>15445</v>
      </c>
      <c r="D3129" t="s">
        <v>3124</v>
      </c>
      <c r="E3129" t="s">
        <v>3436</v>
      </c>
      <c r="F3129" t="s">
        <v>3442</v>
      </c>
      <c r="G3129" s="3">
        <v>36.731736491923101</v>
      </c>
      <c r="H3129" s="3">
        <v>128.437153241185</v>
      </c>
      <c r="I3129" t="s">
        <v>6893</v>
      </c>
      <c r="J3129" t="s">
        <v>10247</v>
      </c>
      <c r="K3129" t="s">
        <v>10505</v>
      </c>
      <c r="L3129" t="s">
        <v>3366</v>
      </c>
      <c r="M3129" t="s">
        <v>11902</v>
      </c>
      <c r="N3129" t="s">
        <v>3362</v>
      </c>
      <c r="O3129" t="s">
        <v>3360</v>
      </c>
      <c r="P3129" t="s">
        <v>15211</v>
      </c>
      <c r="Q3129" t="s">
        <v>15211</v>
      </c>
      <c r="R3129" t="s">
        <v>15211</v>
      </c>
      <c r="S3129" t="s">
        <v>15211</v>
      </c>
      <c r="T3129" t="s">
        <v>3366</v>
      </c>
      <c r="U3129" t="s">
        <v>14987</v>
      </c>
      <c r="V3129" t="s">
        <v>15228</v>
      </c>
    </row>
    <row r="3130" spans="1:22" ht="17.399999999999999" hidden="1">
      <c r="A3130" t="s">
        <v>15429</v>
      </c>
      <c r="B3130" t="s">
        <v>15441</v>
      </c>
      <c r="C3130" t="s">
        <v>15446</v>
      </c>
      <c r="D3130" t="s">
        <v>3125</v>
      </c>
      <c r="E3130" t="s">
        <v>3429</v>
      </c>
      <c r="F3130" t="s">
        <v>3465</v>
      </c>
      <c r="G3130" s="3">
        <v>36.731736639725597</v>
      </c>
      <c r="H3130" s="3">
        <v>128.437153211587</v>
      </c>
      <c r="I3130" t="s">
        <v>6894</v>
      </c>
      <c r="J3130" t="s">
        <v>10248</v>
      </c>
      <c r="K3130" t="s">
        <v>11842</v>
      </c>
      <c r="L3130" t="s">
        <v>3376</v>
      </c>
      <c r="M3130" t="s">
        <v>11900</v>
      </c>
      <c r="N3130" t="s">
        <v>3362</v>
      </c>
      <c r="O3130" t="s">
        <v>3359</v>
      </c>
      <c r="P3130" t="s">
        <v>15211</v>
      </c>
      <c r="Q3130" t="s">
        <v>15211</v>
      </c>
      <c r="R3130" t="s">
        <v>15211</v>
      </c>
      <c r="S3130" t="s">
        <v>15211</v>
      </c>
      <c r="T3130" t="s">
        <v>3365</v>
      </c>
      <c r="U3130" t="s">
        <v>14988</v>
      </c>
      <c r="V3130" t="s">
        <v>15229</v>
      </c>
    </row>
    <row r="3131" spans="1:22" ht="17.399999999999999" hidden="1">
      <c r="A3131" t="s">
        <v>15429</v>
      </c>
      <c r="B3131" t="s">
        <v>15441</v>
      </c>
      <c r="C3131" t="s">
        <v>15446</v>
      </c>
      <c r="D3131" t="s">
        <v>3126</v>
      </c>
      <c r="E3131" t="s">
        <v>3435</v>
      </c>
      <c r="F3131" t="s">
        <v>3426</v>
      </c>
      <c r="G3131" s="3">
        <v>36.7317366737215</v>
      </c>
      <c r="H3131" s="3">
        <v>128.437153196065</v>
      </c>
      <c r="I3131" t="s">
        <v>6895</v>
      </c>
      <c r="J3131" t="s">
        <v>10249</v>
      </c>
      <c r="K3131" t="s">
        <v>10732</v>
      </c>
      <c r="L3131" t="s">
        <v>3366</v>
      </c>
      <c r="M3131" t="s">
        <v>11900</v>
      </c>
      <c r="N3131" t="s">
        <v>3362</v>
      </c>
      <c r="O3131" t="s">
        <v>3359</v>
      </c>
      <c r="P3131" t="s">
        <v>15211</v>
      </c>
      <c r="Q3131" t="s">
        <v>15211</v>
      </c>
      <c r="R3131" t="s">
        <v>15211</v>
      </c>
      <c r="S3131" t="s">
        <v>15211</v>
      </c>
      <c r="T3131" t="s">
        <v>3365</v>
      </c>
      <c r="U3131" t="s">
        <v>14989</v>
      </c>
      <c r="V3131" t="s">
        <v>15229</v>
      </c>
    </row>
    <row r="3132" spans="1:22" ht="17.399999999999999" hidden="1">
      <c r="A3132" t="s">
        <v>15429</v>
      </c>
      <c r="B3132" t="s">
        <v>15441</v>
      </c>
      <c r="C3132" t="s">
        <v>15446</v>
      </c>
      <c r="D3132" t="s">
        <v>3127</v>
      </c>
      <c r="E3132" t="s">
        <v>3435</v>
      </c>
      <c r="F3132" t="s">
        <v>3462</v>
      </c>
      <c r="G3132" s="3">
        <v>36.731736672175501</v>
      </c>
      <c r="H3132" s="3">
        <v>128.437153160929</v>
      </c>
      <c r="I3132" t="s">
        <v>6896</v>
      </c>
      <c r="J3132" t="s">
        <v>10250</v>
      </c>
      <c r="K3132" t="s">
        <v>11489</v>
      </c>
      <c r="L3132" t="s">
        <v>3366</v>
      </c>
      <c r="M3132" t="s">
        <v>11900</v>
      </c>
      <c r="N3132" t="s">
        <v>3362</v>
      </c>
      <c r="O3132" t="s">
        <v>3359</v>
      </c>
      <c r="P3132" t="s">
        <v>15211</v>
      </c>
      <c r="Q3132" t="s">
        <v>15211</v>
      </c>
      <c r="R3132" t="s">
        <v>15211</v>
      </c>
      <c r="S3132" t="s">
        <v>15211</v>
      </c>
      <c r="T3132" t="s">
        <v>3365</v>
      </c>
      <c r="U3132" t="s">
        <v>14990</v>
      </c>
      <c r="V3132" t="s">
        <v>15229</v>
      </c>
    </row>
    <row r="3133" spans="1:22" ht="17.399999999999999" hidden="1">
      <c r="A3133" t="s">
        <v>15429</v>
      </c>
      <c r="B3133" t="s">
        <v>15441</v>
      </c>
      <c r="C3133" t="s">
        <v>15448</v>
      </c>
      <c r="D3133" t="s">
        <v>3128</v>
      </c>
      <c r="E3133" t="s">
        <v>3428</v>
      </c>
      <c r="F3133" t="s">
        <v>3461</v>
      </c>
      <c r="G3133" s="3">
        <v>36.731736634115897</v>
      </c>
      <c r="H3133" s="3">
        <v>128.437153211441</v>
      </c>
      <c r="I3133" t="s">
        <v>6897</v>
      </c>
      <c r="J3133" t="s">
        <v>10251</v>
      </c>
      <c r="K3133" t="s">
        <v>11843</v>
      </c>
      <c r="L3133" t="s">
        <v>3366</v>
      </c>
      <c r="M3133" t="s">
        <v>11912</v>
      </c>
      <c r="N3133" t="s">
        <v>3363</v>
      </c>
      <c r="O3133" t="s">
        <v>3360</v>
      </c>
      <c r="P3133" t="s">
        <v>3362</v>
      </c>
      <c r="Q3133" t="s">
        <v>3365</v>
      </c>
      <c r="R3133" t="s">
        <v>15211</v>
      </c>
      <c r="S3133" t="s">
        <v>15211</v>
      </c>
      <c r="T3133" t="s">
        <v>3382</v>
      </c>
      <c r="U3133" t="s">
        <v>14991</v>
      </c>
      <c r="V3133" t="s">
        <v>15230</v>
      </c>
    </row>
    <row r="3134" spans="1:22" ht="17.399999999999999" hidden="1">
      <c r="A3134" t="s">
        <v>15429</v>
      </c>
      <c r="B3134" t="s">
        <v>15441</v>
      </c>
      <c r="C3134" t="s">
        <v>15448</v>
      </c>
      <c r="D3134" t="s">
        <v>3129</v>
      </c>
      <c r="E3134" t="s">
        <v>3428</v>
      </c>
      <c r="F3134" t="s">
        <v>3452</v>
      </c>
      <c r="G3134" s="3">
        <v>36.731736635369401</v>
      </c>
      <c r="H3134" s="3">
        <v>128.43715321672499</v>
      </c>
      <c r="I3134" t="s">
        <v>6898</v>
      </c>
      <c r="J3134" t="s">
        <v>10252</v>
      </c>
      <c r="K3134" t="s">
        <v>11074</v>
      </c>
      <c r="L3134" t="s">
        <v>3366</v>
      </c>
      <c r="M3134" t="s">
        <v>11893</v>
      </c>
      <c r="N3134" t="s">
        <v>3362</v>
      </c>
      <c r="O3134" t="s">
        <v>3360</v>
      </c>
      <c r="P3134" t="s">
        <v>3362</v>
      </c>
      <c r="Q3134" t="s">
        <v>3365</v>
      </c>
      <c r="R3134" t="s">
        <v>15211</v>
      </c>
      <c r="S3134" t="s">
        <v>15211</v>
      </c>
      <c r="T3134" t="s">
        <v>3381</v>
      </c>
      <c r="U3134" t="s">
        <v>14992</v>
      </c>
      <c r="V3134" t="s">
        <v>15230</v>
      </c>
    </row>
    <row r="3135" spans="1:22" ht="17.399999999999999" hidden="1">
      <c r="A3135" t="s">
        <v>15429</v>
      </c>
      <c r="B3135" t="s">
        <v>15441</v>
      </c>
      <c r="C3135" t="s">
        <v>15448</v>
      </c>
      <c r="D3135" t="s">
        <v>3130</v>
      </c>
      <c r="E3135" t="s">
        <v>3427</v>
      </c>
      <c r="F3135" t="s">
        <v>3433</v>
      </c>
      <c r="G3135" s="3">
        <v>36.731736645316801</v>
      </c>
      <c r="H3135" s="3">
        <v>128.437153252032</v>
      </c>
      <c r="I3135" t="s">
        <v>6899</v>
      </c>
      <c r="J3135" t="s">
        <v>10253</v>
      </c>
      <c r="K3135" t="s">
        <v>11567</v>
      </c>
      <c r="L3135" t="s">
        <v>3366</v>
      </c>
      <c r="M3135" t="s">
        <v>11912</v>
      </c>
      <c r="N3135" t="s">
        <v>3362</v>
      </c>
      <c r="O3135" t="s">
        <v>3360</v>
      </c>
      <c r="P3135" t="s">
        <v>3362</v>
      </c>
      <c r="Q3135" t="s">
        <v>3365</v>
      </c>
      <c r="R3135" t="s">
        <v>15211</v>
      </c>
      <c r="S3135" t="s">
        <v>15211</v>
      </c>
      <c r="T3135" t="s">
        <v>3381</v>
      </c>
      <c r="U3135" t="s">
        <v>14993</v>
      </c>
      <c r="V3135" t="s">
        <v>15230</v>
      </c>
    </row>
    <row r="3136" spans="1:22" ht="17.399999999999999" hidden="1">
      <c r="A3136" t="s">
        <v>15429</v>
      </c>
      <c r="B3136" t="s">
        <v>15441</v>
      </c>
      <c r="C3136" t="s">
        <v>15449</v>
      </c>
      <c r="D3136" t="s">
        <v>3131</v>
      </c>
      <c r="E3136" t="s">
        <v>3437</v>
      </c>
      <c r="F3136" t="s">
        <v>3436</v>
      </c>
      <c r="G3136" s="3">
        <v>36.731736632415199</v>
      </c>
      <c r="H3136" s="3">
        <v>128.43715329102301</v>
      </c>
      <c r="I3136" t="s">
        <v>6900</v>
      </c>
      <c r="J3136" t="s">
        <v>10254</v>
      </c>
      <c r="K3136" t="s">
        <v>11201</v>
      </c>
      <c r="L3136" t="s">
        <v>3366</v>
      </c>
      <c r="M3136" t="s">
        <v>11888</v>
      </c>
      <c r="N3136" t="s">
        <v>3363</v>
      </c>
      <c r="O3136" t="s">
        <v>15211</v>
      </c>
      <c r="P3136" t="s">
        <v>3362</v>
      </c>
      <c r="Q3136" t="s">
        <v>3365</v>
      </c>
      <c r="R3136" t="s">
        <v>15211</v>
      </c>
      <c r="S3136" t="s">
        <v>15211</v>
      </c>
      <c r="T3136" t="s">
        <v>3378</v>
      </c>
      <c r="U3136" t="s">
        <v>14994</v>
      </c>
      <c r="V3136" t="s">
        <v>15231</v>
      </c>
    </row>
    <row r="3137" spans="1:22" ht="17.399999999999999" hidden="1">
      <c r="A3137" t="s">
        <v>15429</v>
      </c>
      <c r="B3137" t="s">
        <v>15441</v>
      </c>
      <c r="C3137" t="s">
        <v>15449</v>
      </c>
      <c r="D3137" t="s">
        <v>3132</v>
      </c>
      <c r="E3137" t="s">
        <v>3440</v>
      </c>
      <c r="F3137" t="s">
        <v>3425</v>
      </c>
      <c r="G3137" s="3">
        <v>36.731736617781898</v>
      </c>
      <c r="H3137" s="3">
        <v>128.43715327840101</v>
      </c>
      <c r="I3137" t="s">
        <v>6901</v>
      </c>
      <c r="J3137" t="s">
        <v>10255</v>
      </c>
      <c r="K3137" t="s">
        <v>11543</v>
      </c>
      <c r="L3137" t="s">
        <v>3366</v>
      </c>
      <c r="M3137" t="s">
        <v>11888</v>
      </c>
      <c r="N3137" t="s">
        <v>3363</v>
      </c>
      <c r="O3137" t="s">
        <v>15211</v>
      </c>
      <c r="P3137" t="s">
        <v>3362</v>
      </c>
      <c r="Q3137" t="s">
        <v>3365</v>
      </c>
      <c r="R3137" t="s">
        <v>15211</v>
      </c>
      <c r="S3137" t="s">
        <v>15211</v>
      </c>
      <c r="T3137" t="s">
        <v>3378</v>
      </c>
      <c r="U3137" t="s">
        <v>14995</v>
      </c>
      <c r="V3137" t="s">
        <v>15231</v>
      </c>
    </row>
    <row r="3138" spans="1:22" ht="17.399999999999999" hidden="1">
      <c r="A3138" t="s">
        <v>15429</v>
      </c>
      <c r="B3138" t="s">
        <v>15441</v>
      </c>
      <c r="C3138" t="s">
        <v>15449</v>
      </c>
      <c r="D3138" t="s">
        <v>3133</v>
      </c>
      <c r="E3138" t="s">
        <v>3440</v>
      </c>
      <c r="F3138" t="s">
        <v>3425</v>
      </c>
      <c r="G3138" s="3">
        <v>36.731736605506001</v>
      </c>
      <c r="H3138" s="3">
        <v>128.43715326335601</v>
      </c>
      <c r="I3138" t="s">
        <v>6902</v>
      </c>
      <c r="J3138" t="s">
        <v>10256</v>
      </c>
      <c r="K3138" t="s">
        <v>11844</v>
      </c>
      <c r="L3138" t="s">
        <v>3366</v>
      </c>
      <c r="M3138" t="s">
        <v>11888</v>
      </c>
      <c r="N3138" t="s">
        <v>3363</v>
      </c>
      <c r="O3138" t="s">
        <v>15211</v>
      </c>
      <c r="P3138" t="s">
        <v>3362</v>
      </c>
      <c r="Q3138" t="s">
        <v>3365</v>
      </c>
      <c r="R3138" t="s">
        <v>15211</v>
      </c>
      <c r="S3138" t="s">
        <v>15211</v>
      </c>
      <c r="T3138" t="s">
        <v>3378</v>
      </c>
      <c r="U3138" t="s">
        <v>14996</v>
      </c>
      <c r="V3138" t="s">
        <v>15231</v>
      </c>
    </row>
    <row r="3139" spans="1:22" ht="17.399999999999999" hidden="1">
      <c r="A3139" t="s">
        <v>15429</v>
      </c>
      <c r="B3139" t="s">
        <v>15442</v>
      </c>
      <c r="C3139" t="s">
        <v>15450</v>
      </c>
      <c r="D3139" t="s">
        <v>3134</v>
      </c>
      <c r="E3139" t="s">
        <v>3434</v>
      </c>
      <c r="F3139" t="s">
        <v>3461</v>
      </c>
      <c r="G3139" s="3">
        <v>36.731736534172803</v>
      </c>
      <c r="H3139" s="3">
        <v>128.43715342847699</v>
      </c>
      <c r="I3139" t="s">
        <v>6903</v>
      </c>
      <c r="J3139" t="s">
        <v>10257</v>
      </c>
      <c r="K3139" t="s">
        <v>11845</v>
      </c>
      <c r="L3139" t="s">
        <v>3368</v>
      </c>
      <c r="M3139" t="s">
        <v>11890</v>
      </c>
      <c r="N3139" t="s">
        <v>3363</v>
      </c>
      <c r="O3139" t="s">
        <v>3362</v>
      </c>
      <c r="P3139" t="s">
        <v>15211</v>
      </c>
      <c r="Q3139" t="s">
        <v>3357</v>
      </c>
      <c r="R3139" t="s">
        <v>15211</v>
      </c>
      <c r="S3139" t="s">
        <v>15211</v>
      </c>
      <c r="T3139" t="s">
        <v>3370</v>
      </c>
      <c r="U3139" t="s">
        <v>14997</v>
      </c>
      <c r="V3139" t="s">
        <v>15232</v>
      </c>
    </row>
    <row r="3140" spans="1:22" ht="17.399999999999999" hidden="1">
      <c r="A3140" t="s">
        <v>15429</v>
      </c>
      <c r="B3140" t="s">
        <v>15442</v>
      </c>
      <c r="C3140" t="s">
        <v>15450</v>
      </c>
      <c r="D3140" t="s">
        <v>3135</v>
      </c>
      <c r="E3140" t="s">
        <v>3435</v>
      </c>
      <c r="F3140" t="s">
        <v>3426</v>
      </c>
      <c r="G3140" s="3">
        <v>36.731736550892201</v>
      </c>
      <c r="H3140" s="3">
        <v>128.437153368916</v>
      </c>
      <c r="I3140" t="s">
        <v>6904</v>
      </c>
      <c r="J3140" t="s">
        <v>10258</v>
      </c>
      <c r="K3140" t="s">
        <v>11432</v>
      </c>
      <c r="L3140" t="s">
        <v>3366</v>
      </c>
      <c r="M3140" t="s">
        <v>11890</v>
      </c>
      <c r="N3140" t="s">
        <v>3363</v>
      </c>
      <c r="O3140" t="s">
        <v>3362</v>
      </c>
      <c r="P3140" t="s">
        <v>15211</v>
      </c>
      <c r="Q3140" t="s">
        <v>15211</v>
      </c>
      <c r="R3140" t="s">
        <v>15211</v>
      </c>
      <c r="S3140" t="s">
        <v>15211</v>
      </c>
      <c r="T3140" t="s">
        <v>3369</v>
      </c>
      <c r="U3140" t="s">
        <v>14998</v>
      </c>
      <c r="V3140" t="s">
        <v>15232</v>
      </c>
    </row>
    <row r="3141" spans="1:22" ht="17.399999999999999" hidden="1">
      <c r="A3141" t="s">
        <v>15429</v>
      </c>
      <c r="B3141" t="s">
        <v>15442</v>
      </c>
      <c r="C3141" t="s">
        <v>15450</v>
      </c>
      <c r="D3141" t="s">
        <v>3136</v>
      </c>
      <c r="E3141" t="s">
        <v>3435</v>
      </c>
      <c r="F3141" t="s">
        <v>3465</v>
      </c>
      <c r="G3141" s="3">
        <v>36.731736554033802</v>
      </c>
      <c r="H3141" s="3">
        <v>128.43715335184899</v>
      </c>
      <c r="I3141" t="s">
        <v>6905</v>
      </c>
      <c r="J3141" t="s">
        <v>10259</v>
      </c>
      <c r="K3141" t="s">
        <v>11432</v>
      </c>
      <c r="L3141" t="s">
        <v>3366</v>
      </c>
      <c r="M3141" t="s">
        <v>11890</v>
      </c>
      <c r="N3141" t="s">
        <v>3363</v>
      </c>
      <c r="O3141" t="s">
        <v>3362</v>
      </c>
      <c r="P3141" t="s">
        <v>15211</v>
      </c>
      <c r="Q3141" t="s">
        <v>15211</v>
      </c>
      <c r="R3141" t="s">
        <v>15211</v>
      </c>
      <c r="S3141" t="s">
        <v>15211</v>
      </c>
      <c r="T3141" t="s">
        <v>3369</v>
      </c>
      <c r="U3141" t="s">
        <v>14999</v>
      </c>
      <c r="V3141" t="s">
        <v>15232</v>
      </c>
    </row>
    <row r="3142" spans="1:22" ht="17.399999999999999" hidden="1">
      <c r="A3142" t="s">
        <v>15429</v>
      </c>
      <c r="B3142" t="s">
        <v>15442</v>
      </c>
      <c r="C3142" t="s">
        <v>15445</v>
      </c>
      <c r="D3142" t="s">
        <v>3137</v>
      </c>
      <c r="E3142" t="s">
        <v>3441</v>
      </c>
      <c r="F3142" t="s">
        <v>3484</v>
      </c>
      <c r="G3142" s="3">
        <v>36.731736795387398</v>
      </c>
      <c r="H3142" s="3">
        <v>128.43715337117999</v>
      </c>
      <c r="I3142" t="s">
        <v>6906</v>
      </c>
      <c r="J3142" t="s">
        <v>10260</v>
      </c>
      <c r="K3142" t="s">
        <v>10853</v>
      </c>
      <c r="L3142" t="s">
        <v>3409</v>
      </c>
      <c r="M3142" t="s">
        <v>11886</v>
      </c>
      <c r="N3142" t="s">
        <v>3363</v>
      </c>
      <c r="O3142" t="s">
        <v>3360</v>
      </c>
      <c r="P3142" t="s">
        <v>15211</v>
      </c>
      <c r="Q3142" t="s">
        <v>15211</v>
      </c>
      <c r="R3142" t="s">
        <v>15211</v>
      </c>
      <c r="S3142" t="s">
        <v>15211</v>
      </c>
      <c r="T3142" t="s">
        <v>3367</v>
      </c>
      <c r="U3142" t="s">
        <v>15000</v>
      </c>
      <c r="V3142" t="s">
        <v>15233</v>
      </c>
    </row>
    <row r="3143" spans="1:22" ht="17.399999999999999" hidden="1">
      <c r="A3143" t="s">
        <v>15429</v>
      </c>
      <c r="B3143" t="s">
        <v>15442</v>
      </c>
      <c r="C3143" t="s">
        <v>15445</v>
      </c>
      <c r="D3143" t="s">
        <v>3138</v>
      </c>
      <c r="E3143" t="s">
        <v>3435</v>
      </c>
      <c r="F3143" t="s">
        <v>3462</v>
      </c>
      <c r="G3143" s="3">
        <v>36.731736778035199</v>
      </c>
      <c r="H3143" s="3">
        <v>128.43715337927799</v>
      </c>
      <c r="I3143" t="s">
        <v>6907</v>
      </c>
      <c r="J3143" t="s">
        <v>10261</v>
      </c>
      <c r="K3143" t="s">
        <v>10854</v>
      </c>
      <c r="L3143" t="s">
        <v>3366</v>
      </c>
      <c r="M3143" t="s">
        <v>11886</v>
      </c>
      <c r="N3143" t="s">
        <v>3363</v>
      </c>
      <c r="O3143" t="s">
        <v>3360</v>
      </c>
      <c r="P3143" t="s">
        <v>15211</v>
      </c>
      <c r="Q3143" t="s">
        <v>15211</v>
      </c>
      <c r="R3143" t="s">
        <v>15211</v>
      </c>
      <c r="S3143" t="s">
        <v>15211</v>
      </c>
      <c r="T3143" t="s">
        <v>3367</v>
      </c>
      <c r="U3143" t="s">
        <v>15001</v>
      </c>
      <c r="V3143" t="s">
        <v>15233</v>
      </c>
    </row>
    <row r="3144" spans="1:22" ht="17.399999999999999" hidden="1">
      <c r="A3144" t="s">
        <v>15429</v>
      </c>
      <c r="B3144" t="s">
        <v>15442</v>
      </c>
      <c r="C3144" t="s">
        <v>15445</v>
      </c>
      <c r="D3144" t="s">
        <v>3139</v>
      </c>
      <c r="E3144" t="s">
        <v>3429</v>
      </c>
      <c r="F3144" t="s">
        <v>3426</v>
      </c>
      <c r="G3144" s="3">
        <v>36.731736773218501</v>
      </c>
      <c r="H3144" s="3">
        <v>128.43715337920801</v>
      </c>
      <c r="I3144" t="s">
        <v>6908</v>
      </c>
      <c r="J3144" t="s">
        <v>10262</v>
      </c>
      <c r="K3144" t="s">
        <v>10739</v>
      </c>
      <c r="L3144" t="s">
        <v>3366</v>
      </c>
      <c r="M3144" t="s">
        <v>11886</v>
      </c>
      <c r="N3144" t="s">
        <v>3363</v>
      </c>
      <c r="O3144" t="s">
        <v>3360</v>
      </c>
      <c r="P3144" t="s">
        <v>15211</v>
      </c>
      <c r="Q3144" t="s">
        <v>15211</v>
      </c>
      <c r="R3144" t="s">
        <v>15211</v>
      </c>
      <c r="S3144" t="s">
        <v>15211</v>
      </c>
      <c r="T3144" t="s">
        <v>3367</v>
      </c>
      <c r="U3144" t="s">
        <v>15002</v>
      </c>
      <c r="V3144" t="s">
        <v>15233</v>
      </c>
    </row>
    <row r="3145" spans="1:22" ht="17.399999999999999" hidden="1">
      <c r="A3145" t="s">
        <v>15429</v>
      </c>
      <c r="B3145" t="s">
        <v>15442</v>
      </c>
      <c r="C3145" t="s">
        <v>15451</v>
      </c>
      <c r="D3145" t="s">
        <v>3140</v>
      </c>
      <c r="E3145" t="s">
        <v>3437</v>
      </c>
      <c r="F3145" t="s">
        <v>3434</v>
      </c>
      <c r="G3145" s="3">
        <v>36.731736558448901</v>
      </c>
      <c r="H3145" s="3">
        <v>128.43715328721399</v>
      </c>
      <c r="I3145" t="s">
        <v>6909</v>
      </c>
      <c r="J3145" t="s">
        <v>10263</v>
      </c>
      <c r="K3145" t="s">
        <v>11846</v>
      </c>
      <c r="L3145" t="s">
        <v>3373</v>
      </c>
      <c r="M3145" t="s">
        <v>11891</v>
      </c>
      <c r="N3145" t="s">
        <v>3363</v>
      </c>
      <c r="O3145" t="s">
        <v>3360</v>
      </c>
      <c r="P3145" t="s">
        <v>3360</v>
      </c>
      <c r="Q3145" t="s">
        <v>3360</v>
      </c>
      <c r="R3145" t="s">
        <v>15211</v>
      </c>
      <c r="S3145" t="s">
        <v>15211</v>
      </c>
      <c r="T3145" t="s">
        <v>3375</v>
      </c>
      <c r="U3145" t="s">
        <v>15003</v>
      </c>
      <c r="V3145" t="s">
        <v>15234</v>
      </c>
    </row>
    <row r="3146" spans="1:22" ht="17.399999999999999" hidden="1">
      <c r="A3146" t="s">
        <v>15429</v>
      </c>
      <c r="B3146" t="s">
        <v>15442</v>
      </c>
      <c r="C3146" t="s">
        <v>15451</v>
      </c>
      <c r="D3146" t="s">
        <v>3141</v>
      </c>
      <c r="E3146" t="s">
        <v>3440</v>
      </c>
      <c r="F3146" t="s">
        <v>3434</v>
      </c>
      <c r="G3146" s="3">
        <v>36.731736564055502</v>
      </c>
      <c r="H3146" s="3">
        <v>128.43715332788</v>
      </c>
      <c r="I3146" t="s">
        <v>6910</v>
      </c>
      <c r="J3146" t="s">
        <v>10264</v>
      </c>
      <c r="K3146" t="s">
        <v>11847</v>
      </c>
      <c r="L3146" t="s">
        <v>3366</v>
      </c>
      <c r="M3146" t="s">
        <v>11891</v>
      </c>
      <c r="N3146" t="s">
        <v>3363</v>
      </c>
      <c r="O3146" t="s">
        <v>3360</v>
      </c>
      <c r="P3146" t="s">
        <v>3362</v>
      </c>
      <c r="Q3146" t="s">
        <v>3363</v>
      </c>
      <c r="R3146" t="s">
        <v>15211</v>
      </c>
      <c r="S3146" t="s">
        <v>15211</v>
      </c>
      <c r="T3146" t="s">
        <v>3380</v>
      </c>
      <c r="U3146" t="s">
        <v>15004</v>
      </c>
      <c r="V3146" t="s">
        <v>15234</v>
      </c>
    </row>
    <row r="3147" spans="1:22" ht="17.399999999999999" hidden="1">
      <c r="A3147" t="s">
        <v>15429</v>
      </c>
      <c r="B3147" t="s">
        <v>15442</v>
      </c>
      <c r="C3147" t="s">
        <v>15451</v>
      </c>
      <c r="D3147" t="s">
        <v>3142</v>
      </c>
      <c r="E3147" t="s">
        <v>3440</v>
      </c>
      <c r="F3147" t="s">
        <v>3434</v>
      </c>
      <c r="G3147" s="3">
        <v>36.731736551485298</v>
      </c>
      <c r="H3147" s="3">
        <v>128.43715335419901</v>
      </c>
      <c r="I3147" t="s">
        <v>6911</v>
      </c>
      <c r="J3147" t="s">
        <v>10265</v>
      </c>
      <c r="K3147" t="s">
        <v>10819</v>
      </c>
      <c r="L3147" t="s">
        <v>3366</v>
      </c>
      <c r="M3147" t="s">
        <v>11891</v>
      </c>
      <c r="N3147" t="s">
        <v>3363</v>
      </c>
      <c r="O3147" t="s">
        <v>3360</v>
      </c>
      <c r="P3147" t="s">
        <v>3362</v>
      </c>
      <c r="Q3147" t="s">
        <v>3363</v>
      </c>
      <c r="R3147" t="s">
        <v>15211</v>
      </c>
      <c r="S3147" t="s">
        <v>15211</v>
      </c>
      <c r="T3147" t="s">
        <v>3380</v>
      </c>
      <c r="U3147" t="s">
        <v>15005</v>
      </c>
      <c r="V3147" t="s">
        <v>15234</v>
      </c>
    </row>
    <row r="3148" spans="1:22" ht="17.399999999999999" hidden="1">
      <c r="A3148" t="s">
        <v>15408</v>
      </c>
      <c r="B3148" t="s">
        <v>15442</v>
      </c>
      <c r="C3148" t="s">
        <v>15450</v>
      </c>
      <c r="D3148" t="s">
        <v>3143</v>
      </c>
      <c r="E3148" t="s">
        <v>3491</v>
      </c>
      <c r="F3148" t="s">
        <v>3702</v>
      </c>
      <c r="G3148" s="3">
        <v>37.670657775682898</v>
      </c>
      <c r="H3148" s="3">
        <v>127.515651839349</v>
      </c>
      <c r="I3148" t="s">
        <v>6912</v>
      </c>
      <c r="J3148" t="s">
        <v>10266</v>
      </c>
      <c r="K3148" t="s">
        <v>11848</v>
      </c>
      <c r="L3148" t="s">
        <v>3366</v>
      </c>
      <c r="M3148" t="s">
        <v>11900</v>
      </c>
      <c r="N3148" t="s">
        <v>3362</v>
      </c>
      <c r="O3148" t="s">
        <v>3359</v>
      </c>
      <c r="P3148" t="s">
        <v>15211</v>
      </c>
      <c r="Q3148" t="s">
        <v>15211</v>
      </c>
      <c r="R3148" t="s">
        <v>15211</v>
      </c>
      <c r="S3148" t="s">
        <v>15211</v>
      </c>
      <c r="T3148" t="s">
        <v>3365</v>
      </c>
      <c r="U3148" t="s">
        <v>15006</v>
      </c>
      <c r="V3148" t="s">
        <v>15232</v>
      </c>
    </row>
    <row r="3149" spans="1:22" ht="17.399999999999999" hidden="1">
      <c r="A3149" t="s">
        <v>15408</v>
      </c>
      <c r="B3149" t="s">
        <v>15442</v>
      </c>
      <c r="C3149" t="s">
        <v>15450</v>
      </c>
      <c r="D3149" t="s">
        <v>3144</v>
      </c>
      <c r="E3149" t="s">
        <v>3491</v>
      </c>
      <c r="F3149" t="s">
        <v>3553</v>
      </c>
      <c r="G3149" s="3">
        <v>37.670657794289298</v>
      </c>
      <c r="H3149" s="3">
        <v>127.515651799656</v>
      </c>
      <c r="I3149" t="s">
        <v>6913</v>
      </c>
      <c r="J3149" t="s">
        <v>10267</v>
      </c>
      <c r="K3149" t="s">
        <v>11848</v>
      </c>
      <c r="L3149" t="s">
        <v>3366</v>
      </c>
      <c r="M3149" t="s">
        <v>11900</v>
      </c>
      <c r="N3149" t="s">
        <v>3362</v>
      </c>
      <c r="O3149" t="s">
        <v>3359</v>
      </c>
      <c r="P3149" t="s">
        <v>15211</v>
      </c>
      <c r="Q3149" t="s">
        <v>15211</v>
      </c>
      <c r="R3149" t="s">
        <v>15211</v>
      </c>
      <c r="S3149" t="s">
        <v>15211</v>
      </c>
      <c r="T3149" t="s">
        <v>3365</v>
      </c>
      <c r="U3149" t="s">
        <v>15007</v>
      </c>
      <c r="V3149" t="s">
        <v>15232</v>
      </c>
    </row>
    <row r="3150" spans="1:22" ht="17.399999999999999" hidden="1">
      <c r="A3150" t="s">
        <v>15408</v>
      </c>
      <c r="B3150" t="s">
        <v>15442</v>
      </c>
      <c r="C3150" t="s">
        <v>15450</v>
      </c>
      <c r="D3150" t="s">
        <v>3145</v>
      </c>
      <c r="E3150" t="s">
        <v>3491</v>
      </c>
      <c r="F3150" t="s">
        <v>3553</v>
      </c>
      <c r="G3150" s="3">
        <v>37.670657774871103</v>
      </c>
      <c r="H3150" s="3">
        <v>127.51565183579901</v>
      </c>
      <c r="I3150" t="s">
        <v>6914</v>
      </c>
      <c r="J3150" t="s">
        <v>10268</v>
      </c>
      <c r="K3150" t="s">
        <v>11848</v>
      </c>
      <c r="L3150" t="s">
        <v>3366</v>
      </c>
      <c r="M3150" t="s">
        <v>11900</v>
      </c>
      <c r="N3150" t="s">
        <v>3362</v>
      </c>
      <c r="O3150" t="s">
        <v>3359</v>
      </c>
      <c r="P3150" t="s">
        <v>15211</v>
      </c>
      <c r="Q3150" t="s">
        <v>15211</v>
      </c>
      <c r="R3150" t="s">
        <v>15211</v>
      </c>
      <c r="S3150" t="s">
        <v>15211</v>
      </c>
      <c r="T3150" t="s">
        <v>3365</v>
      </c>
      <c r="U3150" t="s">
        <v>15008</v>
      </c>
      <c r="V3150" t="s">
        <v>15232</v>
      </c>
    </row>
    <row r="3151" spans="1:22" ht="17.399999999999999" hidden="1">
      <c r="A3151" t="s">
        <v>15408</v>
      </c>
      <c r="B3151" t="s">
        <v>15442</v>
      </c>
      <c r="C3151" t="s">
        <v>15445</v>
      </c>
      <c r="D3151" t="s">
        <v>3146</v>
      </c>
      <c r="E3151" t="s">
        <v>3428</v>
      </c>
      <c r="F3151" t="s">
        <v>3429</v>
      </c>
      <c r="G3151" s="3">
        <v>37.670657860471401</v>
      </c>
      <c r="H3151" s="3">
        <v>127.515651249624</v>
      </c>
      <c r="I3151" t="s">
        <v>6915</v>
      </c>
      <c r="J3151" t="s">
        <v>10269</v>
      </c>
      <c r="K3151" t="s">
        <v>11849</v>
      </c>
      <c r="L3151" t="s">
        <v>3366</v>
      </c>
      <c r="M3151" t="s">
        <v>11900</v>
      </c>
      <c r="N3151" t="s">
        <v>3362</v>
      </c>
      <c r="O3151" t="s">
        <v>3359</v>
      </c>
      <c r="P3151" t="s">
        <v>15211</v>
      </c>
      <c r="Q3151" t="s">
        <v>15211</v>
      </c>
      <c r="R3151" t="s">
        <v>15211</v>
      </c>
      <c r="S3151" t="s">
        <v>15211</v>
      </c>
      <c r="T3151" t="s">
        <v>3365</v>
      </c>
      <c r="U3151" t="s">
        <v>15009</v>
      </c>
      <c r="V3151" t="s">
        <v>15233</v>
      </c>
    </row>
    <row r="3152" spans="1:22" ht="17.399999999999999" hidden="1">
      <c r="A3152" t="s">
        <v>15408</v>
      </c>
      <c r="B3152" t="s">
        <v>15442</v>
      </c>
      <c r="C3152" t="s">
        <v>15445</v>
      </c>
      <c r="D3152" t="s">
        <v>3147</v>
      </c>
      <c r="E3152" t="s">
        <v>3436</v>
      </c>
      <c r="F3152" t="s">
        <v>3441</v>
      </c>
      <c r="G3152" s="3">
        <v>37.670657793644601</v>
      </c>
      <c r="H3152" s="3">
        <v>127.51565124163101</v>
      </c>
      <c r="I3152" t="s">
        <v>6916</v>
      </c>
      <c r="J3152" t="s">
        <v>10270</v>
      </c>
      <c r="K3152" t="s">
        <v>10823</v>
      </c>
      <c r="L3152" t="s">
        <v>3366</v>
      </c>
      <c r="M3152" t="s">
        <v>11902</v>
      </c>
      <c r="N3152" t="s">
        <v>3362</v>
      </c>
      <c r="O3152" t="s">
        <v>3359</v>
      </c>
      <c r="P3152" t="s">
        <v>15211</v>
      </c>
      <c r="Q3152" t="s">
        <v>15211</v>
      </c>
      <c r="R3152" t="s">
        <v>15211</v>
      </c>
      <c r="S3152" t="s">
        <v>15211</v>
      </c>
      <c r="T3152" t="s">
        <v>3365</v>
      </c>
      <c r="U3152" t="s">
        <v>15010</v>
      </c>
      <c r="V3152" t="s">
        <v>15233</v>
      </c>
    </row>
    <row r="3153" spans="1:22" ht="17.399999999999999" hidden="1">
      <c r="A3153" t="s">
        <v>15408</v>
      </c>
      <c r="B3153" t="s">
        <v>15442</v>
      </c>
      <c r="C3153" t="s">
        <v>15445</v>
      </c>
      <c r="D3153" t="s">
        <v>3148</v>
      </c>
      <c r="E3153" t="s">
        <v>3465</v>
      </c>
      <c r="F3153" t="s">
        <v>3543</v>
      </c>
      <c r="G3153" s="3">
        <v>37.670657825098303</v>
      </c>
      <c r="H3153" s="3">
        <v>127.515651239609</v>
      </c>
      <c r="I3153" t="s">
        <v>6917</v>
      </c>
      <c r="J3153" t="s">
        <v>10271</v>
      </c>
      <c r="K3153" t="s">
        <v>11850</v>
      </c>
      <c r="L3153" t="s">
        <v>3366</v>
      </c>
      <c r="M3153" t="s">
        <v>11900</v>
      </c>
      <c r="N3153" t="s">
        <v>3362</v>
      </c>
      <c r="O3153" t="s">
        <v>3359</v>
      </c>
      <c r="P3153" t="s">
        <v>15211</v>
      </c>
      <c r="Q3153" t="s">
        <v>15211</v>
      </c>
      <c r="R3153" t="s">
        <v>15211</v>
      </c>
      <c r="S3153" t="s">
        <v>15211</v>
      </c>
      <c r="T3153" t="s">
        <v>3365</v>
      </c>
      <c r="U3153" t="s">
        <v>15011</v>
      </c>
      <c r="V3153" t="s">
        <v>15233</v>
      </c>
    </row>
    <row r="3154" spans="1:22" ht="17.399999999999999" hidden="1">
      <c r="A3154" t="s">
        <v>15408</v>
      </c>
      <c r="B3154" t="s">
        <v>15442</v>
      </c>
      <c r="C3154" t="s">
        <v>15451</v>
      </c>
      <c r="D3154" t="s">
        <v>3149</v>
      </c>
      <c r="E3154" t="s">
        <v>3427</v>
      </c>
      <c r="F3154" t="s">
        <v>3429</v>
      </c>
      <c r="G3154" s="3">
        <v>37.670657929641798</v>
      </c>
      <c r="H3154" s="3">
        <v>127.515651191757</v>
      </c>
      <c r="I3154" t="s">
        <v>6918</v>
      </c>
      <c r="J3154" t="s">
        <v>10272</v>
      </c>
      <c r="K3154" t="s">
        <v>11652</v>
      </c>
      <c r="L3154" t="s">
        <v>3372</v>
      </c>
      <c r="M3154" t="s">
        <v>11901</v>
      </c>
      <c r="N3154" t="s">
        <v>3362</v>
      </c>
      <c r="O3154" t="s">
        <v>3359</v>
      </c>
      <c r="P3154" t="s">
        <v>15211</v>
      </c>
      <c r="Q3154" t="s">
        <v>15211</v>
      </c>
      <c r="R3154" t="s">
        <v>15211</v>
      </c>
      <c r="S3154" t="s">
        <v>15211</v>
      </c>
      <c r="T3154" t="s">
        <v>3365</v>
      </c>
      <c r="U3154" t="s">
        <v>15012</v>
      </c>
      <c r="V3154" t="s">
        <v>15234</v>
      </c>
    </row>
    <row r="3155" spans="1:22" ht="17.399999999999999" hidden="1">
      <c r="A3155" t="s">
        <v>15408</v>
      </c>
      <c r="B3155" t="s">
        <v>15442</v>
      </c>
      <c r="C3155" t="s">
        <v>15451</v>
      </c>
      <c r="D3155" t="s">
        <v>3150</v>
      </c>
      <c r="E3155" t="s">
        <v>3427</v>
      </c>
      <c r="F3155" t="s">
        <v>3430</v>
      </c>
      <c r="G3155" s="3">
        <v>37.670657949949003</v>
      </c>
      <c r="H3155" s="3">
        <v>127.51565119420999</v>
      </c>
      <c r="I3155" t="s">
        <v>6919</v>
      </c>
      <c r="J3155" t="s">
        <v>10273</v>
      </c>
      <c r="K3155" t="s">
        <v>11851</v>
      </c>
      <c r="L3155" t="s">
        <v>3366</v>
      </c>
      <c r="M3155" t="s">
        <v>11898</v>
      </c>
      <c r="N3155" t="s">
        <v>3362</v>
      </c>
      <c r="O3155" t="s">
        <v>3359</v>
      </c>
      <c r="P3155" t="s">
        <v>15211</v>
      </c>
      <c r="Q3155" t="s">
        <v>15211</v>
      </c>
      <c r="R3155" t="s">
        <v>15211</v>
      </c>
      <c r="S3155" t="s">
        <v>15211</v>
      </c>
      <c r="T3155" t="s">
        <v>3365</v>
      </c>
      <c r="U3155" t="s">
        <v>15013</v>
      </c>
      <c r="V3155" t="s">
        <v>15234</v>
      </c>
    </row>
    <row r="3156" spans="1:22" ht="17.399999999999999" hidden="1">
      <c r="A3156" t="s">
        <v>15408</v>
      </c>
      <c r="B3156" t="s">
        <v>15442</v>
      </c>
      <c r="C3156" t="s">
        <v>15451</v>
      </c>
      <c r="D3156" t="s">
        <v>3151</v>
      </c>
      <c r="E3156" t="s">
        <v>3428</v>
      </c>
      <c r="F3156" t="s">
        <v>3442</v>
      </c>
      <c r="G3156" s="3">
        <v>37.670657874763997</v>
      </c>
      <c r="H3156" s="3">
        <v>127.51565118654</v>
      </c>
      <c r="I3156" t="s">
        <v>6920</v>
      </c>
      <c r="J3156" t="s">
        <v>10274</v>
      </c>
      <c r="K3156" t="s">
        <v>10895</v>
      </c>
      <c r="L3156" t="s">
        <v>3366</v>
      </c>
      <c r="M3156" t="s">
        <v>11898</v>
      </c>
      <c r="N3156" t="s">
        <v>3362</v>
      </c>
      <c r="O3156" t="s">
        <v>3359</v>
      </c>
      <c r="P3156" t="s">
        <v>15211</v>
      </c>
      <c r="Q3156" t="s">
        <v>15211</v>
      </c>
      <c r="R3156" t="s">
        <v>15211</v>
      </c>
      <c r="S3156" t="s">
        <v>15211</v>
      </c>
      <c r="T3156" t="s">
        <v>3365</v>
      </c>
      <c r="U3156" t="s">
        <v>15014</v>
      </c>
      <c r="V3156" t="s">
        <v>15234</v>
      </c>
    </row>
    <row r="3157" spans="1:22" ht="17.399999999999999" hidden="1">
      <c r="A3157" t="s">
        <v>15408</v>
      </c>
      <c r="B3157" t="s">
        <v>15441</v>
      </c>
      <c r="C3157" t="s">
        <v>15445</v>
      </c>
      <c r="D3157" t="s">
        <v>3152</v>
      </c>
      <c r="E3157" t="s">
        <v>3445</v>
      </c>
      <c r="F3157" t="s">
        <v>3494</v>
      </c>
      <c r="G3157" s="3">
        <v>37.670657756467001</v>
      </c>
      <c r="H3157" s="3">
        <v>127.51565128055</v>
      </c>
      <c r="I3157" t="s">
        <v>6921</v>
      </c>
      <c r="J3157" t="s">
        <v>10275</v>
      </c>
      <c r="K3157" t="s">
        <v>11293</v>
      </c>
      <c r="L3157" t="s">
        <v>3366</v>
      </c>
      <c r="M3157" t="s">
        <v>11900</v>
      </c>
      <c r="N3157" t="s">
        <v>3362</v>
      </c>
      <c r="O3157" t="s">
        <v>3359</v>
      </c>
      <c r="P3157" t="s">
        <v>15211</v>
      </c>
      <c r="Q3157" t="s">
        <v>15211</v>
      </c>
      <c r="R3157" t="s">
        <v>15211</v>
      </c>
      <c r="S3157" t="s">
        <v>15211</v>
      </c>
      <c r="T3157" t="s">
        <v>3365</v>
      </c>
      <c r="U3157" t="s">
        <v>15015</v>
      </c>
      <c r="V3157" t="s">
        <v>15228</v>
      </c>
    </row>
    <row r="3158" spans="1:22" ht="17.399999999999999" hidden="1">
      <c r="A3158" t="s">
        <v>15408</v>
      </c>
      <c r="B3158" t="s">
        <v>15441</v>
      </c>
      <c r="C3158" t="s">
        <v>15445</v>
      </c>
      <c r="D3158" t="s">
        <v>3153</v>
      </c>
      <c r="E3158" t="s">
        <v>3441</v>
      </c>
      <c r="F3158" t="s">
        <v>3441</v>
      </c>
      <c r="G3158" s="3">
        <v>37.6706576473564</v>
      </c>
      <c r="H3158" s="3">
        <v>127.515651355895</v>
      </c>
      <c r="I3158" t="s">
        <v>6922</v>
      </c>
      <c r="J3158" t="s">
        <v>10276</v>
      </c>
      <c r="K3158" t="s">
        <v>10818</v>
      </c>
      <c r="L3158" t="s">
        <v>3366</v>
      </c>
      <c r="M3158" t="s">
        <v>11900</v>
      </c>
      <c r="N3158" t="s">
        <v>3362</v>
      </c>
      <c r="O3158" t="s">
        <v>3359</v>
      </c>
      <c r="P3158" t="s">
        <v>15211</v>
      </c>
      <c r="Q3158" t="s">
        <v>15211</v>
      </c>
      <c r="R3158" t="s">
        <v>15211</v>
      </c>
      <c r="S3158" t="s">
        <v>15211</v>
      </c>
      <c r="T3158" t="s">
        <v>3365</v>
      </c>
      <c r="U3158" t="s">
        <v>15016</v>
      </c>
      <c r="V3158" t="s">
        <v>15228</v>
      </c>
    </row>
    <row r="3159" spans="1:22" ht="17.399999999999999" hidden="1">
      <c r="A3159" t="s">
        <v>15408</v>
      </c>
      <c r="B3159" t="s">
        <v>15441</v>
      </c>
      <c r="C3159" t="s">
        <v>15445</v>
      </c>
      <c r="D3159" t="s">
        <v>3154</v>
      </c>
      <c r="E3159" t="s">
        <v>3600</v>
      </c>
      <c r="F3159" t="s">
        <v>3485</v>
      </c>
      <c r="G3159" s="3">
        <v>37.6706577021071</v>
      </c>
      <c r="H3159" s="3">
        <v>127.51565135616499</v>
      </c>
      <c r="I3159" t="s">
        <v>6923</v>
      </c>
      <c r="J3159" t="s">
        <v>10277</v>
      </c>
      <c r="K3159" t="s">
        <v>11550</v>
      </c>
      <c r="L3159" t="s">
        <v>3366</v>
      </c>
      <c r="M3159" t="s">
        <v>11900</v>
      </c>
      <c r="N3159" t="s">
        <v>3362</v>
      </c>
      <c r="O3159" t="s">
        <v>3359</v>
      </c>
      <c r="P3159" t="s">
        <v>15211</v>
      </c>
      <c r="Q3159" t="s">
        <v>15211</v>
      </c>
      <c r="R3159" t="s">
        <v>15211</v>
      </c>
      <c r="S3159" t="s">
        <v>15211</v>
      </c>
      <c r="T3159" t="s">
        <v>3365</v>
      </c>
      <c r="U3159" t="s">
        <v>15017</v>
      </c>
      <c r="V3159" t="s">
        <v>15228</v>
      </c>
    </row>
    <row r="3160" spans="1:22" ht="17.399999999999999" hidden="1">
      <c r="A3160" t="s">
        <v>15408</v>
      </c>
      <c r="B3160" t="s">
        <v>15441</v>
      </c>
      <c r="C3160" t="s">
        <v>15446</v>
      </c>
      <c r="D3160" t="s">
        <v>3155</v>
      </c>
      <c r="E3160" t="s">
        <v>3435</v>
      </c>
      <c r="F3160" t="s">
        <v>3435</v>
      </c>
      <c r="G3160" s="3">
        <v>37.670657803948998</v>
      </c>
      <c r="H3160" s="3">
        <v>127.51565141612799</v>
      </c>
      <c r="I3160" t="s">
        <v>6924</v>
      </c>
      <c r="J3160" t="s">
        <v>10278</v>
      </c>
      <c r="K3160" t="s">
        <v>11852</v>
      </c>
      <c r="L3160" t="s">
        <v>3375</v>
      </c>
      <c r="M3160" t="s">
        <v>11900</v>
      </c>
      <c r="N3160" t="s">
        <v>3362</v>
      </c>
      <c r="O3160" t="s">
        <v>3359</v>
      </c>
      <c r="P3160" t="s">
        <v>15211</v>
      </c>
      <c r="Q3160" t="s">
        <v>15211</v>
      </c>
      <c r="R3160" t="s">
        <v>15211</v>
      </c>
      <c r="S3160" t="s">
        <v>15211</v>
      </c>
      <c r="T3160" t="s">
        <v>3365</v>
      </c>
      <c r="U3160" t="s">
        <v>15018</v>
      </c>
      <c r="V3160" t="s">
        <v>15229</v>
      </c>
    </row>
    <row r="3161" spans="1:22" ht="17.399999999999999" hidden="1">
      <c r="A3161" t="s">
        <v>15408</v>
      </c>
      <c r="B3161" t="s">
        <v>15441</v>
      </c>
      <c r="C3161" t="s">
        <v>15446</v>
      </c>
      <c r="D3161" t="s">
        <v>3156</v>
      </c>
      <c r="E3161" t="s">
        <v>3435</v>
      </c>
      <c r="F3161" t="s">
        <v>3435</v>
      </c>
      <c r="G3161" s="3">
        <v>37.670657740291396</v>
      </c>
      <c r="H3161" s="3">
        <v>127.515651410345</v>
      </c>
      <c r="I3161" t="s">
        <v>6925</v>
      </c>
      <c r="J3161" t="s">
        <v>10279</v>
      </c>
      <c r="K3161" t="s">
        <v>11853</v>
      </c>
      <c r="L3161" t="s">
        <v>3366</v>
      </c>
      <c r="M3161" t="s">
        <v>11900</v>
      </c>
      <c r="N3161" t="s">
        <v>3362</v>
      </c>
      <c r="O3161" t="s">
        <v>3359</v>
      </c>
      <c r="P3161" t="s">
        <v>15211</v>
      </c>
      <c r="Q3161" t="s">
        <v>15211</v>
      </c>
      <c r="R3161" t="s">
        <v>15211</v>
      </c>
      <c r="S3161" t="s">
        <v>15211</v>
      </c>
      <c r="T3161" t="s">
        <v>3365</v>
      </c>
      <c r="U3161" t="s">
        <v>15019</v>
      </c>
      <c r="V3161" t="s">
        <v>15229</v>
      </c>
    </row>
    <row r="3162" spans="1:22" ht="17.399999999999999" hidden="1">
      <c r="A3162" t="s">
        <v>15408</v>
      </c>
      <c r="B3162" t="s">
        <v>15441</v>
      </c>
      <c r="C3162" t="s">
        <v>15446</v>
      </c>
      <c r="D3162" t="s">
        <v>3157</v>
      </c>
      <c r="E3162" t="s">
        <v>3435</v>
      </c>
      <c r="F3162" t="s">
        <v>3435</v>
      </c>
      <c r="G3162" s="3">
        <v>37.670657815780899</v>
      </c>
      <c r="H3162" s="3">
        <v>127.515651438381</v>
      </c>
      <c r="I3162" t="s">
        <v>6926</v>
      </c>
      <c r="J3162" t="s">
        <v>10280</v>
      </c>
      <c r="K3162" t="s">
        <v>11854</v>
      </c>
      <c r="L3162" t="s">
        <v>3366</v>
      </c>
      <c r="M3162" t="s">
        <v>11900</v>
      </c>
      <c r="N3162" t="s">
        <v>3362</v>
      </c>
      <c r="O3162" t="s">
        <v>3359</v>
      </c>
      <c r="P3162" t="s">
        <v>15211</v>
      </c>
      <c r="Q3162" t="s">
        <v>15211</v>
      </c>
      <c r="R3162" t="s">
        <v>15211</v>
      </c>
      <c r="S3162" t="s">
        <v>15211</v>
      </c>
      <c r="T3162" t="s">
        <v>3365</v>
      </c>
      <c r="U3162" t="s">
        <v>15020</v>
      </c>
      <c r="V3162" t="s">
        <v>15229</v>
      </c>
    </row>
    <row r="3163" spans="1:22" ht="17.399999999999999" hidden="1">
      <c r="A3163" t="s">
        <v>15408</v>
      </c>
      <c r="B3163" t="s">
        <v>15441</v>
      </c>
      <c r="C3163" t="s">
        <v>15447</v>
      </c>
      <c r="D3163" t="s">
        <v>3158</v>
      </c>
      <c r="E3163" t="s">
        <v>3441</v>
      </c>
      <c r="F3163" t="s">
        <v>3433</v>
      </c>
      <c r="G3163" s="3">
        <v>37.670657883359901</v>
      </c>
      <c r="H3163" s="3">
        <v>127.515651443973</v>
      </c>
      <c r="I3163" t="s">
        <v>6927</v>
      </c>
      <c r="J3163" t="s">
        <v>10281</v>
      </c>
      <c r="K3163" t="s">
        <v>11855</v>
      </c>
      <c r="L3163" t="s">
        <v>3372</v>
      </c>
      <c r="M3163" t="s">
        <v>11909</v>
      </c>
      <c r="N3163" t="s">
        <v>3362</v>
      </c>
      <c r="O3163" t="s">
        <v>3359</v>
      </c>
      <c r="P3163" t="s">
        <v>15211</v>
      </c>
      <c r="Q3163" t="s">
        <v>15211</v>
      </c>
      <c r="R3163" t="s">
        <v>15211</v>
      </c>
      <c r="S3163" t="s">
        <v>15211</v>
      </c>
      <c r="T3163" t="s">
        <v>3365</v>
      </c>
      <c r="U3163" t="s">
        <v>15021</v>
      </c>
      <c r="V3163" t="s">
        <v>15235</v>
      </c>
    </row>
    <row r="3164" spans="1:22" ht="17.399999999999999" hidden="1">
      <c r="A3164" t="s">
        <v>15408</v>
      </c>
      <c r="B3164" t="s">
        <v>15441</v>
      </c>
      <c r="C3164" t="s">
        <v>15447</v>
      </c>
      <c r="D3164" t="s">
        <v>3159</v>
      </c>
      <c r="E3164" t="s">
        <v>3433</v>
      </c>
      <c r="F3164" t="s">
        <v>3433</v>
      </c>
      <c r="G3164" s="3">
        <v>37.670657813821897</v>
      </c>
      <c r="H3164" s="3">
        <v>127.515651405981</v>
      </c>
      <c r="I3164" t="s">
        <v>6928</v>
      </c>
      <c r="J3164" t="s">
        <v>10282</v>
      </c>
      <c r="K3164" t="s">
        <v>11856</v>
      </c>
      <c r="L3164" t="s">
        <v>3366</v>
      </c>
      <c r="M3164" t="s">
        <v>11909</v>
      </c>
      <c r="N3164" t="s">
        <v>3362</v>
      </c>
      <c r="O3164" t="s">
        <v>3359</v>
      </c>
      <c r="P3164" t="s">
        <v>15211</v>
      </c>
      <c r="Q3164" t="s">
        <v>15211</v>
      </c>
      <c r="R3164" t="s">
        <v>15211</v>
      </c>
      <c r="S3164" t="s">
        <v>15211</v>
      </c>
      <c r="T3164" t="s">
        <v>3365</v>
      </c>
      <c r="U3164" t="s">
        <v>15022</v>
      </c>
      <c r="V3164" t="s">
        <v>15235</v>
      </c>
    </row>
    <row r="3165" spans="1:22" ht="17.399999999999999" hidden="1">
      <c r="A3165" t="s">
        <v>15408</v>
      </c>
      <c r="B3165" t="s">
        <v>15441</v>
      </c>
      <c r="C3165" t="s">
        <v>15447</v>
      </c>
      <c r="D3165" t="s">
        <v>3160</v>
      </c>
      <c r="E3165" t="s">
        <v>3478</v>
      </c>
      <c r="F3165" t="s">
        <v>3579</v>
      </c>
      <c r="G3165" s="3">
        <v>37.670657839288999</v>
      </c>
      <c r="H3165" s="3">
        <v>127.515651374086</v>
      </c>
      <c r="I3165" t="s">
        <v>6929</v>
      </c>
      <c r="J3165" t="s">
        <v>10283</v>
      </c>
      <c r="K3165" t="s">
        <v>11857</v>
      </c>
      <c r="L3165" t="s">
        <v>3366</v>
      </c>
      <c r="M3165" t="s">
        <v>11909</v>
      </c>
      <c r="N3165" t="s">
        <v>3362</v>
      </c>
      <c r="O3165" t="s">
        <v>3359</v>
      </c>
      <c r="P3165" t="s">
        <v>15211</v>
      </c>
      <c r="Q3165" t="s">
        <v>15211</v>
      </c>
      <c r="R3165" t="s">
        <v>15211</v>
      </c>
      <c r="S3165" t="s">
        <v>15211</v>
      </c>
      <c r="T3165" t="s">
        <v>3365</v>
      </c>
      <c r="U3165" t="s">
        <v>15023</v>
      </c>
      <c r="V3165" t="s">
        <v>15235</v>
      </c>
    </row>
    <row r="3166" spans="1:22" ht="17.399999999999999" hidden="1">
      <c r="A3166" t="s">
        <v>15408</v>
      </c>
      <c r="B3166" t="s">
        <v>15441</v>
      </c>
      <c r="C3166" t="s">
        <v>15447</v>
      </c>
      <c r="D3166" t="s">
        <v>3161</v>
      </c>
      <c r="E3166" t="s">
        <v>3460</v>
      </c>
      <c r="F3166" t="s">
        <v>3450</v>
      </c>
      <c r="G3166" s="3">
        <v>37.670657814554403</v>
      </c>
      <c r="H3166" s="3">
        <v>127.515651326704</v>
      </c>
      <c r="I3166" t="s">
        <v>6930</v>
      </c>
      <c r="J3166" t="s">
        <v>10284</v>
      </c>
      <c r="K3166" t="s">
        <v>11857</v>
      </c>
      <c r="L3166" t="s">
        <v>3366</v>
      </c>
      <c r="M3166" t="s">
        <v>11909</v>
      </c>
      <c r="N3166" t="s">
        <v>3362</v>
      </c>
      <c r="O3166" t="s">
        <v>3359</v>
      </c>
      <c r="P3166" t="s">
        <v>15211</v>
      </c>
      <c r="Q3166" t="s">
        <v>15211</v>
      </c>
      <c r="R3166" t="s">
        <v>15211</v>
      </c>
      <c r="S3166" t="s">
        <v>15211</v>
      </c>
      <c r="T3166" t="s">
        <v>3365</v>
      </c>
      <c r="U3166" t="s">
        <v>15024</v>
      </c>
      <c r="V3166" t="s">
        <v>15235</v>
      </c>
    </row>
    <row r="3167" spans="1:22" ht="17.399999999999999" hidden="1">
      <c r="A3167" t="s">
        <v>15408</v>
      </c>
      <c r="B3167" t="s">
        <v>15441</v>
      </c>
      <c r="C3167" t="s">
        <v>15448</v>
      </c>
      <c r="D3167" t="s">
        <v>3162</v>
      </c>
      <c r="E3167" t="s">
        <v>3441</v>
      </c>
      <c r="F3167" t="s">
        <v>3478</v>
      </c>
      <c r="G3167" s="3">
        <v>37.670657892925199</v>
      </c>
      <c r="H3167" s="3">
        <v>127.515651338962</v>
      </c>
      <c r="I3167" t="s">
        <v>6931</v>
      </c>
      <c r="J3167" t="s">
        <v>10285</v>
      </c>
      <c r="K3167" t="s">
        <v>11018</v>
      </c>
      <c r="L3167" t="s">
        <v>3367</v>
      </c>
      <c r="M3167" t="s">
        <v>11908</v>
      </c>
      <c r="N3167" t="s">
        <v>3362</v>
      </c>
      <c r="O3167" t="s">
        <v>3359</v>
      </c>
      <c r="P3167" t="s">
        <v>15211</v>
      </c>
      <c r="Q3167" t="s">
        <v>15211</v>
      </c>
      <c r="R3167" t="s">
        <v>15211</v>
      </c>
      <c r="S3167" t="s">
        <v>15211</v>
      </c>
      <c r="T3167" t="s">
        <v>3365</v>
      </c>
      <c r="U3167" t="s">
        <v>15025</v>
      </c>
      <c r="V3167" t="s">
        <v>15230</v>
      </c>
    </row>
    <row r="3168" spans="1:22" ht="17.399999999999999" hidden="1">
      <c r="A3168" t="s">
        <v>15408</v>
      </c>
      <c r="B3168" t="s">
        <v>15441</v>
      </c>
      <c r="C3168" t="s">
        <v>15448</v>
      </c>
      <c r="D3168" t="s">
        <v>3163</v>
      </c>
      <c r="E3168" t="s">
        <v>3453</v>
      </c>
      <c r="F3168" t="s">
        <v>3579</v>
      </c>
      <c r="G3168" s="3">
        <v>37.670657914329901</v>
      </c>
      <c r="H3168" s="3">
        <v>127.51565132415099</v>
      </c>
      <c r="I3168" t="s">
        <v>6932</v>
      </c>
      <c r="J3168" t="s">
        <v>10286</v>
      </c>
      <c r="K3168" t="s">
        <v>11675</v>
      </c>
      <c r="L3168" t="s">
        <v>3366</v>
      </c>
      <c r="M3168" t="s">
        <v>11908</v>
      </c>
      <c r="N3168" t="s">
        <v>3362</v>
      </c>
      <c r="O3168" t="s">
        <v>3359</v>
      </c>
      <c r="P3168" t="s">
        <v>15211</v>
      </c>
      <c r="Q3168" t="s">
        <v>15211</v>
      </c>
      <c r="R3168" t="s">
        <v>15211</v>
      </c>
      <c r="S3168" t="s">
        <v>15211</v>
      </c>
      <c r="T3168" t="s">
        <v>3365</v>
      </c>
      <c r="U3168" t="s">
        <v>15026</v>
      </c>
      <c r="V3168" t="s">
        <v>15230</v>
      </c>
    </row>
    <row r="3169" spans="1:22" ht="17.399999999999999" hidden="1">
      <c r="A3169" t="s">
        <v>15408</v>
      </c>
      <c r="B3169" t="s">
        <v>15441</v>
      </c>
      <c r="C3169" t="s">
        <v>15448</v>
      </c>
      <c r="D3169" t="s">
        <v>3164</v>
      </c>
      <c r="E3169" t="s">
        <v>3433</v>
      </c>
      <c r="F3169" t="s">
        <v>3476</v>
      </c>
      <c r="G3169" s="3">
        <v>37.670657897418003</v>
      </c>
      <c r="H3169" s="3">
        <v>127.515651347812</v>
      </c>
      <c r="I3169" t="s">
        <v>6933</v>
      </c>
      <c r="J3169" t="s">
        <v>10287</v>
      </c>
      <c r="K3169" t="s">
        <v>11209</v>
      </c>
      <c r="L3169" t="s">
        <v>3366</v>
      </c>
      <c r="M3169" t="s">
        <v>11899</v>
      </c>
      <c r="N3169" t="s">
        <v>3362</v>
      </c>
      <c r="O3169" t="s">
        <v>3359</v>
      </c>
      <c r="P3169" t="s">
        <v>15211</v>
      </c>
      <c r="Q3169" t="s">
        <v>15211</v>
      </c>
      <c r="R3169" t="s">
        <v>15211</v>
      </c>
      <c r="S3169" t="s">
        <v>15211</v>
      </c>
      <c r="T3169" t="s">
        <v>3365</v>
      </c>
      <c r="U3169" t="s">
        <v>15027</v>
      </c>
      <c r="V3169" t="s">
        <v>15230</v>
      </c>
    </row>
    <row r="3170" spans="1:22" ht="17.399999999999999" hidden="1">
      <c r="A3170" t="s">
        <v>15408</v>
      </c>
      <c r="B3170" t="s">
        <v>15441</v>
      </c>
      <c r="C3170" t="s">
        <v>15449</v>
      </c>
      <c r="D3170" t="s">
        <v>3165</v>
      </c>
      <c r="E3170" t="s">
        <v>3429</v>
      </c>
      <c r="F3170" t="s">
        <v>3465</v>
      </c>
      <c r="G3170" s="3">
        <v>37.670657996600198</v>
      </c>
      <c r="H3170" s="3">
        <v>127.515651349064</v>
      </c>
      <c r="I3170" t="s">
        <v>6934</v>
      </c>
      <c r="J3170" t="s">
        <v>10288</v>
      </c>
      <c r="K3170" t="s">
        <v>10685</v>
      </c>
      <c r="L3170" t="s">
        <v>3366</v>
      </c>
      <c r="M3170" t="s">
        <v>11901</v>
      </c>
      <c r="N3170" t="s">
        <v>3362</v>
      </c>
      <c r="O3170" t="s">
        <v>3359</v>
      </c>
      <c r="P3170" t="s">
        <v>15211</v>
      </c>
      <c r="Q3170" t="s">
        <v>15211</v>
      </c>
      <c r="R3170" t="s">
        <v>15211</v>
      </c>
      <c r="S3170" t="s">
        <v>15211</v>
      </c>
      <c r="T3170" t="s">
        <v>3365</v>
      </c>
      <c r="U3170" t="s">
        <v>15028</v>
      </c>
      <c r="V3170" t="s">
        <v>15231</v>
      </c>
    </row>
    <row r="3171" spans="1:22" ht="17.399999999999999" hidden="1">
      <c r="A3171" t="s">
        <v>15408</v>
      </c>
      <c r="B3171" t="s">
        <v>15441</v>
      </c>
      <c r="C3171" t="s">
        <v>15449</v>
      </c>
      <c r="D3171" t="s">
        <v>3166</v>
      </c>
      <c r="E3171" t="s">
        <v>3429</v>
      </c>
      <c r="F3171" t="s">
        <v>3450</v>
      </c>
      <c r="G3171" s="3">
        <v>37.670657968073101</v>
      </c>
      <c r="H3171" s="3">
        <v>127.515651362783</v>
      </c>
      <c r="I3171" t="s">
        <v>6935</v>
      </c>
      <c r="J3171" t="s">
        <v>10289</v>
      </c>
      <c r="K3171" t="s">
        <v>11308</v>
      </c>
      <c r="L3171" t="s">
        <v>3366</v>
      </c>
      <c r="M3171" t="s">
        <v>11903</v>
      </c>
      <c r="N3171" t="s">
        <v>3362</v>
      </c>
      <c r="O3171" t="s">
        <v>3359</v>
      </c>
      <c r="P3171" t="s">
        <v>15211</v>
      </c>
      <c r="Q3171" t="s">
        <v>15211</v>
      </c>
      <c r="R3171" t="s">
        <v>15211</v>
      </c>
      <c r="S3171" t="s">
        <v>15211</v>
      </c>
      <c r="T3171" t="s">
        <v>3365</v>
      </c>
      <c r="U3171" t="s">
        <v>15028</v>
      </c>
      <c r="V3171" t="s">
        <v>15231</v>
      </c>
    </row>
    <row r="3172" spans="1:22" ht="17.399999999999999" hidden="1">
      <c r="A3172" t="s">
        <v>15408</v>
      </c>
      <c r="B3172" t="s">
        <v>15441</v>
      </c>
      <c r="C3172" t="s">
        <v>15449</v>
      </c>
      <c r="D3172" t="s">
        <v>3167</v>
      </c>
      <c r="E3172" t="s">
        <v>3429</v>
      </c>
      <c r="F3172" t="s">
        <v>3450</v>
      </c>
      <c r="G3172" s="3">
        <v>37.670657915296196</v>
      </c>
      <c r="H3172" s="3">
        <v>127.515651360787</v>
      </c>
      <c r="I3172" t="s">
        <v>6936</v>
      </c>
      <c r="J3172" t="s">
        <v>10290</v>
      </c>
      <c r="K3172" t="s">
        <v>11287</v>
      </c>
      <c r="L3172" t="s">
        <v>3366</v>
      </c>
      <c r="M3172" t="s">
        <v>11901</v>
      </c>
      <c r="N3172" t="s">
        <v>3362</v>
      </c>
      <c r="O3172" t="s">
        <v>3359</v>
      </c>
      <c r="P3172" t="s">
        <v>15211</v>
      </c>
      <c r="Q3172" t="s">
        <v>15211</v>
      </c>
      <c r="R3172" t="s">
        <v>15211</v>
      </c>
      <c r="S3172" t="s">
        <v>15211</v>
      </c>
      <c r="T3172" t="s">
        <v>3365</v>
      </c>
      <c r="U3172" t="s">
        <v>15029</v>
      </c>
      <c r="V3172" t="s">
        <v>15231</v>
      </c>
    </row>
    <row r="3173" spans="1:22" ht="17.399999999999999" hidden="1">
      <c r="A3173" t="s">
        <v>15409</v>
      </c>
      <c r="B3173" t="s">
        <v>15441</v>
      </c>
      <c r="C3173" t="s">
        <v>15445</v>
      </c>
      <c r="D3173" t="s">
        <v>3168</v>
      </c>
      <c r="E3173" t="s">
        <v>3427</v>
      </c>
      <c r="F3173" t="s">
        <v>3429</v>
      </c>
      <c r="G3173" s="3">
        <v>37.936423901441501</v>
      </c>
      <c r="H3173" s="3">
        <v>127.55914760407001</v>
      </c>
      <c r="I3173" t="s">
        <v>6937</v>
      </c>
      <c r="J3173" t="s">
        <v>10291</v>
      </c>
      <c r="K3173" t="s">
        <v>10647</v>
      </c>
      <c r="L3173" t="s">
        <v>3366</v>
      </c>
      <c r="M3173" t="s">
        <v>11885</v>
      </c>
      <c r="N3173" t="s">
        <v>3363</v>
      </c>
      <c r="O3173" t="s">
        <v>3361</v>
      </c>
      <c r="P3173" t="s">
        <v>15211</v>
      </c>
      <c r="Q3173" t="s">
        <v>15211</v>
      </c>
      <c r="R3173" t="s">
        <v>15211</v>
      </c>
      <c r="S3173" t="s">
        <v>15211</v>
      </c>
      <c r="T3173" t="s">
        <v>3368</v>
      </c>
      <c r="U3173" t="s">
        <v>15030</v>
      </c>
      <c r="V3173" t="s">
        <v>15228</v>
      </c>
    </row>
    <row r="3174" spans="1:22" ht="17.399999999999999" hidden="1">
      <c r="A3174" t="s">
        <v>15409</v>
      </c>
      <c r="B3174" t="s">
        <v>15441</v>
      </c>
      <c r="C3174" t="s">
        <v>15445</v>
      </c>
      <c r="D3174" t="s">
        <v>3169</v>
      </c>
      <c r="E3174" t="s">
        <v>3428</v>
      </c>
      <c r="F3174" t="s">
        <v>3441</v>
      </c>
      <c r="G3174" s="3">
        <v>37.936423955602102</v>
      </c>
      <c r="H3174" s="3">
        <v>127.559147587797</v>
      </c>
      <c r="I3174" t="s">
        <v>6938</v>
      </c>
      <c r="J3174" t="s">
        <v>10292</v>
      </c>
      <c r="K3174" t="s">
        <v>11434</v>
      </c>
      <c r="L3174" t="s">
        <v>3366</v>
      </c>
      <c r="M3174" t="s">
        <v>11885</v>
      </c>
      <c r="N3174" t="s">
        <v>3363</v>
      </c>
      <c r="O3174" t="s">
        <v>3361</v>
      </c>
      <c r="P3174" t="s">
        <v>15211</v>
      </c>
      <c r="Q3174" t="s">
        <v>15211</v>
      </c>
      <c r="R3174" t="s">
        <v>15211</v>
      </c>
      <c r="S3174" t="s">
        <v>15211</v>
      </c>
      <c r="T3174" t="s">
        <v>3368</v>
      </c>
      <c r="U3174" t="s">
        <v>15031</v>
      </c>
      <c r="V3174" t="s">
        <v>15228</v>
      </c>
    </row>
    <row r="3175" spans="1:22" ht="17.399999999999999" hidden="1">
      <c r="A3175" t="s">
        <v>15409</v>
      </c>
      <c r="B3175" t="s">
        <v>15441</v>
      </c>
      <c r="C3175" t="s">
        <v>15445</v>
      </c>
      <c r="D3175" t="s">
        <v>3170</v>
      </c>
      <c r="E3175" t="s">
        <v>3428</v>
      </c>
      <c r="F3175" t="s">
        <v>3442</v>
      </c>
      <c r="G3175" s="3">
        <v>37.936424012888601</v>
      </c>
      <c r="H3175" s="3">
        <v>127.559147624765</v>
      </c>
      <c r="I3175" t="s">
        <v>6939</v>
      </c>
      <c r="J3175" t="s">
        <v>10293</v>
      </c>
      <c r="K3175" t="s">
        <v>11786</v>
      </c>
      <c r="L3175" t="s">
        <v>3366</v>
      </c>
      <c r="M3175" t="s">
        <v>11885</v>
      </c>
      <c r="N3175" t="s">
        <v>3363</v>
      </c>
      <c r="O3175" t="s">
        <v>3361</v>
      </c>
      <c r="P3175" t="s">
        <v>15211</v>
      </c>
      <c r="Q3175" t="s">
        <v>15211</v>
      </c>
      <c r="R3175" t="s">
        <v>15211</v>
      </c>
      <c r="S3175" t="s">
        <v>15211</v>
      </c>
      <c r="T3175" t="s">
        <v>3368</v>
      </c>
      <c r="U3175" t="s">
        <v>15032</v>
      </c>
      <c r="V3175" t="s">
        <v>15228</v>
      </c>
    </row>
    <row r="3176" spans="1:22" ht="17.399999999999999" hidden="1">
      <c r="A3176" t="s">
        <v>15409</v>
      </c>
      <c r="B3176" t="s">
        <v>15441</v>
      </c>
      <c r="C3176" t="s">
        <v>15446</v>
      </c>
      <c r="D3176" t="s">
        <v>3171</v>
      </c>
      <c r="E3176" t="s">
        <v>3427</v>
      </c>
      <c r="F3176" t="s">
        <v>3435</v>
      </c>
      <c r="G3176" s="3">
        <v>37.9364239230461</v>
      </c>
      <c r="H3176" s="3">
        <v>127.55914761909</v>
      </c>
      <c r="I3176" t="s">
        <v>6940</v>
      </c>
      <c r="J3176" t="s">
        <v>10294</v>
      </c>
      <c r="K3176" t="s">
        <v>10772</v>
      </c>
      <c r="L3176" t="s">
        <v>3366</v>
      </c>
      <c r="M3176" t="s">
        <v>11885</v>
      </c>
      <c r="N3176" t="s">
        <v>3363</v>
      </c>
      <c r="O3176" t="s">
        <v>3361</v>
      </c>
      <c r="P3176" t="s">
        <v>15211</v>
      </c>
      <c r="Q3176" t="s">
        <v>15211</v>
      </c>
      <c r="R3176" t="s">
        <v>15211</v>
      </c>
      <c r="S3176" t="s">
        <v>15211</v>
      </c>
      <c r="T3176" t="s">
        <v>3368</v>
      </c>
      <c r="U3176" t="s">
        <v>15033</v>
      </c>
      <c r="V3176" t="s">
        <v>15229</v>
      </c>
    </row>
    <row r="3177" spans="1:22" ht="17.399999999999999" hidden="1">
      <c r="A3177" t="s">
        <v>15409</v>
      </c>
      <c r="B3177" t="s">
        <v>15441</v>
      </c>
      <c r="C3177" t="s">
        <v>15446</v>
      </c>
      <c r="D3177" t="s">
        <v>3172</v>
      </c>
      <c r="E3177" t="s">
        <v>3427</v>
      </c>
      <c r="F3177" t="s">
        <v>3435</v>
      </c>
      <c r="G3177" s="3">
        <v>37.936423900829098</v>
      </c>
      <c r="H3177" s="3">
        <v>127.55914759583401</v>
      </c>
      <c r="I3177" t="s">
        <v>6941</v>
      </c>
      <c r="J3177" t="s">
        <v>10295</v>
      </c>
      <c r="K3177" t="s">
        <v>11656</v>
      </c>
      <c r="L3177" t="s">
        <v>3366</v>
      </c>
      <c r="M3177" t="s">
        <v>11885</v>
      </c>
      <c r="N3177" t="s">
        <v>3363</v>
      </c>
      <c r="O3177" t="s">
        <v>3361</v>
      </c>
      <c r="P3177" t="s">
        <v>15211</v>
      </c>
      <c r="Q3177" t="s">
        <v>15211</v>
      </c>
      <c r="R3177" t="s">
        <v>15211</v>
      </c>
      <c r="S3177" t="s">
        <v>15211</v>
      </c>
      <c r="T3177" t="s">
        <v>3368</v>
      </c>
      <c r="U3177" t="s">
        <v>15034</v>
      </c>
      <c r="V3177" t="s">
        <v>15229</v>
      </c>
    </row>
    <row r="3178" spans="1:22" ht="17.399999999999999" hidden="1">
      <c r="A3178" t="s">
        <v>15409</v>
      </c>
      <c r="B3178" t="s">
        <v>15441</v>
      </c>
      <c r="C3178" t="s">
        <v>15446</v>
      </c>
      <c r="D3178" t="s">
        <v>3173</v>
      </c>
      <c r="E3178" t="s">
        <v>3427</v>
      </c>
      <c r="F3178" t="s">
        <v>3435</v>
      </c>
      <c r="G3178" s="3">
        <v>37.9364238299246</v>
      </c>
      <c r="H3178" s="3">
        <v>127.559147574422</v>
      </c>
      <c r="I3178" t="s">
        <v>6942</v>
      </c>
      <c r="J3178" t="s">
        <v>10296</v>
      </c>
      <c r="K3178" t="s">
        <v>11657</v>
      </c>
      <c r="L3178" t="s">
        <v>3366</v>
      </c>
      <c r="M3178" t="s">
        <v>11885</v>
      </c>
      <c r="N3178" t="s">
        <v>3363</v>
      </c>
      <c r="O3178" t="s">
        <v>3361</v>
      </c>
      <c r="P3178" t="s">
        <v>15211</v>
      </c>
      <c r="Q3178" t="s">
        <v>15211</v>
      </c>
      <c r="R3178" t="s">
        <v>15211</v>
      </c>
      <c r="S3178" t="s">
        <v>15211</v>
      </c>
      <c r="T3178" t="s">
        <v>3368</v>
      </c>
      <c r="U3178" t="s">
        <v>15035</v>
      </c>
      <c r="V3178" t="s">
        <v>15229</v>
      </c>
    </row>
    <row r="3179" spans="1:22" ht="17.399999999999999" hidden="1">
      <c r="A3179" t="s">
        <v>15409</v>
      </c>
      <c r="B3179" t="s">
        <v>15441</v>
      </c>
      <c r="C3179" t="s">
        <v>15447</v>
      </c>
      <c r="D3179" t="s">
        <v>3174</v>
      </c>
      <c r="E3179" t="s">
        <v>3436</v>
      </c>
      <c r="F3179" t="s">
        <v>3441</v>
      </c>
      <c r="G3179" s="3">
        <v>37.936423793258697</v>
      </c>
      <c r="H3179" s="3">
        <v>127.559147640714</v>
      </c>
      <c r="I3179" t="s">
        <v>6943</v>
      </c>
      <c r="J3179" t="s">
        <v>10297</v>
      </c>
      <c r="K3179" t="s">
        <v>11001</v>
      </c>
      <c r="L3179" t="s">
        <v>3370</v>
      </c>
      <c r="M3179" t="s">
        <v>11887</v>
      </c>
      <c r="N3179" t="s">
        <v>3363</v>
      </c>
      <c r="O3179" t="s">
        <v>15211</v>
      </c>
      <c r="P3179" t="s">
        <v>15211</v>
      </c>
      <c r="Q3179" t="s">
        <v>15211</v>
      </c>
      <c r="R3179" t="s">
        <v>15211</v>
      </c>
      <c r="S3179" t="s">
        <v>15211</v>
      </c>
      <c r="T3179" t="s">
        <v>3363</v>
      </c>
      <c r="U3179" t="s">
        <v>15036</v>
      </c>
      <c r="V3179" t="s">
        <v>15235</v>
      </c>
    </row>
    <row r="3180" spans="1:22" ht="17.399999999999999" hidden="1">
      <c r="A3180" t="s">
        <v>15409</v>
      </c>
      <c r="B3180" t="s">
        <v>15441</v>
      </c>
      <c r="C3180" t="s">
        <v>15447</v>
      </c>
      <c r="D3180" t="s">
        <v>3175</v>
      </c>
      <c r="E3180" t="s">
        <v>3431</v>
      </c>
      <c r="F3180" t="s">
        <v>3461</v>
      </c>
      <c r="G3180" s="3">
        <v>37.936423810058997</v>
      </c>
      <c r="H3180" s="3">
        <v>127.559147675012</v>
      </c>
      <c r="I3180" t="s">
        <v>6944</v>
      </c>
      <c r="J3180" t="s">
        <v>10298</v>
      </c>
      <c r="K3180" t="s">
        <v>11858</v>
      </c>
      <c r="L3180" t="s">
        <v>3366</v>
      </c>
      <c r="M3180" t="s">
        <v>11887</v>
      </c>
      <c r="N3180" t="s">
        <v>3363</v>
      </c>
      <c r="O3180" t="s">
        <v>15211</v>
      </c>
      <c r="P3180" t="s">
        <v>15211</v>
      </c>
      <c r="Q3180" t="s">
        <v>15211</v>
      </c>
      <c r="R3180" t="s">
        <v>15211</v>
      </c>
      <c r="S3180" t="s">
        <v>15211</v>
      </c>
      <c r="T3180" t="s">
        <v>3363</v>
      </c>
      <c r="U3180" t="s">
        <v>15037</v>
      </c>
      <c r="V3180" t="s">
        <v>15235</v>
      </c>
    </row>
    <row r="3181" spans="1:22" ht="17.399999999999999" hidden="1">
      <c r="A3181" t="s">
        <v>15409</v>
      </c>
      <c r="B3181" t="s">
        <v>15441</v>
      </c>
      <c r="C3181" t="s">
        <v>15447</v>
      </c>
      <c r="D3181" t="s">
        <v>3176</v>
      </c>
      <c r="E3181" t="s">
        <v>3428</v>
      </c>
      <c r="F3181" t="s">
        <v>3442</v>
      </c>
      <c r="G3181" s="3">
        <v>37.936423886076398</v>
      </c>
      <c r="H3181" s="3">
        <v>127.559147673491</v>
      </c>
      <c r="I3181" t="s">
        <v>6945</v>
      </c>
      <c r="J3181" t="s">
        <v>10299</v>
      </c>
      <c r="K3181" t="s">
        <v>11859</v>
      </c>
      <c r="L3181" t="s">
        <v>3366</v>
      </c>
      <c r="M3181" t="s">
        <v>11887</v>
      </c>
      <c r="N3181" t="s">
        <v>3363</v>
      </c>
      <c r="O3181" t="s">
        <v>15211</v>
      </c>
      <c r="P3181" t="s">
        <v>15211</v>
      </c>
      <c r="Q3181" t="s">
        <v>15211</v>
      </c>
      <c r="R3181" t="s">
        <v>15211</v>
      </c>
      <c r="S3181" t="s">
        <v>15211</v>
      </c>
      <c r="T3181" t="s">
        <v>3363</v>
      </c>
      <c r="U3181" t="s">
        <v>15038</v>
      </c>
      <c r="V3181" t="s">
        <v>15235</v>
      </c>
    </row>
    <row r="3182" spans="1:22" ht="17.399999999999999" hidden="1">
      <c r="A3182" t="s">
        <v>15409</v>
      </c>
      <c r="B3182" t="s">
        <v>15441</v>
      </c>
      <c r="C3182" t="s">
        <v>15448</v>
      </c>
      <c r="D3182" t="s">
        <v>3177</v>
      </c>
      <c r="E3182" t="s">
        <v>3453</v>
      </c>
      <c r="F3182" t="s">
        <v>3590</v>
      </c>
      <c r="G3182" s="3">
        <v>37.936423800524999</v>
      </c>
      <c r="H3182" s="3">
        <v>127.559147669336</v>
      </c>
      <c r="I3182" t="s">
        <v>6946</v>
      </c>
      <c r="J3182" t="s">
        <v>10300</v>
      </c>
      <c r="K3182" t="s">
        <v>10947</v>
      </c>
      <c r="L3182" t="s">
        <v>3359</v>
      </c>
      <c r="M3182" t="s">
        <v>11888</v>
      </c>
      <c r="N3182" t="s">
        <v>3363</v>
      </c>
      <c r="O3182" t="s">
        <v>3361</v>
      </c>
      <c r="P3182" t="s">
        <v>3362</v>
      </c>
      <c r="Q3182" t="s">
        <v>3360</v>
      </c>
      <c r="R3182" t="s">
        <v>3357</v>
      </c>
      <c r="S3182" t="s">
        <v>15211</v>
      </c>
      <c r="T3182" t="s">
        <v>3379</v>
      </c>
      <c r="U3182" t="s">
        <v>15039</v>
      </c>
      <c r="V3182" t="s">
        <v>15230</v>
      </c>
    </row>
    <row r="3183" spans="1:22" ht="17.399999999999999" hidden="1">
      <c r="A3183" t="s">
        <v>15409</v>
      </c>
      <c r="B3183" t="s">
        <v>15441</v>
      </c>
      <c r="C3183" t="s">
        <v>15448</v>
      </c>
      <c r="D3183" t="s">
        <v>3178</v>
      </c>
      <c r="E3183" t="s">
        <v>3432</v>
      </c>
      <c r="F3183" t="s">
        <v>3564</v>
      </c>
      <c r="G3183" s="3">
        <v>37.936423875236997</v>
      </c>
      <c r="H3183" s="3">
        <v>127.55914768357999</v>
      </c>
      <c r="I3183" t="s">
        <v>6947</v>
      </c>
      <c r="J3183" t="s">
        <v>10301</v>
      </c>
      <c r="K3183" t="s">
        <v>10553</v>
      </c>
      <c r="L3183" t="s">
        <v>3359</v>
      </c>
      <c r="M3183" t="s">
        <v>11896</v>
      </c>
      <c r="N3183" t="s">
        <v>3363</v>
      </c>
      <c r="O3183" t="s">
        <v>3361</v>
      </c>
      <c r="P3183" t="s">
        <v>3362</v>
      </c>
      <c r="Q3183" t="s">
        <v>3360</v>
      </c>
      <c r="R3183" t="s">
        <v>3357</v>
      </c>
      <c r="S3183" t="s">
        <v>15211</v>
      </c>
      <c r="T3183" t="s">
        <v>3379</v>
      </c>
      <c r="U3183" t="s">
        <v>15040</v>
      </c>
      <c r="V3183" t="s">
        <v>15230</v>
      </c>
    </row>
    <row r="3184" spans="1:22" ht="17.399999999999999" hidden="1">
      <c r="A3184" t="s">
        <v>15409</v>
      </c>
      <c r="B3184" t="s">
        <v>15441</v>
      </c>
      <c r="C3184" t="s">
        <v>15448</v>
      </c>
      <c r="D3184" t="s">
        <v>3179</v>
      </c>
      <c r="E3184" t="s">
        <v>3453</v>
      </c>
      <c r="F3184" t="s">
        <v>3467</v>
      </c>
      <c r="G3184" s="3">
        <v>37.936424015292801</v>
      </c>
      <c r="H3184" s="3">
        <v>127.55914768215</v>
      </c>
      <c r="I3184" t="s">
        <v>6948</v>
      </c>
      <c r="J3184" t="s">
        <v>10302</v>
      </c>
      <c r="K3184" t="s">
        <v>10791</v>
      </c>
      <c r="L3184" t="s">
        <v>3359</v>
      </c>
      <c r="M3184" t="s">
        <v>11888</v>
      </c>
      <c r="N3184" t="s">
        <v>3363</v>
      </c>
      <c r="O3184" t="s">
        <v>3361</v>
      </c>
      <c r="P3184" t="s">
        <v>3362</v>
      </c>
      <c r="Q3184" t="s">
        <v>3360</v>
      </c>
      <c r="R3184" t="s">
        <v>3357</v>
      </c>
      <c r="S3184" t="s">
        <v>15211</v>
      </c>
      <c r="T3184" t="s">
        <v>3379</v>
      </c>
      <c r="U3184" t="s">
        <v>15041</v>
      </c>
      <c r="V3184" t="s">
        <v>15230</v>
      </c>
    </row>
    <row r="3185" spans="1:22" ht="17.399999999999999" hidden="1">
      <c r="A3185" t="s">
        <v>15409</v>
      </c>
      <c r="B3185" t="s">
        <v>15441</v>
      </c>
      <c r="C3185" t="s">
        <v>15449</v>
      </c>
      <c r="D3185" t="s">
        <v>3180</v>
      </c>
      <c r="E3185" t="s">
        <v>3435</v>
      </c>
      <c r="F3185" t="s">
        <v>3460</v>
      </c>
      <c r="G3185" s="3">
        <v>37.936423967032098</v>
      </c>
      <c r="H3185" s="3">
        <v>127.559147702983</v>
      </c>
      <c r="I3185" t="s">
        <v>6949</v>
      </c>
      <c r="J3185" t="s">
        <v>10303</v>
      </c>
      <c r="K3185" t="s">
        <v>11537</v>
      </c>
      <c r="L3185" t="s">
        <v>3370</v>
      </c>
      <c r="M3185" t="s">
        <v>11903</v>
      </c>
      <c r="N3185" t="s">
        <v>3363</v>
      </c>
      <c r="O3185" t="s">
        <v>3361</v>
      </c>
      <c r="P3185" t="s">
        <v>3362</v>
      </c>
      <c r="Q3185" t="s">
        <v>3360</v>
      </c>
      <c r="R3185" t="s">
        <v>3357</v>
      </c>
      <c r="S3185" t="s">
        <v>15211</v>
      </c>
      <c r="T3185" t="s">
        <v>3379</v>
      </c>
      <c r="U3185" t="s">
        <v>15042</v>
      </c>
      <c r="V3185" t="s">
        <v>15231</v>
      </c>
    </row>
    <row r="3186" spans="1:22" ht="17.399999999999999" hidden="1">
      <c r="A3186" t="s">
        <v>15409</v>
      </c>
      <c r="B3186" t="s">
        <v>15441</v>
      </c>
      <c r="C3186" t="s">
        <v>15449</v>
      </c>
      <c r="D3186" t="s">
        <v>3181</v>
      </c>
      <c r="E3186" t="s">
        <v>3435</v>
      </c>
      <c r="F3186" t="s">
        <v>3460</v>
      </c>
      <c r="G3186" s="3">
        <v>37.936423934745498</v>
      </c>
      <c r="H3186" s="3">
        <v>127.559147679262</v>
      </c>
      <c r="I3186" t="s">
        <v>6950</v>
      </c>
      <c r="J3186" t="s">
        <v>10304</v>
      </c>
      <c r="K3186" t="s">
        <v>11606</v>
      </c>
      <c r="L3186" t="s">
        <v>3359</v>
      </c>
      <c r="M3186" t="s">
        <v>11901</v>
      </c>
      <c r="N3186" t="s">
        <v>3363</v>
      </c>
      <c r="O3186" t="s">
        <v>3361</v>
      </c>
      <c r="P3186" t="s">
        <v>3362</v>
      </c>
      <c r="Q3186" t="s">
        <v>3360</v>
      </c>
      <c r="R3186" t="s">
        <v>3357</v>
      </c>
      <c r="S3186" t="s">
        <v>15211</v>
      </c>
      <c r="T3186" t="s">
        <v>3379</v>
      </c>
      <c r="U3186" t="s">
        <v>15043</v>
      </c>
      <c r="V3186" t="s">
        <v>15231</v>
      </c>
    </row>
    <row r="3187" spans="1:22" ht="17.399999999999999" hidden="1">
      <c r="A3187" t="s">
        <v>15409</v>
      </c>
      <c r="B3187" t="s">
        <v>15441</v>
      </c>
      <c r="C3187" t="s">
        <v>15449</v>
      </c>
      <c r="D3187" t="s">
        <v>3182</v>
      </c>
      <c r="E3187" t="s">
        <v>3435</v>
      </c>
      <c r="F3187" t="s">
        <v>3460</v>
      </c>
      <c r="G3187" s="3">
        <v>37.936423954928003</v>
      </c>
      <c r="H3187" s="3">
        <v>127.559147679907</v>
      </c>
      <c r="I3187" t="s">
        <v>6951</v>
      </c>
      <c r="J3187" t="s">
        <v>10305</v>
      </c>
      <c r="K3187" t="s">
        <v>11435</v>
      </c>
      <c r="L3187" t="s">
        <v>3359</v>
      </c>
      <c r="M3187" t="s">
        <v>11903</v>
      </c>
      <c r="N3187" t="s">
        <v>3363</v>
      </c>
      <c r="O3187" t="s">
        <v>3361</v>
      </c>
      <c r="P3187" t="s">
        <v>3362</v>
      </c>
      <c r="Q3187" t="s">
        <v>3360</v>
      </c>
      <c r="R3187" t="s">
        <v>3357</v>
      </c>
      <c r="S3187" t="s">
        <v>15211</v>
      </c>
      <c r="T3187" t="s">
        <v>3379</v>
      </c>
      <c r="U3187" t="s">
        <v>15031</v>
      </c>
      <c r="V3187" t="s">
        <v>15231</v>
      </c>
    </row>
    <row r="3188" spans="1:22" ht="17.399999999999999" hidden="1">
      <c r="A3188" t="s">
        <v>15409</v>
      </c>
      <c r="B3188" t="s">
        <v>15442</v>
      </c>
      <c r="C3188" t="s">
        <v>15450</v>
      </c>
      <c r="D3188" t="s">
        <v>3183</v>
      </c>
      <c r="E3188" t="s">
        <v>3465</v>
      </c>
      <c r="F3188" t="s">
        <v>3535</v>
      </c>
      <c r="G3188" s="3">
        <v>37.936423942791897</v>
      </c>
      <c r="H3188" s="3">
        <v>127.559147801511</v>
      </c>
      <c r="I3188" t="s">
        <v>6952</v>
      </c>
      <c r="J3188" t="s">
        <v>10306</v>
      </c>
      <c r="K3188" t="s">
        <v>11386</v>
      </c>
      <c r="L3188" t="s">
        <v>3366</v>
      </c>
      <c r="M3188" t="s">
        <v>11886</v>
      </c>
      <c r="N3188" t="s">
        <v>3363</v>
      </c>
      <c r="O3188" t="s">
        <v>3361</v>
      </c>
      <c r="P3188" t="s">
        <v>3362</v>
      </c>
      <c r="Q3188" t="s">
        <v>3360</v>
      </c>
      <c r="R3188" t="s">
        <v>3357</v>
      </c>
      <c r="S3188" t="s">
        <v>15211</v>
      </c>
      <c r="T3188" t="s">
        <v>3379</v>
      </c>
      <c r="U3188" t="s">
        <v>15044</v>
      </c>
      <c r="V3188" t="s">
        <v>15232</v>
      </c>
    </row>
    <row r="3189" spans="1:22" ht="17.399999999999999" hidden="1">
      <c r="A3189" t="s">
        <v>15409</v>
      </c>
      <c r="B3189" t="s">
        <v>15442</v>
      </c>
      <c r="C3189" t="s">
        <v>15450</v>
      </c>
      <c r="D3189" t="s">
        <v>3184</v>
      </c>
      <c r="E3189" t="s">
        <v>3462</v>
      </c>
      <c r="F3189" t="s">
        <v>3610</v>
      </c>
      <c r="G3189" s="3">
        <v>37.936423962336598</v>
      </c>
      <c r="H3189" s="3">
        <v>127.55914765756</v>
      </c>
      <c r="I3189" t="s">
        <v>6953</v>
      </c>
      <c r="J3189" t="s">
        <v>10307</v>
      </c>
      <c r="K3189" t="s">
        <v>10570</v>
      </c>
      <c r="L3189" t="s">
        <v>3366</v>
      </c>
      <c r="M3189" t="s">
        <v>11886</v>
      </c>
      <c r="N3189" t="s">
        <v>3363</v>
      </c>
      <c r="O3189" t="s">
        <v>3361</v>
      </c>
      <c r="P3189" t="s">
        <v>3362</v>
      </c>
      <c r="Q3189" t="s">
        <v>3360</v>
      </c>
      <c r="R3189" t="s">
        <v>3357</v>
      </c>
      <c r="S3189" t="s">
        <v>15211</v>
      </c>
      <c r="T3189" t="s">
        <v>3379</v>
      </c>
      <c r="U3189" t="s">
        <v>15045</v>
      </c>
      <c r="V3189" t="s">
        <v>15232</v>
      </c>
    </row>
    <row r="3190" spans="1:22" ht="17.399999999999999" hidden="1">
      <c r="A3190" t="s">
        <v>15409</v>
      </c>
      <c r="B3190" t="s">
        <v>15442</v>
      </c>
      <c r="C3190" t="s">
        <v>15450</v>
      </c>
      <c r="D3190" t="s">
        <v>3185</v>
      </c>
      <c r="E3190" t="s">
        <v>3452</v>
      </c>
      <c r="F3190" t="s">
        <v>3541</v>
      </c>
      <c r="G3190" s="3">
        <v>37.936424028181897</v>
      </c>
      <c r="H3190" s="3">
        <v>127.55914763027999</v>
      </c>
      <c r="I3190" t="s">
        <v>6954</v>
      </c>
      <c r="J3190" t="s">
        <v>10308</v>
      </c>
      <c r="K3190" t="s">
        <v>10710</v>
      </c>
      <c r="L3190" t="s">
        <v>3366</v>
      </c>
      <c r="M3190" t="s">
        <v>11902</v>
      </c>
      <c r="N3190" t="s">
        <v>3363</v>
      </c>
      <c r="O3190" t="s">
        <v>3361</v>
      </c>
      <c r="P3190" t="s">
        <v>3362</v>
      </c>
      <c r="Q3190" t="s">
        <v>3360</v>
      </c>
      <c r="R3190" t="s">
        <v>3357</v>
      </c>
      <c r="S3190" t="s">
        <v>15211</v>
      </c>
      <c r="T3190" t="s">
        <v>3379</v>
      </c>
      <c r="U3190" t="s">
        <v>15046</v>
      </c>
      <c r="V3190" t="s">
        <v>15232</v>
      </c>
    </row>
    <row r="3191" spans="1:22" ht="17.399999999999999" hidden="1">
      <c r="A3191" t="s">
        <v>15409</v>
      </c>
      <c r="B3191" t="s">
        <v>15442</v>
      </c>
      <c r="C3191" t="s">
        <v>15445</v>
      </c>
      <c r="D3191" t="s">
        <v>3186</v>
      </c>
      <c r="E3191" t="s">
        <v>3425</v>
      </c>
      <c r="F3191" t="s">
        <v>3429</v>
      </c>
      <c r="G3191" s="3">
        <v>37.936424086969701</v>
      </c>
      <c r="H3191" s="3">
        <v>127.559147737638</v>
      </c>
      <c r="I3191" t="s">
        <v>6955</v>
      </c>
      <c r="J3191" t="s">
        <v>10309</v>
      </c>
      <c r="K3191" t="s">
        <v>11176</v>
      </c>
      <c r="L3191" t="s">
        <v>3366</v>
      </c>
      <c r="M3191" t="s">
        <v>11902</v>
      </c>
      <c r="N3191" t="s">
        <v>3363</v>
      </c>
      <c r="O3191" t="s">
        <v>3361</v>
      </c>
      <c r="P3191" t="s">
        <v>3362</v>
      </c>
      <c r="Q3191" t="s">
        <v>3360</v>
      </c>
      <c r="R3191" t="s">
        <v>3357</v>
      </c>
      <c r="S3191" t="s">
        <v>15211</v>
      </c>
      <c r="T3191" t="s">
        <v>3379</v>
      </c>
      <c r="U3191" t="s">
        <v>15047</v>
      </c>
      <c r="V3191" t="s">
        <v>15233</v>
      </c>
    </row>
    <row r="3192" spans="1:22" ht="17.399999999999999" hidden="1">
      <c r="A3192" t="s">
        <v>15409</v>
      </c>
      <c r="B3192" t="s">
        <v>15442</v>
      </c>
      <c r="C3192" t="s">
        <v>15445</v>
      </c>
      <c r="D3192" t="s">
        <v>3187</v>
      </c>
      <c r="E3192" t="s">
        <v>3425</v>
      </c>
      <c r="F3192" t="s">
        <v>3435</v>
      </c>
      <c r="G3192" s="3">
        <v>37.936424133006398</v>
      </c>
      <c r="H3192" s="3">
        <v>127.559147730253</v>
      </c>
      <c r="I3192" t="s">
        <v>6956</v>
      </c>
      <c r="J3192" t="s">
        <v>10310</v>
      </c>
      <c r="K3192" t="s">
        <v>11860</v>
      </c>
      <c r="L3192" t="s">
        <v>3366</v>
      </c>
      <c r="M3192" t="s">
        <v>11902</v>
      </c>
      <c r="N3192" t="s">
        <v>3363</v>
      </c>
      <c r="O3192" t="s">
        <v>3361</v>
      </c>
      <c r="P3192" t="s">
        <v>3362</v>
      </c>
      <c r="Q3192" t="s">
        <v>3360</v>
      </c>
      <c r="R3192" t="s">
        <v>3357</v>
      </c>
      <c r="S3192" t="s">
        <v>15211</v>
      </c>
      <c r="T3192" t="s">
        <v>3379</v>
      </c>
      <c r="U3192" t="s">
        <v>15041</v>
      </c>
      <c r="V3192" t="s">
        <v>15233</v>
      </c>
    </row>
    <row r="3193" spans="1:22" ht="17.399999999999999" hidden="1">
      <c r="A3193" t="s">
        <v>15409</v>
      </c>
      <c r="B3193" t="s">
        <v>15442</v>
      </c>
      <c r="C3193" t="s">
        <v>15445</v>
      </c>
      <c r="D3193" t="s">
        <v>3188</v>
      </c>
      <c r="E3193" t="s">
        <v>3436</v>
      </c>
      <c r="F3193" t="s">
        <v>3434</v>
      </c>
      <c r="G3193" s="3">
        <v>37.9364241535324</v>
      </c>
      <c r="H3193" s="3">
        <v>127.55914775711</v>
      </c>
      <c r="I3193" t="s">
        <v>6957</v>
      </c>
      <c r="J3193" t="s">
        <v>10311</v>
      </c>
      <c r="K3193" t="s">
        <v>11861</v>
      </c>
      <c r="L3193" t="s">
        <v>3366</v>
      </c>
      <c r="M3193" t="s">
        <v>11902</v>
      </c>
      <c r="N3193" t="s">
        <v>3363</v>
      </c>
      <c r="O3193" t="s">
        <v>3361</v>
      </c>
      <c r="P3193" t="s">
        <v>3362</v>
      </c>
      <c r="Q3193" t="s">
        <v>3360</v>
      </c>
      <c r="R3193" t="s">
        <v>3357</v>
      </c>
      <c r="S3193" t="s">
        <v>15211</v>
      </c>
      <c r="T3193" t="s">
        <v>3379</v>
      </c>
      <c r="U3193" t="s">
        <v>15048</v>
      </c>
      <c r="V3193" t="s">
        <v>15233</v>
      </c>
    </row>
    <row r="3194" spans="1:22" ht="17.399999999999999" hidden="1">
      <c r="A3194" t="s">
        <v>15409</v>
      </c>
      <c r="B3194" t="s">
        <v>15442</v>
      </c>
      <c r="C3194" t="s">
        <v>15451</v>
      </c>
      <c r="D3194" t="s">
        <v>3189</v>
      </c>
      <c r="E3194" t="s">
        <v>3438</v>
      </c>
      <c r="F3194" t="s">
        <v>3435</v>
      </c>
      <c r="G3194" s="3">
        <v>37.936424007514901</v>
      </c>
      <c r="H3194" s="3">
        <v>127.559147869415</v>
      </c>
      <c r="I3194" t="s">
        <v>6958</v>
      </c>
      <c r="J3194" t="s">
        <v>10312</v>
      </c>
      <c r="K3194" t="s">
        <v>11140</v>
      </c>
      <c r="L3194" t="s">
        <v>3367</v>
      </c>
      <c r="M3194" t="s">
        <v>11901</v>
      </c>
      <c r="N3194" t="s">
        <v>3363</v>
      </c>
      <c r="O3194" t="s">
        <v>3361</v>
      </c>
      <c r="P3194" t="s">
        <v>3362</v>
      </c>
      <c r="Q3194" t="s">
        <v>3360</v>
      </c>
      <c r="R3194" t="s">
        <v>3357</v>
      </c>
      <c r="S3194" t="s">
        <v>15211</v>
      </c>
      <c r="T3194" t="s">
        <v>3379</v>
      </c>
      <c r="U3194" t="s">
        <v>15049</v>
      </c>
      <c r="V3194" t="s">
        <v>15234</v>
      </c>
    </row>
    <row r="3195" spans="1:22" ht="17.399999999999999" hidden="1">
      <c r="A3195" t="s">
        <v>15409</v>
      </c>
      <c r="B3195" t="s">
        <v>15442</v>
      </c>
      <c r="C3195" t="s">
        <v>15451</v>
      </c>
      <c r="D3195" t="s">
        <v>3190</v>
      </c>
      <c r="E3195" t="s">
        <v>3428</v>
      </c>
      <c r="F3195" t="s">
        <v>3441</v>
      </c>
      <c r="G3195" s="3">
        <v>37.936424047726298</v>
      </c>
      <c r="H3195" s="3">
        <v>127.55914785960201</v>
      </c>
      <c r="I3195" t="s">
        <v>6959</v>
      </c>
      <c r="J3195" t="s">
        <v>10313</v>
      </c>
      <c r="K3195" t="s">
        <v>11708</v>
      </c>
      <c r="L3195" t="s">
        <v>3366</v>
      </c>
      <c r="M3195" t="s">
        <v>11901</v>
      </c>
      <c r="N3195" t="s">
        <v>3363</v>
      </c>
      <c r="O3195" t="s">
        <v>3361</v>
      </c>
      <c r="P3195" t="s">
        <v>3362</v>
      </c>
      <c r="Q3195" t="s">
        <v>3360</v>
      </c>
      <c r="R3195" t="s">
        <v>3357</v>
      </c>
      <c r="S3195" t="s">
        <v>15211</v>
      </c>
      <c r="T3195" t="s">
        <v>3379</v>
      </c>
      <c r="U3195" t="s">
        <v>15050</v>
      </c>
      <c r="V3195" t="s">
        <v>15234</v>
      </c>
    </row>
    <row r="3196" spans="1:22" ht="17.399999999999999" hidden="1">
      <c r="A3196" t="s">
        <v>15409</v>
      </c>
      <c r="B3196" t="s">
        <v>15442</v>
      </c>
      <c r="C3196" t="s">
        <v>15451</v>
      </c>
      <c r="D3196" t="s">
        <v>3191</v>
      </c>
      <c r="E3196" t="s">
        <v>3427</v>
      </c>
      <c r="F3196" t="s">
        <v>3442</v>
      </c>
      <c r="G3196" s="3">
        <v>37.936424070911599</v>
      </c>
      <c r="H3196" s="3">
        <v>127.559147847936</v>
      </c>
      <c r="I3196" t="s">
        <v>6960</v>
      </c>
      <c r="J3196" t="s">
        <v>10314</v>
      </c>
      <c r="K3196" t="s">
        <v>11862</v>
      </c>
      <c r="L3196" t="s">
        <v>3366</v>
      </c>
      <c r="M3196" t="s">
        <v>11901</v>
      </c>
      <c r="N3196" t="s">
        <v>3363</v>
      </c>
      <c r="O3196" t="s">
        <v>3361</v>
      </c>
      <c r="P3196" t="s">
        <v>3362</v>
      </c>
      <c r="Q3196" t="s">
        <v>3360</v>
      </c>
      <c r="R3196" t="s">
        <v>3357</v>
      </c>
      <c r="S3196" t="s">
        <v>15211</v>
      </c>
      <c r="T3196" t="s">
        <v>3379</v>
      </c>
      <c r="U3196" t="s">
        <v>15051</v>
      </c>
      <c r="V3196" t="s">
        <v>15234</v>
      </c>
    </row>
    <row r="3197" spans="1:22" ht="17.399999999999999" hidden="1">
      <c r="A3197" t="s">
        <v>15401</v>
      </c>
      <c r="B3197" t="s">
        <v>15443</v>
      </c>
      <c r="C3197" t="s">
        <v>15499</v>
      </c>
      <c r="D3197" t="s">
        <v>3192</v>
      </c>
      <c r="E3197" t="s">
        <v>3436</v>
      </c>
      <c r="F3197" t="s">
        <v>3452</v>
      </c>
      <c r="G3197" s="3">
        <v>37.890176387128299</v>
      </c>
      <c r="H3197" s="3">
        <v>127.718497004558</v>
      </c>
      <c r="I3197" t="s">
        <v>6961</v>
      </c>
      <c r="J3197" t="s">
        <v>10315</v>
      </c>
      <c r="K3197" t="s">
        <v>11094</v>
      </c>
      <c r="L3197" t="s">
        <v>3366</v>
      </c>
      <c r="M3197" t="s">
        <v>11903</v>
      </c>
      <c r="N3197" t="s">
        <v>3362</v>
      </c>
      <c r="O3197" t="s">
        <v>15211</v>
      </c>
      <c r="P3197" t="s">
        <v>3361</v>
      </c>
      <c r="Q3197" t="s">
        <v>3361</v>
      </c>
      <c r="R3197" t="s">
        <v>15211</v>
      </c>
      <c r="S3197" t="s">
        <v>15211</v>
      </c>
      <c r="T3197" t="s">
        <v>3372</v>
      </c>
      <c r="U3197" t="s">
        <v>15052</v>
      </c>
      <c r="V3197" t="s">
        <v>15289</v>
      </c>
    </row>
    <row r="3198" spans="1:22" ht="17.399999999999999" hidden="1">
      <c r="A3198" t="s">
        <v>15401</v>
      </c>
      <c r="B3198" t="s">
        <v>15443</v>
      </c>
      <c r="C3198" t="s">
        <v>15499</v>
      </c>
      <c r="D3198" t="s">
        <v>3193</v>
      </c>
      <c r="E3198" t="s">
        <v>3436</v>
      </c>
      <c r="F3198" t="s">
        <v>3461</v>
      </c>
      <c r="G3198" s="3">
        <v>37.890176389778802</v>
      </c>
      <c r="H3198" s="3">
        <v>127.718497008413</v>
      </c>
      <c r="I3198" t="s">
        <v>6962</v>
      </c>
      <c r="J3198" t="s">
        <v>10316</v>
      </c>
      <c r="K3198" t="s">
        <v>11150</v>
      </c>
      <c r="L3198" t="s">
        <v>3366</v>
      </c>
      <c r="M3198" t="s">
        <v>11903</v>
      </c>
      <c r="N3198" t="s">
        <v>3362</v>
      </c>
      <c r="O3198" t="s">
        <v>15211</v>
      </c>
      <c r="P3198" t="s">
        <v>3361</v>
      </c>
      <c r="Q3198" t="s">
        <v>3361</v>
      </c>
      <c r="R3198" t="s">
        <v>15211</v>
      </c>
      <c r="S3198" t="s">
        <v>15211</v>
      </c>
      <c r="T3198" t="s">
        <v>3372</v>
      </c>
      <c r="U3198" t="s">
        <v>15053</v>
      </c>
      <c r="V3198" t="s">
        <v>15289</v>
      </c>
    </row>
    <row r="3199" spans="1:22" ht="17.399999999999999" hidden="1">
      <c r="A3199" t="s">
        <v>15401</v>
      </c>
      <c r="B3199" t="s">
        <v>15443</v>
      </c>
      <c r="C3199" t="s">
        <v>15499</v>
      </c>
      <c r="D3199" t="s">
        <v>3194</v>
      </c>
      <c r="E3199" t="s">
        <v>3425</v>
      </c>
      <c r="F3199" t="s">
        <v>3462</v>
      </c>
      <c r="G3199" s="3">
        <v>37.890176377164799</v>
      </c>
      <c r="H3199" s="3">
        <v>127.718497002896</v>
      </c>
      <c r="I3199" t="s">
        <v>6963</v>
      </c>
      <c r="J3199" t="s">
        <v>10317</v>
      </c>
      <c r="K3199" t="s">
        <v>11095</v>
      </c>
      <c r="L3199" t="s">
        <v>3366</v>
      </c>
      <c r="M3199" t="s">
        <v>11903</v>
      </c>
      <c r="N3199" t="s">
        <v>3362</v>
      </c>
      <c r="O3199" t="s">
        <v>15211</v>
      </c>
      <c r="P3199" t="s">
        <v>3361</v>
      </c>
      <c r="Q3199" t="s">
        <v>3361</v>
      </c>
      <c r="R3199" t="s">
        <v>15211</v>
      </c>
      <c r="S3199" t="s">
        <v>15211</v>
      </c>
      <c r="T3199" t="s">
        <v>3372</v>
      </c>
      <c r="U3199" t="s">
        <v>15054</v>
      </c>
      <c r="V3199" t="s">
        <v>15289</v>
      </c>
    </row>
    <row r="3200" spans="1:22" ht="17.399999999999999" hidden="1">
      <c r="A3200" t="s">
        <v>15401</v>
      </c>
      <c r="B3200" t="s">
        <v>15443</v>
      </c>
      <c r="C3200" t="s">
        <v>15499</v>
      </c>
      <c r="D3200" t="s">
        <v>3195</v>
      </c>
      <c r="E3200" t="s">
        <v>3429</v>
      </c>
      <c r="F3200" t="s">
        <v>3466</v>
      </c>
      <c r="G3200" s="3">
        <v>37.8901764519848</v>
      </c>
      <c r="H3200" s="3">
        <v>127.718497066523</v>
      </c>
      <c r="I3200" t="s">
        <v>6964</v>
      </c>
      <c r="J3200" t="s">
        <v>10318</v>
      </c>
      <c r="K3200" t="s">
        <v>11383</v>
      </c>
      <c r="L3200" t="s">
        <v>3366</v>
      </c>
      <c r="M3200" t="s">
        <v>11895</v>
      </c>
      <c r="N3200" t="s">
        <v>3361</v>
      </c>
      <c r="O3200" t="s">
        <v>15211</v>
      </c>
      <c r="P3200" t="s">
        <v>3361</v>
      </c>
      <c r="Q3200" t="s">
        <v>3361</v>
      </c>
      <c r="R3200" t="s">
        <v>15211</v>
      </c>
      <c r="S3200" t="s">
        <v>15211</v>
      </c>
      <c r="T3200" t="s">
        <v>3371</v>
      </c>
      <c r="U3200" t="s">
        <v>15055</v>
      </c>
      <c r="V3200" t="s">
        <v>15289</v>
      </c>
    </row>
    <row r="3201" spans="1:22" ht="17.399999999999999" hidden="1">
      <c r="A3201" t="s">
        <v>15401</v>
      </c>
      <c r="B3201" t="s">
        <v>15443</v>
      </c>
      <c r="C3201" t="s">
        <v>15499</v>
      </c>
      <c r="D3201" t="s">
        <v>3196</v>
      </c>
      <c r="E3201" t="s">
        <v>3442</v>
      </c>
      <c r="F3201" t="s">
        <v>3564</v>
      </c>
      <c r="G3201" s="3">
        <v>37.890176434433599</v>
      </c>
      <c r="H3201" s="3">
        <v>127.71849704623099</v>
      </c>
      <c r="I3201" t="s">
        <v>6965</v>
      </c>
      <c r="J3201" t="s">
        <v>10319</v>
      </c>
      <c r="K3201" t="s">
        <v>11383</v>
      </c>
      <c r="L3201" t="s">
        <v>3366</v>
      </c>
      <c r="M3201" t="s">
        <v>11895</v>
      </c>
      <c r="N3201" t="s">
        <v>3361</v>
      </c>
      <c r="O3201" t="s">
        <v>15211</v>
      </c>
      <c r="P3201" t="s">
        <v>3361</v>
      </c>
      <c r="Q3201" t="s">
        <v>3361</v>
      </c>
      <c r="R3201" t="s">
        <v>15211</v>
      </c>
      <c r="S3201" t="s">
        <v>15211</v>
      </c>
      <c r="T3201" t="s">
        <v>3371</v>
      </c>
      <c r="U3201" t="s">
        <v>15055</v>
      </c>
      <c r="V3201" t="s">
        <v>15289</v>
      </c>
    </row>
    <row r="3202" spans="1:22" ht="17.399999999999999" hidden="1">
      <c r="A3202" t="s">
        <v>15401</v>
      </c>
      <c r="B3202" t="s">
        <v>15443</v>
      </c>
      <c r="C3202" t="s">
        <v>15499</v>
      </c>
      <c r="D3202" t="s">
        <v>3197</v>
      </c>
      <c r="E3202" t="s">
        <v>3453</v>
      </c>
      <c r="F3202" t="s">
        <v>3613</v>
      </c>
      <c r="G3202" s="3">
        <v>37.890176456976903</v>
      </c>
      <c r="H3202" s="3">
        <v>127.71849706296599</v>
      </c>
      <c r="I3202" t="s">
        <v>6966</v>
      </c>
      <c r="J3202" t="s">
        <v>10320</v>
      </c>
      <c r="K3202" t="s">
        <v>11863</v>
      </c>
      <c r="L3202" t="s">
        <v>3368</v>
      </c>
      <c r="M3202" t="s">
        <v>11895</v>
      </c>
      <c r="N3202" t="s">
        <v>3361</v>
      </c>
      <c r="O3202" t="s">
        <v>15211</v>
      </c>
      <c r="P3202" t="s">
        <v>3361</v>
      </c>
      <c r="Q3202" t="s">
        <v>3361</v>
      </c>
      <c r="R3202" t="s">
        <v>15211</v>
      </c>
      <c r="S3202" t="s">
        <v>15211</v>
      </c>
      <c r="T3202" t="s">
        <v>3371</v>
      </c>
      <c r="U3202" t="s">
        <v>15056</v>
      </c>
      <c r="V3202" t="s">
        <v>15289</v>
      </c>
    </row>
    <row r="3203" spans="1:22" ht="17.399999999999999">
      <c r="A3203" t="s">
        <v>15401</v>
      </c>
      <c r="B3203" t="s">
        <v>15443</v>
      </c>
      <c r="C3203" t="s">
        <v>15452</v>
      </c>
      <c r="D3203" t="s">
        <v>3198</v>
      </c>
      <c r="E3203" t="s">
        <v>3442</v>
      </c>
      <c r="F3203" t="s">
        <v>3466</v>
      </c>
      <c r="G3203" s="3">
        <v>37.890176399747702</v>
      </c>
      <c r="H3203" s="3">
        <v>127.71849707192</v>
      </c>
      <c r="I3203" t="s">
        <v>6967</v>
      </c>
      <c r="J3203" t="s">
        <v>10321</v>
      </c>
      <c r="K3203" t="s">
        <v>11098</v>
      </c>
      <c r="L3203" t="s">
        <v>3366</v>
      </c>
      <c r="M3203" t="s">
        <v>11903</v>
      </c>
      <c r="N3203" t="s">
        <v>3362</v>
      </c>
      <c r="O3203" t="s">
        <v>15211</v>
      </c>
      <c r="P3203" t="s">
        <v>3361</v>
      </c>
      <c r="Q3203" t="s">
        <v>3361</v>
      </c>
      <c r="R3203" t="s">
        <v>15211</v>
      </c>
      <c r="S3203" t="s">
        <v>15211</v>
      </c>
      <c r="T3203" t="s">
        <v>3372</v>
      </c>
      <c r="U3203" t="s">
        <v>15057</v>
      </c>
      <c r="V3203" t="s">
        <v>15220</v>
      </c>
    </row>
    <row r="3204" spans="1:22" ht="17.399999999999999">
      <c r="A3204" t="s">
        <v>15401</v>
      </c>
      <c r="B3204" t="s">
        <v>15443</v>
      </c>
      <c r="C3204" t="s">
        <v>15452</v>
      </c>
      <c r="D3204" t="s">
        <v>3199</v>
      </c>
      <c r="E3204" t="s">
        <v>3452</v>
      </c>
      <c r="F3204" t="s">
        <v>3563</v>
      </c>
      <c r="G3204" s="3">
        <v>37.890176373721602</v>
      </c>
      <c r="H3204" s="3">
        <v>127.718497014368</v>
      </c>
      <c r="I3204" t="s">
        <v>6968</v>
      </c>
      <c r="J3204" t="s">
        <v>10322</v>
      </c>
      <c r="K3204" t="s">
        <v>10595</v>
      </c>
      <c r="L3204" t="s">
        <v>3366</v>
      </c>
      <c r="M3204" t="s">
        <v>11903</v>
      </c>
      <c r="N3204" t="s">
        <v>3362</v>
      </c>
      <c r="O3204" t="s">
        <v>15211</v>
      </c>
      <c r="P3204" t="s">
        <v>3362</v>
      </c>
      <c r="Q3204" t="s">
        <v>3361</v>
      </c>
      <c r="R3204" t="s">
        <v>15211</v>
      </c>
      <c r="S3204" t="s">
        <v>15211</v>
      </c>
      <c r="T3204" t="s">
        <v>3373</v>
      </c>
      <c r="U3204" t="s">
        <v>15058</v>
      </c>
      <c r="V3204" t="s">
        <v>15220</v>
      </c>
    </row>
    <row r="3205" spans="1:22" ht="17.399999999999999">
      <c r="A3205" t="s">
        <v>15401</v>
      </c>
      <c r="B3205" t="s">
        <v>15443</v>
      </c>
      <c r="C3205" t="s">
        <v>15452</v>
      </c>
      <c r="D3205" t="s">
        <v>3200</v>
      </c>
      <c r="E3205" t="s">
        <v>3433</v>
      </c>
      <c r="F3205" t="s">
        <v>3611</v>
      </c>
      <c r="G3205" s="3">
        <v>37.890176391272298</v>
      </c>
      <c r="H3205" s="3">
        <v>127.71849703775599</v>
      </c>
      <c r="I3205" t="s">
        <v>6969</v>
      </c>
      <c r="J3205" t="s">
        <v>10323</v>
      </c>
      <c r="K3205" t="s">
        <v>10678</v>
      </c>
      <c r="L3205" t="s">
        <v>3366</v>
      </c>
      <c r="M3205" t="s">
        <v>11895</v>
      </c>
      <c r="N3205" t="s">
        <v>3361</v>
      </c>
      <c r="O3205" t="s">
        <v>15211</v>
      </c>
      <c r="P3205" t="s">
        <v>3362</v>
      </c>
      <c r="Q3205" t="s">
        <v>3360</v>
      </c>
      <c r="R3205" t="s">
        <v>15211</v>
      </c>
      <c r="S3205" t="s">
        <v>15211</v>
      </c>
      <c r="T3205" t="s">
        <v>3371</v>
      </c>
      <c r="U3205" t="s">
        <v>15059</v>
      </c>
      <c r="V3205" t="s">
        <v>15220</v>
      </c>
    </row>
    <row r="3206" spans="1:22" ht="17.399999999999999" hidden="1">
      <c r="A3206" t="s">
        <v>15401</v>
      </c>
      <c r="B3206" t="s">
        <v>15441</v>
      </c>
      <c r="C3206" t="s">
        <v>15445</v>
      </c>
      <c r="D3206" t="s">
        <v>3201</v>
      </c>
      <c r="E3206" t="s">
        <v>3439</v>
      </c>
      <c r="F3206" t="s">
        <v>3437</v>
      </c>
      <c r="G3206" s="3">
        <v>37.890176334604803</v>
      </c>
      <c r="H3206" s="3">
        <v>127.71849701545</v>
      </c>
      <c r="I3206" t="s">
        <v>6970</v>
      </c>
      <c r="J3206" t="s">
        <v>10324</v>
      </c>
      <c r="K3206" t="s">
        <v>11005</v>
      </c>
      <c r="L3206" t="s">
        <v>3366</v>
      </c>
      <c r="M3206" t="s">
        <v>11890</v>
      </c>
      <c r="N3206" t="s">
        <v>3364</v>
      </c>
      <c r="O3206" t="s">
        <v>3361</v>
      </c>
      <c r="P3206" t="s">
        <v>15211</v>
      </c>
      <c r="Q3206" t="s">
        <v>15211</v>
      </c>
      <c r="R3206" t="s">
        <v>15211</v>
      </c>
      <c r="S3206" t="s">
        <v>15211</v>
      </c>
      <c r="T3206" t="s">
        <v>3369</v>
      </c>
      <c r="U3206" t="s">
        <v>15060</v>
      </c>
      <c r="V3206" t="s">
        <v>15228</v>
      </c>
    </row>
    <row r="3207" spans="1:22" ht="17.399999999999999" hidden="1">
      <c r="A3207" t="s">
        <v>15401</v>
      </c>
      <c r="B3207" t="s">
        <v>15441</v>
      </c>
      <c r="C3207" t="s">
        <v>15445</v>
      </c>
      <c r="D3207" t="s">
        <v>3202</v>
      </c>
      <c r="E3207" t="s">
        <v>3439</v>
      </c>
      <c r="F3207" t="s">
        <v>3440</v>
      </c>
      <c r="G3207" s="3">
        <v>37.8901763241956</v>
      </c>
      <c r="H3207" s="3">
        <v>127.71849702337001</v>
      </c>
      <c r="I3207" t="s">
        <v>6971</v>
      </c>
      <c r="J3207" t="s">
        <v>10325</v>
      </c>
      <c r="K3207" t="s">
        <v>11005</v>
      </c>
      <c r="L3207" t="s">
        <v>3366</v>
      </c>
      <c r="M3207" t="s">
        <v>11890</v>
      </c>
      <c r="N3207" t="s">
        <v>3364</v>
      </c>
      <c r="O3207" t="s">
        <v>3361</v>
      </c>
      <c r="P3207" t="s">
        <v>15211</v>
      </c>
      <c r="Q3207" t="s">
        <v>15211</v>
      </c>
      <c r="R3207" t="s">
        <v>15211</v>
      </c>
      <c r="S3207" t="s">
        <v>15211</v>
      </c>
      <c r="T3207" t="s">
        <v>3369</v>
      </c>
      <c r="U3207" t="s">
        <v>15061</v>
      </c>
      <c r="V3207" t="s">
        <v>15228</v>
      </c>
    </row>
    <row r="3208" spans="1:22" ht="17.399999999999999" hidden="1">
      <c r="A3208" t="s">
        <v>15401</v>
      </c>
      <c r="B3208" t="s">
        <v>15441</v>
      </c>
      <c r="C3208" t="s">
        <v>15445</v>
      </c>
      <c r="D3208" t="s">
        <v>3203</v>
      </c>
      <c r="E3208" t="s">
        <v>3437</v>
      </c>
      <c r="F3208" t="s">
        <v>3440</v>
      </c>
      <c r="G3208" s="3">
        <v>37.890176307845003</v>
      </c>
      <c r="H3208" s="3">
        <v>127.71849702945001</v>
      </c>
      <c r="I3208" t="s">
        <v>6972</v>
      </c>
      <c r="J3208" t="s">
        <v>10326</v>
      </c>
      <c r="K3208" t="s">
        <v>11005</v>
      </c>
      <c r="L3208" t="s">
        <v>3366</v>
      </c>
      <c r="M3208" t="s">
        <v>11890</v>
      </c>
      <c r="N3208" t="s">
        <v>3364</v>
      </c>
      <c r="O3208" t="s">
        <v>3361</v>
      </c>
      <c r="P3208" t="s">
        <v>15211</v>
      </c>
      <c r="Q3208" t="s">
        <v>15211</v>
      </c>
      <c r="R3208" t="s">
        <v>15211</v>
      </c>
      <c r="S3208" t="s">
        <v>15211</v>
      </c>
      <c r="T3208" t="s">
        <v>3369</v>
      </c>
      <c r="U3208" t="s">
        <v>15062</v>
      </c>
      <c r="V3208" t="s">
        <v>15228</v>
      </c>
    </row>
    <row r="3209" spans="1:22" ht="17.399999999999999" hidden="1">
      <c r="A3209" t="s">
        <v>15401</v>
      </c>
      <c r="B3209" t="s">
        <v>15441</v>
      </c>
      <c r="C3209" t="s">
        <v>15446</v>
      </c>
      <c r="D3209" t="s">
        <v>3204</v>
      </c>
      <c r="E3209" t="s">
        <v>3439</v>
      </c>
      <c r="F3209" t="s">
        <v>3440</v>
      </c>
      <c r="G3209" s="3">
        <v>37.890176340093902</v>
      </c>
      <c r="H3209" s="3">
        <v>127.718496993229</v>
      </c>
      <c r="I3209" t="s">
        <v>6973</v>
      </c>
      <c r="J3209" t="s">
        <v>10327</v>
      </c>
      <c r="K3209" t="s">
        <v>3719</v>
      </c>
      <c r="L3209" t="s">
        <v>3374</v>
      </c>
      <c r="M3209" t="s">
        <v>11890</v>
      </c>
      <c r="N3209" t="s">
        <v>3364</v>
      </c>
      <c r="O3209" t="s">
        <v>3361</v>
      </c>
      <c r="P3209" t="s">
        <v>15211</v>
      </c>
      <c r="Q3209" t="s">
        <v>15211</v>
      </c>
      <c r="R3209" t="s">
        <v>15211</v>
      </c>
      <c r="S3209" t="s">
        <v>15211</v>
      </c>
      <c r="T3209" t="s">
        <v>3369</v>
      </c>
      <c r="U3209" t="s">
        <v>15063</v>
      </c>
      <c r="V3209" t="s">
        <v>15229</v>
      </c>
    </row>
    <row r="3210" spans="1:22" ht="17.399999999999999" hidden="1">
      <c r="A3210" t="s">
        <v>15401</v>
      </c>
      <c r="B3210" t="s">
        <v>15441</v>
      </c>
      <c r="C3210" t="s">
        <v>15446</v>
      </c>
      <c r="D3210" t="s">
        <v>3205</v>
      </c>
      <c r="E3210" t="s">
        <v>3439</v>
      </c>
      <c r="F3210" t="s">
        <v>3437</v>
      </c>
      <c r="G3210" s="3">
        <v>37.890176326522301</v>
      </c>
      <c r="H3210" s="3">
        <v>127.718496980759</v>
      </c>
      <c r="I3210" t="s">
        <v>6974</v>
      </c>
      <c r="J3210" t="s">
        <v>10328</v>
      </c>
      <c r="K3210" t="s">
        <v>11014</v>
      </c>
      <c r="L3210" t="s">
        <v>3366</v>
      </c>
      <c r="M3210" t="s">
        <v>11894</v>
      </c>
      <c r="N3210" t="s">
        <v>3364</v>
      </c>
      <c r="O3210" t="s">
        <v>3362</v>
      </c>
      <c r="P3210" t="s">
        <v>15211</v>
      </c>
      <c r="Q3210" t="s">
        <v>15211</v>
      </c>
      <c r="R3210" t="s">
        <v>15211</v>
      </c>
      <c r="S3210" t="s">
        <v>15211</v>
      </c>
      <c r="T3210" t="s">
        <v>3370</v>
      </c>
      <c r="U3210" t="s">
        <v>15064</v>
      </c>
      <c r="V3210" t="s">
        <v>15229</v>
      </c>
    </row>
    <row r="3211" spans="1:22" ht="17.399999999999999" hidden="1">
      <c r="A3211" t="s">
        <v>15401</v>
      </c>
      <c r="B3211" t="s">
        <v>15441</v>
      </c>
      <c r="C3211" t="s">
        <v>15446</v>
      </c>
      <c r="D3211" t="s">
        <v>3206</v>
      </c>
      <c r="E3211" t="s">
        <v>3439</v>
      </c>
      <c r="F3211" t="s">
        <v>3437</v>
      </c>
      <c r="G3211" s="3">
        <v>37.890176335614001</v>
      </c>
      <c r="H3211" s="3">
        <v>127.71849697394499</v>
      </c>
      <c r="I3211" t="s">
        <v>6975</v>
      </c>
      <c r="J3211" t="s">
        <v>10329</v>
      </c>
      <c r="K3211" t="s">
        <v>11014</v>
      </c>
      <c r="L3211" t="s">
        <v>3366</v>
      </c>
      <c r="M3211" t="s">
        <v>11894</v>
      </c>
      <c r="N3211" t="s">
        <v>3364</v>
      </c>
      <c r="O3211" t="s">
        <v>3362</v>
      </c>
      <c r="P3211" t="s">
        <v>15211</v>
      </c>
      <c r="Q3211" t="s">
        <v>15211</v>
      </c>
      <c r="R3211" t="s">
        <v>15211</v>
      </c>
      <c r="S3211" t="s">
        <v>15211</v>
      </c>
      <c r="T3211" t="s">
        <v>3370</v>
      </c>
      <c r="U3211" t="s">
        <v>15065</v>
      </c>
      <c r="V3211" t="s">
        <v>15229</v>
      </c>
    </row>
    <row r="3212" spans="1:22" ht="17.399999999999999" hidden="1">
      <c r="A3212" t="s">
        <v>15401</v>
      </c>
      <c r="B3212" t="s">
        <v>15441</v>
      </c>
      <c r="C3212" t="s">
        <v>15447</v>
      </c>
      <c r="D3212" t="s">
        <v>3207</v>
      </c>
      <c r="E3212" t="s">
        <v>3440</v>
      </c>
      <c r="F3212" t="s">
        <v>3427</v>
      </c>
      <c r="G3212" s="3">
        <v>37.890176257827697</v>
      </c>
      <c r="H3212" s="3">
        <v>127.718496988909</v>
      </c>
      <c r="I3212" t="s">
        <v>6976</v>
      </c>
      <c r="J3212" t="s">
        <v>10330</v>
      </c>
      <c r="K3212" t="s">
        <v>11662</v>
      </c>
      <c r="L3212" t="s">
        <v>3366</v>
      </c>
      <c r="M3212" t="s">
        <v>11892</v>
      </c>
      <c r="N3212" t="s">
        <v>3364</v>
      </c>
      <c r="O3212" t="s">
        <v>15211</v>
      </c>
      <c r="P3212" t="s">
        <v>15211</v>
      </c>
      <c r="Q3212" t="s">
        <v>15211</v>
      </c>
      <c r="R3212" t="s">
        <v>15211</v>
      </c>
      <c r="S3212" t="s">
        <v>15211</v>
      </c>
      <c r="T3212" t="s">
        <v>3364</v>
      </c>
      <c r="U3212" t="s">
        <v>15066</v>
      </c>
      <c r="V3212" t="s">
        <v>15235</v>
      </c>
    </row>
    <row r="3213" spans="1:22" ht="17.399999999999999" hidden="1">
      <c r="A3213" t="s">
        <v>15401</v>
      </c>
      <c r="B3213" t="s">
        <v>15441</v>
      </c>
      <c r="C3213" t="s">
        <v>15447</v>
      </c>
      <c r="D3213" t="s">
        <v>3208</v>
      </c>
      <c r="E3213" t="s">
        <v>3440</v>
      </c>
      <c r="F3213" t="s">
        <v>3427</v>
      </c>
      <c r="G3213" s="3">
        <v>37.890176234525804</v>
      </c>
      <c r="H3213" s="3">
        <v>127.718496993858</v>
      </c>
      <c r="I3213" t="s">
        <v>6977</v>
      </c>
      <c r="J3213" t="s">
        <v>10331</v>
      </c>
      <c r="K3213" t="s">
        <v>11662</v>
      </c>
      <c r="L3213" t="s">
        <v>3366</v>
      </c>
      <c r="M3213" t="s">
        <v>11892</v>
      </c>
      <c r="N3213" t="s">
        <v>3364</v>
      </c>
      <c r="O3213" t="s">
        <v>15211</v>
      </c>
      <c r="P3213" t="s">
        <v>15211</v>
      </c>
      <c r="Q3213" t="s">
        <v>15211</v>
      </c>
      <c r="R3213" t="s">
        <v>15211</v>
      </c>
      <c r="S3213" t="s">
        <v>15211</v>
      </c>
      <c r="T3213" t="s">
        <v>3364</v>
      </c>
      <c r="U3213" t="s">
        <v>15067</v>
      </c>
      <c r="V3213" t="s">
        <v>15235</v>
      </c>
    </row>
    <row r="3214" spans="1:22" ht="17.399999999999999" hidden="1">
      <c r="A3214" t="s">
        <v>15401</v>
      </c>
      <c r="B3214" t="s">
        <v>15441</v>
      </c>
      <c r="C3214" t="s">
        <v>15447</v>
      </c>
      <c r="D3214" t="s">
        <v>3209</v>
      </c>
      <c r="E3214" t="s">
        <v>3440</v>
      </c>
      <c r="F3214" t="s">
        <v>3427</v>
      </c>
      <c r="G3214" s="3">
        <v>37.890176263994803</v>
      </c>
      <c r="H3214" s="3">
        <v>127.718497000841</v>
      </c>
      <c r="I3214" t="s">
        <v>6978</v>
      </c>
      <c r="J3214" t="s">
        <v>10332</v>
      </c>
      <c r="K3214" t="s">
        <v>11662</v>
      </c>
      <c r="L3214" t="s">
        <v>3366</v>
      </c>
      <c r="M3214" t="s">
        <v>11892</v>
      </c>
      <c r="N3214" t="s">
        <v>3364</v>
      </c>
      <c r="O3214" t="s">
        <v>15211</v>
      </c>
      <c r="P3214" t="s">
        <v>15211</v>
      </c>
      <c r="Q3214" t="s">
        <v>15211</v>
      </c>
      <c r="R3214" t="s">
        <v>15211</v>
      </c>
      <c r="S3214" t="s">
        <v>15211</v>
      </c>
      <c r="T3214" t="s">
        <v>3364</v>
      </c>
      <c r="U3214" t="s">
        <v>15068</v>
      </c>
      <c r="V3214" t="s">
        <v>15235</v>
      </c>
    </row>
    <row r="3215" spans="1:22" ht="17.399999999999999" hidden="1">
      <c r="A3215" t="s">
        <v>15401</v>
      </c>
      <c r="B3215" t="s">
        <v>15441</v>
      </c>
      <c r="C3215" t="s">
        <v>15448</v>
      </c>
      <c r="D3215" t="s">
        <v>3210</v>
      </c>
      <c r="E3215" t="s">
        <v>3427</v>
      </c>
      <c r="F3215" t="s">
        <v>3442</v>
      </c>
      <c r="G3215" s="3">
        <v>37.890176380042803</v>
      </c>
      <c r="H3215" s="3">
        <v>127.718497007038</v>
      </c>
      <c r="I3215" t="s">
        <v>6979</v>
      </c>
      <c r="J3215" t="s">
        <v>10333</v>
      </c>
      <c r="K3215" t="s">
        <v>11096</v>
      </c>
      <c r="L3215" t="s">
        <v>3366</v>
      </c>
      <c r="M3215" t="s">
        <v>11914</v>
      </c>
      <c r="N3215" t="s">
        <v>3365</v>
      </c>
      <c r="O3215" t="s">
        <v>3362</v>
      </c>
      <c r="P3215" t="s">
        <v>3362</v>
      </c>
      <c r="Q3215" t="s">
        <v>3360</v>
      </c>
      <c r="R3215" t="s">
        <v>3357</v>
      </c>
      <c r="S3215" t="s">
        <v>15211</v>
      </c>
      <c r="T3215" t="s">
        <v>3382</v>
      </c>
      <c r="U3215" t="s">
        <v>15069</v>
      </c>
      <c r="V3215" t="s">
        <v>15230</v>
      </c>
    </row>
    <row r="3216" spans="1:22" ht="17.399999999999999" hidden="1">
      <c r="A3216" t="s">
        <v>15401</v>
      </c>
      <c r="B3216" t="s">
        <v>15441</v>
      </c>
      <c r="C3216" t="s">
        <v>15448</v>
      </c>
      <c r="D3216" t="s">
        <v>3211</v>
      </c>
      <c r="E3216" t="s">
        <v>3428</v>
      </c>
      <c r="F3216" t="s">
        <v>3453</v>
      </c>
      <c r="G3216" s="3">
        <v>37.890176387774702</v>
      </c>
      <c r="H3216" s="3">
        <v>127.718497027128</v>
      </c>
      <c r="I3216" t="s">
        <v>6980</v>
      </c>
      <c r="J3216" t="s">
        <v>10334</v>
      </c>
      <c r="K3216" t="s">
        <v>11096</v>
      </c>
      <c r="L3216" t="s">
        <v>3366</v>
      </c>
      <c r="M3216" t="s">
        <v>11914</v>
      </c>
      <c r="N3216" t="s">
        <v>3365</v>
      </c>
      <c r="O3216" t="s">
        <v>3362</v>
      </c>
      <c r="P3216" t="s">
        <v>3362</v>
      </c>
      <c r="Q3216" t="s">
        <v>3361</v>
      </c>
      <c r="R3216" t="s">
        <v>3357</v>
      </c>
      <c r="S3216" t="s">
        <v>15211</v>
      </c>
      <c r="T3216" t="s">
        <v>3383</v>
      </c>
      <c r="U3216" t="s">
        <v>15070</v>
      </c>
      <c r="V3216" t="s">
        <v>15230</v>
      </c>
    </row>
    <row r="3217" spans="1:22" ht="17.399999999999999" hidden="1">
      <c r="A3217" t="s">
        <v>15401</v>
      </c>
      <c r="B3217" t="s">
        <v>15441</v>
      </c>
      <c r="C3217" t="s">
        <v>15448</v>
      </c>
      <c r="D3217" t="s">
        <v>3212</v>
      </c>
      <c r="E3217" t="s">
        <v>3436</v>
      </c>
      <c r="F3217" t="s">
        <v>3432</v>
      </c>
      <c r="G3217" s="3">
        <v>37.890176383310298</v>
      </c>
      <c r="H3217" s="3">
        <v>127.71849702067</v>
      </c>
      <c r="I3217" t="s">
        <v>6981</v>
      </c>
      <c r="J3217" t="s">
        <v>10335</v>
      </c>
      <c r="K3217" t="s">
        <v>11274</v>
      </c>
      <c r="L3217" t="s">
        <v>3366</v>
      </c>
      <c r="M3217" t="s">
        <v>11912</v>
      </c>
      <c r="N3217" t="s">
        <v>3365</v>
      </c>
      <c r="O3217" t="s">
        <v>3362</v>
      </c>
      <c r="P3217" t="s">
        <v>3362</v>
      </c>
      <c r="Q3217" t="s">
        <v>3360</v>
      </c>
      <c r="R3217" t="s">
        <v>3357</v>
      </c>
      <c r="S3217" t="s">
        <v>15211</v>
      </c>
      <c r="T3217" t="s">
        <v>3382</v>
      </c>
      <c r="U3217" t="s">
        <v>15071</v>
      </c>
      <c r="V3217" t="s">
        <v>15230</v>
      </c>
    </row>
    <row r="3218" spans="1:22" ht="17.399999999999999" hidden="1">
      <c r="A3218" t="s">
        <v>15401</v>
      </c>
      <c r="B3218" t="s">
        <v>15441</v>
      </c>
      <c r="C3218" t="s">
        <v>15449</v>
      </c>
      <c r="D3218" t="s">
        <v>3213</v>
      </c>
      <c r="E3218" t="s">
        <v>3439</v>
      </c>
      <c r="F3218" t="s">
        <v>3427</v>
      </c>
      <c r="G3218" s="3">
        <v>37.890176354370404</v>
      </c>
      <c r="H3218" s="3">
        <v>127.71849702156101</v>
      </c>
      <c r="I3218" t="s">
        <v>6982</v>
      </c>
      <c r="J3218" t="s">
        <v>10336</v>
      </c>
      <c r="K3218" t="s">
        <v>10695</v>
      </c>
      <c r="L3218" t="s">
        <v>3366</v>
      </c>
      <c r="M3218" t="s">
        <v>11908</v>
      </c>
      <c r="N3218" t="s">
        <v>3365</v>
      </c>
      <c r="O3218" t="s">
        <v>15211</v>
      </c>
      <c r="P3218" t="s">
        <v>3362</v>
      </c>
      <c r="Q3218" t="s">
        <v>3361</v>
      </c>
      <c r="R3218" t="s">
        <v>15211</v>
      </c>
      <c r="S3218" t="s">
        <v>15211</v>
      </c>
      <c r="T3218" t="s">
        <v>3376</v>
      </c>
      <c r="U3218" t="s">
        <v>15072</v>
      </c>
      <c r="V3218" t="s">
        <v>15231</v>
      </c>
    </row>
    <row r="3219" spans="1:22" ht="17.399999999999999" hidden="1">
      <c r="A3219" t="s">
        <v>15401</v>
      </c>
      <c r="B3219" t="s">
        <v>15441</v>
      </c>
      <c r="C3219" t="s">
        <v>15449</v>
      </c>
      <c r="D3219" t="s">
        <v>3214</v>
      </c>
      <c r="E3219" t="s">
        <v>3439</v>
      </c>
      <c r="F3219" t="s">
        <v>3427</v>
      </c>
      <c r="G3219" s="3">
        <v>37.890176358288898</v>
      </c>
      <c r="H3219" s="3">
        <v>127.718497009125</v>
      </c>
      <c r="I3219" t="s">
        <v>6983</v>
      </c>
      <c r="J3219" t="s">
        <v>10337</v>
      </c>
      <c r="K3219" t="s">
        <v>11459</v>
      </c>
      <c r="L3219" t="s">
        <v>3366</v>
      </c>
      <c r="M3219" t="s">
        <v>11899</v>
      </c>
      <c r="N3219" t="s">
        <v>3365</v>
      </c>
      <c r="O3219" t="s">
        <v>15211</v>
      </c>
      <c r="P3219" t="s">
        <v>3362</v>
      </c>
      <c r="Q3219" t="s">
        <v>3361</v>
      </c>
      <c r="R3219" t="s">
        <v>15211</v>
      </c>
      <c r="S3219" t="s">
        <v>15211</v>
      </c>
      <c r="T3219" t="s">
        <v>3376</v>
      </c>
      <c r="U3219" t="s">
        <v>15073</v>
      </c>
      <c r="V3219" t="s">
        <v>15231</v>
      </c>
    </row>
    <row r="3220" spans="1:22" ht="17.399999999999999" hidden="1">
      <c r="A3220" t="s">
        <v>15401</v>
      </c>
      <c r="B3220" t="s">
        <v>15441</v>
      </c>
      <c r="C3220" t="s">
        <v>15449</v>
      </c>
      <c r="D3220" t="s">
        <v>3215</v>
      </c>
      <c r="E3220" t="s">
        <v>3439</v>
      </c>
      <c r="F3220" t="s">
        <v>3428</v>
      </c>
      <c r="G3220" s="3">
        <v>37.890176364073596</v>
      </c>
      <c r="H3220" s="3">
        <v>127.718497014085</v>
      </c>
      <c r="I3220" t="s">
        <v>6984</v>
      </c>
      <c r="J3220" t="s">
        <v>10338</v>
      </c>
      <c r="K3220" t="s">
        <v>11040</v>
      </c>
      <c r="L3220" t="s">
        <v>3366</v>
      </c>
      <c r="M3220" t="s">
        <v>11899</v>
      </c>
      <c r="N3220" t="s">
        <v>3365</v>
      </c>
      <c r="O3220" t="s">
        <v>15211</v>
      </c>
      <c r="P3220" t="s">
        <v>3362</v>
      </c>
      <c r="Q3220" t="s">
        <v>3360</v>
      </c>
      <c r="R3220" t="s">
        <v>15211</v>
      </c>
      <c r="S3220" t="s">
        <v>15211</v>
      </c>
      <c r="T3220" t="s">
        <v>3375</v>
      </c>
      <c r="U3220" t="s">
        <v>15074</v>
      </c>
      <c r="V3220" t="s">
        <v>15231</v>
      </c>
    </row>
    <row r="3221" spans="1:22" ht="17.399999999999999" hidden="1">
      <c r="A3221" t="s">
        <v>15401</v>
      </c>
      <c r="B3221" t="s">
        <v>15442</v>
      </c>
      <c r="C3221" t="s">
        <v>15450</v>
      </c>
      <c r="D3221" t="s">
        <v>3216</v>
      </c>
      <c r="E3221" t="s">
        <v>3427</v>
      </c>
      <c r="F3221" t="s">
        <v>3436</v>
      </c>
      <c r="G3221" s="3">
        <v>37.890176363132198</v>
      </c>
      <c r="H3221" s="3">
        <v>127.71849702071</v>
      </c>
      <c r="I3221" t="s">
        <v>6985</v>
      </c>
      <c r="J3221" t="s">
        <v>10339</v>
      </c>
      <c r="K3221" t="s">
        <v>11141</v>
      </c>
      <c r="L3221" t="s">
        <v>3366</v>
      </c>
      <c r="M3221" t="s">
        <v>11895</v>
      </c>
      <c r="N3221" t="s">
        <v>3365</v>
      </c>
      <c r="O3221" t="s">
        <v>3362</v>
      </c>
      <c r="P3221" t="s">
        <v>15211</v>
      </c>
      <c r="Q3221" t="s">
        <v>15211</v>
      </c>
      <c r="R3221" t="s">
        <v>15211</v>
      </c>
      <c r="S3221" t="s">
        <v>15211</v>
      </c>
      <c r="T3221" t="s">
        <v>3371</v>
      </c>
      <c r="U3221" t="s">
        <v>15075</v>
      </c>
      <c r="V3221" t="s">
        <v>15232</v>
      </c>
    </row>
    <row r="3222" spans="1:22" ht="17.399999999999999" hidden="1">
      <c r="A3222" t="s">
        <v>15401</v>
      </c>
      <c r="B3222" t="s">
        <v>15442</v>
      </c>
      <c r="C3222" t="s">
        <v>15450</v>
      </c>
      <c r="D3222" t="s">
        <v>3217</v>
      </c>
      <c r="E3222" t="s">
        <v>3427</v>
      </c>
      <c r="F3222" t="s">
        <v>3436</v>
      </c>
      <c r="G3222" s="3">
        <v>37.890176344856599</v>
      </c>
      <c r="H3222" s="3">
        <v>127.71849699224499</v>
      </c>
      <c r="I3222" t="s">
        <v>6986</v>
      </c>
      <c r="J3222" t="s">
        <v>10340</v>
      </c>
      <c r="K3222" t="s">
        <v>11218</v>
      </c>
      <c r="L3222" t="s">
        <v>3366</v>
      </c>
      <c r="M3222" t="s">
        <v>11895</v>
      </c>
      <c r="N3222" t="s">
        <v>3365</v>
      </c>
      <c r="O3222" t="s">
        <v>3362</v>
      </c>
      <c r="P3222" t="s">
        <v>15211</v>
      </c>
      <c r="Q3222" t="s">
        <v>15211</v>
      </c>
      <c r="R3222" t="s">
        <v>15211</v>
      </c>
      <c r="S3222" t="s">
        <v>15211</v>
      </c>
      <c r="T3222" t="s">
        <v>3371</v>
      </c>
      <c r="U3222" t="s">
        <v>15076</v>
      </c>
      <c r="V3222" t="s">
        <v>15232</v>
      </c>
    </row>
    <row r="3223" spans="1:22" ht="17.399999999999999" hidden="1">
      <c r="A3223" t="s">
        <v>15401</v>
      </c>
      <c r="B3223" t="s">
        <v>15442</v>
      </c>
      <c r="C3223" t="s">
        <v>15450</v>
      </c>
      <c r="D3223" t="s">
        <v>3218</v>
      </c>
      <c r="E3223" t="s">
        <v>3438</v>
      </c>
      <c r="F3223" t="s">
        <v>3436</v>
      </c>
      <c r="G3223" s="3">
        <v>37.890176378448999</v>
      </c>
      <c r="H3223" s="3">
        <v>127.718497003078</v>
      </c>
      <c r="I3223" t="s">
        <v>6987</v>
      </c>
      <c r="J3223" t="s">
        <v>10341</v>
      </c>
      <c r="K3223" t="s">
        <v>11219</v>
      </c>
      <c r="L3223" t="s">
        <v>3366</v>
      </c>
      <c r="M3223" t="s">
        <v>11895</v>
      </c>
      <c r="N3223" t="s">
        <v>3365</v>
      </c>
      <c r="O3223" t="s">
        <v>3362</v>
      </c>
      <c r="P3223" t="s">
        <v>15211</v>
      </c>
      <c r="Q3223" t="s">
        <v>15211</v>
      </c>
      <c r="R3223" t="s">
        <v>15211</v>
      </c>
      <c r="S3223" t="s">
        <v>15211</v>
      </c>
      <c r="T3223" t="s">
        <v>3371</v>
      </c>
      <c r="U3223" t="s">
        <v>15077</v>
      </c>
      <c r="V3223" t="s">
        <v>15232</v>
      </c>
    </row>
    <row r="3224" spans="1:22" ht="17.399999999999999" hidden="1">
      <c r="A3224" t="s">
        <v>15401</v>
      </c>
      <c r="B3224" t="s">
        <v>15442</v>
      </c>
      <c r="C3224" t="s">
        <v>15445</v>
      </c>
      <c r="D3224" t="s">
        <v>3219</v>
      </c>
      <c r="E3224" t="s">
        <v>3439</v>
      </c>
      <c r="F3224" t="s">
        <v>3440</v>
      </c>
      <c r="G3224" s="3">
        <v>37.890176443154097</v>
      </c>
      <c r="H3224" s="3">
        <v>127.718496976469</v>
      </c>
      <c r="I3224" t="s">
        <v>6988</v>
      </c>
      <c r="J3224" t="s">
        <v>10342</v>
      </c>
      <c r="K3224" t="s">
        <v>11864</v>
      </c>
      <c r="L3224" t="s">
        <v>3366</v>
      </c>
      <c r="M3224" t="s">
        <v>11895</v>
      </c>
      <c r="N3224" t="s">
        <v>3365</v>
      </c>
      <c r="O3224" t="s">
        <v>3362</v>
      </c>
      <c r="P3224" t="s">
        <v>15211</v>
      </c>
      <c r="Q3224" t="s">
        <v>15211</v>
      </c>
      <c r="R3224" t="s">
        <v>15211</v>
      </c>
      <c r="S3224" t="s">
        <v>15211</v>
      </c>
      <c r="T3224" t="s">
        <v>3371</v>
      </c>
      <c r="U3224" t="s">
        <v>15078</v>
      </c>
      <c r="V3224" t="s">
        <v>15233</v>
      </c>
    </row>
    <row r="3225" spans="1:22" ht="17.399999999999999" hidden="1">
      <c r="A3225" t="s">
        <v>15401</v>
      </c>
      <c r="B3225" t="s">
        <v>15442</v>
      </c>
      <c r="C3225" t="s">
        <v>15445</v>
      </c>
      <c r="D3225" t="s">
        <v>3220</v>
      </c>
      <c r="E3225" t="s">
        <v>3439</v>
      </c>
      <c r="F3225" t="s">
        <v>3437</v>
      </c>
      <c r="G3225" s="3">
        <v>37.890176421058499</v>
      </c>
      <c r="H3225" s="3">
        <v>127.718496971047</v>
      </c>
      <c r="I3225" t="s">
        <v>6989</v>
      </c>
      <c r="J3225" t="s">
        <v>10343</v>
      </c>
      <c r="K3225" t="s">
        <v>10799</v>
      </c>
      <c r="L3225" t="s">
        <v>3366</v>
      </c>
      <c r="M3225" t="s">
        <v>11895</v>
      </c>
      <c r="N3225" t="s">
        <v>3365</v>
      </c>
      <c r="O3225" t="s">
        <v>3362</v>
      </c>
      <c r="P3225" t="s">
        <v>15211</v>
      </c>
      <c r="Q3225" t="s">
        <v>15211</v>
      </c>
      <c r="R3225" t="s">
        <v>15211</v>
      </c>
      <c r="S3225" t="s">
        <v>15211</v>
      </c>
      <c r="T3225" t="s">
        <v>3371</v>
      </c>
      <c r="U3225" t="s">
        <v>15079</v>
      </c>
      <c r="V3225" t="s">
        <v>15233</v>
      </c>
    </row>
    <row r="3226" spans="1:22" ht="17.399999999999999" hidden="1">
      <c r="A3226" t="s">
        <v>15401</v>
      </c>
      <c r="B3226" t="s">
        <v>15442</v>
      </c>
      <c r="C3226" t="s">
        <v>15445</v>
      </c>
      <c r="D3226" t="s">
        <v>3221</v>
      </c>
      <c r="E3226" t="s">
        <v>3439</v>
      </c>
      <c r="F3226" t="s">
        <v>3437</v>
      </c>
      <c r="G3226" s="3">
        <v>37.890176398715802</v>
      </c>
      <c r="H3226" s="3">
        <v>127.718496970809</v>
      </c>
      <c r="I3226" t="s">
        <v>6990</v>
      </c>
      <c r="J3226" t="s">
        <v>10344</v>
      </c>
      <c r="K3226" t="s">
        <v>10849</v>
      </c>
      <c r="L3226" t="s">
        <v>3366</v>
      </c>
      <c r="M3226" t="s">
        <v>11895</v>
      </c>
      <c r="N3226" t="s">
        <v>3365</v>
      </c>
      <c r="O3226" t="s">
        <v>3362</v>
      </c>
      <c r="P3226" t="s">
        <v>15211</v>
      </c>
      <c r="Q3226" t="s">
        <v>15211</v>
      </c>
      <c r="R3226" t="s">
        <v>15211</v>
      </c>
      <c r="S3226" t="s">
        <v>15211</v>
      </c>
      <c r="T3226" t="s">
        <v>3371</v>
      </c>
      <c r="U3226" t="s">
        <v>15080</v>
      </c>
      <c r="V3226" t="s">
        <v>15233</v>
      </c>
    </row>
    <row r="3227" spans="1:22" ht="17.399999999999999" hidden="1">
      <c r="A3227" t="s">
        <v>15401</v>
      </c>
      <c r="B3227" t="s">
        <v>15442</v>
      </c>
      <c r="C3227" t="s">
        <v>15451</v>
      </c>
      <c r="D3227" t="s">
        <v>3222</v>
      </c>
      <c r="E3227" t="s">
        <v>3457</v>
      </c>
      <c r="F3227" t="s">
        <v>3437</v>
      </c>
      <c r="G3227" s="3">
        <v>37.890176398626402</v>
      </c>
      <c r="H3227" s="3">
        <v>127.71849701064799</v>
      </c>
      <c r="I3227" t="s">
        <v>6991</v>
      </c>
      <c r="J3227" t="s">
        <v>10345</v>
      </c>
      <c r="K3227" t="s">
        <v>11113</v>
      </c>
      <c r="L3227" t="s">
        <v>3366</v>
      </c>
      <c r="M3227" t="s">
        <v>11893</v>
      </c>
      <c r="N3227" t="s">
        <v>3365</v>
      </c>
      <c r="O3227" t="s">
        <v>3362</v>
      </c>
      <c r="P3227" t="s">
        <v>3362</v>
      </c>
      <c r="Q3227" t="s">
        <v>3360</v>
      </c>
      <c r="R3227" t="s">
        <v>15211</v>
      </c>
      <c r="S3227" t="s">
        <v>15211</v>
      </c>
      <c r="T3227" t="s">
        <v>3381</v>
      </c>
      <c r="U3227" t="s">
        <v>15072</v>
      </c>
      <c r="V3227" t="s">
        <v>15234</v>
      </c>
    </row>
    <row r="3228" spans="1:22" ht="17.399999999999999" hidden="1">
      <c r="A3228" t="s">
        <v>15401</v>
      </c>
      <c r="B3228" t="s">
        <v>15442</v>
      </c>
      <c r="C3228" t="s">
        <v>15451</v>
      </c>
      <c r="D3228" t="s">
        <v>3223</v>
      </c>
      <c r="E3228" t="s">
        <v>3443</v>
      </c>
      <c r="F3228" t="s">
        <v>3440</v>
      </c>
      <c r="G3228" s="3">
        <v>37.890176406267798</v>
      </c>
      <c r="H3228" s="3">
        <v>127.718497002161</v>
      </c>
      <c r="I3228" t="s">
        <v>6992</v>
      </c>
      <c r="J3228" t="s">
        <v>10346</v>
      </c>
      <c r="K3228" t="s">
        <v>10750</v>
      </c>
      <c r="L3228" t="s">
        <v>3366</v>
      </c>
      <c r="M3228" t="s">
        <v>11893</v>
      </c>
      <c r="N3228" t="s">
        <v>3365</v>
      </c>
      <c r="O3228" t="s">
        <v>3362</v>
      </c>
      <c r="P3228" t="s">
        <v>3362</v>
      </c>
      <c r="Q3228" t="s">
        <v>3360</v>
      </c>
      <c r="R3228" t="s">
        <v>15211</v>
      </c>
      <c r="S3228" t="s">
        <v>15211</v>
      </c>
      <c r="T3228" t="s">
        <v>3381</v>
      </c>
      <c r="U3228" t="s">
        <v>15081</v>
      </c>
      <c r="V3228" t="s">
        <v>15234</v>
      </c>
    </row>
    <row r="3229" spans="1:22" ht="17.399999999999999" hidden="1">
      <c r="A3229" t="s">
        <v>15401</v>
      </c>
      <c r="B3229" t="s">
        <v>15442</v>
      </c>
      <c r="C3229" t="s">
        <v>15451</v>
      </c>
      <c r="D3229" t="s">
        <v>3224</v>
      </c>
      <c r="E3229" t="s">
        <v>3443</v>
      </c>
      <c r="F3229" t="s">
        <v>3440</v>
      </c>
      <c r="G3229" s="3">
        <v>37.890176405681203</v>
      </c>
      <c r="H3229" s="3">
        <v>127.718497000532</v>
      </c>
      <c r="I3229" t="s">
        <v>6993</v>
      </c>
      <c r="J3229" t="s">
        <v>10347</v>
      </c>
      <c r="K3229" t="s">
        <v>11730</v>
      </c>
      <c r="L3229" t="s">
        <v>3366</v>
      </c>
      <c r="M3229" t="s">
        <v>11893</v>
      </c>
      <c r="N3229" t="s">
        <v>3365</v>
      </c>
      <c r="O3229" t="s">
        <v>3362</v>
      </c>
      <c r="P3229" t="s">
        <v>3362</v>
      </c>
      <c r="Q3229" t="s">
        <v>3360</v>
      </c>
      <c r="R3229" t="s">
        <v>15211</v>
      </c>
      <c r="S3229" t="s">
        <v>15211</v>
      </c>
      <c r="T3229" t="s">
        <v>3381</v>
      </c>
      <c r="U3229" t="s">
        <v>15073</v>
      </c>
      <c r="V3229" t="s">
        <v>15234</v>
      </c>
    </row>
    <row r="3230" spans="1:22" ht="17.399999999999999" hidden="1">
      <c r="A3230" t="s">
        <v>15405</v>
      </c>
      <c r="B3230" t="s">
        <v>15441</v>
      </c>
      <c r="C3230" t="s">
        <v>15445</v>
      </c>
      <c r="D3230" t="s">
        <v>3225</v>
      </c>
      <c r="E3230" t="s">
        <v>3428</v>
      </c>
      <c r="F3230" t="s">
        <v>3434</v>
      </c>
      <c r="G3230" s="3">
        <v>37.834133221025802</v>
      </c>
      <c r="H3230" s="3">
        <v>127.55680786793199</v>
      </c>
      <c r="I3230" t="s">
        <v>6994</v>
      </c>
      <c r="J3230" t="s">
        <v>10348</v>
      </c>
      <c r="K3230" t="s">
        <v>10978</v>
      </c>
      <c r="L3230" t="s">
        <v>3366</v>
      </c>
      <c r="M3230" t="s">
        <v>11890</v>
      </c>
      <c r="N3230" t="s">
        <v>3363</v>
      </c>
      <c r="O3230" t="s">
        <v>3362</v>
      </c>
      <c r="P3230" t="s">
        <v>15211</v>
      </c>
      <c r="Q3230" t="s">
        <v>15211</v>
      </c>
      <c r="R3230" t="s">
        <v>15211</v>
      </c>
      <c r="S3230" t="s">
        <v>15211</v>
      </c>
      <c r="T3230" t="s">
        <v>3369</v>
      </c>
      <c r="U3230" t="s">
        <v>15082</v>
      </c>
      <c r="V3230" t="s">
        <v>15228</v>
      </c>
    </row>
    <row r="3231" spans="1:22" ht="17.399999999999999" hidden="1">
      <c r="A3231" t="s">
        <v>15405</v>
      </c>
      <c r="B3231" t="s">
        <v>15441</v>
      </c>
      <c r="C3231" t="s">
        <v>15445</v>
      </c>
      <c r="D3231" t="s">
        <v>3226</v>
      </c>
      <c r="E3231" t="s">
        <v>3428</v>
      </c>
      <c r="F3231" t="s">
        <v>3434</v>
      </c>
      <c r="G3231" s="3">
        <v>37.8341331890826</v>
      </c>
      <c r="H3231" s="3">
        <v>127.55680786239699</v>
      </c>
      <c r="I3231" t="s">
        <v>6995</v>
      </c>
      <c r="J3231" t="s">
        <v>10349</v>
      </c>
      <c r="K3231" t="s">
        <v>11017</v>
      </c>
      <c r="L3231" t="s">
        <v>3366</v>
      </c>
      <c r="M3231" t="s">
        <v>11890</v>
      </c>
      <c r="N3231" t="s">
        <v>3363</v>
      </c>
      <c r="O3231" t="s">
        <v>3362</v>
      </c>
      <c r="P3231" t="s">
        <v>15211</v>
      </c>
      <c r="Q3231" t="s">
        <v>15211</v>
      </c>
      <c r="R3231" t="s">
        <v>15211</v>
      </c>
      <c r="S3231" t="s">
        <v>15211</v>
      </c>
      <c r="T3231" t="s">
        <v>3369</v>
      </c>
      <c r="U3231" t="s">
        <v>15083</v>
      </c>
      <c r="V3231" t="s">
        <v>15228</v>
      </c>
    </row>
    <row r="3232" spans="1:22" ht="17.399999999999999" hidden="1">
      <c r="A3232" t="s">
        <v>15405</v>
      </c>
      <c r="B3232" t="s">
        <v>15441</v>
      </c>
      <c r="C3232" t="s">
        <v>15445</v>
      </c>
      <c r="D3232" t="s">
        <v>3227</v>
      </c>
      <c r="E3232" t="s">
        <v>3428</v>
      </c>
      <c r="F3232" t="s">
        <v>3434</v>
      </c>
      <c r="G3232" s="3">
        <v>37.834133182611197</v>
      </c>
      <c r="H3232" s="3">
        <v>127.556807894958</v>
      </c>
      <c r="I3232" t="s">
        <v>6996</v>
      </c>
      <c r="J3232" t="s">
        <v>10350</v>
      </c>
      <c r="K3232" t="s">
        <v>11585</v>
      </c>
      <c r="L3232" t="s">
        <v>3366</v>
      </c>
      <c r="M3232" t="s">
        <v>11890</v>
      </c>
      <c r="N3232" t="s">
        <v>3363</v>
      </c>
      <c r="O3232" t="s">
        <v>3362</v>
      </c>
      <c r="P3232" t="s">
        <v>15211</v>
      </c>
      <c r="Q3232" t="s">
        <v>15211</v>
      </c>
      <c r="R3232" t="s">
        <v>15211</v>
      </c>
      <c r="S3232" t="s">
        <v>15211</v>
      </c>
      <c r="T3232" t="s">
        <v>3369</v>
      </c>
      <c r="U3232" t="s">
        <v>15084</v>
      </c>
      <c r="V3232" t="s">
        <v>15228</v>
      </c>
    </row>
    <row r="3233" spans="1:22" ht="17.399999999999999" hidden="1">
      <c r="A3233" t="s">
        <v>15405</v>
      </c>
      <c r="B3233" t="s">
        <v>15441</v>
      </c>
      <c r="C3233" t="s">
        <v>15447</v>
      </c>
      <c r="D3233" t="s">
        <v>3228</v>
      </c>
      <c r="E3233" t="s">
        <v>3441</v>
      </c>
      <c r="F3233" t="s">
        <v>3450</v>
      </c>
      <c r="G3233" s="3">
        <v>37.834133326681403</v>
      </c>
      <c r="H3233" s="3">
        <v>127.556807964207</v>
      </c>
      <c r="I3233" t="s">
        <v>6997</v>
      </c>
      <c r="J3233" t="s">
        <v>10351</v>
      </c>
      <c r="K3233" t="s">
        <v>11478</v>
      </c>
      <c r="L3233" t="s">
        <v>3366</v>
      </c>
      <c r="M3233" t="s">
        <v>11887</v>
      </c>
      <c r="N3233" t="s">
        <v>3363</v>
      </c>
      <c r="O3233" t="s">
        <v>15211</v>
      </c>
      <c r="P3233" t="s">
        <v>15211</v>
      </c>
      <c r="Q3233" t="s">
        <v>15211</v>
      </c>
      <c r="R3233" t="s">
        <v>15211</v>
      </c>
      <c r="S3233" t="s">
        <v>15211</v>
      </c>
      <c r="T3233" t="s">
        <v>3363</v>
      </c>
      <c r="U3233" t="s">
        <v>15085</v>
      </c>
      <c r="V3233" t="s">
        <v>15235</v>
      </c>
    </row>
    <row r="3234" spans="1:22" ht="17.399999999999999" hidden="1">
      <c r="A3234" t="s">
        <v>15405</v>
      </c>
      <c r="B3234" t="s">
        <v>15441</v>
      </c>
      <c r="C3234" t="s">
        <v>15447</v>
      </c>
      <c r="D3234" t="s">
        <v>3229</v>
      </c>
      <c r="E3234" t="s">
        <v>3434</v>
      </c>
      <c r="F3234" t="s">
        <v>3432</v>
      </c>
      <c r="G3234" s="3">
        <v>37.834133220233298</v>
      </c>
      <c r="H3234" s="3">
        <v>127.55680797316801</v>
      </c>
      <c r="I3234" t="s">
        <v>6998</v>
      </c>
      <c r="J3234" t="s">
        <v>10352</v>
      </c>
      <c r="K3234" t="s">
        <v>11865</v>
      </c>
      <c r="L3234" t="s">
        <v>3366</v>
      </c>
      <c r="M3234" t="s">
        <v>11887</v>
      </c>
      <c r="N3234" t="s">
        <v>3363</v>
      </c>
      <c r="O3234" t="s">
        <v>15211</v>
      </c>
      <c r="P3234" t="s">
        <v>15211</v>
      </c>
      <c r="Q3234" t="s">
        <v>15211</v>
      </c>
      <c r="R3234" t="s">
        <v>15211</v>
      </c>
      <c r="S3234" t="s">
        <v>15211</v>
      </c>
      <c r="T3234" t="s">
        <v>3363</v>
      </c>
      <c r="U3234" t="s">
        <v>15086</v>
      </c>
      <c r="V3234" t="s">
        <v>15235</v>
      </c>
    </row>
    <row r="3235" spans="1:22" ht="17.399999999999999" hidden="1">
      <c r="A3235" t="s">
        <v>15405</v>
      </c>
      <c r="B3235" t="s">
        <v>15441</v>
      </c>
      <c r="C3235" t="s">
        <v>15447</v>
      </c>
      <c r="D3235" t="s">
        <v>3230</v>
      </c>
      <c r="E3235" t="s">
        <v>3431</v>
      </c>
      <c r="F3235" t="s">
        <v>3453</v>
      </c>
      <c r="G3235" s="3">
        <v>37.834133152649699</v>
      </c>
      <c r="H3235" s="3">
        <v>127.55680790058101</v>
      </c>
      <c r="I3235" t="s">
        <v>6999</v>
      </c>
      <c r="J3235" t="s">
        <v>10353</v>
      </c>
      <c r="K3235" t="s">
        <v>10977</v>
      </c>
      <c r="L3235" t="s">
        <v>3366</v>
      </c>
      <c r="M3235" t="s">
        <v>11887</v>
      </c>
      <c r="N3235" t="s">
        <v>3363</v>
      </c>
      <c r="O3235" t="s">
        <v>15211</v>
      </c>
      <c r="P3235" t="s">
        <v>15211</v>
      </c>
      <c r="Q3235" t="s">
        <v>15211</v>
      </c>
      <c r="R3235" t="s">
        <v>15211</v>
      </c>
      <c r="S3235" t="s">
        <v>15211</v>
      </c>
      <c r="T3235" t="s">
        <v>3363</v>
      </c>
      <c r="U3235" t="s">
        <v>15087</v>
      </c>
      <c r="V3235" t="s">
        <v>15235</v>
      </c>
    </row>
    <row r="3236" spans="1:22" ht="17.399999999999999" hidden="1">
      <c r="A3236" t="s">
        <v>15405</v>
      </c>
      <c r="B3236" t="s">
        <v>15441</v>
      </c>
      <c r="C3236" t="s">
        <v>15446</v>
      </c>
      <c r="D3236" t="s">
        <v>3231</v>
      </c>
      <c r="E3236" t="s">
        <v>3428</v>
      </c>
      <c r="F3236" t="s">
        <v>3434</v>
      </c>
      <c r="G3236" s="3">
        <v>37.834133099065497</v>
      </c>
      <c r="H3236" s="3">
        <v>127.556807894374</v>
      </c>
      <c r="I3236" t="s">
        <v>7000</v>
      </c>
      <c r="J3236" t="s">
        <v>10354</v>
      </c>
      <c r="K3236" t="s">
        <v>11014</v>
      </c>
      <c r="L3236" t="s">
        <v>3366</v>
      </c>
      <c r="M3236" t="s">
        <v>11890</v>
      </c>
      <c r="N3236" t="s">
        <v>3363</v>
      </c>
      <c r="O3236" t="s">
        <v>3361</v>
      </c>
      <c r="P3236" t="s">
        <v>15211</v>
      </c>
      <c r="Q3236" t="s">
        <v>15211</v>
      </c>
      <c r="R3236" t="s">
        <v>15211</v>
      </c>
      <c r="S3236" t="s">
        <v>15211</v>
      </c>
      <c r="T3236" t="s">
        <v>3368</v>
      </c>
      <c r="U3236" t="s">
        <v>15088</v>
      </c>
      <c r="V3236" t="s">
        <v>15229</v>
      </c>
    </row>
    <row r="3237" spans="1:22" ht="17.399999999999999" hidden="1">
      <c r="A3237" t="s">
        <v>15405</v>
      </c>
      <c r="B3237" t="s">
        <v>15441</v>
      </c>
      <c r="C3237" t="s">
        <v>15446</v>
      </c>
      <c r="D3237" t="s">
        <v>3232</v>
      </c>
      <c r="E3237" t="s">
        <v>3427</v>
      </c>
      <c r="F3237" t="s">
        <v>3425</v>
      </c>
      <c r="G3237" s="3">
        <v>37.834133140533503</v>
      </c>
      <c r="H3237" s="3">
        <v>127.556807904659</v>
      </c>
      <c r="I3237" t="s">
        <v>7001</v>
      </c>
      <c r="J3237" t="s">
        <v>10355</v>
      </c>
      <c r="K3237" t="s">
        <v>11521</v>
      </c>
      <c r="L3237" t="s">
        <v>3366</v>
      </c>
      <c r="M3237" t="s">
        <v>11894</v>
      </c>
      <c r="N3237" t="s">
        <v>3364</v>
      </c>
      <c r="O3237" t="s">
        <v>3362</v>
      </c>
      <c r="P3237" t="s">
        <v>15211</v>
      </c>
      <c r="Q3237" t="s">
        <v>15211</v>
      </c>
      <c r="R3237" t="s">
        <v>15211</v>
      </c>
      <c r="S3237" t="s">
        <v>15211</v>
      </c>
      <c r="T3237" t="s">
        <v>3370</v>
      </c>
      <c r="U3237" t="s">
        <v>15089</v>
      </c>
      <c r="V3237" t="s">
        <v>15229</v>
      </c>
    </row>
    <row r="3238" spans="1:22" ht="17.399999999999999" hidden="1">
      <c r="A3238" t="s">
        <v>15405</v>
      </c>
      <c r="B3238" t="s">
        <v>15441</v>
      </c>
      <c r="C3238" t="s">
        <v>15446</v>
      </c>
      <c r="D3238" t="s">
        <v>3233</v>
      </c>
      <c r="E3238" t="s">
        <v>3427</v>
      </c>
      <c r="F3238" t="s">
        <v>3425</v>
      </c>
      <c r="G3238" s="3">
        <v>37.834133171535598</v>
      </c>
      <c r="H3238" s="3">
        <v>127.556807911836</v>
      </c>
      <c r="I3238" t="s">
        <v>7002</v>
      </c>
      <c r="J3238" t="s">
        <v>10356</v>
      </c>
      <c r="K3238" t="s">
        <v>11675</v>
      </c>
      <c r="L3238" t="s">
        <v>3366</v>
      </c>
      <c r="M3238" t="s">
        <v>11894</v>
      </c>
      <c r="N3238" t="s">
        <v>3364</v>
      </c>
      <c r="O3238" t="s">
        <v>3362</v>
      </c>
      <c r="P3238" t="s">
        <v>15211</v>
      </c>
      <c r="Q3238" t="s">
        <v>15211</v>
      </c>
      <c r="R3238" t="s">
        <v>15211</v>
      </c>
      <c r="S3238" t="s">
        <v>15211</v>
      </c>
      <c r="T3238" t="s">
        <v>3370</v>
      </c>
      <c r="U3238" t="s">
        <v>15090</v>
      </c>
      <c r="V3238" t="s">
        <v>15229</v>
      </c>
    </row>
    <row r="3239" spans="1:22" ht="17.399999999999999" hidden="1">
      <c r="A3239" t="s">
        <v>15405</v>
      </c>
      <c r="B3239" t="s">
        <v>15441</v>
      </c>
      <c r="C3239" t="s">
        <v>15448</v>
      </c>
      <c r="D3239" t="s">
        <v>3234</v>
      </c>
      <c r="E3239" t="s">
        <v>3430</v>
      </c>
      <c r="F3239" t="s">
        <v>3465</v>
      </c>
      <c r="G3239" s="3">
        <v>37.834133276773301</v>
      </c>
      <c r="H3239" s="3">
        <v>127.55680803960099</v>
      </c>
      <c r="I3239" t="s">
        <v>7003</v>
      </c>
      <c r="J3239" t="s">
        <v>10357</v>
      </c>
      <c r="K3239" t="s">
        <v>10659</v>
      </c>
      <c r="L3239" t="s">
        <v>3366</v>
      </c>
      <c r="M3239" t="s">
        <v>11891</v>
      </c>
      <c r="N3239" t="s">
        <v>3364</v>
      </c>
      <c r="O3239" t="s">
        <v>3362</v>
      </c>
      <c r="P3239" t="s">
        <v>3362</v>
      </c>
      <c r="Q3239" t="s">
        <v>3359</v>
      </c>
      <c r="R3239" t="s">
        <v>3357</v>
      </c>
      <c r="S3239" t="s">
        <v>15211</v>
      </c>
      <c r="T3239" t="s">
        <v>3380</v>
      </c>
      <c r="U3239" t="s">
        <v>15091</v>
      </c>
      <c r="V3239" t="s">
        <v>15230</v>
      </c>
    </row>
    <row r="3240" spans="1:22" ht="17.399999999999999" hidden="1">
      <c r="A3240" t="s">
        <v>15405</v>
      </c>
      <c r="B3240" t="s">
        <v>15441</v>
      </c>
      <c r="C3240" t="s">
        <v>15448</v>
      </c>
      <c r="D3240" t="s">
        <v>3235</v>
      </c>
      <c r="E3240" t="s">
        <v>3442</v>
      </c>
      <c r="F3240" t="s">
        <v>3449</v>
      </c>
      <c r="G3240" s="3">
        <v>37.834133286670898</v>
      </c>
      <c r="H3240" s="3">
        <v>127.55680804135901</v>
      </c>
      <c r="I3240" t="s">
        <v>7004</v>
      </c>
      <c r="J3240" t="s">
        <v>10358</v>
      </c>
      <c r="K3240" t="s">
        <v>11744</v>
      </c>
      <c r="L3240" t="s">
        <v>3366</v>
      </c>
      <c r="M3240" t="s">
        <v>11893</v>
      </c>
      <c r="N3240" t="s">
        <v>3364</v>
      </c>
      <c r="O3240" t="s">
        <v>3362</v>
      </c>
      <c r="P3240" t="s">
        <v>3362</v>
      </c>
      <c r="Q3240" t="s">
        <v>3360</v>
      </c>
      <c r="R3240" t="s">
        <v>3357</v>
      </c>
      <c r="S3240" t="s">
        <v>15211</v>
      </c>
      <c r="T3240" t="s">
        <v>3381</v>
      </c>
      <c r="U3240" t="s">
        <v>15091</v>
      </c>
      <c r="V3240" t="s">
        <v>15230</v>
      </c>
    </row>
    <row r="3241" spans="1:22" ht="17.399999999999999" hidden="1">
      <c r="A3241" t="s">
        <v>15405</v>
      </c>
      <c r="B3241" t="s">
        <v>15441</v>
      </c>
      <c r="C3241" t="s">
        <v>15448</v>
      </c>
      <c r="D3241" t="s">
        <v>3236</v>
      </c>
      <c r="E3241" t="s">
        <v>3453</v>
      </c>
      <c r="F3241" t="s">
        <v>3478</v>
      </c>
      <c r="G3241" s="3">
        <v>37.834133304368699</v>
      </c>
      <c r="H3241" s="3">
        <v>127.556808038504</v>
      </c>
      <c r="I3241" t="s">
        <v>7005</v>
      </c>
      <c r="J3241" t="s">
        <v>10359</v>
      </c>
      <c r="K3241" t="s">
        <v>11277</v>
      </c>
      <c r="L3241" t="s">
        <v>3366</v>
      </c>
      <c r="M3241" t="s">
        <v>11891</v>
      </c>
      <c r="N3241" t="s">
        <v>3364</v>
      </c>
      <c r="O3241" t="s">
        <v>3362</v>
      </c>
      <c r="P3241" t="s">
        <v>3362</v>
      </c>
      <c r="Q3241" t="s">
        <v>3359</v>
      </c>
      <c r="R3241" t="s">
        <v>3357</v>
      </c>
      <c r="S3241" t="s">
        <v>15211</v>
      </c>
      <c r="T3241" t="s">
        <v>3380</v>
      </c>
      <c r="U3241" t="s">
        <v>15092</v>
      </c>
      <c r="V3241" t="s">
        <v>15230</v>
      </c>
    </row>
    <row r="3242" spans="1:22" ht="17.399999999999999" hidden="1">
      <c r="A3242" t="s">
        <v>15405</v>
      </c>
      <c r="B3242" t="s">
        <v>15441</v>
      </c>
      <c r="C3242" t="s">
        <v>15449</v>
      </c>
      <c r="D3242" t="s">
        <v>3237</v>
      </c>
      <c r="E3242" t="s">
        <v>3429</v>
      </c>
      <c r="F3242" t="s">
        <v>3462</v>
      </c>
      <c r="G3242" s="3">
        <v>37.834133276099202</v>
      </c>
      <c r="H3242" s="3">
        <v>127.556808022746</v>
      </c>
      <c r="I3242" t="s">
        <v>7006</v>
      </c>
      <c r="J3242" t="s">
        <v>10360</v>
      </c>
      <c r="K3242" t="s">
        <v>11845</v>
      </c>
      <c r="L3242" t="s">
        <v>3366</v>
      </c>
      <c r="M3242" t="s">
        <v>11898</v>
      </c>
      <c r="N3242" t="s">
        <v>3364</v>
      </c>
      <c r="O3242" t="s">
        <v>15211</v>
      </c>
      <c r="P3242" t="s">
        <v>3362</v>
      </c>
      <c r="Q3242" t="s">
        <v>3360</v>
      </c>
      <c r="R3242" t="s">
        <v>3357</v>
      </c>
      <c r="S3242" t="s">
        <v>15211</v>
      </c>
      <c r="T3242" t="s">
        <v>3375</v>
      </c>
      <c r="U3242" t="s">
        <v>15093</v>
      </c>
      <c r="V3242" t="s">
        <v>15231</v>
      </c>
    </row>
    <row r="3243" spans="1:22" ht="17.399999999999999" hidden="1">
      <c r="A3243" t="s">
        <v>15405</v>
      </c>
      <c r="B3243" t="s">
        <v>15441</v>
      </c>
      <c r="C3243" t="s">
        <v>15449</v>
      </c>
      <c r="D3243" t="s">
        <v>3238</v>
      </c>
      <c r="E3243" t="s">
        <v>3429</v>
      </c>
      <c r="F3243" t="s">
        <v>3462</v>
      </c>
      <c r="G3243" s="3">
        <v>37.834133284026201</v>
      </c>
      <c r="H3243" s="3">
        <v>127.55680802847699</v>
      </c>
      <c r="I3243" t="s">
        <v>7007</v>
      </c>
      <c r="J3243" t="s">
        <v>10361</v>
      </c>
      <c r="K3243" t="s">
        <v>10963</v>
      </c>
      <c r="L3243" t="s">
        <v>3366</v>
      </c>
      <c r="M3243" t="s">
        <v>11898</v>
      </c>
      <c r="N3243" t="s">
        <v>3364</v>
      </c>
      <c r="O3243" t="s">
        <v>15211</v>
      </c>
      <c r="P3243" t="s">
        <v>3362</v>
      </c>
      <c r="Q3243" t="s">
        <v>3359</v>
      </c>
      <c r="R3243" t="s">
        <v>3357</v>
      </c>
      <c r="S3243" t="s">
        <v>15211</v>
      </c>
      <c r="T3243" t="s">
        <v>3374</v>
      </c>
      <c r="U3243" t="s">
        <v>15094</v>
      </c>
      <c r="V3243" t="s">
        <v>15231</v>
      </c>
    </row>
    <row r="3244" spans="1:22" ht="17.399999999999999" hidden="1">
      <c r="A3244" t="s">
        <v>15405</v>
      </c>
      <c r="B3244" t="s">
        <v>15441</v>
      </c>
      <c r="C3244" t="s">
        <v>15449</v>
      </c>
      <c r="D3244" t="s">
        <v>3239</v>
      </c>
      <c r="E3244" t="s">
        <v>3429</v>
      </c>
      <c r="F3244" t="s">
        <v>3462</v>
      </c>
      <c r="G3244" s="3">
        <v>37.834133282311598</v>
      </c>
      <c r="H3244" s="3">
        <v>127.55680803648499</v>
      </c>
      <c r="I3244" t="s">
        <v>7008</v>
      </c>
      <c r="J3244" t="s">
        <v>10362</v>
      </c>
      <c r="K3244" t="s">
        <v>11432</v>
      </c>
      <c r="L3244" t="s">
        <v>3366</v>
      </c>
      <c r="M3244" t="s">
        <v>11899</v>
      </c>
      <c r="N3244" t="s">
        <v>3364</v>
      </c>
      <c r="O3244" t="s">
        <v>15211</v>
      </c>
      <c r="P3244" t="s">
        <v>3362</v>
      </c>
      <c r="Q3244" t="s">
        <v>3360</v>
      </c>
      <c r="R3244" t="s">
        <v>3357</v>
      </c>
      <c r="S3244" t="s">
        <v>15211</v>
      </c>
      <c r="T3244" t="s">
        <v>3375</v>
      </c>
      <c r="U3244" t="s">
        <v>15095</v>
      </c>
      <c r="V3244" t="s">
        <v>15231</v>
      </c>
    </row>
    <row r="3245" spans="1:22" ht="17.399999999999999" hidden="1">
      <c r="A3245" t="s">
        <v>15405</v>
      </c>
      <c r="B3245" t="s">
        <v>15442</v>
      </c>
      <c r="C3245" t="s">
        <v>15450</v>
      </c>
      <c r="D3245" t="s">
        <v>3240</v>
      </c>
      <c r="E3245" t="s">
        <v>3452</v>
      </c>
      <c r="F3245" t="s">
        <v>3463</v>
      </c>
      <c r="G3245" s="3">
        <v>37.8341330092736</v>
      </c>
      <c r="H3245" s="3">
        <v>127.556807384132</v>
      </c>
      <c r="I3245" t="s">
        <v>7009</v>
      </c>
      <c r="J3245" t="s">
        <v>10363</v>
      </c>
      <c r="K3245" t="s">
        <v>11312</v>
      </c>
      <c r="L3245" t="s">
        <v>3366</v>
      </c>
      <c r="M3245" t="s">
        <v>11894</v>
      </c>
      <c r="N3245" t="s">
        <v>3364</v>
      </c>
      <c r="O3245" t="s">
        <v>3362</v>
      </c>
      <c r="P3245" t="s">
        <v>15211</v>
      </c>
      <c r="Q3245" t="s">
        <v>15211</v>
      </c>
      <c r="R3245" t="s">
        <v>15211</v>
      </c>
      <c r="S3245" t="s">
        <v>15211</v>
      </c>
      <c r="T3245" t="s">
        <v>3370</v>
      </c>
      <c r="U3245" t="s">
        <v>15096</v>
      </c>
      <c r="V3245" t="s">
        <v>15232</v>
      </c>
    </row>
    <row r="3246" spans="1:22" ht="17.399999999999999" hidden="1">
      <c r="A3246" t="s">
        <v>15405</v>
      </c>
      <c r="B3246" t="s">
        <v>15442</v>
      </c>
      <c r="C3246" t="s">
        <v>15450</v>
      </c>
      <c r="D3246" t="s">
        <v>3241</v>
      </c>
      <c r="E3246" t="s">
        <v>3452</v>
      </c>
      <c r="F3246" t="s">
        <v>3476</v>
      </c>
      <c r="G3246" s="3">
        <v>37.834132988519499</v>
      </c>
      <c r="H3246" s="3">
        <v>127.556807342409</v>
      </c>
      <c r="I3246" t="s">
        <v>7010</v>
      </c>
      <c r="J3246" t="s">
        <v>10364</v>
      </c>
      <c r="K3246" t="s">
        <v>10757</v>
      </c>
      <c r="L3246" t="s">
        <v>3366</v>
      </c>
      <c r="M3246" t="s">
        <v>11894</v>
      </c>
      <c r="N3246" t="s">
        <v>3364</v>
      </c>
      <c r="O3246" t="s">
        <v>3362</v>
      </c>
      <c r="P3246" t="s">
        <v>15211</v>
      </c>
      <c r="Q3246" t="s">
        <v>15211</v>
      </c>
      <c r="R3246" t="s">
        <v>15211</v>
      </c>
      <c r="S3246" t="s">
        <v>15211</v>
      </c>
      <c r="T3246" t="s">
        <v>3370</v>
      </c>
      <c r="U3246" t="s">
        <v>15097</v>
      </c>
      <c r="V3246" t="s">
        <v>15232</v>
      </c>
    </row>
    <row r="3247" spans="1:22" ht="17.399999999999999" hidden="1">
      <c r="A3247" t="s">
        <v>15405</v>
      </c>
      <c r="B3247" t="s">
        <v>15442</v>
      </c>
      <c r="C3247" t="s">
        <v>15450</v>
      </c>
      <c r="D3247" t="s">
        <v>3242</v>
      </c>
      <c r="E3247" t="s">
        <v>3452</v>
      </c>
      <c r="F3247" t="s">
        <v>3464</v>
      </c>
      <c r="G3247" s="3">
        <v>37.8341330035936</v>
      </c>
      <c r="H3247" s="3">
        <v>127.556807241274</v>
      </c>
      <c r="I3247" t="s">
        <v>7011</v>
      </c>
      <c r="J3247" t="s">
        <v>10365</v>
      </c>
      <c r="K3247" t="s">
        <v>10984</v>
      </c>
      <c r="L3247" t="s">
        <v>3366</v>
      </c>
      <c r="M3247" t="s">
        <v>11894</v>
      </c>
      <c r="N3247" t="s">
        <v>3364</v>
      </c>
      <c r="O3247" t="s">
        <v>3362</v>
      </c>
      <c r="P3247" t="s">
        <v>15211</v>
      </c>
      <c r="Q3247" t="s">
        <v>15211</v>
      </c>
      <c r="R3247" t="s">
        <v>15211</v>
      </c>
      <c r="S3247" t="s">
        <v>15211</v>
      </c>
      <c r="T3247" t="s">
        <v>3370</v>
      </c>
      <c r="U3247" t="s">
        <v>15098</v>
      </c>
      <c r="V3247" t="s">
        <v>15232</v>
      </c>
    </row>
    <row r="3248" spans="1:22" ht="17.399999999999999" hidden="1">
      <c r="A3248" t="s">
        <v>15405</v>
      </c>
      <c r="B3248" t="s">
        <v>15442</v>
      </c>
      <c r="C3248" t="s">
        <v>15451</v>
      </c>
      <c r="D3248" t="s">
        <v>3243</v>
      </c>
      <c r="E3248" t="s">
        <v>3437</v>
      </c>
      <c r="F3248" t="s">
        <v>3428</v>
      </c>
      <c r="G3248" s="3">
        <v>37.834133233406803</v>
      </c>
      <c r="H3248" s="3">
        <v>127.556808018681</v>
      </c>
      <c r="I3248" t="s">
        <v>7012</v>
      </c>
      <c r="J3248" t="s">
        <v>10366</v>
      </c>
      <c r="K3248" t="s">
        <v>11038</v>
      </c>
      <c r="L3248" t="s">
        <v>3368</v>
      </c>
      <c r="M3248" t="s">
        <v>11888</v>
      </c>
      <c r="N3248" t="s">
        <v>3364</v>
      </c>
      <c r="O3248" t="s">
        <v>3362</v>
      </c>
      <c r="P3248" t="s">
        <v>3362</v>
      </c>
      <c r="Q3248" t="s">
        <v>3360</v>
      </c>
      <c r="R3248" t="s">
        <v>15211</v>
      </c>
      <c r="S3248" t="s">
        <v>15211</v>
      </c>
      <c r="T3248" t="s">
        <v>3380</v>
      </c>
      <c r="U3248" t="s">
        <v>15099</v>
      </c>
      <c r="V3248" t="s">
        <v>15234</v>
      </c>
    </row>
    <row r="3249" spans="1:22" ht="17.399999999999999" hidden="1">
      <c r="A3249" t="s">
        <v>15405</v>
      </c>
      <c r="B3249" t="s">
        <v>15442</v>
      </c>
      <c r="C3249" t="s">
        <v>15451</v>
      </c>
      <c r="D3249" t="s">
        <v>3244</v>
      </c>
      <c r="E3249" t="s">
        <v>3437</v>
      </c>
      <c r="F3249" t="s">
        <v>3428</v>
      </c>
      <c r="G3249" s="3">
        <v>37.834133245484303</v>
      </c>
      <c r="H3249" s="3">
        <v>127.55680801364799</v>
      </c>
      <c r="I3249" t="s">
        <v>7013</v>
      </c>
      <c r="J3249" t="s">
        <v>10367</v>
      </c>
      <c r="K3249" t="s">
        <v>10872</v>
      </c>
      <c r="L3249" t="s">
        <v>3366</v>
      </c>
      <c r="M3249" t="s">
        <v>11888</v>
      </c>
      <c r="N3249" t="s">
        <v>3364</v>
      </c>
      <c r="O3249" t="s">
        <v>3362</v>
      </c>
      <c r="P3249" t="s">
        <v>3362</v>
      </c>
      <c r="Q3249" t="s">
        <v>3358</v>
      </c>
      <c r="R3249" t="s">
        <v>15211</v>
      </c>
      <c r="S3249" t="s">
        <v>15211</v>
      </c>
      <c r="T3249" t="s">
        <v>3378</v>
      </c>
      <c r="U3249" t="s">
        <v>15100</v>
      </c>
      <c r="V3249" t="s">
        <v>15234</v>
      </c>
    </row>
    <row r="3250" spans="1:22" ht="17.399999999999999" hidden="1">
      <c r="A3250" t="s">
        <v>15405</v>
      </c>
      <c r="B3250" t="s">
        <v>15442</v>
      </c>
      <c r="C3250" t="s">
        <v>15451</v>
      </c>
      <c r="D3250" t="s">
        <v>3245</v>
      </c>
      <c r="E3250" t="s">
        <v>3437</v>
      </c>
      <c r="F3250" t="s">
        <v>3428</v>
      </c>
      <c r="G3250" s="3">
        <v>37.834133267297801</v>
      </c>
      <c r="H3250" s="3">
        <v>127.55680800546</v>
      </c>
      <c r="I3250" t="s">
        <v>7014</v>
      </c>
      <c r="J3250" t="s">
        <v>10368</v>
      </c>
      <c r="K3250" t="s">
        <v>3498</v>
      </c>
      <c r="L3250" t="s">
        <v>3366</v>
      </c>
      <c r="M3250" t="s">
        <v>11888</v>
      </c>
      <c r="N3250" t="s">
        <v>3364</v>
      </c>
      <c r="O3250" t="s">
        <v>3362</v>
      </c>
      <c r="P3250" t="s">
        <v>3362</v>
      </c>
      <c r="Q3250" t="s">
        <v>3358</v>
      </c>
      <c r="R3250" t="s">
        <v>15211</v>
      </c>
      <c r="S3250" t="s">
        <v>15211</v>
      </c>
      <c r="T3250" t="s">
        <v>3378</v>
      </c>
      <c r="U3250" t="s">
        <v>15101</v>
      </c>
      <c r="V3250" t="s">
        <v>15234</v>
      </c>
    </row>
    <row r="3251" spans="1:22" ht="17.399999999999999" hidden="1">
      <c r="A3251" t="s">
        <v>15405</v>
      </c>
      <c r="B3251" t="s">
        <v>15442</v>
      </c>
      <c r="C3251" t="s">
        <v>15445</v>
      </c>
      <c r="D3251" t="s">
        <v>3246</v>
      </c>
      <c r="E3251" t="s">
        <v>3427</v>
      </c>
      <c r="F3251" t="s">
        <v>3431</v>
      </c>
      <c r="G3251" s="3">
        <v>37.834133267339901</v>
      </c>
      <c r="H3251" s="3">
        <v>127.556807827565</v>
      </c>
      <c r="I3251" t="s">
        <v>7015</v>
      </c>
      <c r="J3251" t="s">
        <v>10369</v>
      </c>
      <c r="K3251" t="s">
        <v>11406</v>
      </c>
      <c r="L3251" t="s">
        <v>3371</v>
      </c>
      <c r="M3251" t="s">
        <v>11894</v>
      </c>
      <c r="N3251" t="s">
        <v>3364</v>
      </c>
      <c r="O3251" t="s">
        <v>3362</v>
      </c>
      <c r="P3251" t="s">
        <v>3357</v>
      </c>
      <c r="Q3251" t="s">
        <v>3357</v>
      </c>
      <c r="R3251" t="s">
        <v>15211</v>
      </c>
      <c r="S3251" t="s">
        <v>15211</v>
      </c>
      <c r="T3251" t="s">
        <v>3372</v>
      </c>
      <c r="U3251" t="s">
        <v>15102</v>
      </c>
      <c r="V3251" t="s">
        <v>15233</v>
      </c>
    </row>
    <row r="3252" spans="1:22" ht="17.399999999999999" hidden="1">
      <c r="A3252" t="s">
        <v>15405</v>
      </c>
      <c r="B3252" t="s">
        <v>15442</v>
      </c>
      <c r="C3252" t="s">
        <v>15445</v>
      </c>
      <c r="D3252" t="s">
        <v>3247</v>
      </c>
      <c r="E3252" t="s">
        <v>3427</v>
      </c>
      <c r="F3252" t="s">
        <v>3434</v>
      </c>
      <c r="G3252" s="3">
        <v>37.834133214923703</v>
      </c>
      <c r="H3252" s="3">
        <v>127.556807833915</v>
      </c>
      <c r="I3252" t="s">
        <v>7016</v>
      </c>
      <c r="J3252" t="s">
        <v>10370</v>
      </c>
      <c r="K3252" t="s">
        <v>11687</v>
      </c>
      <c r="L3252" t="s">
        <v>3366</v>
      </c>
      <c r="M3252" t="s">
        <v>11894</v>
      </c>
      <c r="N3252" t="s">
        <v>3364</v>
      </c>
      <c r="O3252" t="s">
        <v>3362</v>
      </c>
      <c r="P3252" t="s">
        <v>15211</v>
      </c>
      <c r="Q3252" t="s">
        <v>15211</v>
      </c>
      <c r="R3252" t="s">
        <v>15211</v>
      </c>
      <c r="S3252" t="s">
        <v>15211</v>
      </c>
      <c r="T3252" t="s">
        <v>3370</v>
      </c>
      <c r="U3252" t="s">
        <v>15103</v>
      </c>
      <c r="V3252" t="s">
        <v>15233</v>
      </c>
    </row>
    <row r="3253" spans="1:22" ht="17.399999999999999" hidden="1">
      <c r="A3253" t="s">
        <v>15405</v>
      </c>
      <c r="B3253" t="s">
        <v>15442</v>
      </c>
      <c r="C3253" t="s">
        <v>15445</v>
      </c>
      <c r="D3253" t="s">
        <v>3248</v>
      </c>
      <c r="E3253" t="s">
        <v>3438</v>
      </c>
      <c r="F3253" t="s">
        <v>3425</v>
      </c>
      <c r="G3253" s="3">
        <v>37.834133222301197</v>
      </c>
      <c r="H3253" s="3">
        <v>127.55680781784901</v>
      </c>
      <c r="I3253" t="s">
        <v>7017</v>
      </c>
      <c r="J3253" t="s">
        <v>10371</v>
      </c>
      <c r="K3253" t="s">
        <v>11866</v>
      </c>
      <c r="L3253" t="s">
        <v>3366</v>
      </c>
      <c r="M3253" t="s">
        <v>11894</v>
      </c>
      <c r="N3253" t="s">
        <v>3364</v>
      </c>
      <c r="O3253" t="s">
        <v>3362</v>
      </c>
      <c r="P3253" t="s">
        <v>15211</v>
      </c>
      <c r="Q3253" t="s">
        <v>15211</v>
      </c>
      <c r="R3253" t="s">
        <v>15211</v>
      </c>
      <c r="S3253" t="s">
        <v>15211</v>
      </c>
      <c r="T3253" t="s">
        <v>3370</v>
      </c>
      <c r="U3253" t="s">
        <v>15104</v>
      </c>
      <c r="V3253" t="s">
        <v>15233</v>
      </c>
    </row>
    <row r="3254" spans="1:22" ht="17.399999999999999">
      <c r="A3254" t="s">
        <v>15405</v>
      </c>
      <c r="B3254" t="s">
        <v>15443</v>
      </c>
      <c r="C3254" t="s">
        <v>15452</v>
      </c>
      <c r="D3254" t="s">
        <v>3249</v>
      </c>
      <c r="E3254" t="s">
        <v>3435</v>
      </c>
      <c r="F3254" t="s">
        <v>3426</v>
      </c>
      <c r="G3254" s="3">
        <v>37.834133037765604</v>
      </c>
      <c r="H3254" s="3">
        <v>127.556808156391</v>
      </c>
      <c r="I3254" t="s">
        <v>7018</v>
      </c>
      <c r="J3254" t="s">
        <v>10372</v>
      </c>
      <c r="K3254" t="s">
        <v>11867</v>
      </c>
      <c r="L3254" t="s">
        <v>3366</v>
      </c>
      <c r="M3254" t="s">
        <v>11885</v>
      </c>
      <c r="N3254" t="s">
        <v>3358</v>
      </c>
      <c r="O3254" t="s">
        <v>15211</v>
      </c>
      <c r="P3254" t="s">
        <v>3362</v>
      </c>
      <c r="Q3254" t="s">
        <v>3360</v>
      </c>
      <c r="R3254" t="s">
        <v>15211</v>
      </c>
      <c r="S3254" t="s">
        <v>15211</v>
      </c>
      <c r="T3254" t="s">
        <v>3368</v>
      </c>
      <c r="U3254" t="s">
        <v>15105</v>
      </c>
      <c r="V3254" t="s">
        <v>15220</v>
      </c>
    </row>
    <row r="3255" spans="1:22" ht="17.399999999999999">
      <c r="A3255" t="s">
        <v>15405</v>
      </c>
      <c r="B3255" t="s">
        <v>15443</v>
      </c>
      <c r="C3255" t="s">
        <v>15452</v>
      </c>
      <c r="D3255" t="s">
        <v>3250</v>
      </c>
      <c r="E3255" t="s">
        <v>3435</v>
      </c>
      <c r="F3255" t="s">
        <v>3465</v>
      </c>
      <c r="G3255" s="3">
        <v>37.834133026742897</v>
      </c>
      <c r="H3255" s="3">
        <v>127.556808144757</v>
      </c>
      <c r="I3255" t="s">
        <v>7019</v>
      </c>
      <c r="J3255" t="s">
        <v>10373</v>
      </c>
      <c r="K3255" t="s">
        <v>11867</v>
      </c>
      <c r="L3255" t="s">
        <v>3366</v>
      </c>
      <c r="M3255" t="s">
        <v>11885</v>
      </c>
      <c r="N3255" t="s">
        <v>3358</v>
      </c>
      <c r="O3255" t="s">
        <v>15211</v>
      </c>
      <c r="P3255" t="s">
        <v>3362</v>
      </c>
      <c r="Q3255" t="s">
        <v>3360</v>
      </c>
      <c r="R3255" t="s">
        <v>15211</v>
      </c>
      <c r="S3255" t="s">
        <v>15211</v>
      </c>
      <c r="T3255" t="s">
        <v>3368</v>
      </c>
      <c r="U3255" t="s">
        <v>15106</v>
      </c>
      <c r="V3255" t="s">
        <v>15220</v>
      </c>
    </row>
    <row r="3256" spans="1:22" ht="17.399999999999999">
      <c r="A3256" t="s">
        <v>15405</v>
      </c>
      <c r="B3256" t="s">
        <v>15443</v>
      </c>
      <c r="C3256" t="s">
        <v>15452</v>
      </c>
      <c r="D3256" t="s">
        <v>3251</v>
      </c>
      <c r="E3256" t="s">
        <v>3429</v>
      </c>
      <c r="F3256" t="s">
        <v>3450</v>
      </c>
      <c r="G3256" s="3">
        <v>37.8341330341134</v>
      </c>
      <c r="H3256" s="3">
        <v>127.556808164559</v>
      </c>
      <c r="I3256" t="s">
        <v>7020</v>
      </c>
      <c r="J3256" t="s">
        <v>10374</v>
      </c>
      <c r="K3256" t="s">
        <v>10961</v>
      </c>
      <c r="L3256" t="s">
        <v>3366</v>
      </c>
      <c r="M3256" t="s">
        <v>11885</v>
      </c>
      <c r="N3256" t="s">
        <v>3358</v>
      </c>
      <c r="O3256" t="s">
        <v>15211</v>
      </c>
      <c r="P3256" t="s">
        <v>3362</v>
      </c>
      <c r="Q3256" t="s">
        <v>3360</v>
      </c>
      <c r="R3256" t="s">
        <v>15211</v>
      </c>
      <c r="S3256" t="s">
        <v>15211</v>
      </c>
      <c r="T3256" t="s">
        <v>3368</v>
      </c>
      <c r="U3256" t="s">
        <v>15107</v>
      </c>
      <c r="V3256" t="s">
        <v>15220</v>
      </c>
    </row>
    <row r="3257" spans="1:22" ht="17.399999999999999" hidden="1">
      <c r="A3257" t="s">
        <v>15405</v>
      </c>
      <c r="B3257" t="s">
        <v>15443</v>
      </c>
      <c r="C3257" t="s">
        <v>15500</v>
      </c>
      <c r="D3257" t="s">
        <v>3252</v>
      </c>
      <c r="E3257" t="s">
        <v>3426</v>
      </c>
      <c r="F3257" t="s">
        <v>3476</v>
      </c>
      <c r="G3257" s="3">
        <v>37.834132966999199</v>
      </c>
      <c r="H3257" s="3">
        <v>127.5568081344</v>
      </c>
      <c r="I3257" t="s">
        <v>7021</v>
      </c>
      <c r="J3257" t="s">
        <v>10375</v>
      </c>
      <c r="K3257" t="s">
        <v>11128</v>
      </c>
      <c r="L3257" t="s">
        <v>3366</v>
      </c>
      <c r="M3257" t="s">
        <v>11894</v>
      </c>
      <c r="N3257" t="s">
        <v>3359</v>
      </c>
      <c r="O3257" t="s">
        <v>15211</v>
      </c>
      <c r="P3257" t="s">
        <v>3362</v>
      </c>
      <c r="Q3257" t="s">
        <v>3361</v>
      </c>
      <c r="R3257" t="s">
        <v>15211</v>
      </c>
      <c r="S3257" t="s">
        <v>15211</v>
      </c>
      <c r="T3257" t="s">
        <v>3370</v>
      </c>
      <c r="U3257" t="s">
        <v>15108</v>
      </c>
      <c r="V3257" t="s">
        <v>15290</v>
      </c>
    </row>
    <row r="3258" spans="1:22" ht="17.399999999999999" hidden="1">
      <c r="A3258" t="s">
        <v>15405</v>
      </c>
      <c r="B3258" t="s">
        <v>15443</v>
      </c>
      <c r="C3258" t="s">
        <v>15500</v>
      </c>
      <c r="D3258" t="s">
        <v>3253</v>
      </c>
      <c r="E3258" t="s">
        <v>3450</v>
      </c>
      <c r="F3258" t="s">
        <v>3540</v>
      </c>
      <c r="G3258" s="3">
        <v>37.8341329743891</v>
      </c>
      <c r="H3258" s="3">
        <v>127.556808152664</v>
      </c>
      <c r="I3258" t="s">
        <v>7022</v>
      </c>
      <c r="J3258" t="s">
        <v>10376</v>
      </c>
      <c r="K3258" t="s">
        <v>11780</v>
      </c>
      <c r="L3258" t="s">
        <v>3377</v>
      </c>
      <c r="M3258" t="s">
        <v>11890</v>
      </c>
      <c r="N3258" t="s">
        <v>3358</v>
      </c>
      <c r="O3258" t="s">
        <v>15211</v>
      </c>
      <c r="P3258" t="s">
        <v>3362</v>
      </c>
      <c r="Q3258" t="s">
        <v>3361</v>
      </c>
      <c r="R3258" t="s">
        <v>15211</v>
      </c>
      <c r="S3258" t="s">
        <v>15211</v>
      </c>
      <c r="T3258" t="s">
        <v>3369</v>
      </c>
      <c r="U3258" t="s">
        <v>15109</v>
      </c>
      <c r="V3258" t="s">
        <v>15290</v>
      </c>
    </row>
    <row r="3259" spans="1:22" ht="17.399999999999999" hidden="1">
      <c r="A3259" t="s">
        <v>15405</v>
      </c>
      <c r="B3259" t="s">
        <v>15443</v>
      </c>
      <c r="C3259" t="s">
        <v>15500</v>
      </c>
      <c r="D3259" t="s">
        <v>3254</v>
      </c>
      <c r="E3259" t="s">
        <v>3460</v>
      </c>
      <c r="F3259" t="s">
        <v>3564</v>
      </c>
      <c r="G3259" s="3">
        <v>37.834132971323697</v>
      </c>
      <c r="H3259" s="3">
        <v>127.55680811038199</v>
      </c>
      <c r="I3259" t="s">
        <v>7023</v>
      </c>
      <c r="J3259" t="s">
        <v>10377</v>
      </c>
      <c r="K3259" t="s">
        <v>10531</v>
      </c>
      <c r="L3259" t="s">
        <v>3370</v>
      </c>
      <c r="M3259" t="s">
        <v>11890</v>
      </c>
      <c r="N3259" t="s">
        <v>3358</v>
      </c>
      <c r="O3259" t="s">
        <v>15211</v>
      </c>
      <c r="P3259" t="s">
        <v>3362</v>
      </c>
      <c r="Q3259" t="s">
        <v>3361</v>
      </c>
      <c r="R3259" t="s">
        <v>15211</v>
      </c>
      <c r="S3259" t="s">
        <v>15211</v>
      </c>
      <c r="T3259" t="s">
        <v>3369</v>
      </c>
      <c r="U3259" t="s">
        <v>15110</v>
      </c>
      <c r="V3259" t="s">
        <v>15290</v>
      </c>
    </row>
    <row r="3260" spans="1:22" ht="15" hidden="1">
      <c r="A3260" t="s">
        <v>15423</v>
      </c>
      <c r="B3260" t="s">
        <v>15441</v>
      </c>
      <c r="C3260" t="s">
        <v>15445</v>
      </c>
      <c r="D3260" t="s">
        <v>3255</v>
      </c>
      <c r="E3260" t="s">
        <v>3436</v>
      </c>
      <c r="F3260" t="s">
        <v>3433</v>
      </c>
      <c r="G3260" s="3">
        <v>34.798610324212</v>
      </c>
      <c r="H3260" s="3">
        <v>126.439298041274</v>
      </c>
      <c r="I3260" t="s">
        <v>7024</v>
      </c>
      <c r="J3260" t="s">
        <v>10378</v>
      </c>
      <c r="K3260" t="s">
        <v>10531</v>
      </c>
      <c r="L3260" t="s">
        <v>3366</v>
      </c>
      <c r="M3260" t="s">
        <v>11894</v>
      </c>
      <c r="N3260" t="s">
        <v>3365</v>
      </c>
      <c r="O3260" t="s">
        <v>3361</v>
      </c>
      <c r="P3260" t="s">
        <v>15211</v>
      </c>
      <c r="Q3260" t="s">
        <v>15211</v>
      </c>
      <c r="R3260" t="s">
        <v>15211</v>
      </c>
      <c r="S3260" t="s">
        <v>15211</v>
      </c>
      <c r="T3260" t="s">
        <v>3370</v>
      </c>
      <c r="U3260" t="s">
        <v>15111</v>
      </c>
      <c r="V3260" t="s">
        <v>15274</v>
      </c>
    </row>
    <row r="3261" spans="1:22" ht="15" hidden="1">
      <c r="A3261" t="s">
        <v>15423</v>
      </c>
      <c r="B3261" t="s">
        <v>15441</v>
      </c>
      <c r="C3261" t="s">
        <v>15445</v>
      </c>
      <c r="D3261" t="s">
        <v>3256</v>
      </c>
      <c r="E3261" t="s">
        <v>3436</v>
      </c>
      <c r="F3261" t="s">
        <v>3433</v>
      </c>
      <c r="G3261" s="3">
        <v>34.79861033609</v>
      </c>
      <c r="H3261" s="3">
        <v>126.439298038042</v>
      </c>
      <c r="I3261" t="s">
        <v>7025</v>
      </c>
      <c r="J3261" t="s">
        <v>10379</v>
      </c>
      <c r="K3261" t="s">
        <v>10888</v>
      </c>
      <c r="L3261" t="s">
        <v>3366</v>
      </c>
      <c r="M3261" t="s">
        <v>11894</v>
      </c>
      <c r="N3261" t="s">
        <v>3365</v>
      </c>
      <c r="O3261" t="s">
        <v>3361</v>
      </c>
      <c r="P3261" t="s">
        <v>15211</v>
      </c>
      <c r="Q3261" t="s">
        <v>15211</v>
      </c>
      <c r="R3261" t="s">
        <v>15211</v>
      </c>
      <c r="S3261" t="s">
        <v>15211</v>
      </c>
      <c r="T3261" t="s">
        <v>3370</v>
      </c>
      <c r="U3261" t="s">
        <v>15112</v>
      </c>
      <c r="V3261" t="s">
        <v>15274</v>
      </c>
    </row>
    <row r="3262" spans="1:22" ht="15" hidden="1">
      <c r="A3262" t="s">
        <v>15423</v>
      </c>
      <c r="B3262" t="s">
        <v>15441</v>
      </c>
      <c r="C3262" t="s">
        <v>15445</v>
      </c>
      <c r="D3262" t="s">
        <v>3257</v>
      </c>
      <c r="E3262" t="s">
        <v>3436</v>
      </c>
      <c r="F3262" t="s">
        <v>3452</v>
      </c>
      <c r="G3262" s="3">
        <v>34.798610319675497</v>
      </c>
      <c r="H3262" s="3">
        <v>126.43929805829301</v>
      </c>
      <c r="I3262" t="s">
        <v>7026</v>
      </c>
      <c r="J3262" t="s">
        <v>10380</v>
      </c>
      <c r="K3262" t="s">
        <v>10893</v>
      </c>
      <c r="L3262" t="s">
        <v>3366</v>
      </c>
      <c r="M3262" t="s">
        <v>11894</v>
      </c>
      <c r="N3262" t="s">
        <v>3365</v>
      </c>
      <c r="O3262" t="s">
        <v>3361</v>
      </c>
      <c r="P3262" t="s">
        <v>15211</v>
      </c>
      <c r="Q3262" t="s">
        <v>15211</v>
      </c>
      <c r="R3262" t="s">
        <v>15211</v>
      </c>
      <c r="S3262" t="s">
        <v>15211</v>
      </c>
      <c r="T3262" t="s">
        <v>3370</v>
      </c>
      <c r="U3262" t="s">
        <v>15113</v>
      </c>
      <c r="V3262" t="s">
        <v>15274</v>
      </c>
    </row>
    <row r="3263" spans="1:22" ht="15" hidden="1">
      <c r="A3263" t="s">
        <v>15423</v>
      </c>
      <c r="B3263" t="s">
        <v>15441</v>
      </c>
      <c r="C3263" t="s">
        <v>15446</v>
      </c>
      <c r="D3263" t="s">
        <v>3258</v>
      </c>
      <c r="E3263" t="s">
        <v>3428</v>
      </c>
      <c r="F3263" t="s">
        <v>3462</v>
      </c>
      <c r="G3263" s="3">
        <v>34.7986102502935</v>
      </c>
      <c r="H3263" s="3">
        <v>126.439298044753</v>
      </c>
      <c r="I3263" t="s">
        <v>7027</v>
      </c>
      <c r="J3263" t="s">
        <v>10381</v>
      </c>
      <c r="K3263" t="s">
        <v>11436</v>
      </c>
      <c r="L3263" t="s">
        <v>3366</v>
      </c>
      <c r="M3263" t="s">
        <v>11894</v>
      </c>
      <c r="N3263" t="s">
        <v>3365</v>
      </c>
      <c r="O3263" t="s">
        <v>3361</v>
      </c>
      <c r="P3263" t="s">
        <v>15211</v>
      </c>
      <c r="Q3263" t="s">
        <v>15211</v>
      </c>
      <c r="R3263" t="s">
        <v>15211</v>
      </c>
      <c r="S3263" t="s">
        <v>15211</v>
      </c>
      <c r="T3263" t="s">
        <v>3370</v>
      </c>
      <c r="U3263" t="s">
        <v>15114</v>
      </c>
      <c r="V3263" t="s">
        <v>15275</v>
      </c>
    </row>
    <row r="3264" spans="1:22" ht="15" hidden="1">
      <c r="A3264" t="s">
        <v>15423</v>
      </c>
      <c r="B3264" t="s">
        <v>15441</v>
      </c>
      <c r="C3264" t="s">
        <v>15446</v>
      </c>
      <c r="D3264" t="s">
        <v>3259</v>
      </c>
      <c r="E3264" t="s">
        <v>3428</v>
      </c>
      <c r="F3264" t="s">
        <v>3462</v>
      </c>
      <c r="G3264" s="3">
        <v>34.798610246594301</v>
      </c>
      <c r="H3264" s="3">
        <v>126.43929805549</v>
      </c>
      <c r="I3264" t="s">
        <v>7028</v>
      </c>
      <c r="J3264" t="s">
        <v>10382</v>
      </c>
      <c r="K3264" t="s">
        <v>11542</v>
      </c>
      <c r="L3264" t="s">
        <v>3366</v>
      </c>
      <c r="M3264" t="s">
        <v>11894</v>
      </c>
      <c r="N3264" t="s">
        <v>3365</v>
      </c>
      <c r="O3264" t="s">
        <v>3361</v>
      </c>
      <c r="P3264" t="s">
        <v>15211</v>
      </c>
      <c r="Q3264" t="s">
        <v>15211</v>
      </c>
      <c r="R3264" t="s">
        <v>15211</v>
      </c>
      <c r="S3264" t="s">
        <v>15211</v>
      </c>
      <c r="T3264" t="s">
        <v>3370</v>
      </c>
      <c r="U3264" t="s">
        <v>15115</v>
      </c>
      <c r="V3264" t="s">
        <v>15275</v>
      </c>
    </row>
    <row r="3265" spans="1:22" ht="15" hidden="1">
      <c r="A3265" t="s">
        <v>15423</v>
      </c>
      <c r="B3265" t="s">
        <v>15441</v>
      </c>
      <c r="C3265" t="s">
        <v>15446</v>
      </c>
      <c r="D3265" t="s">
        <v>3260</v>
      </c>
      <c r="E3265" t="s">
        <v>3428</v>
      </c>
      <c r="F3265" t="s">
        <v>3462</v>
      </c>
      <c r="G3265" s="3">
        <v>34.798610233408702</v>
      </c>
      <c r="H3265" s="3">
        <v>126.43929802957</v>
      </c>
      <c r="I3265" t="s">
        <v>7029</v>
      </c>
      <c r="J3265" t="s">
        <v>10383</v>
      </c>
      <c r="K3265" t="s">
        <v>10708</v>
      </c>
      <c r="L3265" t="s">
        <v>3366</v>
      </c>
      <c r="M3265" t="s">
        <v>11894</v>
      </c>
      <c r="N3265" t="s">
        <v>3365</v>
      </c>
      <c r="O3265" t="s">
        <v>3361</v>
      </c>
      <c r="P3265" t="s">
        <v>15211</v>
      </c>
      <c r="Q3265" t="s">
        <v>15211</v>
      </c>
      <c r="R3265" t="s">
        <v>15211</v>
      </c>
      <c r="S3265" t="s">
        <v>15211</v>
      </c>
      <c r="T3265" t="s">
        <v>3370</v>
      </c>
      <c r="U3265" t="s">
        <v>15116</v>
      </c>
      <c r="V3265" t="s">
        <v>15275</v>
      </c>
    </row>
    <row r="3266" spans="1:22" ht="15" hidden="1">
      <c r="A3266" t="s">
        <v>15423</v>
      </c>
      <c r="B3266" t="s">
        <v>15441</v>
      </c>
      <c r="C3266" t="s">
        <v>15448</v>
      </c>
      <c r="D3266" t="s">
        <v>3261</v>
      </c>
      <c r="E3266" t="s">
        <v>3439</v>
      </c>
      <c r="F3266" t="s">
        <v>3429</v>
      </c>
      <c r="G3266" s="3">
        <v>34.798610292287499</v>
      </c>
      <c r="H3266" s="3">
        <v>126.43929800633499</v>
      </c>
      <c r="I3266" t="s">
        <v>7030</v>
      </c>
      <c r="J3266" t="s">
        <v>10384</v>
      </c>
      <c r="K3266" t="s">
        <v>11288</v>
      </c>
      <c r="L3266" t="s">
        <v>3366</v>
      </c>
      <c r="M3266" t="s">
        <v>11921</v>
      </c>
      <c r="N3266" t="s">
        <v>3365</v>
      </c>
      <c r="O3266" t="s">
        <v>3361</v>
      </c>
      <c r="P3266" t="s">
        <v>3364</v>
      </c>
      <c r="Q3266" t="s">
        <v>3370</v>
      </c>
      <c r="R3266" t="s">
        <v>3359</v>
      </c>
      <c r="S3266" t="s">
        <v>15211</v>
      </c>
      <c r="T3266" t="s">
        <v>3395</v>
      </c>
      <c r="U3266" t="s">
        <v>15117</v>
      </c>
      <c r="V3266" t="s">
        <v>15276</v>
      </c>
    </row>
    <row r="3267" spans="1:22" ht="15" hidden="1">
      <c r="A3267" t="s">
        <v>15423</v>
      </c>
      <c r="B3267" t="s">
        <v>15441</v>
      </c>
      <c r="C3267" t="s">
        <v>15448</v>
      </c>
      <c r="D3267" t="s">
        <v>3262</v>
      </c>
      <c r="E3267" t="s">
        <v>3439</v>
      </c>
      <c r="F3267" t="s">
        <v>3429</v>
      </c>
      <c r="G3267" s="3">
        <v>34.7986102840866</v>
      </c>
      <c r="H3267" s="3">
        <v>126.439298016037</v>
      </c>
      <c r="I3267" t="s">
        <v>7031</v>
      </c>
      <c r="J3267" t="s">
        <v>10385</v>
      </c>
      <c r="K3267" t="s">
        <v>10830</v>
      </c>
      <c r="L3267" t="s">
        <v>3366</v>
      </c>
      <c r="M3267" t="s">
        <v>11919</v>
      </c>
      <c r="N3267" t="s">
        <v>3365</v>
      </c>
      <c r="O3267" t="s">
        <v>3361</v>
      </c>
      <c r="P3267" t="s">
        <v>3364</v>
      </c>
      <c r="Q3267" t="s">
        <v>3368</v>
      </c>
      <c r="R3267" t="s">
        <v>3359</v>
      </c>
      <c r="S3267" t="s">
        <v>15211</v>
      </c>
      <c r="T3267" t="s">
        <v>3393</v>
      </c>
      <c r="U3267" t="s">
        <v>15117</v>
      </c>
      <c r="V3267" t="s">
        <v>15276</v>
      </c>
    </row>
    <row r="3268" spans="1:22" ht="15" hidden="1">
      <c r="A3268" t="s">
        <v>15423</v>
      </c>
      <c r="B3268" t="s">
        <v>15441</v>
      </c>
      <c r="C3268" t="s">
        <v>15448</v>
      </c>
      <c r="D3268" t="s">
        <v>3263</v>
      </c>
      <c r="E3268" t="s">
        <v>3439</v>
      </c>
      <c r="F3268" t="s">
        <v>3429</v>
      </c>
      <c r="G3268" s="3">
        <v>34.798610281647001</v>
      </c>
      <c r="H3268" s="3">
        <v>126.439298023907</v>
      </c>
      <c r="I3268" t="s">
        <v>7032</v>
      </c>
      <c r="J3268" t="s">
        <v>10386</v>
      </c>
      <c r="K3268" t="s">
        <v>11288</v>
      </c>
      <c r="L3268" t="s">
        <v>3366</v>
      </c>
      <c r="M3268" t="s">
        <v>11921</v>
      </c>
      <c r="N3268" t="s">
        <v>3365</v>
      </c>
      <c r="O3268" t="s">
        <v>3361</v>
      </c>
      <c r="P3268" t="s">
        <v>3364</v>
      </c>
      <c r="Q3268" t="s">
        <v>3369</v>
      </c>
      <c r="R3268" t="s">
        <v>3359</v>
      </c>
      <c r="S3268" t="s">
        <v>15211</v>
      </c>
      <c r="T3268" t="s">
        <v>3394</v>
      </c>
      <c r="U3268" t="s">
        <v>15118</v>
      </c>
      <c r="V3268" t="s">
        <v>15276</v>
      </c>
    </row>
    <row r="3269" spans="1:22" ht="15" hidden="1">
      <c r="A3269" t="s">
        <v>15423</v>
      </c>
      <c r="B3269" t="s">
        <v>15441</v>
      </c>
      <c r="C3269" t="s">
        <v>15449</v>
      </c>
      <c r="D3269" t="s">
        <v>3264</v>
      </c>
      <c r="E3269" t="s">
        <v>3439</v>
      </c>
      <c r="F3269" t="s">
        <v>3436</v>
      </c>
      <c r="G3269" s="3">
        <v>34.798610290532302</v>
      </c>
      <c r="H3269" s="3">
        <v>126.439298010014</v>
      </c>
      <c r="I3269" t="s">
        <v>7033</v>
      </c>
      <c r="J3269" t="s">
        <v>10387</v>
      </c>
      <c r="K3269" t="s">
        <v>3668</v>
      </c>
      <c r="L3269" t="s">
        <v>3366</v>
      </c>
      <c r="M3269" t="s">
        <v>11916</v>
      </c>
      <c r="N3269" t="s">
        <v>3363</v>
      </c>
      <c r="O3269" t="s">
        <v>3361</v>
      </c>
      <c r="P3269" t="s">
        <v>3364</v>
      </c>
      <c r="Q3269" t="s">
        <v>3369</v>
      </c>
      <c r="R3269" t="s">
        <v>3358</v>
      </c>
      <c r="S3269" t="s">
        <v>15211</v>
      </c>
      <c r="T3269" t="s">
        <v>3391</v>
      </c>
      <c r="U3269" t="s">
        <v>15119</v>
      </c>
      <c r="V3269" t="s">
        <v>15277</v>
      </c>
    </row>
    <row r="3270" spans="1:22" ht="15" hidden="1">
      <c r="A3270" t="s">
        <v>15423</v>
      </c>
      <c r="B3270" t="s">
        <v>15441</v>
      </c>
      <c r="C3270" t="s">
        <v>15449</v>
      </c>
      <c r="D3270" t="s">
        <v>3265</v>
      </c>
      <c r="E3270" t="s">
        <v>3439</v>
      </c>
      <c r="F3270" t="s">
        <v>3436</v>
      </c>
      <c r="G3270" s="3">
        <v>34.798610283332003</v>
      </c>
      <c r="H3270" s="3">
        <v>126.43929801832201</v>
      </c>
      <c r="I3270" t="s">
        <v>7034</v>
      </c>
      <c r="J3270" t="s">
        <v>10388</v>
      </c>
      <c r="K3270" t="s">
        <v>3668</v>
      </c>
      <c r="L3270" t="s">
        <v>3366</v>
      </c>
      <c r="M3270" t="s">
        <v>11916</v>
      </c>
      <c r="N3270" t="s">
        <v>3363</v>
      </c>
      <c r="O3270" t="s">
        <v>3361</v>
      </c>
      <c r="P3270" t="s">
        <v>3364</v>
      </c>
      <c r="Q3270" t="s">
        <v>3369</v>
      </c>
      <c r="R3270" t="s">
        <v>3358</v>
      </c>
      <c r="S3270" t="s">
        <v>15211</v>
      </c>
      <c r="T3270" t="s">
        <v>3391</v>
      </c>
      <c r="U3270" t="s">
        <v>15120</v>
      </c>
      <c r="V3270" t="s">
        <v>15277</v>
      </c>
    </row>
    <row r="3271" spans="1:22" ht="15" hidden="1">
      <c r="A3271" t="s">
        <v>15423</v>
      </c>
      <c r="B3271" t="s">
        <v>15441</v>
      </c>
      <c r="C3271" t="s">
        <v>15449</v>
      </c>
      <c r="D3271" t="s">
        <v>3266</v>
      </c>
      <c r="E3271" t="s">
        <v>3439</v>
      </c>
      <c r="F3271" t="s">
        <v>3436</v>
      </c>
      <c r="G3271" s="3">
        <v>34.798610275302799</v>
      </c>
      <c r="H3271" s="3">
        <v>126.439298020694</v>
      </c>
      <c r="I3271" t="s">
        <v>7035</v>
      </c>
      <c r="J3271" t="s">
        <v>10389</v>
      </c>
      <c r="K3271" t="s">
        <v>3505</v>
      </c>
      <c r="L3271" t="s">
        <v>3366</v>
      </c>
      <c r="M3271" t="s">
        <v>11916</v>
      </c>
      <c r="N3271" t="s">
        <v>3363</v>
      </c>
      <c r="O3271" t="s">
        <v>3361</v>
      </c>
      <c r="P3271" t="s">
        <v>3364</v>
      </c>
      <c r="Q3271" t="s">
        <v>3369</v>
      </c>
      <c r="R3271" t="s">
        <v>3358</v>
      </c>
      <c r="S3271" t="s">
        <v>15211</v>
      </c>
      <c r="T3271" t="s">
        <v>3391</v>
      </c>
      <c r="U3271" t="s">
        <v>15121</v>
      </c>
      <c r="V3271" t="s">
        <v>15277</v>
      </c>
    </row>
    <row r="3272" spans="1:22" ht="15" hidden="1">
      <c r="A3272" t="s">
        <v>15423</v>
      </c>
      <c r="B3272" t="s">
        <v>15442</v>
      </c>
      <c r="C3272" t="s">
        <v>15450</v>
      </c>
      <c r="D3272" t="s">
        <v>3267</v>
      </c>
      <c r="E3272" t="s">
        <v>3439</v>
      </c>
      <c r="F3272" t="s">
        <v>3425</v>
      </c>
      <c r="G3272" s="3">
        <v>34.7986103487737</v>
      </c>
      <c r="H3272" s="3">
        <v>126.439298085107</v>
      </c>
      <c r="I3272" t="s">
        <v>7036</v>
      </c>
      <c r="J3272" t="s">
        <v>10390</v>
      </c>
      <c r="K3272" t="s">
        <v>11267</v>
      </c>
      <c r="L3272" t="s">
        <v>3366</v>
      </c>
      <c r="M3272" t="s">
        <v>11890</v>
      </c>
      <c r="N3272" t="s">
        <v>3365</v>
      </c>
      <c r="O3272" t="s">
        <v>3360</v>
      </c>
      <c r="P3272" t="s">
        <v>15211</v>
      </c>
      <c r="Q3272" t="s">
        <v>15211</v>
      </c>
      <c r="R3272" t="s">
        <v>15211</v>
      </c>
      <c r="S3272" t="s">
        <v>15211</v>
      </c>
      <c r="T3272" t="s">
        <v>3369</v>
      </c>
      <c r="U3272" t="s">
        <v>15122</v>
      </c>
      <c r="V3272" t="s">
        <v>15278</v>
      </c>
    </row>
    <row r="3273" spans="1:22" ht="15" hidden="1">
      <c r="A3273" t="s">
        <v>15423</v>
      </c>
      <c r="B3273" t="s">
        <v>15442</v>
      </c>
      <c r="C3273" t="s">
        <v>15450</v>
      </c>
      <c r="D3273" t="s">
        <v>3268</v>
      </c>
      <c r="E3273" t="s">
        <v>3439</v>
      </c>
      <c r="F3273" t="s">
        <v>3431</v>
      </c>
      <c r="G3273" s="3">
        <v>34.798610355024401</v>
      </c>
      <c r="H3273" s="3">
        <v>126.43929810224</v>
      </c>
      <c r="I3273" t="s">
        <v>7037</v>
      </c>
      <c r="J3273" t="s">
        <v>10391</v>
      </c>
      <c r="K3273" t="s">
        <v>11267</v>
      </c>
      <c r="L3273" t="s">
        <v>3366</v>
      </c>
      <c r="M3273" t="s">
        <v>11890</v>
      </c>
      <c r="N3273" t="s">
        <v>3365</v>
      </c>
      <c r="O3273" t="s">
        <v>3360</v>
      </c>
      <c r="P3273" t="s">
        <v>15211</v>
      </c>
      <c r="Q3273" t="s">
        <v>15211</v>
      </c>
      <c r="R3273" t="s">
        <v>15211</v>
      </c>
      <c r="S3273" t="s">
        <v>15211</v>
      </c>
      <c r="T3273" t="s">
        <v>3369</v>
      </c>
      <c r="U3273" t="s">
        <v>15123</v>
      </c>
      <c r="V3273" t="s">
        <v>15278</v>
      </c>
    </row>
    <row r="3274" spans="1:22" ht="15" hidden="1">
      <c r="A3274" t="s">
        <v>15423</v>
      </c>
      <c r="B3274" t="s">
        <v>15442</v>
      </c>
      <c r="C3274" t="s">
        <v>15450</v>
      </c>
      <c r="D3274" t="s">
        <v>3269</v>
      </c>
      <c r="E3274" t="s">
        <v>3439</v>
      </c>
      <c r="F3274" t="s">
        <v>3431</v>
      </c>
      <c r="G3274" s="3">
        <v>34.798610331518397</v>
      </c>
      <c r="H3274" s="3">
        <v>126.439298091871</v>
      </c>
      <c r="I3274" t="s">
        <v>7038</v>
      </c>
      <c r="J3274" t="s">
        <v>10392</v>
      </c>
      <c r="K3274" t="s">
        <v>11267</v>
      </c>
      <c r="L3274" t="s">
        <v>3366</v>
      </c>
      <c r="M3274" t="s">
        <v>11890</v>
      </c>
      <c r="N3274" t="s">
        <v>3365</v>
      </c>
      <c r="O3274" t="s">
        <v>3360</v>
      </c>
      <c r="P3274" t="s">
        <v>15211</v>
      </c>
      <c r="Q3274" t="s">
        <v>15211</v>
      </c>
      <c r="R3274" t="s">
        <v>15211</v>
      </c>
      <c r="S3274" t="s">
        <v>15211</v>
      </c>
      <c r="T3274" t="s">
        <v>3369</v>
      </c>
      <c r="U3274" t="s">
        <v>15124</v>
      </c>
      <c r="V3274" t="s">
        <v>15278</v>
      </c>
    </row>
    <row r="3275" spans="1:22" ht="15" hidden="1">
      <c r="A3275" t="s">
        <v>15423</v>
      </c>
      <c r="B3275" t="s">
        <v>15442</v>
      </c>
      <c r="C3275" t="s">
        <v>15445</v>
      </c>
      <c r="D3275" t="s">
        <v>3270</v>
      </c>
      <c r="E3275" t="s">
        <v>3443</v>
      </c>
      <c r="F3275" t="s">
        <v>3434</v>
      </c>
      <c r="G3275" s="3">
        <v>34.798610289303603</v>
      </c>
      <c r="H3275" s="3">
        <v>126.439297990391</v>
      </c>
      <c r="I3275" t="s">
        <v>7039</v>
      </c>
      <c r="J3275" t="s">
        <v>10393</v>
      </c>
      <c r="K3275" t="s">
        <v>11267</v>
      </c>
      <c r="L3275" t="s">
        <v>3366</v>
      </c>
      <c r="M3275" t="s">
        <v>11890</v>
      </c>
      <c r="N3275" t="s">
        <v>3365</v>
      </c>
      <c r="O3275" t="s">
        <v>3360</v>
      </c>
      <c r="P3275" t="s">
        <v>15211</v>
      </c>
      <c r="Q3275" t="s">
        <v>15211</v>
      </c>
      <c r="R3275" t="s">
        <v>15211</v>
      </c>
      <c r="S3275" t="s">
        <v>15211</v>
      </c>
      <c r="T3275" t="s">
        <v>3369</v>
      </c>
      <c r="U3275" t="s">
        <v>15125</v>
      </c>
      <c r="V3275" t="s">
        <v>15279</v>
      </c>
    </row>
    <row r="3276" spans="1:22" ht="15" hidden="1">
      <c r="A3276" t="s">
        <v>15423</v>
      </c>
      <c r="B3276" t="s">
        <v>15442</v>
      </c>
      <c r="C3276" t="s">
        <v>15445</v>
      </c>
      <c r="D3276" t="s">
        <v>3271</v>
      </c>
      <c r="E3276" t="s">
        <v>3443</v>
      </c>
      <c r="F3276" t="s">
        <v>3434</v>
      </c>
      <c r="G3276" s="3">
        <v>34.798610285948897</v>
      </c>
      <c r="H3276" s="3">
        <v>126.439298004405</v>
      </c>
      <c r="I3276" t="s">
        <v>7040</v>
      </c>
      <c r="J3276" t="s">
        <v>10394</v>
      </c>
      <c r="K3276" t="s">
        <v>11267</v>
      </c>
      <c r="L3276" t="s">
        <v>3366</v>
      </c>
      <c r="M3276" t="s">
        <v>11890</v>
      </c>
      <c r="N3276" t="s">
        <v>3365</v>
      </c>
      <c r="O3276" t="s">
        <v>3360</v>
      </c>
      <c r="P3276" t="s">
        <v>15211</v>
      </c>
      <c r="Q3276" t="s">
        <v>15211</v>
      </c>
      <c r="R3276" t="s">
        <v>15211</v>
      </c>
      <c r="S3276" t="s">
        <v>15211</v>
      </c>
      <c r="T3276" t="s">
        <v>3369</v>
      </c>
      <c r="U3276" t="s">
        <v>15126</v>
      </c>
      <c r="V3276" t="s">
        <v>15279</v>
      </c>
    </row>
    <row r="3277" spans="1:22" ht="15" hidden="1">
      <c r="A3277" t="s">
        <v>15423</v>
      </c>
      <c r="B3277" t="s">
        <v>15442</v>
      </c>
      <c r="C3277" t="s">
        <v>15445</v>
      </c>
      <c r="D3277" t="s">
        <v>3272</v>
      </c>
      <c r="E3277" t="s">
        <v>3439</v>
      </c>
      <c r="F3277" t="s">
        <v>3435</v>
      </c>
      <c r="G3277" s="3">
        <v>34.798610277917398</v>
      </c>
      <c r="H3277" s="3">
        <v>126.439297991754</v>
      </c>
      <c r="I3277" t="s">
        <v>7041</v>
      </c>
      <c r="J3277" t="s">
        <v>10395</v>
      </c>
      <c r="K3277" t="s">
        <v>11612</v>
      </c>
      <c r="L3277" t="s">
        <v>3366</v>
      </c>
      <c r="M3277" t="s">
        <v>11890</v>
      </c>
      <c r="N3277" t="s">
        <v>3365</v>
      </c>
      <c r="O3277" t="s">
        <v>3360</v>
      </c>
      <c r="P3277" t="s">
        <v>15211</v>
      </c>
      <c r="Q3277" t="s">
        <v>15211</v>
      </c>
      <c r="R3277" t="s">
        <v>15211</v>
      </c>
      <c r="S3277" t="s">
        <v>15211</v>
      </c>
      <c r="T3277" t="s">
        <v>3369</v>
      </c>
      <c r="U3277" t="s">
        <v>15127</v>
      </c>
      <c r="V3277" t="s">
        <v>15279</v>
      </c>
    </row>
    <row r="3278" spans="1:22" ht="15" hidden="1">
      <c r="A3278" t="s">
        <v>15423</v>
      </c>
      <c r="B3278" t="s">
        <v>15442</v>
      </c>
      <c r="C3278" t="s">
        <v>15451</v>
      </c>
      <c r="D3278" t="s">
        <v>3273</v>
      </c>
      <c r="E3278" t="s">
        <v>3443</v>
      </c>
      <c r="F3278" t="s">
        <v>3427</v>
      </c>
      <c r="G3278" s="3">
        <v>34.798610265232902</v>
      </c>
      <c r="H3278" s="3">
        <v>126.439298054538</v>
      </c>
      <c r="I3278" t="s">
        <v>7042</v>
      </c>
      <c r="J3278" t="s">
        <v>10396</v>
      </c>
      <c r="K3278" t="s">
        <v>10865</v>
      </c>
      <c r="L3278" t="s">
        <v>3366</v>
      </c>
      <c r="M3278" t="s">
        <v>11905</v>
      </c>
      <c r="N3278" t="s">
        <v>3365</v>
      </c>
      <c r="O3278" t="s">
        <v>3360</v>
      </c>
      <c r="P3278" t="s">
        <v>3364</v>
      </c>
      <c r="Q3278" t="s">
        <v>3369</v>
      </c>
      <c r="R3278" t="s">
        <v>15211</v>
      </c>
      <c r="S3278" t="s">
        <v>15211</v>
      </c>
      <c r="T3278" t="s">
        <v>3390</v>
      </c>
      <c r="U3278" t="s">
        <v>15128</v>
      </c>
      <c r="V3278" t="s">
        <v>15280</v>
      </c>
    </row>
    <row r="3279" spans="1:22" ht="15" hidden="1">
      <c r="A3279" t="s">
        <v>15423</v>
      </c>
      <c r="B3279" t="s">
        <v>15442</v>
      </c>
      <c r="C3279" t="s">
        <v>15451</v>
      </c>
      <c r="D3279" t="s">
        <v>3274</v>
      </c>
      <c r="E3279" t="s">
        <v>3457</v>
      </c>
      <c r="F3279" t="s">
        <v>3427</v>
      </c>
      <c r="G3279" s="3">
        <v>34.798610255683101</v>
      </c>
      <c r="H3279" s="3">
        <v>126.439298053211</v>
      </c>
      <c r="I3279" t="s">
        <v>7043</v>
      </c>
      <c r="J3279" t="s">
        <v>10397</v>
      </c>
      <c r="K3279" t="s">
        <v>10865</v>
      </c>
      <c r="L3279" t="s">
        <v>3366</v>
      </c>
      <c r="M3279" t="s">
        <v>11905</v>
      </c>
      <c r="N3279" t="s">
        <v>3365</v>
      </c>
      <c r="O3279" t="s">
        <v>3360</v>
      </c>
      <c r="P3279" t="s">
        <v>3364</v>
      </c>
      <c r="Q3279" t="s">
        <v>3369</v>
      </c>
      <c r="R3279" t="s">
        <v>15211</v>
      </c>
      <c r="S3279" t="s">
        <v>15211</v>
      </c>
      <c r="T3279" t="s">
        <v>3390</v>
      </c>
      <c r="U3279" t="s">
        <v>15129</v>
      </c>
      <c r="V3279" t="s">
        <v>15280</v>
      </c>
    </row>
    <row r="3280" spans="1:22" ht="15" hidden="1">
      <c r="A3280" t="s">
        <v>15423</v>
      </c>
      <c r="B3280" t="s">
        <v>15442</v>
      </c>
      <c r="C3280" t="s">
        <v>15451</v>
      </c>
      <c r="D3280" t="s">
        <v>3275</v>
      </c>
      <c r="E3280" t="s">
        <v>3457</v>
      </c>
      <c r="F3280" t="s">
        <v>3427</v>
      </c>
      <c r="G3280" s="3">
        <v>34.798610248316898</v>
      </c>
      <c r="H3280" s="3">
        <v>126.439298055123</v>
      </c>
      <c r="I3280" t="s">
        <v>7044</v>
      </c>
      <c r="J3280" t="s">
        <v>10398</v>
      </c>
      <c r="K3280" t="s">
        <v>10865</v>
      </c>
      <c r="L3280" t="s">
        <v>3366</v>
      </c>
      <c r="M3280" t="s">
        <v>11905</v>
      </c>
      <c r="N3280" t="s">
        <v>3365</v>
      </c>
      <c r="O3280" t="s">
        <v>3360</v>
      </c>
      <c r="P3280" t="s">
        <v>3364</v>
      </c>
      <c r="Q3280" t="s">
        <v>3369</v>
      </c>
      <c r="R3280" t="s">
        <v>15211</v>
      </c>
      <c r="S3280" t="s">
        <v>15211</v>
      </c>
      <c r="T3280" t="s">
        <v>3390</v>
      </c>
      <c r="U3280" t="s">
        <v>15130</v>
      </c>
      <c r="V3280" t="s">
        <v>15280</v>
      </c>
    </row>
    <row r="3281" spans="1:22" ht="15" hidden="1">
      <c r="A3281" t="s">
        <v>15424</v>
      </c>
      <c r="B3281" t="s">
        <v>15441</v>
      </c>
      <c r="C3281" t="s">
        <v>15445</v>
      </c>
      <c r="D3281" t="s">
        <v>3276</v>
      </c>
      <c r="E3281" t="s">
        <v>3436</v>
      </c>
      <c r="F3281" t="s">
        <v>3450</v>
      </c>
      <c r="G3281" s="3">
        <v>34.904252005671601</v>
      </c>
      <c r="H3281" s="3">
        <v>127.142654359624</v>
      </c>
      <c r="I3281" t="s">
        <v>7045</v>
      </c>
      <c r="J3281" t="s">
        <v>10399</v>
      </c>
      <c r="K3281" t="s">
        <v>11868</v>
      </c>
      <c r="L3281" t="s">
        <v>3366</v>
      </c>
      <c r="M3281" t="s">
        <v>11886</v>
      </c>
      <c r="N3281" t="s">
        <v>3364</v>
      </c>
      <c r="O3281" t="s">
        <v>3359</v>
      </c>
      <c r="P3281" t="s">
        <v>15211</v>
      </c>
      <c r="Q3281" t="s">
        <v>15211</v>
      </c>
      <c r="R3281" t="s">
        <v>15211</v>
      </c>
      <c r="S3281" t="s">
        <v>15211</v>
      </c>
      <c r="T3281" t="s">
        <v>3367</v>
      </c>
      <c r="U3281" t="s">
        <v>15131</v>
      </c>
      <c r="V3281" t="s">
        <v>15274</v>
      </c>
    </row>
    <row r="3282" spans="1:22" ht="15" hidden="1">
      <c r="A3282" t="s">
        <v>15424</v>
      </c>
      <c r="B3282" t="s">
        <v>15441</v>
      </c>
      <c r="C3282" t="s">
        <v>15445</v>
      </c>
      <c r="D3282" t="s">
        <v>3277</v>
      </c>
      <c r="E3282" t="s">
        <v>3436</v>
      </c>
      <c r="F3282" t="s">
        <v>3465</v>
      </c>
      <c r="G3282" s="3">
        <v>34.904251987422803</v>
      </c>
      <c r="H3282" s="3">
        <v>127.14265438507699</v>
      </c>
      <c r="I3282" t="s">
        <v>7046</v>
      </c>
      <c r="J3282" t="s">
        <v>10400</v>
      </c>
      <c r="K3282" t="s">
        <v>11869</v>
      </c>
      <c r="L3282" t="s">
        <v>3366</v>
      </c>
      <c r="M3282" t="s">
        <v>11886</v>
      </c>
      <c r="N3282" t="s">
        <v>3364</v>
      </c>
      <c r="O3282" t="s">
        <v>3359</v>
      </c>
      <c r="P3282" t="s">
        <v>15211</v>
      </c>
      <c r="Q3282" t="s">
        <v>15211</v>
      </c>
      <c r="R3282" t="s">
        <v>15211</v>
      </c>
      <c r="S3282" t="s">
        <v>15211</v>
      </c>
      <c r="T3282" t="s">
        <v>3367</v>
      </c>
      <c r="U3282" t="s">
        <v>15132</v>
      </c>
      <c r="V3282" t="s">
        <v>15274</v>
      </c>
    </row>
    <row r="3283" spans="1:22" ht="15" hidden="1">
      <c r="A3283" t="s">
        <v>15424</v>
      </c>
      <c r="B3283" t="s">
        <v>15441</v>
      </c>
      <c r="C3283" t="s">
        <v>15445</v>
      </c>
      <c r="D3283" t="s">
        <v>3278</v>
      </c>
      <c r="E3283" t="s">
        <v>3436</v>
      </c>
      <c r="F3283" t="s">
        <v>3426</v>
      </c>
      <c r="G3283" s="3">
        <v>34.904251980045302</v>
      </c>
      <c r="H3283" s="3">
        <v>127.142654368737</v>
      </c>
      <c r="I3283" t="s">
        <v>7047</v>
      </c>
      <c r="J3283" t="s">
        <v>10401</v>
      </c>
      <c r="K3283" t="s">
        <v>11870</v>
      </c>
      <c r="L3283" t="s">
        <v>3366</v>
      </c>
      <c r="M3283" t="s">
        <v>11886</v>
      </c>
      <c r="N3283" t="s">
        <v>3364</v>
      </c>
      <c r="O3283" t="s">
        <v>3359</v>
      </c>
      <c r="P3283" t="s">
        <v>15211</v>
      </c>
      <c r="Q3283" t="s">
        <v>15211</v>
      </c>
      <c r="R3283" t="s">
        <v>15211</v>
      </c>
      <c r="S3283" t="s">
        <v>15211</v>
      </c>
      <c r="T3283" t="s">
        <v>3367</v>
      </c>
      <c r="U3283" t="s">
        <v>15133</v>
      </c>
      <c r="V3283" t="s">
        <v>15274</v>
      </c>
    </row>
    <row r="3284" spans="1:22" ht="15" hidden="1">
      <c r="A3284" t="s">
        <v>15424</v>
      </c>
      <c r="B3284" t="s">
        <v>15441</v>
      </c>
      <c r="C3284" t="s">
        <v>15446</v>
      </c>
      <c r="D3284" t="s">
        <v>3279</v>
      </c>
      <c r="E3284" t="s">
        <v>3428</v>
      </c>
      <c r="F3284" t="s">
        <v>3433</v>
      </c>
      <c r="G3284" s="3">
        <v>34.904251965152099</v>
      </c>
      <c r="H3284" s="3">
        <v>127.142654295996</v>
      </c>
      <c r="I3284" t="s">
        <v>7048</v>
      </c>
      <c r="J3284" t="s">
        <v>10402</v>
      </c>
      <c r="K3284" t="s">
        <v>11620</v>
      </c>
      <c r="L3284" t="s">
        <v>3366</v>
      </c>
      <c r="M3284" t="s">
        <v>11886</v>
      </c>
      <c r="N3284" t="s">
        <v>3364</v>
      </c>
      <c r="O3284" t="s">
        <v>3359</v>
      </c>
      <c r="P3284" t="s">
        <v>15211</v>
      </c>
      <c r="Q3284" t="s">
        <v>15211</v>
      </c>
      <c r="R3284" t="s">
        <v>15211</v>
      </c>
      <c r="S3284" t="s">
        <v>15211</v>
      </c>
      <c r="T3284" t="s">
        <v>3367</v>
      </c>
      <c r="U3284" t="s">
        <v>15134</v>
      </c>
      <c r="V3284" t="s">
        <v>15275</v>
      </c>
    </row>
    <row r="3285" spans="1:22" ht="15" hidden="1">
      <c r="A3285" t="s">
        <v>15424</v>
      </c>
      <c r="B3285" t="s">
        <v>15441</v>
      </c>
      <c r="C3285" t="s">
        <v>15446</v>
      </c>
      <c r="D3285" t="s">
        <v>3280</v>
      </c>
      <c r="E3285" t="s">
        <v>3436</v>
      </c>
      <c r="F3285" t="s">
        <v>3461</v>
      </c>
      <c r="G3285" s="3">
        <v>34.904251982801398</v>
      </c>
      <c r="H3285" s="3">
        <v>127.142654288608</v>
      </c>
      <c r="I3285" t="s">
        <v>7049</v>
      </c>
      <c r="J3285" t="s">
        <v>10403</v>
      </c>
      <c r="K3285" t="s">
        <v>11871</v>
      </c>
      <c r="L3285" t="s">
        <v>3366</v>
      </c>
      <c r="M3285" t="s">
        <v>11886</v>
      </c>
      <c r="N3285" t="s">
        <v>3364</v>
      </c>
      <c r="O3285" t="s">
        <v>3359</v>
      </c>
      <c r="P3285" t="s">
        <v>15211</v>
      </c>
      <c r="Q3285" t="s">
        <v>15211</v>
      </c>
      <c r="R3285" t="s">
        <v>15211</v>
      </c>
      <c r="S3285" t="s">
        <v>15211</v>
      </c>
      <c r="T3285" t="s">
        <v>3367</v>
      </c>
      <c r="U3285" t="s">
        <v>15135</v>
      </c>
      <c r="V3285" t="s">
        <v>15275</v>
      </c>
    </row>
    <row r="3286" spans="1:22" ht="15" hidden="1">
      <c r="A3286" t="s">
        <v>15424</v>
      </c>
      <c r="B3286" t="s">
        <v>15441</v>
      </c>
      <c r="C3286" t="s">
        <v>15446</v>
      </c>
      <c r="D3286" t="s">
        <v>3281</v>
      </c>
      <c r="E3286" t="s">
        <v>3425</v>
      </c>
      <c r="F3286" t="s">
        <v>3426</v>
      </c>
      <c r="G3286" s="3">
        <v>34.904251958425398</v>
      </c>
      <c r="H3286" s="3">
        <v>127.142654309162</v>
      </c>
      <c r="I3286" t="s">
        <v>7050</v>
      </c>
      <c r="J3286" t="s">
        <v>10404</v>
      </c>
      <c r="K3286" t="s">
        <v>11872</v>
      </c>
      <c r="L3286" t="s">
        <v>3366</v>
      </c>
      <c r="M3286" t="s">
        <v>11886</v>
      </c>
      <c r="N3286" t="s">
        <v>3364</v>
      </c>
      <c r="O3286" t="s">
        <v>3359</v>
      </c>
      <c r="P3286" t="s">
        <v>15211</v>
      </c>
      <c r="Q3286" t="s">
        <v>15211</v>
      </c>
      <c r="R3286" t="s">
        <v>15211</v>
      </c>
      <c r="S3286" t="s">
        <v>15211</v>
      </c>
      <c r="T3286" t="s">
        <v>3367</v>
      </c>
      <c r="U3286" t="s">
        <v>15136</v>
      </c>
      <c r="V3286" t="s">
        <v>15275</v>
      </c>
    </row>
    <row r="3287" spans="1:22" ht="15" hidden="1">
      <c r="A3287" t="s">
        <v>15424</v>
      </c>
      <c r="B3287" t="s">
        <v>15441</v>
      </c>
      <c r="C3287" t="s">
        <v>15449</v>
      </c>
      <c r="D3287" t="s">
        <v>3282</v>
      </c>
      <c r="E3287" t="s">
        <v>3439</v>
      </c>
      <c r="F3287" t="s">
        <v>3427</v>
      </c>
      <c r="G3287" s="3">
        <v>34.904252016666902</v>
      </c>
      <c r="H3287" s="3">
        <v>127.14265432343799</v>
      </c>
      <c r="I3287" t="s">
        <v>7051</v>
      </c>
      <c r="J3287" t="s">
        <v>10405</v>
      </c>
      <c r="K3287" t="s">
        <v>10643</v>
      </c>
      <c r="L3287" t="s">
        <v>3366</v>
      </c>
      <c r="M3287" t="s">
        <v>11910</v>
      </c>
      <c r="N3287" t="s">
        <v>3362</v>
      </c>
      <c r="O3287" t="s">
        <v>3359</v>
      </c>
      <c r="P3287" t="s">
        <v>3361</v>
      </c>
      <c r="Q3287" t="s">
        <v>3369</v>
      </c>
      <c r="R3287" t="s">
        <v>3357</v>
      </c>
      <c r="S3287" t="s">
        <v>15211</v>
      </c>
      <c r="T3287" t="s">
        <v>3384</v>
      </c>
      <c r="U3287" t="s">
        <v>15137</v>
      </c>
      <c r="V3287" t="s">
        <v>15277</v>
      </c>
    </row>
    <row r="3288" spans="1:22" ht="15" hidden="1">
      <c r="A3288" t="s">
        <v>15424</v>
      </c>
      <c r="B3288" t="s">
        <v>15441</v>
      </c>
      <c r="C3288" t="s">
        <v>15449</v>
      </c>
      <c r="D3288" t="s">
        <v>3283</v>
      </c>
      <c r="E3288" t="s">
        <v>3439</v>
      </c>
      <c r="F3288" t="s">
        <v>3428</v>
      </c>
      <c r="G3288" s="3">
        <v>34.904252015108099</v>
      </c>
      <c r="H3288" s="3">
        <v>127.142654315291</v>
      </c>
      <c r="I3288" t="s">
        <v>7052</v>
      </c>
      <c r="J3288" t="s">
        <v>10406</v>
      </c>
      <c r="K3288" t="s">
        <v>10643</v>
      </c>
      <c r="L3288" t="s">
        <v>3366</v>
      </c>
      <c r="M3288" t="s">
        <v>11910</v>
      </c>
      <c r="N3288" t="s">
        <v>3362</v>
      </c>
      <c r="O3288" t="s">
        <v>3359</v>
      </c>
      <c r="P3288" t="s">
        <v>3361</v>
      </c>
      <c r="Q3288" t="s">
        <v>3369</v>
      </c>
      <c r="R3288" t="s">
        <v>3357</v>
      </c>
      <c r="S3288" t="s">
        <v>15211</v>
      </c>
      <c r="T3288" t="s">
        <v>3384</v>
      </c>
      <c r="U3288" t="s">
        <v>15138</v>
      </c>
      <c r="V3288" t="s">
        <v>15277</v>
      </c>
    </row>
    <row r="3289" spans="1:22" ht="15" hidden="1">
      <c r="A3289" t="s">
        <v>15424</v>
      </c>
      <c r="B3289" t="s">
        <v>15441</v>
      </c>
      <c r="C3289" t="s">
        <v>15449</v>
      </c>
      <c r="D3289" t="s">
        <v>3284</v>
      </c>
      <c r="E3289" t="s">
        <v>3439</v>
      </c>
      <c r="F3289" t="s">
        <v>3428</v>
      </c>
      <c r="G3289" s="3">
        <v>34.904252024233699</v>
      </c>
      <c r="H3289" s="3">
        <v>127.142654334892</v>
      </c>
      <c r="I3289" t="s">
        <v>7053</v>
      </c>
      <c r="J3289" t="s">
        <v>10407</v>
      </c>
      <c r="K3289" t="s">
        <v>11809</v>
      </c>
      <c r="L3289" t="s">
        <v>3366</v>
      </c>
      <c r="M3289" t="s">
        <v>11910</v>
      </c>
      <c r="N3289" t="s">
        <v>3362</v>
      </c>
      <c r="O3289" t="s">
        <v>3359</v>
      </c>
      <c r="P3289" t="s">
        <v>3361</v>
      </c>
      <c r="Q3289" t="s">
        <v>3369</v>
      </c>
      <c r="R3289" t="s">
        <v>3357</v>
      </c>
      <c r="S3289" t="s">
        <v>15211</v>
      </c>
      <c r="T3289" t="s">
        <v>3384</v>
      </c>
      <c r="U3289" t="s">
        <v>15139</v>
      </c>
      <c r="V3289" t="s">
        <v>15277</v>
      </c>
    </row>
    <row r="3290" spans="1:22" ht="15" hidden="1">
      <c r="A3290" t="s">
        <v>15424</v>
      </c>
      <c r="B3290" t="s">
        <v>15441</v>
      </c>
      <c r="C3290" t="s">
        <v>15448</v>
      </c>
      <c r="D3290" t="s">
        <v>3285</v>
      </c>
      <c r="E3290" t="s">
        <v>3429</v>
      </c>
      <c r="F3290" t="s">
        <v>3543</v>
      </c>
      <c r="G3290" s="3">
        <v>34.904251787550699</v>
      </c>
      <c r="H3290" s="3">
        <v>127.142654502241</v>
      </c>
      <c r="I3290" t="s">
        <v>7054</v>
      </c>
      <c r="J3290" t="s">
        <v>10408</v>
      </c>
      <c r="K3290" t="s">
        <v>11727</v>
      </c>
      <c r="L3290" t="s">
        <v>3366</v>
      </c>
      <c r="M3290" t="s">
        <v>11911</v>
      </c>
      <c r="N3290" t="s">
        <v>3364</v>
      </c>
      <c r="O3290" t="s">
        <v>3359</v>
      </c>
      <c r="P3290" t="s">
        <v>3361</v>
      </c>
      <c r="Q3290" t="s">
        <v>3367</v>
      </c>
      <c r="R3290" t="s">
        <v>3358</v>
      </c>
      <c r="S3290" t="s">
        <v>15211</v>
      </c>
      <c r="T3290" t="s">
        <v>3385</v>
      </c>
      <c r="U3290" t="s">
        <v>15140</v>
      </c>
      <c r="V3290" t="s">
        <v>15276</v>
      </c>
    </row>
    <row r="3291" spans="1:22" ht="15" hidden="1">
      <c r="A3291" t="s">
        <v>15424</v>
      </c>
      <c r="B3291" t="s">
        <v>15441</v>
      </c>
      <c r="C3291" t="s">
        <v>15448</v>
      </c>
      <c r="D3291" t="s">
        <v>3286</v>
      </c>
      <c r="E3291" t="s">
        <v>3435</v>
      </c>
      <c r="F3291" t="s">
        <v>3613</v>
      </c>
      <c r="G3291" s="3">
        <v>34.904251746881599</v>
      </c>
      <c r="H3291" s="3">
        <v>127.142654536549</v>
      </c>
      <c r="I3291" t="s">
        <v>7055</v>
      </c>
      <c r="J3291" t="s">
        <v>10409</v>
      </c>
      <c r="K3291" t="s">
        <v>11665</v>
      </c>
      <c r="L3291" t="s">
        <v>3366</v>
      </c>
      <c r="M3291" t="s">
        <v>11910</v>
      </c>
      <c r="N3291" t="s">
        <v>3364</v>
      </c>
      <c r="O3291" t="s">
        <v>3359</v>
      </c>
      <c r="P3291" t="s">
        <v>3361</v>
      </c>
      <c r="Q3291" t="s">
        <v>3366</v>
      </c>
      <c r="R3291" t="s">
        <v>3358</v>
      </c>
      <c r="S3291" t="s">
        <v>15211</v>
      </c>
      <c r="T3291" t="s">
        <v>3384</v>
      </c>
      <c r="U3291" t="s">
        <v>15141</v>
      </c>
      <c r="V3291" t="s">
        <v>15276</v>
      </c>
    </row>
    <row r="3292" spans="1:22" ht="15" hidden="1">
      <c r="A3292" t="s">
        <v>15424</v>
      </c>
      <c r="B3292" t="s">
        <v>15441</v>
      </c>
      <c r="C3292" t="s">
        <v>15448</v>
      </c>
      <c r="D3292" t="s">
        <v>3287</v>
      </c>
      <c r="E3292" t="s">
        <v>3429</v>
      </c>
      <c r="F3292" t="s">
        <v>3613</v>
      </c>
      <c r="G3292" s="3">
        <v>34.904251710292201</v>
      </c>
      <c r="H3292" s="3">
        <v>127.14265456155699</v>
      </c>
      <c r="I3292" t="s">
        <v>7056</v>
      </c>
      <c r="J3292" t="s">
        <v>10410</v>
      </c>
      <c r="K3292" t="s">
        <v>11873</v>
      </c>
      <c r="L3292" t="s">
        <v>3366</v>
      </c>
      <c r="M3292" t="s">
        <v>11910</v>
      </c>
      <c r="N3292" t="s">
        <v>3364</v>
      </c>
      <c r="O3292" t="s">
        <v>3359</v>
      </c>
      <c r="P3292" t="s">
        <v>3361</v>
      </c>
      <c r="Q3292" t="s">
        <v>3366</v>
      </c>
      <c r="R3292" t="s">
        <v>3358</v>
      </c>
      <c r="S3292" t="s">
        <v>15211</v>
      </c>
      <c r="T3292" t="s">
        <v>3384</v>
      </c>
      <c r="U3292" t="s">
        <v>15142</v>
      </c>
      <c r="V3292" t="s">
        <v>15276</v>
      </c>
    </row>
    <row r="3293" spans="1:22" ht="15" hidden="1">
      <c r="A3293" t="s">
        <v>15424</v>
      </c>
      <c r="B3293" t="s">
        <v>15442</v>
      </c>
      <c r="C3293" t="s">
        <v>15450</v>
      </c>
      <c r="D3293" t="s">
        <v>3288</v>
      </c>
      <c r="E3293" t="s">
        <v>3428</v>
      </c>
      <c r="F3293" t="s">
        <v>3461</v>
      </c>
      <c r="G3293" s="3">
        <v>34.9042520418176</v>
      </c>
      <c r="H3293" s="3">
        <v>127.142654355438</v>
      </c>
      <c r="I3293" t="s">
        <v>7057</v>
      </c>
      <c r="J3293" t="s">
        <v>10411</v>
      </c>
      <c r="K3293" t="s">
        <v>10852</v>
      </c>
      <c r="L3293" t="s">
        <v>3366</v>
      </c>
      <c r="M3293" t="s">
        <v>11885</v>
      </c>
      <c r="N3293" t="s">
        <v>3364</v>
      </c>
      <c r="O3293" t="s">
        <v>3360</v>
      </c>
      <c r="P3293" t="s">
        <v>15211</v>
      </c>
      <c r="Q3293" t="s">
        <v>15211</v>
      </c>
      <c r="R3293" t="s">
        <v>15211</v>
      </c>
      <c r="S3293" t="s">
        <v>15211</v>
      </c>
      <c r="T3293" t="s">
        <v>3368</v>
      </c>
      <c r="U3293" t="s">
        <v>15143</v>
      </c>
      <c r="V3293" t="s">
        <v>15278</v>
      </c>
    </row>
    <row r="3294" spans="1:22" ht="15" hidden="1">
      <c r="A3294" t="s">
        <v>15424</v>
      </c>
      <c r="B3294" t="s">
        <v>15442</v>
      </c>
      <c r="C3294" t="s">
        <v>15450</v>
      </c>
      <c r="D3294" t="s">
        <v>3289</v>
      </c>
      <c r="E3294" t="s">
        <v>3436</v>
      </c>
      <c r="F3294" t="s">
        <v>3462</v>
      </c>
      <c r="G3294" s="3">
        <v>34.904252027508399</v>
      </c>
      <c r="H3294" s="3">
        <v>127.142654358709</v>
      </c>
      <c r="I3294" t="s">
        <v>7058</v>
      </c>
      <c r="J3294" t="s">
        <v>10412</v>
      </c>
      <c r="K3294" t="s">
        <v>11476</v>
      </c>
      <c r="L3294" t="s">
        <v>3366</v>
      </c>
      <c r="M3294" t="s">
        <v>11885</v>
      </c>
      <c r="N3294" t="s">
        <v>3364</v>
      </c>
      <c r="O3294" t="s">
        <v>3360</v>
      </c>
      <c r="P3294" t="s">
        <v>15211</v>
      </c>
      <c r="Q3294" t="s">
        <v>15211</v>
      </c>
      <c r="R3294" t="s">
        <v>15211</v>
      </c>
      <c r="S3294" t="s">
        <v>15211</v>
      </c>
      <c r="T3294" t="s">
        <v>3368</v>
      </c>
      <c r="U3294" t="s">
        <v>15144</v>
      </c>
      <c r="V3294" t="s">
        <v>15278</v>
      </c>
    </row>
    <row r="3295" spans="1:22" ht="15" hidden="1">
      <c r="A3295" t="s">
        <v>15424</v>
      </c>
      <c r="B3295" t="s">
        <v>15442</v>
      </c>
      <c r="C3295" t="s">
        <v>15450</v>
      </c>
      <c r="D3295" t="s">
        <v>3290</v>
      </c>
      <c r="E3295" t="s">
        <v>3436</v>
      </c>
      <c r="F3295" t="s">
        <v>3462</v>
      </c>
      <c r="G3295" s="3">
        <v>34.904252014924403</v>
      </c>
      <c r="H3295" s="3">
        <v>127.14265434789699</v>
      </c>
      <c r="I3295" t="s">
        <v>7059</v>
      </c>
      <c r="J3295" t="s">
        <v>10413</v>
      </c>
      <c r="K3295" t="s">
        <v>11874</v>
      </c>
      <c r="L3295" t="s">
        <v>3366</v>
      </c>
      <c r="M3295" t="s">
        <v>11885</v>
      </c>
      <c r="N3295" t="s">
        <v>3364</v>
      </c>
      <c r="O3295" t="s">
        <v>3360</v>
      </c>
      <c r="P3295" t="s">
        <v>15211</v>
      </c>
      <c r="Q3295" t="s">
        <v>15211</v>
      </c>
      <c r="R3295" t="s">
        <v>15211</v>
      </c>
      <c r="S3295" t="s">
        <v>15211</v>
      </c>
      <c r="T3295" t="s">
        <v>3368</v>
      </c>
      <c r="U3295" t="s">
        <v>15145</v>
      </c>
      <c r="V3295" t="s">
        <v>15278</v>
      </c>
    </row>
    <row r="3296" spans="1:22" ht="15" hidden="1">
      <c r="A3296" t="s">
        <v>15424</v>
      </c>
      <c r="B3296" t="s">
        <v>15442</v>
      </c>
      <c r="C3296" t="s">
        <v>15445</v>
      </c>
      <c r="D3296" t="s">
        <v>3291</v>
      </c>
      <c r="E3296" t="s">
        <v>3438</v>
      </c>
      <c r="F3296" t="s">
        <v>3433</v>
      </c>
      <c r="G3296" s="3">
        <v>34.904252024062103</v>
      </c>
      <c r="H3296" s="3">
        <v>127.142654354706</v>
      </c>
      <c r="I3296" t="s">
        <v>7060</v>
      </c>
      <c r="J3296" t="s">
        <v>10414</v>
      </c>
      <c r="K3296" t="s">
        <v>11628</v>
      </c>
      <c r="L3296" t="s">
        <v>3366</v>
      </c>
      <c r="M3296" t="s">
        <v>11886</v>
      </c>
      <c r="N3296" t="s">
        <v>3364</v>
      </c>
      <c r="O3296" t="s">
        <v>3359</v>
      </c>
      <c r="P3296" t="s">
        <v>15211</v>
      </c>
      <c r="Q3296" t="s">
        <v>15211</v>
      </c>
      <c r="R3296" t="s">
        <v>15211</v>
      </c>
      <c r="S3296" t="s">
        <v>15211</v>
      </c>
      <c r="T3296" t="s">
        <v>3367</v>
      </c>
      <c r="U3296" t="s">
        <v>15146</v>
      </c>
      <c r="V3296" t="s">
        <v>15279</v>
      </c>
    </row>
    <row r="3297" spans="1:22" ht="15" hidden="1">
      <c r="A3297" t="s">
        <v>15424</v>
      </c>
      <c r="B3297" t="s">
        <v>15442</v>
      </c>
      <c r="C3297" t="s">
        <v>15445</v>
      </c>
      <c r="D3297" t="s">
        <v>3292</v>
      </c>
      <c r="E3297" t="s">
        <v>3427</v>
      </c>
      <c r="F3297" t="s">
        <v>3433</v>
      </c>
      <c r="G3297" s="3">
        <v>34.9042520216599</v>
      </c>
      <c r="H3297" s="3">
        <v>127.142654353186</v>
      </c>
      <c r="I3297" t="s">
        <v>7061</v>
      </c>
      <c r="J3297" t="s">
        <v>10415</v>
      </c>
      <c r="K3297" t="s">
        <v>11875</v>
      </c>
      <c r="L3297" t="s">
        <v>3366</v>
      </c>
      <c r="M3297" t="s">
        <v>11886</v>
      </c>
      <c r="N3297" t="s">
        <v>3364</v>
      </c>
      <c r="O3297" t="s">
        <v>3359</v>
      </c>
      <c r="P3297" t="s">
        <v>15211</v>
      </c>
      <c r="Q3297" t="s">
        <v>15211</v>
      </c>
      <c r="R3297" t="s">
        <v>15211</v>
      </c>
      <c r="S3297" t="s">
        <v>15211</v>
      </c>
      <c r="T3297" t="s">
        <v>3367</v>
      </c>
      <c r="U3297" t="s">
        <v>15147</v>
      </c>
      <c r="V3297" t="s">
        <v>15279</v>
      </c>
    </row>
    <row r="3298" spans="1:22" ht="15" hidden="1">
      <c r="A3298" t="s">
        <v>15424</v>
      </c>
      <c r="B3298" t="s">
        <v>15442</v>
      </c>
      <c r="C3298" t="s">
        <v>15445</v>
      </c>
      <c r="D3298" t="s">
        <v>3293</v>
      </c>
      <c r="E3298" t="s">
        <v>3438</v>
      </c>
      <c r="F3298" t="s">
        <v>3432</v>
      </c>
      <c r="G3298" s="3">
        <v>34.904252031557398</v>
      </c>
      <c r="H3298" s="3">
        <v>127.142654357653</v>
      </c>
      <c r="I3298" t="s">
        <v>7062</v>
      </c>
      <c r="J3298" t="s">
        <v>10416</v>
      </c>
      <c r="K3298" t="s">
        <v>11876</v>
      </c>
      <c r="L3298" t="s">
        <v>3366</v>
      </c>
      <c r="M3298" t="s">
        <v>11886</v>
      </c>
      <c r="N3298" t="s">
        <v>3364</v>
      </c>
      <c r="O3298" t="s">
        <v>3359</v>
      </c>
      <c r="P3298" t="s">
        <v>15211</v>
      </c>
      <c r="Q3298" t="s">
        <v>15211</v>
      </c>
      <c r="R3298" t="s">
        <v>15211</v>
      </c>
      <c r="S3298" t="s">
        <v>15211</v>
      </c>
      <c r="T3298" t="s">
        <v>3367</v>
      </c>
      <c r="U3298" t="s">
        <v>15148</v>
      </c>
      <c r="V3298" t="s">
        <v>15279</v>
      </c>
    </row>
    <row r="3299" spans="1:22" ht="15" hidden="1">
      <c r="A3299" t="s">
        <v>15424</v>
      </c>
      <c r="B3299" t="s">
        <v>15442</v>
      </c>
      <c r="C3299" t="s">
        <v>15451</v>
      </c>
      <c r="D3299" t="s">
        <v>3294</v>
      </c>
      <c r="E3299" t="s">
        <v>3439</v>
      </c>
      <c r="F3299" t="s">
        <v>3428</v>
      </c>
      <c r="G3299" s="3">
        <v>34.904252012216801</v>
      </c>
      <c r="H3299" s="3">
        <v>127.142654366126</v>
      </c>
      <c r="I3299" t="s">
        <v>7063</v>
      </c>
      <c r="J3299" t="s">
        <v>10417</v>
      </c>
      <c r="K3299" t="s">
        <v>3623</v>
      </c>
      <c r="L3299" t="s">
        <v>3366</v>
      </c>
      <c r="M3299" t="s">
        <v>11911</v>
      </c>
      <c r="N3299" t="s">
        <v>3364</v>
      </c>
      <c r="O3299" t="s">
        <v>3359</v>
      </c>
      <c r="P3299" t="s">
        <v>3361</v>
      </c>
      <c r="Q3299" t="s">
        <v>3369</v>
      </c>
      <c r="R3299" t="s">
        <v>15211</v>
      </c>
      <c r="S3299" t="s">
        <v>15211</v>
      </c>
      <c r="T3299" t="s">
        <v>3385</v>
      </c>
      <c r="U3299" t="s">
        <v>15149</v>
      </c>
      <c r="V3299" t="s">
        <v>15280</v>
      </c>
    </row>
    <row r="3300" spans="1:22" ht="15" hidden="1">
      <c r="A3300" t="s">
        <v>15424</v>
      </c>
      <c r="B3300" t="s">
        <v>15442</v>
      </c>
      <c r="C3300" t="s">
        <v>15451</v>
      </c>
      <c r="D3300" t="s">
        <v>3295</v>
      </c>
      <c r="E3300" t="s">
        <v>3439</v>
      </c>
      <c r="F3300" t="s">
        <v>3428</v>
      </c>
      <c r="G3300" s="3">
        <v>34.904252019413804</v>
      </c>
      <c r="H3300" s="3">
        <v>127.14265436724099</v>
      </c>
      <c r="I3300" t="s">
        <v>7064</v>
      </c>
      <c r="J3300" t="s">
        <v>10418</v>
      </c>
      <c r="K3300" t="s">
        <v>3622</v>
      </c>
      <c r="L3300" t="s">
        <v>3366</v>
      </c>
      <c r="M3300" t="s">
        <v>11911</v>
      </c>
      <c r="N3300" t="s">
        <v>3364</v>
      </c>
      <c r="O3300" t="s">
        <v>3359</v>
      </c>
      <c r="P3300" t="s">
        <v>3361</v>
      </c>
      <c r="Q3300" t="s">
        <v>3369</v>
      </c>
      <c r="R3300" t="s">
        <v>15211</v>
      </c>
      <c r="S3300" t="s">
        <v>15211</v>
      </c>
      <c r="T3300" t="s">
        <v>3385</v>
      </c>
      <c r="U3300" t="s">
        <v>15150</v>
      </c>
      <c r="V3300" t="s">
        <v>15280</v>
      </c>
    </row>
    <row r="3301" spans="1:22" ht="15" hidden="1">
      <c r="A3301" t="s">
        <v>15424</v>
      </c>
      <c r="B3301" t="s">
        <v>15442</v>
      </c>
      <c r="C3301" t="s">
        <v>15451</v>
      </c>
      <c r="D3301" t="s">
        <v>3296</v>
      </c>
      <c r="E3301" t="s">
        <v>3439</v>
      </c>
      <c r="F3301" t="s">
        <v>3428</v>
      </c>
      <c r="G3301" s="3">
        <v>34.904252017138703</v>
      </c>
      <c r="H3301" s="3">
        <v>127.142654365426</v>
      </c>
      <c r="I3301" t="s">
        <v>7065</v>
      </c>
      <c r="J3301" t="s">
        <v>10419</v>
      </c>
      <c r="K3301" t="s">
        <v>3622</v>
      </c>
      <c r="L3301" t="s">
        <v>3366</v>
      </c>
      <c r="M3301" t="s">
        <v>11911</v>
      </c>
      <c r="N3301" t="s">
        <v>3364</v>
      </c>
      <c r="O3301" t="s">
        <v>3359</v>
      </c>
      <c r="P3301" t="s">
        <v>3361</v>
      </c>
      <c r="Q3301" t="s">
        <v>3369</v>
      </c>
      <c r="R3301" t="s">
        <v>15211</v>
      </c>
      <c r="S3301" t="s">
        <v>15211</v>
      </c>
      <c r="T3301" t="s">
        <v>3385</v>
      </c>
      <c r="U3301" t="s">
        <v>15151</v>
      </c>
      <c r="V3301" t="s">
        <v>15280</v>
      </c>
    </row>
    <row r="3302" spans="1:22" hidden="1">
      <c r="A3302" t="s">
        <v>15439</v>
      </c>
      <c r="B3302" t="s">
        <v>15441</v>
      </c>
      <c r="C3302" t="s">
        <v>15445</v>
      </c>
      <c r="D3302" t="s">
        <v>2428</v>
      </c>
      <c r="E3302" t="s">
        <v>3434</v>
      </c>
      <c r="F3302" t="s">
        <v>3477</v>
      </c>
      <c r="G3302" s="3">
        <v>34.890180133811697</v>
      </c>
      <c r="H3302" s="3">
        <v>126.697321421808</v>
      </c>
      <c r="I3302" t="s">
        <v>6198</v>
      </c>
      <c r="J3302" t="s">
        <v>9554</v>
      </c>
      <c r="K3302" t="s">
        <v>11380</v>
      </c>
      <c r="L3302" t="s">
        <v>3366</v>
      </c>
      <c r="M3302" t="s">
        <v>11885</v>
      </c>
      <c r="N3302" t="s">
        <v>3362</v>
      </c>
      <c r="O3302" t="s">
        <v>3362</v>
      </c>
      <c r="P3302" t="s">
        <v>15211</v>
      </c>
      <c r="Q3302" t="s">
        <v>15211</v>
      </c>
      <c r="R3302" t="s">
        <v>15211</v>
      </c>
      <c r="S3302" t="s">
        <v>15211</v>
      </c>
      <c r="T3302" t="s">
        <v>3368</v>
      </c>
      <c r="U3302" t="s">
        <v>14304</v>
      </c>
      <c r="V3302" t="s">
        <v>15274</v>
      </c>
    </row>
    <row r="3303" spans="1:22" hidden="1">
      <c r="A3303" t="s">
        <v>15439</v>
      </c>
      <c r="B3303" t="s">
        <v>15441</v>
      </c>
      <c r="C3303" t="s">
        <v>15445</v>
      </c>
      <c r="D3303" t="s">
        <v>2429</v>
      </c>
      <c r="E3303" t="s">
        <v>3435</v>
      </c>
      <c r="F3303" t="s">
        <v>3477</v>
      </c>
      <c r="G3303" s="3">
        <v>34.890180129489003</v>
      </c>
      <c r="H3303" s="3">
        <v>126.697321402011</v>
      </c>
      <c r="I3303" t="s">
        <v>6199</v>
      </c>
      <c r="J3303" t="s">
        <v>9555</v>
      </c>
      <c r="K3303" t="s">
        <v>11691</v>
      </c>
      <c r="L3303" t="s">
        <v>3366</v>
      </c>
      <c r="M3303" t="s">
        <v>11885</v>
      </c>
      <c r="N3303" t="s">
        <v>3362</v>
      </c>
      <c r="O3303" t="s">
        <v>3362</v>
      </c>
      <c r="P3303" t="s">
        <v>15211</v>
      </c>
      <c r="Q3303" t="s">
        <v>15211</v>
      </c>
      <c r="R3303" t="s">
        <v>15211</v>
      </c>
      <c r="S3303" t="s">
        <v>15211</v>
      </c>
      <c r="T3303" t="s">
        <v>3368</v>
      </c>
      <c r="U3303" t="s">
        <v>14305</v>
      </c>
      <c r="V3303" t="s">
        <v>15274</v>
      </c>
    </row>
    <row r="3304" spans="1:22" hidden="1">
      <c r="A3304" t="s">
        <v>15439</v>
      </c>
      <c r="B3304" t="s">
        <v>15441</v>
      </c>
      <c r="C3304" t="s">
        <v>15445</v>
      </c>
      <c r="D3304" t="s">
        <v>2430</v>
      </c>
      <c r="E3304" t="s">
        <v>3435</v>
      </c>
      <c r="F3304" t="s">
        <v>3477</v>
      </c>
      <c r="G3304" s="3">
        <v>34.890180115991299</v>
      </c>
      <c r="H3304" s="3">
        <v>126.697321406445</v>
      </c>
      <c r="I3304" t="s">
        <v>6200</v>
      </c>
      <c r="J3304" t="s">
        <v>9556</v>
      </c>
      <c r="K3304" t="s">
        <v>11419</v>
      </c>
      <c r="L3304" t="s">
        <v>3366</v>
      </c>
      <c r="M3304" t="s">
        <v>11885</v>
      </c>
      <c r="N3304" t="s">
        <v>3362</v>
      </c>
      <c r="O3304" t="s">
        <v>3362</v>
      </c>
      <c r="P3304" t="s">
        <v>15211</v>
      </c>
      <c r="Q3304" t="s">
        <v>15211</v>
      </c>
      <c r="R3304" t="s">
        <v>15211</v>
      </c>
      <c r="S3304" t="s">
        <v>15211</v>
      </c>
      <c r="T3304" t="s">
        <v>3368</v>
      </c>
      <c r="U3304" t="s">
        <v>14306</v>
      </c>
      <c r="V3304" t="s">
        <v>15274</v>
      </c>
    </row>
    <row r="3305" spans="1:22" hidden="1">
      <c r="A3305" t="s">
        <v>15439</v>
      </c>
      <c r="B3305" t="s">
        <v>15441</v>
      </c>
      <c r="C3305" t="s">
        <v>15449</v>
      </c>
      <c r="D3305" t="s">
        <v>2431</v>
      </c>
      <c r="E3305" t="s">
        <v>3438</v>
      </c>
      <c r="F3305" t="s">
        <v>3442</v>
      </c>
      <c r="G3305" s="3">
        <v>34.890180087732702</v>
      </c>
      <c r="H3305" s="3">
        <v>126.69732152969</v>
      </c>
      <c r="I3305" t="s">
        <v>6201</v>
      </c>
      <c r="J3305" t="s">
        <v>9557</v>
      </c>
      <c r="K3305" t="s">
        <v>11692</v>
      </c>
      <c r="L3305" t="s">
        <v>3366</v>
      </c>
      <c r="M3305" t="s">
        <v>11907</v>
      </c>
      <c r="N3305" t="s">
        <v>3362</v>
      </c>
      <c r="O3305" t="s">
        <v>3362</v>
      </c>
      <c r="P3305" t="s">
        <v>3363</v>
      </c>
      <c r="Q3305" t="s">
        <v>3366</v>
      </c>
      <c r="R3305" t="s">
        <v>3357</v>
      </c>
      <c r="S3305" t="s">
        <v>15211</v>
      </c>
      <c r="T3305" t="s">
        <v>3386</v>
      </c>
      <c r="U3305" t="s">
        <v>14307</v>
      </c>
      <c r="V3305" t="s">
        <v>15277</v>
      </c>
    </row>
    <row r="3306" spans="1:22" hidden="1">
      <c r="A3306" t="s">
        <v>15439</v>
      </c>
      <c r="B3306" t="s">
        <v>15441</v>
      </c>
      <c r="C3306" t="s">
        <v>15449</v>
      </c>
      <c r="D3306" t="s">
        <v>2432</v>
      </c>
      <c r="E3306" t="s">
        <v>3438</v>
      </c>
      <c r="F3306" t="s">
        <v>3442</v>
      </c>
      <c r="G3306" s="3">
        <v>34.890180083788998</v>
      </c>
      <c r="H3306" s="3">
        <v>126.69732154823799</v>
      </c>
      <c r="I3306" t="s">
        <v>6202</v>
      </c>
      <c r="J3306" t="s">
        <v>9558</v>
      </c>
      <c r="K3306" t="s">
        <v>11692</v>
      </c>
      <c r="L3306" t="s">
        <v>3366</v>
      </c>
      <c r="M3306" t="s">
        <v>11907</v>
      </c>
      <c r="N3306" t="s">
        <v>3362</v>
      </c>
      <c r="O3306" t="s">
        <v>3362</v>
      </c>
      <c r="P3306" t="s">
        <v>3363</v>
      </c>
      <c r="Q3306" t="s">
        <v>3366</v>
      </c>
      <c r="R3306" t="s">
        <v>3357</v>
      </c>
      <c r="S3306" t="s">
        <v>15211</v>
      </c>
      <c r="T3306" t="s">
        <v>3386</v>
      </c>
      <c r="U3306" t="s">
        <v>14308</v>
      </c>
      <c r="V3306" t="s">
        <v>15277</v>
      </c>
    </row>
    <row r="3307" spans="1:22" hidden="1">
      <c r="A3307" t="s">
        <v>15439</v>
      </c>
      <c r="B3307" t="s">
        <v>15441</v>
      </c>
      <c r="C3307" t="s">
        <v>15449</v>
      </c>
      <c r="D3307" t="s">
        <v>2433</v>
      </c>
      <c r="E3307" t="s">
        <v>3438</v>
      </c>
      <c r="F3307" t="s">
        <v>3442</v>
      </c>
      <c r="G3307" s="3">
        <v>34.890180097571097</v>
      </c>
      <c r="H3307" s="3">
        <v>126.697321546331</v>
      </c>
      <c r="I3307" t="s">
        <v>6203</v>
      </c>
      <c r="J3307" t="s">
        <v>9559</v>
      </c>
      <c r="K3307" t="s">
        <v>11146</v>
      </c>
      <c r="L3307" t="s">
        <v>3366</v>
      </c>
      <c r="M3307" t="s">
        <v>11907</v>
      </c>
      <c r="N3307" t="s">
        <v>3362</v>
      </c>
      <c r="O3307" t="s">
        <v>3362</v>
      </c>
      <c r="P3307" t="s">
        <v>3363</v>
      </c>
      <c r="Q3307" t="s">
        <v>3366</v>
      </c>
      <c r="R3307" t="s">
        <v>3357</v>
      </c>
      <c r="S3307" t="s">
        <v>15211</v>
      </c>
      <c r="T3307" t="s">
        <v>3386</v>
      </c>
      <c r="U3307" t="s">
        <v>14309</v>
      </c>
      <c r="V3307" t="s">
        <v>15277</v>
      </c>
    </row>
    <row r="3308" spans="1:22" hidden="1">
      <c r="A3308" t="s">
        <v>15439</v>
      </c>
      <c r="B3308" t="s">
        <v>15442</v>
      </c>
      <c r="C3308" t="s">
        <v>15445</v>
      </c>
      <c r="D3308" t="s">
        <v>2434</v>
      </c>
      <c r="E3308" t="s">
        <v>3440</v>
      </c>
      <c r="F3308" t="s">
        <v>3453</v>
      </c>
      <c r="G3308" s="3">
        <v>34.8901801062134</v>
      </c>
      <c r="H3308" s="3">
        <v>126.697321599749</v>
      </c>
      <c r="I3308" t="s">
        <v>6204</v>
      </c>
      <c r="J3308" t="s">
        <v>9560</v>
      </c>
      <c r="K3308" t="s">
        <v>11693</v>
      </c>
      <c r="L3308" t="s">
        <v>3366</v>
      </c>
      <c r="M3308" t="s">
        <v>11885</v>
      </c>
      <c r="N3308" t="s">
        <v>3362</v>
      </c>
      <c r="O3308" t="s">
        <v>3362</v>
      </c>
      <c r="P3308" t="s">
        <v>15211</v>
      </c>
      <c r="Q3308" t="s">
        <v>15211</v>
      </c>
      <c r="R3308" t="s">
        <v>15211</v>
      </c>
      <c r="S3308" t="s">
        <v>15211</v>
      </c>
      <c r="T3308" t="s">
        <v>3368</v>
      </c>
      <c r="U3308" t="s">
        <v>14310</v>
      </c>
      <c r="V3308" t="s">
        <v>15279</v>
      </c>
    </row>
    <row r="3309" spans="1:22" hidden="1">
      <c r="A3309" t="s">
        <v>15439</v>
      </c>
      <c r="B3309" t="s">
        <v>15442</v>
      </c>
      <c r="C3309" t="s">
        <v>15445</v>
      </c>
      <c r="D3309" t="s">
        <v>2435</v>
      </c>
      <c r="E3309" t="s">
        <v>3427</v>
      </c>
      <c r="F3309" t="s">
        <v>3465</v>
      </c>
      <c r="G3309" s="3">
        <v>34.890180072552504</v>
      </c>
      <c r="H3309" s="3">
        <v>126.69732163275999</v>
      </c>
      <c r="I3309" t="s">
        <v>6205</v>
      </c>
      <c r="J3309" t="s">
        <v>9561</v>
      </c>
      <c r="K3309" t="s">
        <v>11513</v>
      </c>
      <c r="L3309" t="s">
        <v>3366</v>
      </c>
      <c r="M3309" t="s">
        <v>11885</v>
      </c>
      <c r="N3309" t="s">
        <v>3362</v>
      </c>
      <c r="O3309" t="s">
        <v>3362</v>
      </c>
      <c r="P3309" t="s">
        <v>15211</v>
      </c>
      <c r="Q3309" t="s">
        <v>15211</v>
      </c>
      <c r="R3309" t="s">
        <v>15211</v>
      </c>
      <c r="S3309" t="s">
        <v>15211</v>
      </c>
      <c r="T3309" t="s">
        <v>3368</v>
      </c>
      <c r="U3309" t="s">
        <v>14311</v>
      </c>
      <c r="V3309" t="s">
        <v>15279</v>
      </c>
    </row>
    <row r="3310" spans="1:22" hidden="1">
      <c r="A3310" t="s">
        <v>15439</v>
      </c>
      <c r="B3310" t="s">
        <v>15442</v>
      </c>
      <c r="C3310" t="s">
        <v>15445</v>
      </c>
      <c r="D3310" t="s">
        <v>2436</v>
      </c>
      <c r="E3310" t="s">
        <v>3428</v>
      </c>
      <c r="F3310" t="s">
        <v>3450</v>
      </c>
      <c r="G3310" s="3">
        <v>34.890180044694603</v>
      </c>
      <c r="H3310" s="3">
        <v>126.697321611511</v>
      </c>
      <c r="I3310" t="s">
        <v>6206</v>
      </c>
      <c r="J3310" t="s">
        <v>9562</v>
      </c>
      <c r="K3310" t="s">
        <v>11694</v>
      </c>
      <c r="L3310" t="s">
        <v>3366</v>
      </c>
      <c r="M3310" t="s">
        <v>11885</v>
      </c>
      <c r="N3310" t="s">
        <v>3362</v>
      </c>
      <c r="O3310" t="s">
        <v>3362</v>
      </c>
      <c r="P3310" t="s">
        <v>15211</v>
      </c>
      <c r="Q3310" t="s">
        <v>15211</v>
      </c>
      <c r="R3310" t="s">
        <v>15211</v>
      </c>
      <c r="S3310" t="s">
        <v>15211</v>
      </c>
      <c r="T3310" t="s">
        <v>3368</v>
      </c>
      <c r="U3310" t="s">
        <v>14312</v>
      </c>
      <c r="V3310" t="s">
        <v>15279</v>
      </c>
    </row>
    <row r="3311" spans="1:22" hidden="1">
      <c r="A3311" t="s">
        <v>15439</v>
      </c>
      <c r="B3311" t="s">
        <v>15442</v>
      </c>
      <c r="C3311" t="s">
        <v>15451</v>
      </c>
      <c r="D3311" t="s">
        <v>2437</v>
      </c>
      <c r="E3311" t="s">
        <v>3438</v>
      </c>
      <c r="F3311" t="s">
        <v>3430</v>
      </c>
      <c r="G3311" s="3">
        <v>34.890180091347901</v>
      </c>
      <c r="H3311" s="3">
        <v>126.697321588531</v>
      </c>
      <c r="I3311" t="s">
        <v>6207</v>
      </c>
      <c r="J3311" t="s">
        <v>9563</v>
      </c>
      <c r="K3311" t="s">
        <v>11189</v>
      </c>
      <c r="L3311" t="s">
        <v>3366</v>
      </c>
      <c r="M3311" t="s">
        <v>11907</v>
      </c>
      <c r="N3311" t="s">
        <v>3362</v>
      </c>
      <c r="O3311" t="s">
        <v>3362</v>
      </c>
      <c r="P3311" t="s">
        <v>3363</v>
      </c>
      <c r="Q3311" t="s">
        <v>3367</v>
      </c>
      <c r="R3311" t="s">
        <v>15211</v>
      </c>
      <c r="S3311" t="s">
        <v>15211</v>
      </c>
      <c r="T3311" t="s">
        <v>3386</v>
      </c>
      <c r="U3311" t="s">
        <v>14313</v>
      </c>
      <c r="V3311" t="s">
        <v>15280</v>
      </c>
    </row>
    <row r="3312" spans="1:22" hidden="1">
      <c r="A3312" t="s">
        <v>15439</v>
      </c>
      <c r="B3312" t="s">
        <v>15442</v>
      </c>
      <c r="C3312" t="s">
        <v>15451</v>
      </c>
      <c r="D3312" t="s">
        <v>2438</v>
      </c>
      <c r="E3312" t="s">
        <v>3438</v>
      </c>
      <c r="F3312" t="s">
        <v>3430</v>
      </c>
      <c r="G3312" s="3">
        <v>34.890180125092797</v>
      </c>
      <c r="H3312" s="3">
        <v>126.697321603277</v>
      </c>
      <c r="I3312" t="s">
        <v>6208</v>
      </c>
      <c r="J3312" t="s">
        <v>9564</v>
      </c>
      <c r="K3312" t="s">
        <v>11695</v>
      </c>
      <c r="L3312" t="s">
        <v>3366</v>
      </c>
      <c r="M3312" t="s">
        <v>11911</v>
      </c>
      <c r="N3312" t="s">
        <v>3362</v>
      </c>
      <c r="O3312" t="s">
        <v>3362</v>
      </c>
      <c r="P3312" t="s">
        <v>3363</v>
      </c>
      <c r="Q3312" t="s">
        <v>3366</v>
      </c>
      <c r="R3312" t="s">
        <v>15211</v>
      </c>
      <c r="S3312" t="s">
        <v>15211</v>
      </c>
      <c r="T3312" t="s">
        <v>3385</v>
      </c>
      <c r="U3312" t="s">
        <v>14314</v>
      </c>
      <c r="V3312" t="s">
        <v>15280</v>
      </c>
    </row>
    <row r="3313" spans="1:22" hidden="1">
      <c r="A3313" t="s">
        <v>15439</v>
      </c>
      <c r="B3313" t="s">
        <v>15442</v>
      </c>
      <c r="C3313" t="s">
        <v>15451</v>
      </c>
      <c r="D3313" t="s">
        <v>2439</v>
      </c>
      <c r="E3313" t="s">
        <v>3438</v>
      </c>
      <c r="F3313" t="s">
        <v>3430</v>
      </c>
      <c r="G3313" s="3">
        <v>34.890180144020697</v>
      </c>
      <c r="H3313" s="3">
        <v>126.697321567101</v>
      </c>
      <c r="I3313" t="s">
        <v>6209</v>
      </c>
      <c r="J3313" t="s">
        <v>9565</v>
      </c>
      <c r="K3313" t="s">
        <v>3734</v>
      </c>
      <c r="L3313" t="s">
        <v>3366</v>
      </c>
      <c r="M3313" t="s">
        <v>11907</v>
      </c>
      <c r="N3313" t="s">
        <v>3362</v>
      </c>
      <c r="O3313" t="s">
        <v>3362</v>
      </c>
      <c r="P3313" t="s">
        <v>3363</v>
      </c>
      <c r="Q3313" t="s">
        <v>3367</v>
      </c>
      <c r="R3313" t="s">
        <v>15211</v>
      </c>
      <c r="S3313" t="s">
        <v>15211</v>
      </c>
      <c r="T3313" t="s">
        <v>3386</v>
      </c>
      <c r="U3313" t="s">
        <v>14315</v>
      </c>
      <c r="V3313" t="s">
        <v>15280</v>
      </c>
    </row>
    <row r="3314" spans="1:22" ht="15" hidden="1">
      <c r="A3314" t="s">
        <v>15425</v>
      </c>
      <c r="B3314" t="s">
        <v>15441</v>
      </c>
      <c r="C3314" t="s">
        <v>15445</v>
      </c>
      <c r="D3314" t="s">
        <v>3297</v>
      </c>
      <c r="E3314" t="s">
        <v>3429</v>
      </c>
      <c r="F3314" t="s">
        <v>3449</v>
      </c>
      <c r="G3314" s="3">
        <v>34.8428638049878</v>
      </c>
      <c r="H3314" s="3">
        <v>126.878066214676</v>
      </c>
      <c r="I3314" t="s">
        <v>7066</v>
      </c>
      <c r="J3314" t="s">
        <v>10420</v>
      </c>
      <c r="K3314" t="s">
        <v>11792</v>
      </c>
      <c r="L3314" t="s">
        <v>3366</v>
      </c>
      <c r="M3314" t="s">
        <v>11886</v>
      </c>
      <c r="N3314" t="s">
        <v>3363</v>
      </c>
      <c r="O3314" t="s">
        <v>3360</v>
      </c>
      <c r="P3314" t="s">
        <v>15211</v>
      </c>
      <c r="Q3314" t="s">
        <v>15211</v>
      </c>
      <c r="R3314" t="s">
        <v>15211</v>
      </c>
      <c r="S3314" t="s">
        <v>15211</v>
      </c>
      <c r="T3314" t="s">
        <v>3367</v>
      </c>
      <c r="U3314" t="s">
        <v>15152</v>
      </c>
      <c r="V3314" t="s">
        <v>15274</v>
      </c>
    </row>
    <row r="3315" spans="1:22" ht="15" hidden="1">
      <c r="A3315" t="s">
        <v>15425</v>
      </c>
      <c r="B3315" t="s">
        <v>15441</v>
      </c>
      <c r="C3315" t="s">
        <v>15445</v>
      </c>
      <c r="D3315" t="s">
        <v>3298</v>
      </c>
      <c r="E3315" t="s">
        <v>3429</v>
      </c>
      <c r="F3315" t="s">
        <v>3449</v>
      </c>
      <c r="G3315" s="3">
        <v>34.842863789947103</v>
      </c>
      <c r="H3315" s="3">
        <v>126.87806618590101</v>
      </c>
      <c r="I3315" t="s">
        <v>7067</v>
      </c>
      <c r="J3315" t="s">
        <v>10421</v>
      </c>
      <c r="K3315" t="s">
        <v>11792</v>
      </c>
      <c r="L3315" t="s">
        <v>3366</v>
      </c>
      <c r="M3315" t="s">
        <v>11886</v>
      </c>
      <c r="N3315" t="s">
        <v>3363</v>
      </c>
      <c r="O3315" t="s">
        <v>3360</v>
      </c>
      <c r="P3315" t="s">
        <v>15211</v>
      </c>
      <c r="Q3315" t="s">
        <v>15211</v>
      </c>
      <c r="R3315" t="s">
        <v>15211</v>
      </c>
      <c r="S3315" t="s">
        <v>15211</v>
      </c>
      <c r="T3315" t="s">
        <v>3367</v>
      </c>
      <c r="U3315" t="s">
        <v>15153</v>
      </c>
      <c r="V3315" t="s">
        <v>15274</v>
      </c>
    </row>
    <row r="3316" spans="1:22" ht="15" hidden="1">
      <c r="A3316" t="s">
        <v>15425</v>
      </c>
      <c r="B3316" t="s">
        <v>15441</v>
      </c>
      <c r="C3316" t="s">
        <v>15445</v>
      </c>
      <c r="D3316" t="s">
        <v>3299</v>
      </c>
      <c r="E3316" t="s">
        <v>3429</v>
      </c>
      <c r="F3316" t="s">
        <v>3460</v>
      </c>
      <c r="G3316" s="3">
        <v>34.842863797981998</v>
      </c>
      <c r="H3316" s="3">
        <v>126.878066186656</v>
      </c>
      <c r="I3316" t="s">
        <v>7068</v>
      </c>
      <c r="J3316" t="s">
        <v>10422</v>
      </c>
      <c r="K3316" t="s">
        <v>11533</v>
      </c>
      <c r="L3316" t="s">
        <v>3366</v>
      </c>
      <c r="M3316" t="s">
        <v>11886</v>
      </c>
      <c r="N3316" t="s">
        <v>3363</v>
      </c>
      <c r="O3316" t="s">
        <v>3360</v>
      </c>
      <c r="P3316" t="s">
        <v>15211</v>
      </c>
      <c r="Q3316" t="s">
        <v>15211</v>
      </c>
      <c r="R3316" t="s">
        <v>15211</v>
      </c>
      <c r="S3316" t="s">
        <v>15211</v>
      </c>
      <c r="T3316" t="s">
        <v>3367</v>
      </c>
      <c r="U3316" t="s">
        <v>15154</v>
      </c>
      <c r="V3316" t="s">
        <v>15274</v>
      </c>
    </row>
    <row r="3317" spans="1:22" ht="15" hidden="1">
      <c r="A3317" t="s">
        <v>15425</v>
      </c>
      <c r="B3317" t="s">
        <v>15441</v>
      </c>
      <c r="C3317" t="s">
        <v>15446</v>
      </c>
      <c r="D3317" t="s">
        <v>3300</v>
      </c>
      <c r="E3317" t="s">
        <v>3431</v>
      </c>
      <c r="F3317" t="s">
        <v>3452</v>
      </c>
      <c r="G3317" s="3">
        <v>34.842863810576503</v>
      </c>
      <c r="H3317" s="3">
        <v>126.878066340076</v>
      </c>
      <c r="I3317" t="s">
        <v>7069</v>
      </c>
      <c r="J3317" t="s">
        <v>10423</v>
      </c>
      <c r="K3317" t="s">
        <v>11877</v>
      </c>
      <c r="L3317" t="s">
        <v>3366</v>
      </c>
      <c r="M3317" t="s">
        <v>11886</v>
      </c>
      <c r="N3317" t="s">
        <v>3363</v>
      </c>
      <c r="O3317" t="s">
        <v>3360</v>
      </c>
      <c r="P3317" t="s">
        <v>15211</v>
      </c>
      <c r="Q3317" t="s">
        <v>15211</v>
      </c>
      <c r="R3317" t="s">
        <v>15211</v>
      </c>
      <c r="S3317" t="s">
        <v>15211</v>
      </c>
      <c r="T3317" t="s">
        <v>3367</v>
      </c>
      <c r="U3317" t="s">
        <v>15155</v>
      </c>
      <c r="V3317" t="s">
        <v>15275</v>
      </c>
    </row>
    <row r="3318" spans="1:22" ht="15" hidden="1">
      <c r="A3318" t="s">
        <v>15425</v>
      </c>
      <c r="B3318" t="s">
        <v>15441</v>
      </c>
      <c r="C3318" t="s">
        <v>15446</v>
      </c>
      <c r="D3318" t="s">
        <v>3301</v>
      </c>
      <c r="E3318" t="s">
        <v>3431</v>
      </c>
      <c r="F3318" t="s">
        <v>3433</v>
      </c>
      <c r="G3318" s="3">
        <v>34.842863811334901</v>
      </c>
      <c r="H3318" s="3">
        <v>126.87806635941</v>
      </c>
      <c r="I3318" t="s">
        <v>7070</v>
      </c>
      <c r="J3318" t="s">
        <v>10424</v>
      </c>
      <c r="K3318" t="s">
        <v>11877</v>
      </c>
      <c r="L3318" t="s">
        <v>3366</v>
      </c>
      <c r="M3318" t="s">
        <v>11886</v>
      </c>
      <c r="N3318" t="s">
        <v>3363</v>
      </c>
      <c r="O3318" t="s">
        <v>3360</v>
      </c>
      <c r="P3318" t="s">
        <v>15211</v>
      </c>
      <c r="Q3318" t="s">
        <v>15211</v>
      </c>
      <c r="R3318" t="s">
        <v>15211</v>
      </c>
      <c r="S3318" t="s">
        <v>15211</v>
      </c>
      <c r="T3318" t="s">
        <v>3367</v>
      </c>
      <c r="U3318" t="s">
        <v>15156</v>
      </c>
      <c r="V3318" t="s">
        <v>15275</v>
      </c>
    </row>
    <row r="3319" spans="1:22" ht="15" hidden="1">
      <c r="A3319" t="s">
        <v>15425</v>
      </c>
      <c r="B3319" t="s">
        <v>15441</v>
      </c>
      <c r="C3319" t="s">
        <v>15446</v>
      </c>
      <c r="D3319" t="s">
        <v>3302</v>
      </c>
      <c r="E3319" t="s">
        <v>3431</v>
      </c>
      <c r="F3319" t="s">
        <v>3452</v>
      </c>
      <c r="G3319" s="3">
        <v>34.842863826897698</v>
      </c>
      <c r="H3319" s="3">
        <v>126.878066370333</v>
      </c>
      <c r="I3319" t="s">
        <v>7071</v>
      </c>
      <c r="J3319" t="s">
        <v>10425</v>
      </c>
      <c r="K3319" t="s">
        <v>11790</v>
      </c>
      <c r="L3319" t="s">
        <v>3366</v>
      </c>
      <c r="M3319" t="s">
        <v>11886</v>
      </c>
      <c r="N3319" t="s">
        <v>3363</v>
      </c>
      <c r="O3319" t="s">
        <v>3360</v>
      </c>
      <c r="P3319" t="s">
        <v>15211</v>
      </c>
      <c r="Q3319" t="s">
        <v>15211</v>
      </c>
      <c r="R3319" t="s">
        <v>15211</v>
      </c>
      <c r="S3319" t="s">
        <v>15211</v>
      </c>
      <c r="T3319" t="s">
        <v>3367</v>
      </c>
      <c r="U3319" t="s">
        <v>15157</v>
      </c>
      <c r="V3319" t="s">
        <v>15275</v>
      </c>
    </row>
    <row r="3320" spans="1:22" ht="15" hidden="1">
      <c r="A3320" t="s">
        <v>15425</v>
      </c>
      <c r="B3320" t="s">
        <v>15441</v>
      </c>
      <c r="C3320" t="s">
        <v>15448</v>
      </c>
      <c r="D3320" t="s">
        <v>3303</v>
      </c>
      <c r="E3320" t="s">
        <v>3429</v>
      </c>
      <c r="F3320" t="s">
        <v>3543</v>
      </c>
      <c r="G3320" s="3">
        <v>34.8428638823558</v>
      </c>
      <c r="H3320" s="3">
        <v>126.878066457565</v>
      </c>
      <c r="I3320" t="s">
        <v>7072</v>
      </c>
      <c r="J3320" t="s">
        <v>10426</v>
      </c>
      <c r="K3320" t="s">
        <v>11878</v>
      </c>
      <c r="L3320" t="s">
        <v>3371</v>
      </c>
      <c r="M3320" t="s">
        <v>11893</v>
      </c>
      <c r="N3320" t="s">
        <v>3363</v>
      </c>
      <c r="O3320" t="s">
        <v>3360</v>
      </c>
      <c r="P3320" t="s">
        <v>3361</v>
      </c>
      <c r="Q3320" t="s">
        <v>3363</v>
      </c>
      <c r="R3320" t="s">
        <v>3358</v>
      </c>
      <c r="S3320" t="s">
        <v>15211</v>
      </c>
      <c r="T3320" t="s">
        <v>3381</v>
      </c>
      <c r="U3320" t="s">
        <v>15158</v>
      </c>
      <c r="V3320" t="s">
        <v>15276</v>
      </c>
    </row>
    <row r="3321" spans="1:22" ht="15" hidden="1">
      <c r="A3321" t="s">
        <v>15425</v>
      </c>
      <c r="B3321" t="s">
        <v>15441</v>
      </c>
      <c r="C3321" t="s">
        <v>15448</v>
      </c>
      <c r="D3321" t="s">
        <v>3304</v>
      </c>
      <c r="E3321" t="s">
        <v>3435</v>
      </c>
      <c r="F3321" t="s">
        <v>3543</v>
      </c>
      <c r="G3321" s="3">
        <v>34.842863892330698</v>
      </c>
      <c r="H3321" s="3">
        <v>126.878066508732</v>
      </c>
      <c r="I3321" t="s">
        <v>7073</v>
      </c>
      <c r="J3321" t="s">
        <v>10427</v>
      </c>
      <c r="K3321" t="s">
        <v>11878</v>
      </c>
      <c r="L3321" t="s">
        <v>3366</v>
      </c>
      <c r="M3321" t="s">
        <v>11893</v>
      </c>
      <c r="N3321" t="s">
        <v>3363</v>
      </c>
      <c r="O3321" t="s">
        <v>3360</v>
      </c>
      <c r="P3321" t="s">
        <v>3361</v>
      </c>
      <c r="Q3321" t="s">
        <v>3363</v>
      </c>
      <c r="R3321" t="s">
        <v>3358</v>
      </c>
      <c r="S3321" t="s">
        <v>15211</v>
      </c>
      <c r="T3321" t="s">
        <v>3381</v>
      </c>
      <c r="U3321" t="s">
        <v>15159</v>
      </c>
      <c r="V3321" t="s">
        <v>15276</v>
      </c>
    </row>
    <row r="3322" spans="1:22" ht="15" hidden="1">
      <c r="A3322" t="s">
        <v>15425</v>
      </c>
      <c r="B3322" t="s">
        <v>15441</v>
      </c>
      <c r="C3322" t="s">
        <v>15448</v>
      </c>
      <c r="D3322" t="s">
        <v>3305</v>
      </c>
      <c r="E3322" t="s">
        <v>3429</v>
      </c>
      <c r="F3322" t="s">
        <v>3543</v>
      </c>
      <c r="G3322" s="3">
        <v>34.842863886715897</v>
      </c>
      <c r="H3322" s="3">
        <v>126.878066581954</v>
      </c>
      <c r="I3322" t="s">
        <v>7074</v>
      </c>
      <c r="J3322" t="s">
        <v>10428</v>
      </c>
      <c r="K3322" t="s">
        <v>11878</v>
      </c>
      <c r="L3322" t="s">
        <v>3366</v>
      </c>
      <c r="M3322" t="s">
        <v>11893</v>
      </c>
      <c r="N3322" t="s">
        <v>3363</v>
      </c>
      <c r="O3322" t="s">
        <v>3360</v>
      </c>
      <c r="P3322" t="s">
        <v>3361</v>
      </c>
      <c r="Q3322" t="s">
        <v>3363</v>
      </c>
      <c r="R3322" t="s">
        <v>3358</v>
      </c>
      <c r="S3322" t="s">
        <v>15211</v>
      </c>
      <c r="T3322" t="s">
        <v>3381</v>
      </c>
      <c r="U3322" t="s">
        <v>15160</v>
      </c>
      <c r="V3322" t="s">
        <v>15276</v>
      </c>
    </row>
    <row r="3323" spans="1:22" ht="15" hidden="1">
      <c r="A3323" t="s">
        <v>15425</v>
      </c>
      <c r="B3323" t="s">
        <v>15441</v>
      </c>
      <c r="C3323" t="s">
        <v>15449</v>
      </c>
      <c r="D3323" t="s">
        <v>3306</v>
      </c>
      <c r="E3323" t="s">
        <v>3428</v>
      </c>
      <c r="F3323" t="s">
        <v>3453</v>
      </c>
      <c r="G3323" s="3">
        <v>34.842863794507203</v>
      </c>
      <c r="H3323" s="3">
        <v>126.87806640622399</v>
      </c>
      <c r="I3323" t="s">
        <v>7075</v>
      </c>
      <c r="J3323" t="s">
        <v>10429</v>
      </c>
      <c r="K3323" t="s">
        <v>11322</v>
      </c>
      <c r="L3323" t="s">
        <v>3366</v>
      </c>
      <c r="M3323" t="s">
        <v>11908</v>
      </c>
      <c r="N3323" t="s">
        <v>3362</v>
      </c>
      <c r="O3323" t="s">
        <v>3360</v>
      </c>
      <c r="P3323" t="s">
        <v>3361</v>
      </c>
      <c r="Q3323" t="s">
        <v>3360</v>
      </c>
      <c r="R3323" t="s">
        <v>3357</v>
      </c>
      <c r="S3323" t="s">
        <v>15211</v>
      </c>
      <c r="T3323" t="s">
        <v>3376</v>
      </c>
      <c r="U3323" t="s">
        <v>15161</v>
      </c>
      <c r="V3323" t="s">
        <v>15277</v>
      </c>
    </row>
    <row r="3324" spans="1:22" ht="15" hidden="1">
      <c r="A3324" t="s">
        <v>15425</v>
      </c>
      <c r="B3324" t="s">
        <v>15441</v>
      </c>
      <c r="C3324" t="s">
        <v>15449</v>
      </c>
      <c r="D3324" t="s">
        <v>3307</v>
      </c>
      <c r="E3324" t="s">
        <v>3428</v>
      </c>
      <c r="F3324" t="s">
        <v>3453</v>
      </c>
      <c r="G3324" s="3">
        <v>34.842863794519303</v>
      </c>
      <c r="H3324" s="3">
        <v>126.878066402242</v>
      </c>
      <c r="I3324" t="s">
        <v>7076</v>
      </c>
      <c r="J3324" t="s">
        <v>10430</v>
      </c>
      <c r="K3324" t="s">
        <v>11322</v>
      </c>
      <c r="L3324" t="s">
        <v>3366</v>
      </c>
      <c r="M3324" t="s">
        <v>11908</v>
      </c>
      <c r="N3324" t="s">
        <v>3362</v>
      </c>
      <c r="O3324" t="s">
        <v>3360</v>
      </c>
      <c r="P3324" t="s">
        <v>3361</v>
      </c>
      <c r="Q3324" t="s">
        <v>3360</v>
      </c>
      <c r="R3324" t="s">
        <v>3357</v>
      </c>
      <c r="S3324" t="s">
        <v>15211</v>
      </c>
      <c r="T3324" t="s">
        <v>3376</v>
      </c>
      <c r="U3324" t="s">
        <v>15162</v>
      </c>
      <c r="V3324" t="s">
        <v>15277</v>
      </c>
    </row>
    <row r="3325" spans="1:22" ht="15" hidden="1">
      <c r="A3325" t="s">
        <v>15425</v>
      </c>
      <c r="B3325" t="s">
        <v>15441</v>
      </c>
      <c r="C3325" t="s">
        <v>15449</v>
      </c>
      <c r="D3325" t="s">
        <v>3308</v>
      </c>
      <c r="E3325" t="s">
        <v>3428</v>
      </c>
      <c r="F3325" t="s">
        <v>3453</v>
      </c>
      <c r="G3325" s="3">
        <v>34.842863798930701</v>
      </c>
      <c r="H3325" s="3">
        <v>126.878066415181</v>
      </c>
      <c r="I3325" t="s">
        <v>7077</v>
      </c>
      <c r="J3325" t="s">
        <v>10431</v>
      </c>
      <c r="K3325" t="s">
        <v>11322</v>
      </c>
      <c r="L3325" t="s">
        <v>3366</v>
      </c>
      <c r="M3325" t="s">
        <v>11908</v>
      </c>
      <c r="N3325" t="s">
        <v>3362</v>
      </c>
      <c r="O3325" t="s">
        <v>3360</v>
      </c>
      <c r="P3325" t="s">
        <v>3361</v>
      </c>
      <c r="Q3325" t="s">
        <v>3360</v>
      </c>
      <c r="R3325" t="s">
        <v>3357</v>
      </c>
      <c r="S3325" t="s">
        <v>15211</v>
      </c>
      <c r="T3325" t="s">
        <v>3376</v>
      </c>
      <c r="U3325" t="s">
        <v>15163</v>
      </c>
      <c r="V3325" t="s">
        <v>15277</v>
      </c>
    </row>
    <row r="3326" spans="1:22" ht="15" hidden="1">
      <c r="A3326" t="s">
        <v>15425</v>
      </c>
      <c r="B3326" t="s">
        <v>15442</v>
      </c>
      <c r="C3326" t="s">
        <v>15450</v>
      </c>
      <c r="D3326" t="s">
        <v>3309</v>
      </c>
      <c r="E3326" t="s">
        <v>3438</v>
      </c>
      <c r="F3326" t="s">
        <v>3434</v>
      </c>
      <c r="G3326" s="3">
        <v>34.842863523069198</v>
      </c>
      <c r="H3326" s="3">
        <v>126.87806643923101</v>
      </c>
      <c r="I3326" t="s">
        <v>7078</v>
      </c>
      <c r="J3326" t="s">
        <v>10432</v>
      </c>
      <c r="K3326" t="s">
        <v>11157</v>
      </c>
      <c r="L3326" t="s">
        <v>3366</v>
      </c>
      <c r="M3326" t="s">
        <v>11885</v>
      </c>
      <c r="N3326" t="s">
        <v>3363</v>
      </c>
      <c r="O3326" t="s">
        <v>3361</v>
      </c>
      <c r="P3326" t="s">
        <v>15211</v>
      </c>
      <c r="Q3326" t="s">
        <v>15211</v>
      </c>
      <c r="R3326" t="s">
        <v>15211</v>
      </c>
      <c r="S3326" t="s">
        <v>15211</v>
      </c>
      <c r="T3326" t="s">
        <v>3368</v>
      </c>
      <c r="U3326" t="s">
        <v>15164</v>
      </c>
      <c r="V3326" t="s">
        <v>15278</v>
      </c>
    </row>
    <row r="3327" spans="1:22" ht="15" hidden="1">
      <c r="A3327" t="s">
        <v>15425</v>
      </c>
      <c r="B3327" t="s">
        <v>15442</v>
      </c>
      <c r="C3327" t="s">
        <v>15450</v>
      </c>
      <c r="D3327" t="s">
        <v>3310</v>
      </c>
      <c r="E3327" t="s">
        <v>3427</v>
      </c>
      <c r="F3327" t="s">
        <v>3435</v>
      </c>
      <c r="G3327" s="3">
        <v>34.842863540138403</v>
      </c>
      <c r="H3327" s="3">
        <v>126.87806645569501</v>
      </c>
      <c r="I3327" t="s">
        <v>7079</v>
      </c>
      <c r="J3327" t="s">
        <v>10433</v>
      </c>
      <c r="K3327" t="s">
        <v>10965</v>
      </c>
      <c r="L3327" t="s">
        <v>3366</v>
      </c>
      <c r="M3327" t="s">
        <v>11885</v>
      </c>
      <c r="N3327" t="s">
        <v>3363</v>
      </c>
      <c r="O3327" t="s">
        <v>3361</v>
      </c>
      <c r="P3327" t="s">
        <v>15211</v>
      </c>
      <c r="Q3327" t="s">
        <v>15211</v>
      </c>
      <c r="R3327" t="s">
        <v>15211</v>
      </c>
      <c r="S3327" t="s">
        <v>15211</v>
      </c>
      <c r="T3327" t="s">
        <v>3368</v>
      </c>
      <c r="U3327" t="s">
        <v>15165</v>
      </c>
      <c r="V3327" t="s">
        <v>15278</v>
      </c>
    </row>
    <row r="3328" spans="1:22" ht="15" hidden="1">
      <c r="A3328" t="s">
        <v>15425</v>
      </c>
      <c r="B3328" t="s">
        <v>15442</v>
      </c>
      <c r="C3328" t="s">
        <v>15450</v>
      </c>
      <c r="D3328" t="s">
        <v>3311</v>
      </c>
      <c r="E3328" t="s">
        <v>3427</v>
      </c>
      <c r="F3328" t="s">
        <v>3429</v>
      </c>
      <c r="G3328" s="3">
        <v>34.842863528190698</v>
      </c>
      <c r="H3328" s="3">
        <v>126.878066381248</v>
      </c>
      <c r="I3328" t="s">
        <v>7080</v>
      </c>
      <c r="J3328" t="s">
        <v>10434</v>
      </c>
      <c r="K3328" t="s">
        <v>10965</v>
      </c>
      <c r="L3328" t="s">
        <v>3366</v>
      </c>
      <c r="M3328" t="s">
        <v>11885</v>
      </c>
      <c r="N3328" t="s">
        <v>3363</v>
      </c>
      <c r="O3328" t="s">
        <v>3361</v>
      </c>
      <c r="P3328" t="s">
        <v>15211</v>
      </c>
      <c r="Q3328" t="s">
        <v>15211</v>
      </c>
      <c r="R3328" t="s">
        <v>15211</v>
      </c>
      <c r="S3328" t="s">
        <v>15211</v>
      </c>
      <c r="T3328" t="s">
        <v>3368</v>
      </c>
      <c r="U3328" t="s">
        <v>15166</v>
      </c>
      <c r="V3328" t="s">
        <v>15278</v>
      </c>
    </row>
    <row r="3329" spans="1:22" ht="15" hidden="1">
      <c r="A3329" t="s">
        <v>15425</v>
      </c>
      <c r="B3329" t="s">
        <v>15442</v>
      </c>
      <c r="C3329" t="s">
        <v>15445</v>
      </c>
      <c r="D3329" t="s">
        <v>3312</v>
      </c>
      <c r="E3329" t="s">
        <v>3440</v>
      </c>
      <c r="F3329" t="s">
        <v>3425</v>
      </c>
      <c r="G3329" s="3">
        <v>34.842863738110601</v>
      </c>
      <c r="H3329" s="3">
        <v>126.878066288941</v>
      </c>
      <c r="I3329" t="s">
        <v>7081</v>
      </c>
      <c r="J3329" t="s">
        <v>10435</v>
      </c>
      <c r="K3329" t="s">
        <v>10869</v>
      </c>
      <c r="L3329" t="s">
        <v>3366</v>
      </c>
      <c r="M3329" t="s">
        <v>11885</v>
      </c>
      <c r="N3329" t="s">
        <v>3364</v>
      </c>
      <c r="O3329" t="s">
        <v>3360</v>
      </c>
      <c r="P3329" t="s">
        <v>15211</v>
      </c>
      <c r="Q3329" t="s">
        <v>15211</v>
      </c>
      <c r="R3329" t="s">
        <v>15211</v>
      </c>
      <c r="S3329" t="s">
        <v>15211</v>
      </c>
      <c r="T3329" t="s">
        <v>3368</v>
      </c>
      <c r="U3329" t="s">
        <v>15167</v>
      </c>
      <c r="V3329" t="s">
        <v>15279</v>
      </c>
    </row>
    <row r="3330" spans="1:22" ht="15" hidden="1">
      <c r="A3330" t="s">
        <v>15425</v>
      </c>
      <c r="B3330" t="s">
        <v>15442</v>
      </c>
      <c r="C3330" t="s">
        <v>15445</v>
      </c>
      <c r="D3330" t="s">
        <v>3313</v>
      </c>
      <c r="E3330" t="s">
        <v>3428</v>
      </c>
      <c r="F3330" t="s">
        <v>3430</v>
      </c>
      <c r="G3330" s="3">
        <v>34.842863757227803</v>
      </c>
      <c r="H3330" s="3">
        <v>126.87806625308799</v>
      </c>
      <c r="I3330" t="s">
        <v>7082</v>
      </c>
      <c r="J3330" t="s">
        <v>10436</v>
      </c>
      <c r="K3330" t="s">
        <v>10558</v>
      </c>
      <c r="L3330" t="s">
        <v>3366</v>
      </c>
      <c r="M3330" t="s">
        <v>11885</v>
      </c>
      <c r="N3330" t="s">
        <v>3364</v>
      </c>
      <c r="O3330" t="s">
        <v>3360</v>
      </c>
      <c r="P3330" t="s">
        <v>15211</v>
      </c>
      <c r="Q3330" t="s">
        <v>15211</v>
      </c>
      <c r="R3330" t="s">
        <v>15211</v>
      </c>
      <c r="S3330" t="s">
        <v>15211</v>
      </c>
      <c r="T3330" t="s">
        <v>3368</v>
      </c>
      <c r="U3330" t="s">
        <v>15168</v>
      </c>
      <c r="V3330" t="s">
        <v>15279</v>
      </c>
    </row>
    <row r="3331" spans="1:22" ht="15" hidden="1">
      <c r="A3331" t="s">
        <v>15425</v>
      </c>
      <c r="B3331" t="s">
        <v>15442</v>
      </c>
      <c r="C3331" t="s">
        <v>15445</v>
      </c>
      <c r="D3331" t="s">
        <v>3314</v>
      </c>
      <c r="E3331" t="s">
        <v>3434</v>
      </c>
      <c r="F3331" t="s">
        <v>3461</v>
      </c>
      <c r="G3331" s="3">
        <v>34.842863736910701</v>
      </c>
      <c r="H3331" s="3">
        <v>126.87806626241</v>
      </c>
      <c r="I3331" t="s">
        <v>7083</v>
      </c>
      <c r="J3331" t="s">
        <v>10437</v>
      </c>
      <c r="K3331" t="s">
        <v>10861</v>
      </c>
      <c r="L3331" t="s">
        <v>3366</v>
      </c>
      <c r="M3331" t="s">
        <v>11885</v>
      </c>
      <c r="N3331" t="s">
        <v>3364</v>
      </c>
      <c r="O3331" t="s">
        <v>3360</v>
      </c>
      <c r="P3331" t="s">
        <v>15211</v>
      </c>
      <c r="Q3331" t="s">
        <v>15211</v>
      </c>
      <c r="R3331" t="s">
        <v>15211</v>
      </c>
      <c r="S3331" t="s">
        <v>15211</v>
      </c>
      <c r="T3331" t="s">
        <v>3368</v>
      </c>
      <c r="U3331" t="s">
        <v>15169</v>
      </c>
      <c r="V3331" t="s">
        <v>15279</v>
      </c>
    </row>
    <row r="3332" spans="1:22" ht="15" hidden="1">
      <c r="A3332" t="s">
        <v>15425</v>
      </c>
      <c r="B3332" t="s">
        <v>15442</v>
      </c>
      <c r="C3332" t="s">
        <v>15451</v>
      </c>
      <c r="D3332" t="s">
        <v>3315</v>
      </c>
      <c r="E3332" t="s">
        <v>3438</v>
      </c>
      <c r="F3332" t="s">
        <v>3435</v>
      </c>
      <c r="G3332" s="3">
        <v>34.8428637555051</v>
      </c>
      <c r="H3332" s="3">
        <v>126.878066291308</v>
      </c>
      <c r="I3332" t="s">
        <v>7084</v>
      </c>
      <c r="J3332" t="s">
        <v>10438</v>
      </c>
      <c r="K3332" t="s">
        <v>10593</v>
      </c>
      <c r="L3332" t="s">
        <v>3366</v>
      </c>
      <c r="M3332" t="s">
        <v>11891</v>
      </c>
      <c r="N3332" t="s">
        <v>3364</v>
      </c>
      <c r="O3332" t="s">
        <v>3360</v>
      </c>
      <c r="P3332" t="s">
        <v>3361</v>
      </c>
      <c r="Q3332" t="s">
        <v>3363</v>
      </c>
      <c r="R3332" t="s">
        <v>15211</v>
      </c>
      <c r="S3332" t="s">
        <v>15211</v>
      </c>
      <c r="T3332" t="s">
        <v>3380</v>
      </c>
      <c r="U3332" t="s">
        <v>15170</v>
      </c>
      <c r="V3332" t="s">
        <v>15280</v>
      </c>
    </row>
    <row r="3333" spans="1:22" ht="15" hidden="1">
      <c r="A3333" t="s">
        <v>15425</v>
      </c>
      <c r="B3333" t="s">
        <v>15442</v>
      </c>
      <c r="C3333" t="s">
        <v>15451</v>
      </c>
      <c r="D3333" t="s">
        <v>3316</v>
      </c>
      <c r="E3333" t="s">
        <v>3438</v>
      </c>
      <c r="F3333" t="s">
        <v>3435</v>
      </c>
      <c r="G3333" s="3">
        <v>34.8428637433707</v>
      </c>
      <c r="H3333" s="3">
        <v>126.878066293602</v>
      </c>
      <c r="I3333" t="s">
        <v>7085</v>
      </c>
      <c r="J3333" t="s">
        <v>10439</v>
      </c>
      <c r="K3333" t="s">
        <v>11521</v>
      </c>
      <c r="L3333" t="s">
        <v>3366</v>
      </c>
      <c r="M3333" t="s">
        <v>11891</v>
      </c>
      <c r="N3333" t="s">
        <v>3364</v>
      </c>
      <c r="O3333" t="s">
        <v>3360</v>
      </c>
      <c r="P3333" t="s">
        <v>3361</v>
      </c>
      <c r="Q3333" t="s">
        <v>3363</v>
      </c>
      <c r="R3333" t="s">
        <v>15211</v>
      </c>
      <c r="S3333" t="s">
        <v>15211</v>
      </c>
      <c r="T3333" t="s">
        <v>3380</v>
      </c>
      <c r="U3333" t="s">
        <v>15171</v>
      </c>
      <c r="V3333" t="s">
        <v>15280</v>
      </c>
    </row>
    <row r="3334" spans="1:22" ht="15" hidden="1">
      <c r="A3334" t="s">
        <v>15425</v>
      </c>
      <c r="B3334" t="s">
        <v>15442</v>
      </c>
      <c r="C3334" t="s">
        <v>15451</v>
      </c>
      <c r="D3334" t="s">
        <v>3317</v>
      </c>
      <c r="E3334" t="s">
        <v>3438</v>
      </c>
      <c r="F3334" t="s">
        <v>3435</v>
      </c>
      <c r="G3334" s="3">
        <v>34.842863773408702</v>
      </c>
      <c r="H3334" s="3">
        <v>126.87806629424399</v>
      </c>
      <c r="I3334" t="s">
        <v>7086</v>
      </c>
      <c r="J3334" t="s">
        <v>10440</v>
      </c>
      <c r="K3334" t="s">
        <v>11521</v>
      </c>
      <c r="L3334" t="s">
        <v>3366</v>
      </c>
      <c r="M3334" t="s">
        <v>11891</v>
      </c>
      <c r="N3334" t="s">
        <v>3364</v>
      </c>
      <c r="O3334" t="s">
        <v>3360</v>
      </c>
      <c r="P3334" t="s">
        <v>3361</v>
      </c>
      <c r="Q3334" t="s">
        <v>3363</v>
      </c>
      <c r="R3334" t="s">
        <v>15211</v>
      </c>
      <c r="S3334" t="s">
        <v>15211</v>
      </c>
      <c r="T3334" t="s">
        <v>3380</v>
      </c>
      <c r="U3334" t="s">
        <v>15172</v>
      </c>
      <c r="V3334" t="s">
        <v>15280</v>
      </c>
    </row>
    <row r="3335" spans="1:22" hidden="1">
      <c r="A3335" t="s">
        <v>15296</v>
      </c>
      <c r="B3335" t="s">
        <v>15441</v>
      </c>
      <c r="C3335" t="s">
        <v>15445</v>
      </c>
      <c r="D3335" t="s">
        <v>3318</v>
      </c>
      <c r="E3335" t="s">
        <v>3425</v>
      </c>
      <c r="F3335" t="s">
        <v>3441</v>
      </c>
      <c r="G3335" s="3">
        <v>34.805740630745902</v>
      </c>
      <c r="H3335" s="3">
        <v>127.068004817572</v>
      </c>
      <c r="I3335" t="s">
        <v>7087</v>
      </c>
      <c r="J3335" t="s">
        <v>10441</v>
      </c>
      <c r="K3335" t="s">
        <v>11077</v>
      </c>
      <c r="L3335" t="s">
        <v>3366</v>
      </c>
      <c r="M3335" t="s">
        <v>11894</v>
      </c>
      <c r="N3335" t="s">
        <v>3366</v>
      </c>
      <c r="O3335" t="s">
        <v>3360</v>
      </c>
      <c r="P3335" t="s">
        <v>15211</v>
      </c>
      <c r="Q3335" t="s">
        <v>15211</v>
      </c>
      <c r="R3335" t="s">
        <v>15211</v>
      </c>
      <c r="S3335" t="s">
        <v>15211</v>
      </c>
      <c r="T3335" t="s">
        <v>3370</v>
      </c>
      <c r="U3335" t="s">
        <v>15173</v>
      </c>
      <c r="V3335" t="s">
        <v>15274</v>
      </c>
    </row>
    <row r="3336" spans="1:22" hidden="1">
      <c r="A3336" t="s">
        <v>15296</v>
      </c>
      <c r="B3336" t="s">
        <v>15441</v>
      </c>
      <c r="C3336" t="s">
        <v>15445</v>
      </c>
      <c r="D3336" t="s">
        <v>3319</v>
      </c>
      <c r="E3336" t="s">
        <v>3425</v>
      </c>
      <c r="F3336" t="s">
        <v>3442</v>
      </c>
      <c r="G3336" s="3">
        <v>34.805740621251402</v>
      </c>
      <c r="H3336" s="3">
        <v>127.0680047899</v>
      </c>
      <c r="I3336" t="s">
        <v>7088</v>
      </c>
      <c r="J3336" t="s">
        <v>10442</v>
      </c>
      <c r="K3336" t="s">
        <v>11077</v>
      </c>
      <c r="L3336" t="s">
        <v>3366</v>
      </c>
      <c r="M3336" t="s">
        <v>11894</v>
      </c>
      <c r="N3336" t="s">
        <v>3366</v>
      </c>
      <c r="O3336" t="s">
        <v>3360</v>
      </c>
      <c r="P3336" t="s">
        <v>15211</v>
      </c>
      <c r="Q3336" t="s">
        <v>15211</v>
      </c>
      <c r="R3336" t="s">
        <v>15211</v>
      </c>
      <c r="S3336" t="s">
        <v>15211</v>
      </c>
      <c r="T3336" t="s">
        <v>3370</v>
      </c>
      <c r="U3336" t="s">
        <v>15174</v>
      </c>
      <c r="V3336" t="s">
        <v>15274</v>
      </c>
    </row>
    <row r="3337" spans="1:22" hidden="1">
      <c r="A3337" t="s">
        <v>15296</v>
      </c>
      <c r="B3337" t="s">
        <v>15441</v>
      </c>
      <c r="C3337" t="s">
        <v>15445</v>
      </c>
      <c r="D3337" t="s">
        <v>3320</v>
      </c>
      <c r="E3337" t="s">
        <v>3425</v>
      </c>
      <c r="F3337" t="s">
        <v>3442</v>
      </c>
      <c r="G3337" s="3">
        <v>34.805740628341802</v>
      </c>
      <c r="H3337" s="3">
        <v>127.06800479357899</v>
      </c>
      <c r="I3337" t="s">
        <v>7089</v>
      </c>
      <c r="J3337" t="s">
        <v>10443</v>
      </c>
      <c r="K3337" t="s">
        <v>11077</v>
      </c>
      <c r="L3337" t="s">
        <v>3366</v>
      </c>
      <c r="M3337" t="s">
        <v>11894</v>
      </c>
      <c r="N3337" t="s">
        <v>3366</v>
      </c>
      <c r="O3337" t="s">
        <v>3360</v>
      </c>
      <c r="P3337" t="s">
        <v>15211</v>
      </c>
      <c r="Q3337" t="s">
        <v>15211</v>
      </c>
      <c r="R3337" t="s">
        <v>15211</v>
      </c>
      <c r="S3337" t="s">
        <v>15211</v>
      </c>
      <c r="T3337" t="s">
        <v>3370</v>
      </c>
      <c r="U3337" t="s">
        <v>15175</v>
      </c>
      <c r="V3337" t="s">
        <v>15274</v>
      </c>
    </row>
    <row r="3338" spans="1:22" hidden="1">
      <c r="A3338" t="s">
        <v>15296</v>
      </c>
      <c r="B3338" t="s">
        <v>15441</v>
      </c>
      <c r="C3338" t="s">
        <v>15446</v>
      </c>
      <c r="D3338" t="s">
        <v>3321</v>
      </c>
      <c r="E3338" t="s">
        <v>3434</v>
      </c>
      <c r="F3338" t="s">
        <v>3511</v>
      </c>
      <c r="G3338" s="3">
        <v>34.805740654269698</v>
      </c>
      <c r="H3338" s="3">
        <v>127.068004800796</v>
      </c>
      <c r="I3338" t="s">
        <v>7090</v>
      </c>
      <c r="J3338" t="s">
        <v>10444</v>
      </c>
      <c r="K3338" t="s">
        <v>11076</v>
      </c>
      <c r="L3338" t="s">
        <v>3366</v>
      </c>
      <c r="M3338" t="s">
        <v>11894</v>
      </c>
      <c r="N3338" t="s">
        <v>3366</v>
      </c>
      <c r="O3338" t="s">
        <v>3360</v>
      </c>
      <c r="P3338" t="s">
        <v>15211</v>
      </c>
      <c r="Q3338" t="s">
        <v>15211</v>
      </c>
      <c r="R3338" t="s">
        <v>15211</v>
      </c>
      <c r="S3338" t="s">
        <v>15211</v>
      </c>
      <c r="T3338" t="s">
        <v>3370</v>
      </c>
      <c r="U3338" t="s">
        <v>15176</v>
      </c>
      <c r="V3338" t="s">
        <v>15275</v>
      </c>
    </row>
    <row r="3339" spans="1:22" hidden="1">
      <c r="A3339" t="s">
        <v>15296</v>
      </c>
      <c r="B3339" t="s">
        <v>15441</v>
      </c>
      <c r="C3339" t="s">
        <v>15446</v>
      </c>
      <c r="D3339" t="s">
        <v>3322</v>
      </c>
      <c r="E3339" t="s">
        <v>3429</v>
      </c>
      <c r="F3339" t="s">
        <v>3563</v>
      </c>
      <c r="G3339" s="3">
        <v>34.805740640310503</v>
      </c>
      <c r="H3339" s="3">
        <v>127.06800479087001</v>
      </c>
      <c r="I3339" t="s">
        <v>7091</v>
      </c>
      <c r="J3339" t="s">
        <v>10445</v>
      </c>
      <c r="K3339" t="s">
        <v>11076</v>
      </c>
      <c r="L3339" t="s">
        <v>3370</v>
      </c>
      <c r="M3339" t="s">
        <v>11894</v>
      </c>
      <c r="N3339" t="s">
        <v>3366</v>
      </c>
      <c r="O3339" t="s">
        <v>3360</v>
      </c>
      <c r="P3339" t="s">
        <v>15211</v>
      </c>
      <c r="Q3339" t="s">
        <v>15211</v>
      </c>
      <c r="R3339" t="s">
        <v>15211</v>
      </c>
      <c r="S3339" t="s">
        <v>15211</v>
      </c>
      <c r="T3339" t="s">
        <v>3370</v>
      </c>
      <c r="U3339" t="s">
        <v>15177</v>
      </c>
      <c r="V3339" t="s">
        <v>15275</v>
      </c>
    </row>
    <row r="3340" spans="1:22" hidden="1">
      <c r="A3340" t="s">
        <v>15296</v>
      </c>
      <c r="B3340" t="s">
        <v>15441</v>
      </c>
      <c r="C3340" t="s">
        <v>15446</v>
      </c>
      <c r="D3340" t="s">
        <v>3323</v>
      </c>
      <c r="E3340" t="s">
        <v>3435</v>
      </c>
      <c r="F3340" t="s">
        <v>3611</v>
      </c>
      <c r="G3340" s="3">
        <v>34.805740645582297</v>
      </c>
      <c r="H3340" s="3">
        <v>127.068004819525</v>
      </c>
      <c r="I3340" t="s">
        <v>7092</v>
      </c>
      <c r="J3340" t="s">
        <v>10446</v>
      </c>
      <c r="K3340" t="s">
        <v>11076</v>
      </c>
      <c r="L3340" t="s">
        <v>3366</v>
      </c>
      <c r="M3340" t="s">
        <v>11894</v>
      </c>
      <c r="N3340" t="s">
        <v>3366</v>
      </c>
      <c r="O3340" t="s">
        <v>3360</v>
      </c>
      <c r="P3340" t="s">
        <v>15211</v>
      </c>
      <c r="Q3340" t="s">
        <v>15211</v>
      </c>
      <c r="R3340" t="s">
        <v>15211</v>
      </c>
      <c r="S3340" t="s">
        <v>15211</v>
      </c>
      <c r="T3340" t="s">
        <v>3370</v>
      </c>
      <c r="U3340" t="s">
        <v>15178</v>
      </c>
      <c r="V3340" t="s">
        <v>15275</v>
      </c>
    </row>
    <row r="3341" spans="1:22" hidden="1">
      <c r="A3341" t="s">
        <v>15296</v>
      </c>
      <c r="B3341" t="s">
        <v>15441</v>
      </c>
      <c r="C3341" t="s">
        <v>15448</v>
      </c>
      <c r="D3341" t="s">
        <v>3324</v>
      </c>
      <c r="E3341" t="s">
        <v>3435</v>
      </c>
      <c r="F3341" t="s">
        <v>3613</v>
      </c>
      <c r="G3341" s="3">
        <v>34.805740739762904</v>
      </c>
      <c r="H3341" s="3">
        <v>127.068005006626</v>
      </c>
      <c r="I3341" t="s">
        <v>7093</v>
      </c>
      <c r="J3341" t="s">
        <v>10447</v>
      </c>
      <c r="K3341" t="s">
        <v>10914</v>
      </c>
      <c r="L3341" t="s">
        <v>3366</v>
      </c>
      <c r="M3341" t="s">
        <v>11910</v>
      </c>
      <c r="N3341" t="s">
        <v>3365</v>
      </c>
      <c r="O3341" t="s">
        <v>3361</v>
      </c>
      <c r="P3341" t="s">
        <v>3361</v>
      </c>
      <c r="Q3341" t="s">
        <v>3363</v>
      </c>
      <c r="R3341" t="s">
        <v>3358</v>
      </c>
      <c r="S3341" t="s">
        <v>15211</v>
      </c>
      <c r="T3341" t="s">
        <v>3384</v>
      </c>
      <c r="U3341" t="s">
        <v>15179</v>
      </c>
      <c r="V3341" t="s">
        <v>15276</v>
      </c>
    </row>
    <row r="3342" spans="1:22" hidden="1">
      <c r="A3342" t="s">
        <v>15296</v>
      </c>
      <c r="B3342" t="s">
        <v>15441</v>
      </c>
      <c r="C3342" t="s">
        <v>15448</v>
      </c>
      <c r="D3342" t="s">
        <v>3325</v>
      </c>
      <c r="E3342" t="s">
        <v>3435</v>
      </c>
      <c r="F3342" t="s">
        <v>3613</v>
      </c>
      <c r="G3342" s="3">
        <v>34.805740736369401</v>
      </c>
      <c r="H3342" s="3">
        <v>127.068004973266</v>
      </c>
      <c r="I3342" t="s">
        <v>7094</v>
      </c>
      <c r="J3342" t="s">
        <v>10448</v>
      </c>
      <c r="K3342" t="s">
        <v>10914</v>
      </c>
      <c r="L3342" t="s">
        <v>3366</v>
      </c>
      <c r="M3342" t="s">
        <v>11910</v>
      </c>
      <c r="N3342" t="s">
        <v>3365</v>
      </c>
      <c r="O3342" t="s">
        <v>3361</v>
      </c>
      <c r="P3342" t="s">
        <v>3361</v>
      </c>
      <c r="Q3342" t="s">
        <v>3363</v>
      </c>
      <c r="R3342" t="s">
        <v>3358</v>
      </c>
      <c r="S3342" t="s">
        <v>15211</v>
      </c>
      <c r="T3342" t="s">
        <v>3384</v>
      </c>
      <c r="U3342" t="s">
        <v>15179</v>
      </c>
      <c r="V3342" t="s">
        <v>15276</v>
      </c>
    </row>
    <row r="3343" spans="1:22" hidden="1">
      <c r="A3343" t="s">
        <v>15296</v>
      </c>
      <c r="B3343" t="s">
        <v>15441</v>
      </c>
      <c r="C3343" t="s">
        <v>15448</v>
      </c>
      <c r="D3343" t="s">
        <v>3326</v>
      </c>
      <c r="E3343" t="s">
        <v>3435</v>
      </c>
      <c r="F3343" t="s">
        <v>3613</v>
      </c>
      <c r="G3343" s="3">
        <v>34.805740727041503</v>
      </c>
      <c r="H3343" s="3">
        <v>127.068004939231</v>
      </c>
      <c r="I3343" t="s">
        <v>7095</v>
      </c>
      <c r="J3343" t="s">
        <v>10449</v>
      </c>
      <c r="K3343" t="s">
        <v>11106</v>
      </c>
      <c r="L3343" t="s">
        <v>3366</v>
      </c>
      <c r="M3343" t="s">
        <v>11914</v>
      </c>
      <c r="N3343" t="s">
        <v>3365</v>
      </c>
      <c r="O3343" t="s">
        <v>3361</v>
      </c>
      <c r="P3343" t="s">
        <v>3361</v>
      </c>
      <c r="Q3343" t="s">
        <v>3363</v>
      </c>
      <c r="R3343" t="s">
        <v>3358</v>
      </c>
      <c r="S3343" t="s">
        <v>15211</v>
      </c>
      <c r="T3343" t="s">
        <v>3384</v>
      </c>
      <c r="U3343" t="s">
        <v>15180</v>
      </c>
      <c r="V3343" t="s">
        <v>15276</v>
      </c>
    </row>
    <row r="3344" spans="1:22" hidden="1">
      <c r="A3344" t="s">
        <v>15296</v>
      </c>
      <c r="B3344" t="s">
        <v>15441</v>
      </c>
      <c r="C3344" t="s">
        <v>15449</v>
      </c>
      <c r="D3344" t="s">
        <v>3327</v>
      </c>
      <c r="E3344" t="s">
        <v>3437</v>
      </c>
      <c r="F3344" t="s">
        <v>3428</v>
      </c>
      <c r="G3344" s="3">
        <v>34.805740637698598</v>
      </c>
      <c r="H3344" s="3">
        <v>127.06800472171901</v>
      </c>
      <c r="I3344" t="s">
        <v>7096</v>
      </c>
      <c r="J3344" t="s">
        <v>10450</v>
      </c>
      <c r="K3344" t="s">
        <v>11154</v>
      </c>
      <c r="L3344" t="s">
        <v>3366</v>
      </c>
      <c r="M3344" t="s">
        <v>11913</v>
      </c>
      <c r="N3344" t="s">
        <v>3365</v>
      </c>
      <c r="O3344" t="s">
        <v>3358</v>
      </c>
      <c r="P3344" t="s">
        <v>3362</v>
      </c>
      <c r="Q3344" t="s">
        <v>3369</v>
      </c>
      <c r="R3344" t="s">
        <v>3357</v>
      </c>
      <c r="S3344" t="s">
        <v>15211</v>
      </c>
      <c r="T3344" t="s">
        <v>3387</v>
      </c>
      <c r="U3344" t="s">
        <v>15181</v>
      </c>
      <c r="V3344" t="s">
        <v>15277</v>
      </c>
    </row>
    <row r="3345" spans="1:22" hidden="1">
      <c r="A3345" t="s">
        <v>15296</v>
      </c>
      <c r="B3345" t="s">
        <v>15441</v>
      </c>
      <c r="C3345" t="s">
        <v>15449</v>
      </c>
      <c r="D3345" t="s">
        <v>3328</v>
      </c>
      <c r="E3345" t="s">
        <v>3437</v>
      </c>
      <c r="F3345" t="s">
        <v>3428</v>
      </c>
      <c r="G3345" s="3">
        <v>34.805740633385597</v>
      </c>
      <c r="H3345" s="3">
        <v>127.06800473464099</v>
      </c>
      <c r="I3345" t="s">
        <v>7097</v>
      </c>
      <c r="J3345" t="s">
        <v>10451</v>
      </c>
      <c r="K3345" t="s">
        <v>11154</v>
      </c>
      <c r="L3345" t="s">
        <v>3366</v>
      </c>
      <c r="M3345" t="s">
        <v>11913</v>
      </c>
      <c r="N3345" t="s">
        <v>3365</v>
      </c>
      <c r="O3345" t="s">
        <v>3358</v>
      </c>
      <c r="P3345" t="s">
        <v>3362</v>
      </c>
      <c r="Q3345" t="s">
        <v>3369</v>
      </c>
      <c r="R3345" t="s">
        <v>3357</v>
      </c>
      <c r="S3345" t="s">
        <v>15211</v>
      </c>
      <c r="T3345" t="s">
        <v>3387</v>
      </c>
      <c r="U3345" t="s">
        <v>15182</v>
      </c>
      <c r="V3345" t="s">
        <v>15277</v>
      </c>
    </row>
    <row r="3346" spans="1:22" hidden="1">
      <c r="A3346" t="s">
        <v>15296</v>
      </c>
      <c r="B3346" t="s">
        <v>15441</v>
      </c>
      <c r="C3346" t="s">
        <v>15449</v>
      </c>
      <c r="D3346" t="s">
        <v>3329</v>
      </c>
      <c r="E3346" t="s">
        <v>3437</v>
      </c>
      <c r="F3346" t="s">
        <v>3428</v>
      </c>
      <c r="G3346" s="3">
        <v>34.805740637312098</v>
      </c>
      <c r="H3346" s="3">
        <v>127.068004732156</v>
      </c>
      <c r="I3346" t="s">
        <v>7098</v>
      </c>
      <c r="J3346" t="s">
        <v>10452</v>
      </c>
      <c r="K3346" t="s">
        <v>10955</v>
      </c>
      <c r="L3346" t="s">
        <v>3366</v>
      </c>
      <c r="M3346" t="s">
        <v>11913</v>
      </c>
      <c r="N3346" t="s">
        <v>3365</v>
      </c>
      <c r="O3346" t="s">
        <v>3358</v>
      </c>
      <c r="P3346" t="s">
        <v>3362</v>
      </c>
      <c r="Q3346" t="s">
        <v>3369</v>
      </c>
      <c r="R3346" t="s">
        <v>3357</v>
      </c>
      <c r="S3346" t="s">
        <v>15211</v>
      </c>
      <c r="T3346" t="s">
        <v>3387</v>
      </c>
      <c r="U3346" t="s">
        <v>15183</v>
      </c>
      <c r="V3346" t="s">
        <v>15277</v>
      </c>
    </row>
    <row r="3347" spans="1:22" hidden="1">
      <c r="A3347" t="s">
        <v>15296</v>
      </c>
      <c r="B3347" t="s">
        <v>15442</v>
      </c>
      <c r="C3347" t="s">
        <v>15450</v>
      </c>
      <c r="D3347" t="s">
        <v>3330</v>
      </c>
      <c r="E3347" t="s">
        <v>3438</v>
      </c>
      <c r="F3347" t="s">
        <v>3436</v>
      </c>
      <c r="G3347" s="3">
        <v>34.805740872911699</v>
      </c>
      <c r="H3347" s="3">
        <v>127.06800487927801</v>
      </c>
      <c r="I3347" t="s">
        <v>7099</v>
      </c>
      <c r="J3347" t="s">
        <v>10453</v>
      </c>
      <c r="K3347" t="s">
        <v>11495</v>
      </c>
      <c r="L3347" t="s">
        <v>3366</v>
      </c>
      <c r="M3347" t="s">
        <v>11894</v>
      </c>
      <c r="N3347" t="s">
        <v>3366</v>
      </c>
      <c r="O3347" t="s">
        <v>3360</v>
      </c>
      <c r="P3347" t="s">
        <v>15211</v>
      </c>
      <c r="Q3347" t="s">
        <v>15211</v>
      </c>
      <c r="R3347" t="s">
        <v>15211</v>
      </c>
      <c r="S3347" t="s">
        <v>15211</v>
      </c>
      <c r="T3347" t="s">
        <v>3370</v>
      </c>
      <c r="U3347" t="s">
        <v>15184</v>
      </c>
      <c r="V3347" t="s">
        <v>15278</v>
      </c>
    </row>
    <row r="3348" spans="1:22" hidden="1">
      <c r="A3348" t="s">
        <v>15296</v>
      </c>
      <c r="B3348" t="s">
        <v>15442</v>
      </c>
      <c r="C3348" t="s">
        <v>15450</v>
      </c>
      <c r="D3348" t="s">
        <v>3331</v>
      </c>
      <c r="E3348" t="s">
        <v>3427</v>
      </c>
      <c r="F3348" t="s">
        <v>3425</v>
      </c>
      <c r="G3348" s="3">
        <v>34.805740899619103</v>
      </c>
      <c r="H3348" s="3">
        <v>127.068004914558</v>
      </c>
      <c r="I3348" t="s">
        <v>7100</v>
      </c>
      <c r="J3348" t="s">
        <v>10454</v>
      </c>
      <c r="K3348" t="s">
        <v>10550</v>
      </c>
      <c r="L3348" t="s">
        <v>3366</v>
      </c>
      <c r="M3348" t="s">
        <v>11894</v>
      </c>
      <c r="N3348" t="s">
        <v>3366</v>
      </c>
      <c r="O3348" t="s">
        <v>3360</v>
      </c>
      <c r="P3348" t="s">
        <v>15211</v>
      </c>
      <c r="Q3348" t="s">
        <v>15211</v>
      </c>
      <c r="R3348" t="s">
        <v>15211</v>
      </c>
      <c r="S3348" t="s">
        <v>15211</v>
      </c>
      <c r="T3348" t="s">
        <v>3370</v>
      </c>
      <c r="U3348" t="s">
        <v>15185</v>
      </c>
      <c r="V3348" t="s">
        <v>15278</v>
      </c>
    </row>
    <row r="3349" spans="1:22" hidden="1">
      <c r="A3349" t="s">
        <v>15296</v>
      </c>
      <c r="B3349" t="s">
        <v>15442</v>
      </c>
      <c r="C3349" t="s">
        <v>15450</v>
      </c>
      <c r="D3349" t="s">
        <v>3332</v>
      </c>
      <c r="E3349" t="s">
        <v>3428</v>
      </c>
      <c r="F3349" t="s">
        <v>3434</v>
      </c>
      <c r="G3349" s="3">
        <v>34.805740863838402</v>
      </c>
      <c r="H3349" s="3">
        <v>127.068004918727</v>
      </c>
      <c r="I3349" t="s">
        <v>7101</v>
      </c>
      <c r="J3349" t="s">
        <v>10455</v>
      </c>
      <c r="K3349" t="s">
        <v>10550</v>
      </c>
      <c r="L3349" t="s">
        <v>3366</v>
      </c>
      <c r="M3349" t="s">
        <v>11894</v>
      </c>
      <c r="N3349" t="s">
        <v>3366</v>
      </c>
      <c r="O3349" t="s">
        <v>3360</v>
      </c>
      <c r="P3349" t="s">
        <v>15211</v>
      </c>
      <c r="Q3349" t="s">
        <v>15211</v>
      </c>
      <c r="R3349" t="s">
        <v>15211</v>
      </c>
      <c r="S3349" t="s">
        <v>15211</v>
      </c>
      <c r="T3349" t="s">
        <v>3370</v>
      </c>
      <c r="U3349" t="s">
        <v>15186</v>
      </c>
      <c r="V3349" t="s">
        <v>15278</v>
      </c>
    </row>
    <row r="3350" spans="1:22" hidden="1">
      <c r="A3350" t="s">
        <v>15296</v>
      </c>
      <c r="B3350" t="s">
        <v>15442</v>
      </c>
      <c r="C3350" t="s">
        <v>15445</v>
      </c>
      <c r="D3350" t="s">
        <v>3333</v>
      </c>
      <c r="E3350" t="s">
        <v>3440</v>
      </c>
      <c r="F3350" t="s">
        <v>3427</v>
      </c>
      <c r="G3350" s="3">
        <v>34.805740691588497</v>
      </c>
      <c r="H3350" s="3">
        <v>127.068004864906</v>
      </c>
      <c r="I3350" t="s">
        <v>7102</v>
      </c>
      <c r="J3350" t="s">
        <v>10456</v>
      </c>
      <c r="K3350" t="s">
        <v>11150</v>
      </c>
      <c r="L3350" t="s">
        <v>3366</v>
      </c>
      <c r="M3350" t="s">
        <v>11890</v>
      </c>
      <c r="N3350" t="s">
        <v>3366</v>
      </c>
      <c r="O3350" t="s">
        <v>3359</v>
      </c>
      <c r="P3350" t="s">
        <v>15211</v>
      </c>
      <c r="Q3350" t="s">
        <v>15211</v>
      </c>
      <c r="R3350" t="s">
        <v>15211</v>
      </c>
      <c r="S3350" t="s">
        <v>15211</v>
      </c>
      <c r="T3350" t="s">
        <v>3369</v>
      </c>
      <c r="U3350" t="s">
        <v>15187</v>
      </c>
      <c r="V3350" t="s">
        <v>15279</v>
      </c>
    </row>
    <row r="3351" spans="1:22" hidden="1">
      <c r="A3351" t="s">
        <v>15296</v>
      </c>
      <c r="B3351" t="s">
        <v>15442</v>
      </c>
      <c r="C3351" t="s">
        <v>15445</v>
      </c>
      <c r="D3351" t="s">
        <v>3334</v>
      </c>
      <c r="E3351" t="s">
        <v>3440</v>
      </c>
      <c r="F3351" t="s">
        <v>3428</v>
      </c>
      <c r="G3351" s="3">
        <v>34.805740700196502</v>
      </c>
      <c r="H3351" s="3">
        <v>127.068004878053</v>
      </c>
      <c r="I3351" t="s">
        <v>7103</v>
      </c>
      <c r="J3351" t="s">
        <v>10457</v>
      </c>
      <c r="K3351" t="s">
        <v>11150</v>
      </c>
      <c r="L3351" t="s">
        <v>3366</v>
      </c>
      <c r="M3351" t="s">
        <v>11890</v>
      </c>
      <c r="N3351" t="s">
        <v>3366</v>
      </c>
      <c r="O3351" t="s">
        <v>3359</v>
      </c>
      <c r="P3351" t="s">
        <v>15211</v>
      </c>
      <c r="Q3351" t="s">
        <v>15211</v>
      </c>
      <c r="R3351" t="s">
        <v>15211</v>
      </c>
      <c r="S3351" t="s">
        <v>15211</v>
      </c>
      <c r="T3351" t="s">
        <v>3369</v>
      </c>
      <c r="U3351" t="s">
        <v>15188</v>
      </c>
      <c r="V3351" t="s">
        <v>15279</v>
      </c>
    </row>
    <row r="3352" spans="1:22" hidden="1">
      <c r="A3352" t="s">
        <v>15296</v>
      </c>
      <c r="B3352" t="s">
        <v>15442</v>
      </c>
      <c r="C3352" t="s">
        <v>15445</v>
      </c>
      <c r="D3352" t="s">
        <v>3335</v>
      </c>
      <c r="E3352" t="s">
        <v>3438</v>
      </c>
      <c r="F3352" t="s">
        <v>3436</v>
      </c>
      <c r="G3352" s="3">
        <v>34.805740689977902</v>
      </c>
      <c r="H3352" s="3">
        <v>127.06800488357101</v>
      </c>
      <c r="I3352" t="s">
        <v>7104</v>
      </c>
      <c r="J3352" t="s">
        <v>10458</v>
      </c>
      <c r="K3352" t="s">
        <v>11094</v>
      </c>
      <c r="L3352" t="s">
        <v>3366</v>
      </c>
      <c r="M3352" t="s">
        <v>11890</v>
      </c>
      <c r="N3352" t="s">
        <v>3366</v>
      </c>
      <c r="O3352" t="s">
        <v>3359</v>
      </c>
      <c r="P3352" t="s">
        <v>15211</v>
      </c>
      <c r="Q3352" t="s">
        <v>15211</v>
      </c>
      <c r="R3352" t="s">
        <v>15211</v>
      </c>
      <c r="S3352" t="s">
        <v>15211</v>
      </c>
      <c r="T3352" t="s">
        <v>3369</v>
      </c>
      <c r="U3352" t="s">
        <v>15189</v>
      </c>
      <c r="V3352" t="s">
        <v>15279</v>
      </c>
    </row>
    <row r="3353" spans="1:22" hidden="1">
      <c r="A3353" t="s">
        <v>15296</v>
      </c>
      <c r="B3353" t="s">
        <v>15442</v>
      </c>
      <c r="C3353" t="s">
        <v>15451</v>
      </c>
      <c r="D3353" t="s">
        <v>3336</v>
      </c>
      <c r="E3353" t="s">
        <v>3437</v>
      </c>
      <c r="F3353" t="s">
        <v>3428</v>
      </c>
      <c r="G3353" s="3">
        <v>34.805740630119303</v>
      </c>
      <c r="H3353" s="3">
        <v>127.06800484393899</v>
      </c>
      <c r="I3353" t="s">
        <v>7105</v>
      </c>
      <c r="J3353" t="s">
        <v>10459</v>
      </c>
      <c r="K3353" t="s">
        <v>11879</v>
      </c>
      <c r="L3353" t="s">
        <v>3366</v>
      </c>
      <c r="M3353" t="s">
        <v>11904</v>
      </c>
      <c r="N3353" t="s">
        <v>3366</v>
      </c>
      <c r="O3353" t="s">
        <v>3359</v>
      </c>
      <c r="P3353" t="s">
        <v>3362</v>
      </c>
      <c r="Q3353" t="s">
        <v>3370</v>
      </c>
      <c r="R3353" t="s">
        <v>15211</v>
      </c>
      <c r="S3353" t="s">
        <v>15211</v>
      </c>
      <c r="T3353" t="s">
        <v>3389</v>
      </c>
      <c r="U3353" t="s">
        <v>15190</v>
      </c>
      <c r="V3353" t="s">
        <v>15280</v>
      </c>
    </row>
    <row r="3354" spans="1:22" hidden="1">
      <c r="A3354" t="s">
        <v>15296</v>
      </c>
      <c r="B3354" t="s">
        <v>15442</v>
      </c>
      <c r="C3354" t="s">
        <v>15451</v>
      </c>
      <c r="D3354" t="s">
        <v>3337</v>
      </c>
      <c r="E3354" t="s">
        <v>3437</v>
      </c>
      <c r="F3354" t="s">
        <v>3428</v>
      </c>
      <c r="G3354" s="3">
        <v>34.805740637531002</v>
      </c>
      <c r="H3354" s="3">
        <v>127.068004851429</v>
      </c>
      <c r="I3354" t="s">
        <v>7106</v>
      </c>
      <c r="J3354" t="s">
        <v>10460</v>
      </c>
      <c r="K3354" t="s">
        <v>11879</v>
      </c>
      <c r="L3354" t="s">
        <v>3366</v>
      </c>
      <c r="M3354" t="s">
        <v>11904</v>
      </c>
      <c r="N3354" t="s">
        <v>3366</v>
      </c>
      <c r="O3354" t="s">
        <v>3359</v>
      </c>
      <c r="P3354" t="s">
        <v>3362</v>
      </c>
      <c r="Q3354" t="s">
        <v>3370</v>
      </c>
      <c r="R3354" t="s">
        <v>15211</v>
      </c>
      <c r="S3354" t="s">
        <v>15211</v>
      </c>
      <c r="T3354" t="s">
        <v>3389</v>
      </c>
      <c r="U3354" t="s">
        <v>15191</v>
      </c>
      <c r="V3354" t="s">
        <v>15280</v>
      </c>
    </row>
    <row r="3355" spans="1:22" hidden="1">
      <c r="A3355" t="s">
        <v>15296</v>
      </c>
      <c r="B3355" t="s">
        <v>15442</v>
      </c>
      <c r="C3355" t="s">
        <v>15451</v>
      </c>
      <c r="D3355" t="s">
        <v>3338</v>
      </c>
      <c r="E3355" t="s">
        <v>3437</v>
      </c>
      <c r="F3355" t="s">
        <v>3428</v>
      </c>
      <c r="G3355" s="3">
        <v>34.8057406349022</v>
      </c>
      <c r="H3355" s="3">
        <v>127.068004860694</v>
      </c>
      <c r="I3355" t="s">
        <v>7107</v>
      </c>
      <c r="J3355" t="s">
        <v>10461</v>
      </c>
      <c r="K3355" t="s">
        <v>11879</v>
      </c>
      <c r="L3355" t="s">
        <v>3366</v>
      </c>
      <c r="M3355" t="s">
        <v>11904</v>
      </c>
      <c r="N3355" t="s">
        <v>3366</v>
      </c>
      <c r="O3355" t="s">
        <v>3359</v>
      </c>
      <c r="P3355" t="s">
        <v>3362</v>
      </c>
      <c r="Q3355" t="s">
        <v>3370</v>
      </c>
      <c r="R3355" t="s">
        <v>15211</v>
      </c>
      <c r="S3355" t="s">
        <v>15211</v>
      </c>
      <c r="T3355" t="s">
        <v>3389</v>
      </c>
      <c r="U3355" t="s">
        <v>15192</v>
      </c>
      <c r="V3355" t="s">
        <v>15280</v>
      </c>
    </row>
    <row r="3356" spans="1:22" ht="15" hidden="1">
      <c r="A3356" t="s">
        <v>15434</v>
      </c>
      <c r="B3356" t="s">
        <v>15441</v>
      </c>
      <c r="C3356" t="s">
        <v>15445</v>
      </c>
      <c r="D3356" t="s">
        <v>3339</v>
      </c>
      <c r="E3356" t="s">
        <v>3435</v>
      </c>
      <c r="F3356" t="s">
        <v>3579</v>
      </c>
      <c r="G3356" s="3">
        <v>35.051715577985497</v>
      </c>
      <c r="H3356" s="3">
        <v>126.929030839747</v>
      </c>
      <c r="I3356" t="s">
        <v>7108</v>
      </c>
      <c r="J3356" t="s">
        <v>10462</v>
      </c>
      <c r="K3356" t="s">
        <v>11880</v>
      </c>
      <c r="L3356" t="s">
        <v>3366</v>
      </c>
      <c r="M3356" t="s">
        <v>11885</v>
      </c>
      <c r="N3356" t="s">
        <v>3363</v>
      </c>
      <c r="O3356" t="s">
        <v>3361</v>
      </c>
      <c r="P3356" t="s">
        <v>15211</v>
      </c>
      <c r="Q3356" t="s">
        <v>15211</v>
      </c>
      <c r="R3356" t="s">
        <v>15211</v>
      </c>
      <c r="S3356" t="s">
        <v>15211</v>
      </c>
      <c r="T3356" t="s">
        <v>3368</v>
      </c>
      <c r="U3356" t="s">
        <v>15193</v>
      </c>
      <c r="V3356" t="s">
        <v>15274</v>
      </c>
    </row>
    <row r="3357" spans="1:22" ht="15" hidden="1">
      <c r="A3357" t="s">
        <v>15434</v>
      </c>
      <c r="B3357" t="s">
        <v>15441</v>
      </c>
      <c r="C3357" t="s">
        <v>15445</v>
      </c>
      <c r="D3357" t="s">
        <v>3340</v>
      </c>
      <c r="E3357" t="s">
        <v>3429</v>
      </c>
      <c r="F3357" t="s">
        <v>3515</v>
      </c>
      <c r="G3357" s="3">
        <v>35.051715605464103</v>
      </c>
      <c r="H3357" s="3">
        <v>126.929030858571</v>
      </c>
      <c r="I3357" t="s">
        <v>7109</v>
      </c>
      <c r="J3357" t="s">
        <v>10463</v>
      </c>
      <c r="K3357" t="s">
        <v>11713</v>
      </c>
      <c r="L3357" t="s">
        <v>3366</v>
      </c>
      <c r="M3357" t="s">
        <v>11885</v>
      </c>
      <c r="N3357" t="s">
        <v>3363</v>
      </c>
      <c r="O3357" t="s">
        <v>3361</v>
      </c>
      <c r="P3357" t="s">
        <v>15211</v>
      </c>
      <c r="Q3357" t="s">
        <v>15211</v>
      </c>
      <c r="R3357" t="s">
        <v>15211</v>
      </c>
      <c r="S3357" t="s">
        <v>15211</v>
      </c>
      <c r="T3357" t="s">
        <v>3368</v>
      </c>
      <c r="U3357" t="s">
        <v>15194</v>
      </c>
      <c r="V3357" t="s">
        <v>15274</v>
      </c>
    </row>
    <row r="3358" spans="1:22" ht="15" hidden="1">
      <c r="A3358" t="s">
        <v>15434</v>
      </c>
      <c r="B3358" t="s">
        <v>15441</v>
      </c>
      <c r="C3358" t="s">
        <v>15445</v>
      </c>
      <c r="D3358" t="s">
        <v>3341</v>
      </c>
      <c r="E3358" t="s">
        <v>3429</v>
      </c>
      <c r="F3358" t="s">
        <v>3515</v>
      </c>
      <c r="G3358" s="3">
        <v>35.051715629830703</v>
      </c>
      <c r="H3358" s="3">
        <v>126.92903084180099</v>
      </c>
      <c r="I3358" t="s">
        <v>7110</v>
      </c>
      <c r="J3358" t="s">
        <v>10464</v>
      </c>
      <c r="K3358" t="s">
        <v>10836</v>
      </c>
      <c r="L3358" t="s">
        <v>3366</v>
      </c>
      <c r="M3358" t="s">
        <v>11885</v>
      </c>
      <c r="N3358" t="s">
        <v>3363</v>
      </c>
      <c r="O3358" t="s">
        <v>3361</v>
      </c>
      <c r="P3358" t="s">
        <v>15211</v>
      </c>
      <c r="Q3358" t="s">
        <v>15211</v>
      </c>
      <c r="R3358" t="s">
        <v>15211</v>
      </c>
      <c r="S3358" t="s">
        <v>15211</v>
      </c>
      <c r="T3358" t="s">
        <v>3368</v>
      </c>
      <c r="U3358" t="s">
        <v>15195</v>
      </c>
      <c r="V3358" t="s">
        <v>15274</v>
      </c>
    </row>
    <row r="3359" spans="1:22" ht="15" hidden="1">
      <c r="A3359" t="s">
        <v>15434</v>
      </c>
      <c r="B3359" t="s">
        <v>15441</v>
      </c>
      <c r="C3359" t="s">
        <v>15446</v>
      </c>
      <c r="D3359" t="s">
        <v>3342</v>
      </c>
      <c r="E3359" t="s">
        <v>3430</v>
      </c>
      <c r="F3359" t="s">
        <v>3464</v>
      </c>
      <c r="G3359" s="3">
        <v>35.051715638528499</v>
      </c>
      <c r="H3359" s="3">
        <v>126.929030834166</v>
      </c>
      <c r="I3359" t="s">
        <v>7111</v>
      </c>
      <c r="J3359" t="s">
        <v>10465</v>
      </c>
      <c r="K3359" t="s">
        <v>10640</v>
      </c>
      <c r="L3359" t="s">
        <v>3366</v>
      </c>
      <c r="M3359" t="s">
        <v>11885</v>
      </c>
      <c r="N3359" t="s">
        <v>3363</v>
      </c>
      <c r="O3359" t="s">
        <v>3361</v>
      </c>
      <c r="P3359" t="s">
        <v>15211</v>
      </c>
      <c r="Q3359" t="s">
        <v>15211</v>
      </c>
      <c r="R3359" t="s">
        <v>15211</v>
      </c>
      <c r="S3359" t="s">
        <v>15211</v>
      </c>
      <c r="T3359" t="s">
        <v>3368</v>
      </c>
      <c r="U3359" t="s">
        <v>15196</v>
      </c>
      <c r="V3359" t="s">
        <v>15275</v>
      </c>
    </row>
    <row r="3360" spans="1:22" ht="15" hidden="1">
      <c r="A3360" t="s">
        <v>15434</v>
      </c>
      <c r="B3360" t="s">
        <v>15441</v>
      </c>
      <c r="C3360" t="s">
        <v>15446</v>
      </c>
      <c r="D3360" t="s">
        <v>3343</v>
      </c>
      <c r="E3360" t="s">
        <v>3430</v>
      </c>
      <c r="F3360" t="s">
        <v>3515</v>
      </c>
      <c r="G3360" s="3">
        <v>35.051715583919503</v>
      </c>
      <c r="H3360" s="3">
        <v>126.92903085323</v>
      </c>
      <c r="I3360" t="s">
        <v>7112</v>
      </c>
      <c r="J3360" t="s">
        <v>10466</v>
      </c>
      <c r="K3360" t="s">
        <v>10641</v>
      </c>
      <c r="L3360" t="s">
        <v>3366</v>
      </c>
      <c r="M3360" t="s">
        <v>11885</v>
      </c>
      <c r="N3360" t="s">
        <v>3363</v>
      </c>
      <c r="O3360" t="s">
        <v>3361</v>
      </c>
      <c r="P3360" t="s">
        <v>15211</v>
      </c>
      <c r="Q3360" t="s">
        <v>15211</v>
      </c>
      <c r="R3360" t="s">
        <v>15211</v>
      </c>
      <c r="S3360" t="s">
        <v>15211</v>
      </c>
      <c r="T3360" t="s">
        <v>3368</v>
      </c>
      <c r="U3360" t="s">
        <v>15197</v>
      </c>
      <c r="V3360" t="s">
        <v>15275</v>
      </c>
    </row>
    <row r="3361" spans="1:22" ht="15" hidden="1">
      <c r="A3361" t="s">
        <v>15434</v>
      </c>
      <c r="B3361" t="s">
        <v>15441</v>
      </c>
      <c r="C3361" t="s">
        <v>15446</v>
      </c>
      <c r="D3361" t="s">
        <v>3344</v>
      </c>
      <c r="E3361" t="s">
        <v>3430</v>
      </c>
      <c r="F3361" t="s">
        <v>3579</v>
      </c>
      <c r="G3361" s="3">
        <v>35.051715550855498</v>
      </c>
      <c r="H3361" s="3">
        <v>126.92903084955501</v>
      </c>
      <c r="I3361" t="s">
        <v>7113</v>
      </c>
      <c r="J3361" t="s">
        <v>10467</v>
      </c>
      <c r="K3361" t="s">
        <v>11233</v>
      </c>
      <c r="L3361" t="s">
        <v>3366</v>
      </c>
      <c r="M3361" t="s">
        <v>11885</v>
      </c>
      <c r="N3361" t="s">
        <v>3363</v>
      </c>
      <c r="O3361" t="s">
        <v>3361</v>
      </c>
      <c r="P3361" t="s">
        <v>15211</v>
      </c>
      <c r="Q3361" t="s">
        <v>15211</v>
      </c>
      <c r="R3361" t="s">
        <v>15211</v>
      </c>
      <c r="S3361" t="s">
        <v>15211</v>
      </c>
      <c r="T3361" t="s">
        <v>3368</v>
      </c>
      <c r="U3361" t="s">
        <v>15198</v>
      </c>
      <c r="V3361" t="s">
        <v>15275</v>
      </c>
    </row>
    <row r="3362" spans="1:22" ht="15" hidden="1">
      <c r="A3362" t="s">
        <v>15434</v>
      </c>
      <c r="B3362" t="s">
        <v>15441</v>
      </c>
      <c r="C3362" t="s">
        <v>15449</v>
      </c>
      <c r="D3362" t="s">
        <v>3345</v>
      </c>
      <c r="E3362" t="s">
        <v>3427</v>
      </c>
      <c r="F3362" t="s">
        <v>3452</v>
      </c>
      <c r="G3362" s="3">
        <v>35.051715699762802</v>
      </c>
      <c r="H3362" s="3">
        <v>126.929030715249</v>
      </c>
      <c r="I3362" t="s">
        <v>7114</v>
      </c>
      <c r="J3362" t="s">
        <v>10468</v>
      </c>
      <c r="K3362" t="s">
        <v>11352</v>
      </c>
      <c r="L3362" t="s">
        <v>3366</v>
      </c>
      <c r="M3362" t="s">
        <v>11888</v>
      </c>
      <c r="N3362" t="s">
        <v>3363</v>
      </c>
      <c r="O3362" t="s">
        <v>3361</v>
      </c>
      <c r="P3362" t="s">
        <v>3361</v>
      </c>
      <c r="Q3362" t="s">
        <v>3359</v>
      </c>
      <c r="R3362" t="s">
        <v>3358</v>
      </c>
      <c r="S3362" t="s">
        <v>15211</v>
      </c>
      <c r="T3362" t="s">
        <v>3378</v>
      </c>
      <c r="U3362" t="s">
        <v>15199</v>
      </c>
      <c r="V3362" t="s">
        <v>15277</v>
      </c>
    </row>
    <row r="3363" spans="1:22" ht="15" hidden="1">
      <c r="A3363" t="s">
        <v>15434</v>
      </c>
      <c r="B3363" t="s">
        <v>15441</v>
      </c>
      <c r="C3363" t="s">
        <v>15449</v>
      </c>
      <c r="D3363" t="s">
        <v>3346</v>
      </c>
      <c r="E3363" t="s">
        <v>3427</v>
      </c>
      <c r="F3363" t="s">
        <v>3461</v>
      </c>
      <c r="G3363" s="3">
        <v>35.051715705996898</v>
      </c>
      <c r="H3363" s="3">
        <v>126.92903074364099</v>
      </c>
      <c r="I3363" t="s">
        <v>7115</v>
      </c>
      <c r="J3363" t="s">
        <v>10469</v>
      </c>
      <c r="K3363" t="s">
        <v>11881</v>
      </c>
      <c r="L3363" t="s">
        <v>3366</v>
      </c>
      <c r="M3363" t="s">
        <v>11888</v>
      </c>
      <c r="N3363" t="s">
        <v>3363</v>
      </c>
      <c r="O3363" t="s">
        <v>3361</v>
      </c>
      <c r="P3363" t="s">
        <v>3361</v>
      </c>
      <c r="Q3363" t="s">
        <v>3359</v>
      </c>
      <c r="R3363" t="s">
        <v>3358</v>
      </c>
      <c r="S3363" t="s">
        <v>15211</v>
      </c>
      <c r="T3363" t="s">
        <v>3378</v>
      </c>
      <c r="U3363" t="s">
        <v>15200</v>
      </c>
      <c r="V3363" t="s">
        <v>15277</v>
      </c>
    </row>
    <row r="3364" spans="1:22" ht="15" hidden="1">
      <c r="A3364" t="s">
        <v>15434</v>
      </c>
      <c r="B3364" t="s">
        <v>15441</v>
      </c>
      <c r="C3364" t="s">
        <v>15449</v>
      </c>
      <c r="D3364" t="s">
        <v>3347</v>
      </c>
      <c r="E3364" t="s">
        <v>3427</v>
      </c>
      <c r="F3364" t="s">
        <v>3461</v>
      </c>
      <c r="G3364" s="3">
        <v>35.051715711614101</v>
      </c>
      <c r="H3364" s="3">
        <v>126.92903073385</v>
      </c>
      <c r="I3364" t="s">
        <v>7116</v>
      </c>
      <c r="J3364" t="s">
        <v>10470</v>
      </c>
      <c r="K3364" t="s">
        <v>11575</v>
      </c>
      <c r="L3364" t="s">
        <v>3366</v>
      </c>
      <c r="M3364" t="s">
        <v>11888</v>
      </c>
      <c r="N3364" t="s">
        <v>3363</v>
      </c>
      <c r="O3364" t="s">
        <v>3361</v>
      </c>
      <c r="P3364" t="s">
        <v>3361</v>
      </c>
      <c r="Q3364" t="s">
        <v>3359</v>
      </c>
      <c r="R3364" t="s">
        <v>3358</v>
      </c>
      <c r="S3364" t="s">
        <v>15211</v>
      </c>
      <c r="T3364" t="s">
        <v>3378</v>
      </c>
      <c r="U3364" t="s">
        <v>15201</v>
      </c>
      <c r="V3364" t="s">
        <v>15277</v>
      </c>
    </row>
    <row r="3365" spans="1:22" ht="15" hidden="1">
      <c r="A3365" t="s">
        <v>15434</v>
      </c>
      <c r="B3365" t="s">
        <v>15442</v>
      </c>
      <c r="C3365" t="s">
        <v>15450</v>
      </c>
      <c r="D3365" t="s">
        <v>3348</v>
      </c>
      <c r="E3365" t="s">
        <v>3436</v>
      </c>
      <c r="F3365" t="s">
        <v>3441</v>
      </c>
      <c r="G3365" s="3">
        <v>35.051715913244202</v>
      </c>
      <c r="H3365" s="3">
        <v>126.929030517993</v>
      </c>
      <c r="I3365" t="s">
        <v>7117</v>
      </c>
      <c r="J3365" t="s">
        <v>10471</v>
      </c>
      <c r="K3365" t="s">
        <v>11820</v>
      </c>
      <c r="L3365" t="s">
        <v>3366</v>
      </c>
      <c r="M3365" t="s">
        <v>11894</v>
      </c>
      <c r="N3365" t="s">
        <v>3365</v>
      </c>
      <c r="O3365" t="s">
        <v>3361</v>
      </c>
      <c r="P3365" t="s">
        <v>15211</v>
      </c>
      <c r="Q3365" t="s">
        <v>15211</v>
      </c>
      <c r="R3365" t="s">
        <v>15211</v>
      </c>
      <c r="S3365" t="s">
        <v>15211</v>
      </c>
      <c r="T3365" t="s">
        <v>3370</v>
      </c>
      <c r="U3365" t="s">
        <v>15202</v>
      </c>
      <c r="V3365" t="s">
        <v>15278</v>
      </c>
    </row>
    <row r="3366" spans="1:22" ht="15" hidden="1">
      <c r="A3366" t="s">
        <v>15434</v>
      </c>
      <c r="B3366" t="s">
        <v>15442</v>
      </c>
      <c r="C3366" t="s">
        <v>15450</v>
      </c>
      <c r="D3366" t="s">
        <v>3349</v>
      </c>
      <c r="E3366" t="s">
        <v>3425</v>
      </c>
      <c r="F3366" t="s">
        <v>3453</v>
      </c>
      <c r="G3366" s="3">
        <v>35.0517159025582</v>
      </c>
      <c r="H3366" s="3">
        <v>126.929030566737</v>
      </c>
      <c r="I3366" t="s">
        <v>7118</v>
      </c>
      <c r="J3366" t="s">
        <v>10472</v>
      </c>
      <c r="K3366" t="s">
        <v>11882</v>
      </c>
      <c r="L3366" t="s">
        <v>3366</v>
      </c>
      <c r="M3366" t="s">
        <v>11894</v>
      </c>
      <c r="N3366" t="s">
        <v>3365</v>
      </c>
      <c r="O3366" t="s">
        <v>3361</v>
      </c>
      <c r="P3366" t="s">
        <v>15211</v>
      </c>
      <c r="Q3366" t="s">
        <v>15211</v>
      </c>
      <c r="R3366" t="s">
        <v>15211</v>
      </c>
      <c r="S3366" t="s">
        <v>15211</v>
      </c>
      <c r="T3366" t="s">
        <v>3370</v>
      </c>
      <c r="U3366" t="s">
        <v>15203</v>
      </c>
      <c r="V3366" t="s">
        <v>15278</v>
      </c>
    </row>
    <row r="3367" spans="1:22" ht="15" hidden="1">
      <c r="A3367" t="s">
        <v>15434</v>
      </c>
      <c r="B3367" t="s">
        <v>15442</v>
      </c>
      <c r="C3367" t="s">
        <v>15450</v>
      </c>
      <c r="D3367" t="s">
        <v>3350</v>
      </c>
      <c r="E3367" t="s">
        <v>3425</v>
      </c>
      <c r="F3367" t="s">
        <v>3432</v>
      </c>
      <c r="G3367" s="3">
        <v>35.051715871646898</v>
      </c>
      <c r="H3367" s="3">
        <v>126.929030559544</v>
      </c>
      <c r="I3367" t="s">
        <v>7119</v>
      </c>
      <c r="J3367" t="s">
        <v>10473</v>
      </c>
      <c r="K3367" t="s">
        <v>11098</v>
      </c>
      <c r="L3367" t="s">
        <v>3366</v>
      </c>
      <c r="M3367" t="s">
        <v>11894</v>
      </c>
      <c r="N3367" t="s">
        <v>3365</v>
      </c>
      <c r="O3367" t="s">
        <v>3361</v>
      </c>
      <c r="P3367" t="s">
        <v>15211</v>
      </c>
      <c r="Q3367" t="s">
        <v>15211</v>
      </c>
      <c r="R3367" t="s">
        <v>15211</v>
      </c>
      <c r="S3367" t="s">
        <v>15211</v>
      </c>
      <c r="T3367" t="s">
        <v>3370</v>
      </c>
      <c r="U3367" t="s">
        <v>15204</v>
      </c>
      <c r="V3367" t="s">
        <v>15278</v>
      </c>
    </row>
    <row r="3368" spans="1:22" ht="15" hidden="1">
      <c r="A3368" t="s">
        <v>15434</v>
      </c>
      <c r="B3368" t="s">
        <v>15442</v>
      </c>
      <c r="C3368" t="s">
        <v>15445</v>
      </c>
      <c r="D3368" t="s">
        <v>3351</v>
      </c>
      <c r="E3368" t="s">
        <v>3438</v>
      </c>
      <c r="F3368" t="s">
        <v>3430</v>
      </c>
      <c r="G3368" s="3">
        <v>35.051715660595299</v>
      </c>
      <c r="H3368" s="3">
        <v>126.929030787061</v>
      </c>
      <c r="I3368" t="s">
        <v>7120</v>
      </c>
      <c r="J3368" t="s">
        <v>10474</v>
      </c>
      <c r="K3368" t="s">
        <v>11412</v>
      </c>
      <c r="L3368" t="s">
        <v>3366</v>
      </c>
      <c r="M3368" t="s">
        <v>11890</v>
      </c>
      <c r="N3368" t="s">
        <v>3364</v>
      </c>
      <c r="O3368" t="s">
        <v>3361</v>
      </c>
      <c r="P3368" t="s">
        <v>15211</v>
      </c>
      <c r="Q3368" t="s">
        <v>15211</v>
      </c>
      <c r="R3368" t="s">
        <v>15211</v>
      </c>
      <c r="S3368" t="s">
        <v>15211</v>
      </c>
      <c r="T3368" t="s">
        <v>3369</v>
      </c>
      <c r="U3368" t="s">
        <v>15205</v>
      </c>
      <c r="V3368" t="s">
        <v>15279</v>
      </c>
    </row>
    <row r="3369" spans="1:22" ht="15" hidden="1">
      <c r="A3369" t="s">
        <v>15434</v>
      </c>
      <c r="B3369" t="s">
        <v>15442</v>
      </c>
      <c r="C3369" t="s">
        <v>15445</v>
      </c>
      <c r="D3369" t="s">
        <v>3352</v>
      </c>
      <c r="E3369" t="s">
        <v>3427</v>
      </c>
      <c r="F3369" t="s">
        <v>3442</v>
      </c>
      <c r="G3369" s="3">
        <v>35.051715640688698</v>
      </c>
      <c r="H3369" s="3">
        <v>126.92903080212101</v>
      </c>
      <c r="I3369" t="s">
        <v>7121</v>
      </c>
      <c r="J3369" t="s">
        <v>10475</v>
      </c>
      <c r="K3369" t="s">
        <v>11569</v>
      </c>
      <c r="L3369" t="s">
        <v>3366</v>
      </c>
      <c r="M3369" t="s">
        <v>11890</v>
      </c>
      <c r="N3369" t="s">
        <v>3364</v>
      </c>
      <c r="O3369" t="s">
        <v>3361</v>
      </c>
      <c r="P3369" t="s">
        <v>15211</v>
      </c>
      <c r="Q3369" t="s">
        <v>15211</v>
      </c>
      <c r="R3369" t="s">
        <v>15211</v>
      </c>
      <c r="S3369" t="s">
        <v>15211</v>
      </c>
      <c r="T3369" t="s">
        <v>3369</v>
      </c>
      <c r="U3369" t="s">
        <v>15206</v>
      </c>
      <c r="V3369" t="s">
        <v>15279</v>
      </c>
    </row>
    <row r="3370" spans="1:22" ht="15" hidden="1">
      <c r="A3370" t="s">
        <v>15434</v>
      </c>
      <c r="B3370" t="s">
        <v>15442</v>
      </c>
      <c r="C3370" t="s">
        <v>15445</v>
      </c>
      <c r="D3370" t="s">
        <v>3353</v>
      </c>
      <c r="E3370" t="s">
        <v>3436</v>
      </c>
      <c r="F3370" t="s">
        <v>3432</v>
      </c>
      <c r="G3370" s="3">
        <v>35.051715627122398</v>
      </c>
      <c r="H3370" s="3">
        <v>126.929030843289</v>
      </c>
      <c r="I3370" t="s">
        <v>7122</v>
      </c>
      <c r="J3370" t="s">
        <v>10476</v>
      </c>
      <c r="K3370" t="s">
        <v>10771</v>
      </c>
      <c r="L3370" t="s">
        <v>3366</v>
      </c>
      <c r="M3370" t="s">
        <v>11890</v>
      </c>
      <c r="N3370" t="s">
        <v>3364</v>
      </c>
      <c r="O3370" t="s">
        <v>3361</v>
      </c>
      <c r="P3370" t="s">
        <v>15211</v>
      </c>
      <c r="Q3370" t="s">
        <v>15211</v>
      </c>
      <c r="R3370" t="s">
        <v>15211</v>
      </c>
      <c r="S3370" t="s">
        <v>15211</v>
      </c>
      <c r="T3370" t="s">
        <v>3369</v>
      </c>
      <c r="U3370" t="s">
        <v>15207</v>
      </c>
      <c r="V3370" t="s">
        <v>15279</v>
      </c>
    </row>
    <row r="3371" spans="1:22" ht="15" hidden="1">
      <c r="A3371" t="s">
        <v>15434</v>
      </c>
      <c r="B3371" t="s">
        <v>15442</v>
      </c>
      <c r="C3371" t="s">
        <v>15451</v>
      </c>
      <c r="D3371" t="s">
        <v>3354</v>
      </c>
      <c r="E3371" t="s">
        <v>3438</v>
      </c>
      <c r="F3371" t="s">
        <v>3435</v>
      </c>
      <c r="G3371" s="3">
        <v>35.051715599709397</v>
      </c>
      <c r="H3371" s="3">
        <v>126.929030806634</v>
      </c>
      <c r="I3371" t="s">
        <v>7123</v>
      </c>
      <c r="J3371" t="s">
        <v>10477</v>
      </c>
      <c r="K3371" t="s">
        <v>11319</v>
      </c>
      <c r="L3371" t="s">
        <v>3366</v>
      </c>
      <c r="M3371" t="s">
        <v>11893</v>
      </c>
      <c r="N3371" t="s">
        <v>3365</v>
      </c>
      <c r="O3371" t="s">
        <v>3361</v>
      </c>
      <c r="P3371" t="s">
        <v>3361</v>
      </c>
      <c r="Q3371" t="s">
        <v>3362</v>
      </c>
      <c r="R3371" t="s">
        <v>15211</v>
      </c>
      <c r="S3371" t="s">
        <v>15211</v>
      </c>
      <c r="T3371" t="s">
        <v>3381</v>
      </c>
      <c r="U3371" t="s">
        <v>15208</v>
      </c>
      <c r="V3371" t="s">
        <v>15280</v>
      </c>
    </row>
    <row r="3372" spans="1:22" ht="15" hidden="1">
      <c r="A3372" t="s">
        <v>15434</v>
      </c>
      <c r="B3372" t="s">
        <v>15442</v>
      </c>
      <c r="C3372" t="s">
        <v>15451</v>
      </c>
      <c r="D3372" t="s">
        <v>3355</v>
      </c>
      <c r="E3372" t="s">
        <v>3438</v>
      </c>
      <c r="F3372" t="s">
        <v>3429</v>
      </c>
      <c r="G3372" s="3">
        <v>35.051715599544501</v>
      </c>
      <c r="H3372" s="3">
        <v>126.929030817282</v>
      </c>
      <c r="I3372" t="s">
        <v>7124</v>
      </c>
      <c r="J3372" t="s">
        <v>10478</v>
      </c>
      <c r="K3372" t="s">
        <v>11209</v>
      </c>
      <c r="L3372" t="s">
        <v>3366</v>
      </c>
      <c r="M3372" t="s">
        <v>11912</v>
      </c>
      <c r="N3372" t="s">
        <v>3365</v>
      </c>
      <c r="O3372" t="s">
        <v>3361</v>
      </c>
      <c r="P3372" t="s">
        <v>3361</v>
      </c>
      <c r="Q3372" t="s">
        <v>3363</v>
      </c>
      <c r="R3372" t="s">
        <v>15211</v>
      </c>
      <c r="S3372" t="s">
        <v>15211</v>
      </c>
      <c r="T3372" t="s">
        <v>3382</v>
      </c>
      <c r="U3372" t="s">
        <v>15209</v>
      </c>
      <c r="V3372" t="s">
        <v>15280</v>
      </c>
    </row>
    <row r="3373" spans="1:22" ht="15" hidden="1">
      <c r="A3373" t="s">
        <v>15434</v>
      </c>
      <c r="B3373" t="s">
        <v>15442</v>
      </c>
      <c r="C3373" t="s">
        <v>15451</v>
      </c>
      <c r="D3373" t="s">
        <v>3356</v>
      </c>
      <c r="E3373" t="s">
        <v>3438</v>
      </c>
      <c r="F3373" t="s">
        <v>3429</v>
      </c>
      <c r="G3373" s="3">
        <v>35.051715620809297</v>
      </c>
      <c r="H3373" s="3">
        <v>126.929030812734</v>
      </c>
      <c r="I3373" t="s">
        <v>7125</v>
      </c>
      <c r="J3373" t="s">
        <v>10479</v>
      </c>
      <c r="K3373" t="s">
        <v>10967</v>
      </c>
      <c r="L3373" t="s">
        <v>3366</v>
      </c>
      <c r="M3373" t="s">
        <v>11912</v>
      </c>
      <c r="N3373" t="s">
        <v>3365</v>
      </c>
      <c r="O3373" t="s">
        <v>3361</v>
      </c>
      <c r="P3373" t="s">
        <v>3361</v>
      </c>
      <c r="Q3373" t="s">
        <v>3363</v>
      </c>
      <c r="R3373" t="s">
        <v>15211</v>
      </c>
      <c r="S3373" t="s">
        <v>15211</v>
      </c>
      <c r="T3373" t="s">
        <v>3382</v>
      </c>
      <c r="U3373" t="s">
        <v>15210</v>
      </c>
      <c r="V3373" t="s">
        <v>15280</v>
      </c>
    </row>
  </sheetData>
  <autoFilter ref="A1:Y3373" xr:uid="{00000000-0009-0000-0000-000000000000}">
    <filterColumn colId="1">
      <filters>
        <filter val="gvrs"/>
      </filters>
    </filterColumn>
    <filterColumn colId="2">
      <filters>
        <filter val="GVRS"/>
      </filters>
    </filterColumn>
    <sortState xmlns:xlrd2="http://schemas.microsoft.com/office/spreadsheetml/2017/richdata2" ref="A2:Y3086">
      <sortCondition ref="A1:A3373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EBCA-9056-4E78-8605-8297AE6DE034}">
  <dimension ref="A1:Y24"/>
  <sheetViews>
    <sheetView topLeftCell="G1" workbookViewId="0">
      <selection activeCell="W1" sqref="W1"/>
    </sheetView>
  </sheetViews>
  <sheetFormatPr defaultRowHeight="14.4"/>
  <cols>
    <col min="1" max="1" width="9.109375" bestFit="1" customWidth="1"/>
    <col min="2" max="2" width="7.5546875" bestFit="1" customWidth="1"/>
    <col min="3" max="3" width="13.88671875" bestFit="1" customWidth="1"/>
    <col min="4" max="4" width="19" bestFit="1" customWidth="1"/>
    <col min="7" max="7" width="10.5546875" bestFit="1" customWidth="1"/>
    <col min="22" max="22" width="32" bestFit="1" customWidth="1"/>
  </cols>
  <sheetData>
    <row r="1" spans="1:25" ht="17.399999999999999">
      <c r="A1" s="1" t="s">
        <v>15545</v>
      </c>
      <c r="B1" s="1" t="s">
        <v>15544</v>
      </c>
      <c r="C1" s="1" t="s">
        <v>15543</v>
      </c>
      <c r="D1" s="2" t="s">
        <v>0</v>
      </c>
      <c r="E1" s="7" t="s">
        <v>15520</v>
      </c>
      <c r="F1" s="2" t="s">
        <v>3601</v>
      </c>
      <c r="G1" t="s">
        <v>3765</v>
      </c>
      <c r="H1" t="s">
        <v>3766</v>
      </c>
      <c r="I1" s="2" t="s">
        <v>3767</v>
      </c>
      <c r="J1" s="2" t="s">
        <v>7126</v>
      </c>
      <c r="K1" s="2" t="s">
        <v>15507</v>
      </c>
      <c r="L1" s="2" t="s">
        <v>11883</v>
      </c>
      <c r="M1" s="2" t="s">
        <v>11884</v>
      </c>
      <c r="N1" s="1" t="s">
        <v>15510</v>
      </c>
      <c r="O1" s="1" t="s">
        <v>15511</v>
      </c>
      <c r="P1" s="1" t="s">
        <v>15515</v>
      </c>
      <c r="Q1" s="1" t="s">
        <v>15512</v>
      </c>
      <c r="R1" s="1" t="s">
        <v>15513</v>
      </c>
      <c r="S1" s="1" t="s">
        <v>15514</v>
      </c>
      <c r="T1" s="1" t="s">
        <v>15516</v>
      </c>
      <c r="U1" s="2" t="s">
        <v>11922</v>
      </c>
      <c r="V1" s="7" t="s">
        <v>15506</v>
      </c>
      <c r="W1" s="1"/>
      <c r="X1" s="2"/>
      <c r="Y1" s="2"/>
    </row>
    <row r="2" spans="1:25">
      <c r="A2" t="s">
        <v>15312</v>
      </c>
      <c r="B2" t="s">
        <v>15443</v>
      </c>
      <c r="C2" t="s">
        <v>15452</v>
      </c>
      <c r="D2" t="s">
        <v>1060</v>
      </c>
      <c r="E2" t="s">
        <v>3431</v>
      </c>
      <c r="F2" t="s">
        <v>3462</v>
      </c>
      <c r="G2" s="3">
        <v>36.0622457138819</v>
      </c>
      <c r="H2" s="3">
        <v>127.55522777650999</v>
      </c>
      <c r="I2" t="s">
        <v>4826</v>
      </c>
      <c r="J2" t="s">
        <v>8185</v>
      </c>
      <c r="K2" t="s">
        <v>11190</v>
      </c>
      <c r="L2" t="s">
        <v>3366</v>
      </c>
      <c r="M2" t="s">
        <v>11886</v>
      </c>
      <c r="N2" t="s">
        <v>3357</v>
      </c>
      <c r="O2" t="s">
        <v>15211</v>
      </c>
      <c r="P2" t="s">
        <v>3362</v>
      </c>
      <c r="Q2" t="s">
        <v>3360</v>
      </c>
      <c r="R2" t="s">
        <v>15211</v>
      </c>
      <c r="S2" t="s">
        <v>15211</v>
      </c>
      <c r="T2" t="s">
        <v>3367</v>
      </c>
      <c r="U2" t="s">
        <v>12961</v>
      </c>
      <c r="V2" t="s">
        <v>15220</v>
      </c>
    </row>
    <row r="3" spans="1:25">
      <c r="A3" t="s">
        <v>15312</v>
      </c>
      <c r="B3" t="s">
        <v>15443</v>
      </c>
      <c r="C3" t="s">
        <v>15452</v>
      </c>
      <c r="D3" t="s">
        <v>1061</v>
      </c>
      <c r="E3" t="s">
        <v>3431</v>
      </c>
      <c r="F3" t="s">
        <v>3426</v>
      </c>
      <c r="G3" s="3">
        <v>36.062245685429801</v>
      </c>
      <c r="H3" s="3">
        <v>127.555227775308</v>
      </c>
      <c r="I3" t="s">
        <v>4827</v>
      </c>
      <c r="J3" t="s">
        <v>8186</v>
      </c>
      <c r="K3" t="s">
        <v>11191</v>
      </c>
      <c r="L3" t="s">
        <v>3366</v>
      </c>
      <c r="M3" t="s">
        <v>11885</v>
      </c>
      <c r="N3" t="s">
        <v>3357</v>
      </c>
      <c r="O3" t="s">
        <v>15211</v>
      </c>
      <c r="P3" t="s">
        <v>3362</v>
      </c>
      <c r="Q3" t="s">
        <v>3360</v>
      </c>
      <c r="R3" t="s">
        <v>15211</v>
      </c>
      <c r="S3" t="s">
        <v>15211</v>
      </c>
      <c r="T3" t="s">
        <v>3367</v>
      </c>
      <c r="U3" t="s">
        <v>12962</v>
      </c>
      <c r="V3" t="s">
        <v>15220</v>
      </c>
    </row>
    <row r="4" spans="1:25">
      <c r="A4" t="s">
        <v>15312</v>
      </c>
      <c r="B4" t="s">
        <v>15443</v>
      </c>
      <c r="C4" t="s">
        <v>15452</v>
      </c>
      <c r="D4" t="s">
        <v>1062</v>
      </c>
      <c r="E4" t="s">
        <v>3431</v>
      </c>
      <c r="F4" t="s">
        <v>3465</v>
      </c>
      <c r="G4" s="3">
        <v>36.062245656860497</v>
      </c>
      <c r="H4" s="3">
        <v>127.55522776237</v>
      </c>
      <c r="I4" t="s">
        <v>4828</v>
      </c>
      <c r="J4" t="s">
        <v>8187</v>
      </c>
      <c r="K4" t="s">
        <v>11192</v>
      </c>
      <c r="L4" t="s">
        <v>3366</v>
      </c>
      <c r="M4" t="s">
        <v>11885</v>
      </c>
      <c r="N4" t="s">
        <v>3358</v>
      </c>
      <c r="O4" t="s">
        <v>15211</v>
      </c>
      <c r="P4" t="s">
        <v>3362</v>
      </c>
      <c r="Q4" t="s">
        <v>3360</v>
      </c>
      <c r="R4" t="s">
        <v>15211</v>
      </c>
      <c r="S4" t="s">
        <v>15211</v>
      </c>
      <c r="T4" t="s">
        <v>3368</v>
      </c>
      <c r="U4" t="s">
        <v>12963</v>
      </c>
      <c r="V4" t="s">
        <v>15220</v>
      </c>
    </row>
    <row r="5" spans="1:25">
      <c r="A5" t="s">
        <v>15311</v>
      </c>
      <c r="B5" t="s">
        <v>15443</v>
      </c>
      <c r="C5" t="s">
        <v>15452</v>
      </c>
      <c r="D5" t="s">
        <v>1033</v>
      </c>
      <c r="E5" t="s">
        <v>3425</v>
      </c>
      <c r="F5" t="s">
        <v>3477</v>
      </c>
      <c r="G5" s="3">
        <v>35.911038540229697</v>
      </c>
      <c r="H5" s="3">
        <v>127.76051871192399</v>
      </c>
      <c r="I5" t="s">
        <v>4799</v>
      </c>
      <c r="J5" t="s">
        <v>8158</v>
      </c>
      <c r="K5" t="s">
        <v>11176</v>
      </c>
      <c r="L5" t="s">
        <v>3366</v>
      </c>
      <c r="M5" t="s">
        <v>11885</v>
      </c>
      <c r="N5" t="s">
        <v>3358</v>
      </c>
      <c r="O5" t="s">
        <v>15211</v>
      </c>
      <c r="P5" t="s">
        <v>3361</v>
      </c>
      <c r="Q5" t="s">
        <v>3361</v>
      </c>
      <c r="R5" t="s">
        <v>15211</v>
      </c>
      <c r="S5" t="s">
        <v>15211</v>
      </c>
      <c r="T5" t="s">
        <v>3368</v>
      </c>
      <c r="U5" t="s">
        <v>12934</v>
      </c>
      <c r="V5" t="s">
        <v>15220</v>
      </c>
    </row>
    <row r="6" spans="1:25">
      <c r="A6" t="s">
        <v>15311</v>
      </c>
      <c r="B6" t="s">
        <v>15443</v>
      </c>
      <c r="C6" t="s">
        <v>15452</v>
      </c>
      <c r="D6" t="s">
        <v>1034</v>
      </c>
      <c r="E6" t="s">
        <v>3431</v>
      </c>
      <c r="F6" t="s">
        <v>3467</v>
      </c>
      <c r="G6" s="3">
        <v>35.911038518184597</v>
      </c>
      <c r="H6" s="3">
        <v>127.760518680389</v>
      </c>
      <c r="I6" t="s">
        <v>4800</v>
      </c>
      <c r="J6" t="s">
        <v>8159</v>
      </c>
      <c r="K6" t="s">
        <v>11177</v>
      </c>
      <c r="L6" t="s">
        <v>3366</v>
      </c>
      <c r="M6" t="s">
        <v>11885</v>
      </c>
      <c r="N6" t="s">
        <v>3358</v>
      </c>
      <c r="O6" t="s">
        <v>15211</v>
      </c>
      <c r="P6" t="s">
        <v>3361</v>
      </c>
      <c r="Q6" t="s">
        <v>3361</v>
      </c>
      <c r="R6" t="s">
        <v>15211</v>
      </c>
      <c r="S6" t="s">
        <v>15211</v>
      </c>
      <c r="T6" t="s">
        <v>3368</v>
      </c>
      <c r="U6" t="s">
        <v>12935</v>
      </c>
      <c r="V6" t="s">
        <v>15220</v>
      </c>
    </row>
    <row r="7" spans="1:25">
      <c r="A7" t="s">
        <v>15311</v>
      </c>
      <c r="B7" t="s">
        <v>15443</v>
      </c>
      <c r="C7" t="s">
        <v>15452</v>
      </c>
      <c r="D7" t="s">
        <v>1035</v>
      </c>
      <c r="E7" t="s">
        <v>3434</v>
      </c>
      <c r="F7" t="s">
        <v>3611</v>
      </c>
      <c r="G7" s="3">
        <v>35.911038517609903</v>
      </c>
      <c r="H7" s="3">
        <v>127.760518693685</v>
      </c>
      <c r="I7" t="s">
        <v>4801</v>
      </c>
      <c r="J7" t="s">
        <v>8160</v>
      </c>
      <c r="K7" t="s">
        <v>11178</v>
      </c>
      <c r="L7" t="s">
        <v>3366</v>
      </c>
      <c r="M7" t="s">
        <v>11885</v>
      </c>
      <c r="N7" t="s">
        <v>3358</v>
      </c>
      <c r="O7" t="s">
        <v>15211</v>
      </c>
      <c r="P7" t="s">
        <v>3361</v>
      </c>
      <c r="Q7" t="s">
        <v>3361</v>
      </c>
      <c r="R7" t="s">
        <v>15211</v>
      </c>
      <c r="S7" t="s">
        <v>15211</v>
      </c>
      <c r="T7" t="s">
        <v>3368</v>
      </c>
      <c r="U7" t="s">
        <v>12936</v>
      </c>
      <c r="V7" t="s">
        <v>15220</v>
      </c>
    </row>
    <row r="8" spans="1:25">
      <c r="A8" t="s">
        <v>15379</v>
      </c>
      <c r="B8" t="s">
        <v>15443</v>
      </c>
      <c r="C8" t="s">
        <v>15452</v>
      </c>
      <c r="D8" t="s">
        <v>714</v>
      </c>
      <c r="E8" t="s">
        <v>3466</v>
      </c>
      <c r="F8" t="s">
        <v>3600</v>
      </c>
      <c r="G8" s="3">
        <v>37.658602327248602</v>
      </c>
      <c r="H8" s="3">
        <v>128.518179815986</v>
      </c>
      <c r="I8" t="s">
        <v>4480</v>
      </c>
      <c r="J8" t="s">
        <v>7839</v>
      </c>
      <c r="K8" t="s">
        <v>11016</v>
      </c>
      <c r="L8" t="s">
        <v>3366</v>
      </c>
      <c r="M8" t="s">
        <v>11896</v>
      </c>
      <c r="N8" t="s">
        <v>3360</v>
      </c>
      <c r="O8" t="s">
        <v>15211</v>
      </c>
      <c r="P8" t="s">
        <v>3363</v>
      </c>
      <c r="Q8" t="s">
        <v>3368</v>
      </c>
      <c r="R8" t="s">
        <v>15211</v>
      </c>
      <c r="S8" t="s">
        <v>15211</v>
      </c>
      <c r="T8" t="s">
        <v>3379</v>
      </c>
      <c r="U8" t="s">
        <v>12619</v>
      </c>
      <c r="V8" t="s">
        <v>15220</v>
      </c>
    </row>
    <row r="9" spans="1:25">
      <c r="A9" t="s">
        <v>15379</v>
      </c>
      <c r="B9" t="s">
        <v>15443</v>
      </c>
      <c r="C9" t="s">
        <v>15452</v>
      </c>
      <c r="D9" t="s">
        <v>715</v>
      </c>
      <c r="E9" t="s">
        <v>3476</v>
      </c>
      <c r="F9" t="s">
        <v>3600</v>
      </c>
      <c r="G9" s="3">
        <v>37.658602347783997</v>
      </c>
      <c r="H9" s="3">
        <v>128.51817981171899</v>
      </c>
      <c r="I9" t="s">
        <v>4481</v>
      </c>
      <c r="J9" t="s">
        <v>7840</v>
      </c>
      <c r="K9" t="s">
        <v>11016</v>
      </c>
      <c r="L9" t="s">
        <v>3366</v>
      </c>
      <c r="M9" t="s">
        <v>11896</v>
      </c>
      <c r="N9" t="s">
        <v>3360</v>
      </c>
      <c r="O9" t="s">
        <v>15211</v>
      </c>
      <c r="P9" t="s">
        <v>3363</v>
      </c>
      <c r="Q9" t="s">
        <v>3368</v>
      </c>
      <c r="R9" t="s">
        <v>15211</v>
      </c>
      <c r="S9" t="s">
        <v>15211</v>
      </c>
      <c r="T9" t="s">
        <v>3379</v>
      </c>
      <c r="U9" t="s">
        <v>12620</v>
      </c>
      <c r="V9" t="s">
        <v>15220</v>
      </c>
    </row>
    <row r="10" spans="1:25">
      <c r="A10" t="s">
        <v>15379</v>
      </c>
      <c r="B10" t="s">
        <v>15443</v>
      </c>
      <c r="C10" t="s">
        <v>15452</v>
      </c>
      <c r="D10" t="s">
        <v>716</v>
      </c>
      <c r="E10" t="s">
        <v>3477</v>
      </c>
      <c r="F10" t="s">
        <v>3496</v>
      </c>
      <c r="G10" s="3">
        <v>37.658602289380603</v>
      </c>
      <c r="H10" s="3">
        <v>128.518179805415</v>
      </c>
      <c r="I10" t="s">
        <v>4482</v>
      </c>
      <c r="J10" t="s">
        <v>7841</v>
      </c>
      <c r="K10" t="s">
        <v>10502</v>
      </c>
      <c r="L10" t="s">
        <v>3366</v>
      </c>
      <c r="M10" t="s">
        <v>11896</v>
      </c>
      <c r="N10" t="s">
        <v>3360</v>
      </c>
      <c r="O10" t="s">
        <v>15211</v>
      </c>
      <c r="P10" t="s">
        <v>3363</v>
      </c>
      <c r="Q10" t="s">
        <v>3368</v>
      </c>
      <c r="R10" t="s">
        <v>15211</v>
      </c>
      <c r="S10" t="s">
        <v>15211</v>
      </c>
      <c r="T10" t="s">
        <v>3379</v>
      </c>
      <c r="U10" t="s">
        <v>12621</v>
      </c>
      <c r="V10" t="s">
        <v>15220</v>
      </c>
    </row>
    <row r="11" spans="1:25">
      <c r="A11" t="s">
        <v>15316</v>
      </c>
      <c r="B11" t="s">
        <v>15443</v>
      </c>
      <c r="C11" t="s">
        <v>15452</v>
      </c>
      <c r="D11" t="s">
        <v>1160</v>
      </c>
      <c r="E11" t="s">
        <v>3431</v>
      </c>
      <c r="F11" t="s">
        <v>3449</v>
      </c>
      <c r="G11" s="3">
        <v>36.285298371673598</v>
      </c>
      <c r="H11" s="3">
        <v>127.61979535158</v>
      </c>
      <c r="I11" t="s">
        <v>4926</v>
      </c>
      <c r="J11" t="s">
        <v>8285</v>
      </c>
      <c r="K11" t="s">
        <v>10842</v>
      </c>
      <c r="L11" t="s">
        <v>3366</v>
      </c>
      <c r="M11" t="s">
        <v>11894</v>
      </c>
      <c r="N11" t="s">
        <v>3359</v>
      </c>
      <c r="O11" t="s">
        <v>15211</v>
      </c>
      <c r="P11" t="s">
        <v>3364</v>
      </c>
      <c r="Q11" t="s">
        <v>3360</v>
      </c>
      <c r="R11" t="s">
        <v>15211</v>
      </c>
      <c r="S11" t="s">
        <v>15211</v>
      </c>
      <c r="T11" t="s">
        <v>3371</v>
      </c>
      <c r="U11" t="s">
        <v>13058</v>
      </c>
      <c r="V11" t="s">
        <v>15220</v>
      </c>
    </row>
    <row r="12" spans="1:25">
      <c r="A12" t="s">
        <v>15316</v>
      </c>
      <c r="B12" t="s">
        <v>15443</v>
      </c>
      <c r="C12" t="s">
        <v>15452</v>
      </c>
      <c r="D12" t="s">
        <v>1161</v>
      </c>
      <c r="E12" t="s">
        <v>3425</v>
      </c>
      <c r="F12" t="s">
        <v>3465</v>
      </c>
      <c r="G12" s="3">
        <v>36.285298372583703</v>
      </c>
      <c r="H12" s="3">
        <v>127.619795350359</v>
      </c>
      <c r="I12" t="s">
        <v>4927</v>
      </c>
      <c r="J12" t="s">
        <v>8286</v>
      </c>
      <c r="K12" t="s">
        <v>11236</v>
      </c>
      <c r="L12" t="s">
        <v>3366</v>
      </c>
      <c r="M12" t="s">
        <v>11894</v>
      </c>
      <c r="N12" t="s">
        <v>3359</v>
      </c>
      <c r="O12" t="s">
        <v>15211</v>
      </c>
      <c r="P12" t="s">
        <v>3364</v>
      </c>
      <c r="Q12" t="s">
        <v>3360</v>
      </c>
      <c r="R12" t="s">
        <v>15211</v>
      </c>
      <c r="S12" t="s">
        <v>15211</v>
      </c>
      <c r="T12" t="s">
        <v>3371</v>
      </c>
      <c r="U12" t="s">
        <v>13059</v>
      </c>
      <c r="V12" t="s">
        <v>15220</v>
      </c>
    </row>
    <row r="13" spans="1:25">
      <c r="A13" t="s">
        <v>15316</v>
      </c>
      <c r="B13" t="s">
        <v>15443</v>
      </c>
      <c r="C13" t="s">
        <v>15452</v>
      </c>
      <c r="D13" t="s">
        <v>1162</v>
      </c>
      <c r="E13" t="s">
        <v>3431</v>
      </c>
      <c r="F13" t="s">
        <v>3450</v>
      </c>
      <c r="G13" s="3">
        <v>36.285298394472797</v>
      </c>
      <c r="H13" s="3">
        <v>127.619795327972</v>
      </c>
      <c r="I13" t="s">
        <v>4928</v>
      </c>
      <c r="J13" t="s">
        <v>8287</v>
      </c>
      <c r="K13" t="s">
        <v>11237</v>
      </c>
      <c r="L13" t="s">
        <v>3366</v>
      </c>
      <c r="M13" t="s">
        <v>11895</v>
      </c>
      <c r="N13" t="s">
        <v>3359</v>
      </c>
      <c r="O13" t="s">
        <v>15211</v>
      </c>
      <c r="P13" t="s">
        <v>3364</v>
      </c>
      <c r="Q13" t="s">
        <v>3360</v>
      </c>
      <c r="R13" t="s">
        <v>15211</v>
      </c>
      <c r="S13" t="s">
        <v>15211</v>
      </c>
      <c r="T13" t="s">
        <v>3371</v>
      </c>
      <c r="U13" t="s">
        <v>13060</v>
      </c>
      <c r="V13" t="s">
        <v>15220</v>
      </c>
    </row>
    <row r="14" spans="1:25">
      <c r="A14" t="s">
        <v>15317</v>
      </c>
      <c r="B14" t="s">
        <v>15443</v>
      </c>
      <c r="C14" t="s">
        <v>15452</v>
      </c>
      <c r="D14" t="s">
        <v>1187</v>
      </c>
      <c r="E14" t="s">
        <v>3440</v>
      </c>
      <c r="F14" t="s">
        <v>3434</v>
      </c>
      <c r="G14" s="3">
        <v>36.220918044949101</v>
      </c>
      <c r="H14" s="3">
        <v>127.802770958227</v>
      </c>
      <c r="I14" t="s">
        <v>4953</v>
      </c>
      <c r="J14" t="s">
        <v>8312</v>
      </c>
      <c r="K14" t="s">
        <v>11253</v>
      </c>
      <c r="L14" t="s">
        <v>3366</v>
      </c>
      <c r="M14" t="s">
        <v>11895</v>
      </c>
      <c r="N14" t="s">
        <v>3360</v>
      </c>
      <c r="O14" t="s">
        <v>15211</v>
      </c>
      <c r="P14" t="s">
        <v>3363</v>
      </c>
      <c r="Q14" t="s">
        <v>3359</v>
      </c>
      <c r="R14" t="s">
        <v>15211</v>
      </c>
      <c r="S14" t="s">
        <v>15211</v>
      </c>
      <c r="T14" t="s">
        <v>3370</v>
      </c>
      <c r="U14" t="s">
        <v>13085</v>
      </c>
      <c r="V14" t="s">
        <v>15220</v>
      </c>
    </row>
    <row r="15" spans="1:25">
      <c r="A15" t="s">
        <v>15317</v>
      </c>
      <c r="B15" t="s">
        <v>15443</v>
      </c>
      <c r="C15" t="s">
        <v>15452</v>
      </c>
      <c r="D15" t="s">
        <v>1188</v>
      </c>
      <c r="E15" t="s">
        <v>3440</v>
      </c>
      <c r="F15" t="s">
        <v>3435</v>
      </c>
      <c r="G15" s="3">
        <v>36.220918053280997</v>
      </c>
      <c r="H15" s="3">
        <v>127.802770940039</v>
      </c>
      <c r="I15" t="s">
        <v>4954</v>
      </c>
      <c r="J15" t="s">
        <v>8313</v>
      </c>
      <c r="K15" t="s">
        <v>10977</v>
      </c>
      <c r="L15" t="s">
        <v>3366</v>
      </c>
      <c r="M15" t="s">
        <v>11895</v>
      </c>
      <c r="N15" t="s">
        <v>3360</v>
      </c>
      <c r="O15" t="s">
        <v>15211</v>
      </c>
      <c r="P15" t="s">
        <v>3363</v>
      </c>
      <c r="Q15" t="s">
        <v>3360</v>
      </c>
      <c r="R15" t="s">
        <v>15211</v>
      </c>
      <c r="S15" t="s">
        <v>15211</v>
      </c>
      <c r="T15" t="s">
        <v>3371</v>
      </c>
      <c r="U15" t="s">
        <v>13086</v>
      </c>
      <c r="V15" t="s">
        <v>15220</v>
      </c>
    </row>
    <row r="16" spans="1:25">
      <c r="A16" t="s">
        <v>15317</v>
      </c>
      <c r="B16" t="s">
        <v>15443</v>
      </c>
      <c r="C16" t="s">
        <v>15452</v>
      </c>
      <c r="D16" t="s">
        <v>1189</v>
      </c>
      <c r="E16" t="s">
        <v>3438</v>
      </c>
      <c r="F16" t="s">
        <v>3429</v>
      </c>
      <c r="G16" s="3">
        <v>36.2209180552655</v>
      </c>
      <c r="H16" s="3">
        <v>127.802770932382</v>
      </c>
      <c r="I16" t="s">
        <v>4955</v>
      </c>
      <c r="J16" t="s">
        <v>8314</v>
      </c>
      <c r="K16" t="s">
        <v>11254</v>
      </c>
      <c r="L16" t="s">
        <v>3366</v>
      </c>
      <c r="M16" t="s">
        <v>11895</v>
      </c>
      <c r="N16" t="s">
        <v>3360</v>
      </c>
      <c r="O16" t="s">
        <v>15211</v>
      </c>
      <c r="P16" t="s">
        <v>3363</v>
      </c>
      <c r="Q16" t="s">
        <v>3360</v>
      </c>
      <c r="R16" t="s">
        <v>15211</v>
      </c>
      <c r="S16" t="s">
        <v>15211</v>
      </c>
      <c r="T16" t="s">
        <v>3371</v>
      </c>
      <c r="U16" t="s">
        <v>13087</v>
      </c>
      <c r="V16" t="s">
        <v>15220</v>
      </c>
    </row>
    <row r="17" spans="1:24">
      <c r="A17" t="s">
        <v>15308</v>
      </c>
      <c r="B17" t="s">
        <v>15443</v>
      </c>
      <c r="C17" t="s">
        <v>15452</v>
      </c>
      <c r="D17" t="s">
        <v>955</v>
      </c>
      <c r="E17" t="s">
        <v>3431</v>
      </c>
      <c r="F17" t="s">
        <v>3477</v>
      </c>
      <c r="G17" s="3">
        <v>35.772203465173803</v>
      </c>
      <c r="H17" s="3">
        <v>127.385465846926</v>
      </c>
      <c r="I17" t="s">
        <v>4721</v>
      </c>
      <c r="J17" t="s">
        <v>8080</v>
      </c>
      <c r="K17" t="s">
        <v>10555</v>
      </c>
      <c r="L17" t="s">
        <v>3366</v>
      </c>
      <c r="M17" t="s">
        <v>11898</v>
      </c>
      <c r="N17" t="s">
        <v>3362</v>
      </c>
      <c r="O17" t="s">
        <v>15211</v>
      </c>
      <c r="P17" t="s">
        <v>3363</v>
      </c>
      <c r="Q17" t="s">
        <v>3361</v>
      </c>
      <c r="R17" t="s">
        <v>15211</v>
      </c>
      <c r="S17" t="s">
        <v>15211</v>
      </c>
      <c r="T17" t="s">
        <v>3374</v>
      </c>
      <c r="U17" t="s">
        <v>12856</v>
      </c>
      <c r="V17" t="s">
        <v>15220</v>
      </c>
    </row>
    <row r="18" spans="1:24">
      <c r="A18" t="s">
        <v>15308</v>
      </c>
      <c r="B18" t="s">
        <v>15443</v>
      </c>
      <c r="C18" t="s">
        <v>15452</v>
      </c>
      <c r="D18" t="s">
        <v>956</v>
      </c>
      <c r="E18" t="s">
        <v>3431</v>
      </c>
      <c r="F18" t="s">
        <v>3477</v>
      </c>
      <c r="G18" s="3">
        <v>35.772203470016699</v>
      </c>
      <c r="H18" s="3">
        <v>127.38546580193901</v>
      </c>
      <c r="I18" t="s">
        <v>4722</v>
      </c>
      <c r="J18" t="s">
        <v>8081</v>
      </c>
      <c r="K18" t="s">
        <v>10553</v>
      </c>
      <c r="L18" t="s">
        <v>3366</v>
      </c>
      <c r="M18" t="s">
        <v>11898</v>
      </c>
      <c r="N18" t="s">
        <v>3362</v>
      </c>
      <c r="O18" t="s">
        <v>15211</v>
      </c>
      <c r="P18" t="s">
        <v>3363</v>
      </c>
      <c r="Q18" t="s">
        <v>3361</v>
      </c>
      <c r="R18" t="s">
        <v>15211</v>
      </c>
      <c r="S18" t="s">
        <v>15211</v>
      </c>
      <c r="T18" t="s">
        <v>3374</v>
      </c>
      <c r="U18" t="s">
        <v>12857</v>
      </c>
      <c r="V18" t="s">
        <v>15220</v>
      </c>
    </row>
    <row r="19" spans="1:24">
      <c r="A19" t="s">
        <v>15308</v>
      </c>
      <c r="B19" t="s">
        <v>15443</v>
      </c>
      <c r="C19" t="s">
        <v>15452</v>
      </c>
      <c r="D19" t="s">
        <v>957</v>
      </c>
      <c r="E19" t="s">
        <v>3431</v>
      </c>
      <c r="F19" t="s">
        <v>3467</v>
      </c>
      <c r="G19" s="3">
        <v>35.772203499600103</v>
      </c>
      <c r="H19" s="3">
        <v>127.385465777779</v>
      </c>
      <c r="I19" t="s">
        <v>4723</v>
      </c>
      <c r="J19" t="s">
        <v>8082</v>
      </c>
      <c r="K19" t="s">
        <v>10997</v>
      </c>
      <c r="L19" t="s">
        <v>3366</v>
      </c>
      <c r="M19" t="s">
        <v>11901</v>
      </c>
      <c r="N19" t="s">
        <v>3361</v>
      </c>
      <c r="O19" t="s">
        <v>15211</v>
      </c>
      <c r="P19" t="s">
        <v>3363</v>
      </c>
      <c r="Q19" t="s">
        <v>3361</v>
      </c>
      <c r="R19" t="s">
        <v>15211</v>
      </c>
      <c r="S19" t="s">
        <v>15211</v>
      </c>
      <c r="T19" t="s">
        <v>3373</v>
      </c>
      <c r="U19" t="s">
        <v>12858</v>
      </c>
      <c r="V19" t="s">
        <v>15220</v>
      </c>
    </row>
    <row r="20" spans="1:24" ht="17.399999999999999">
      <c r="A20" t="s">
        <v>15344</v>
      </c>
      <c r="B20" t="s">
        <v>15443</v>
      </c>
      <c r="C20" t="s">
        <v>15452</v>
      </c>
      <c r="D20" t="s">
        <v>25</v>
      </c>
      <c r="E20" t="s">
        <v>3425</v>
      </c>
      <c r="F20" t="s">
        <v>3461</v>
      </c>
      <c r="G20" s="3">
        <v>36.096111117715097</v>
      </c>
      <c r="H20" s="3">
        <v>129.37416334989601</v>
      </c>
      <c r="I20" t="s">
        <v>3792</v>
      </c>
      <c r="J20" t="s">
        <v>7151</v>
      </c>
      <c r="K20" t="s">
        <v>3616</v>
      </c>
      <c r="L20" t="s">
        <v>3379</v>
      </c>
      <c r="M20" t="s">
        <v>11890</v>
      </c>
      <c r="N20" t="s">
        <v>3363</v>
      </c>
      <c r="O20" t="s">
        <v>15211</v>
      </c>
      <c r="P20" t="s">
        <v>3362</v>
      </c>
      <c r="Q20" t="s">
        <v>15211</v>
      </c>
      <c r="R20" t="s">
        <v>15211</v>
      </c>
      <c r="S20" t="s">
        <v>15211</v>
      </c>
      <c r="T20" t="s">
        <v>3369</v>
      </c>
      <c r="U20" t="s">
        <v>11947</v>
      </c>
      <c r="V20" t="s">
        <v>15220</v>
      </c>
    </row>
    <row r="21" spans="1:24" ht="17.399999999999999">
      <c r="A21" t="s">
        <v>15344</v>
      </c>
      <c r="B21" t="s">
        <v>15443</v>
      </c>
      <c r="C21" t="s">
        <v>15452</v>
      </c>
      <c r="D21" t="s">
        <v>26</v>
      </c>
      <c r="E21" t="s">
        <v>3425</v>
      </c>
      <c r="F21" t="s">
        <v>3452</v>
      </c>
      <c r="G21" s="3">
        <v>36.096111144154001</v>
      </c>
      <c r="H21" s="3">
        <v>129.374163333333</v>
      </c>
      <c r="I21" t="s">
        <v>3793</v>
      </c>
      <c r="J21" t="s">
        <v>7152</v>
      </c>
      <c r="K21" t="s">
        <v>3616</v>
      </c>
      <c r="L21" t="s">
        <v>3366</v>
      </c>
      <c r="M21" t="s">
        <v>11890</v>
      </c>
      <c r="N21" t="s">
        <v>3363</v>
      </c>
      <c r="O21" t="s">
        <v>15211</v>
      </c>
      <c r="P21" t="s">
        <v>3362</v>
      </c>
      <c r="Q21" t="s">
        <v>15211</v>
      </c>
      <c r="R21" t="s">
        <v>15211</v>
      </c>
      <c r="S21" t="s">
        <v>15211</v>
      </c>
      <c r="T21" t="s">
        <v>3369</v>
      </c>
      <c r="U21" t="s">
        <v>11948</v>
      </c>
      <c r="V21" t="s">
        <v>15220</v>
      </c>
    </row>
    <row r="22" spans="1:24" ht="17.399999999999999">
      <c r="A22" t="s">
        <v>15344</v>
      </c>
      <c r="B22" t="s">
        <v>15443</v>
      </c>
      <c r="C22" t="s">
        <v>15452</v>
      </c>
      <c r="D22" t="s">
        <v>27</v>
      </c>
      <c r="E22" t="s">
        <v>3425</v>
      </c>
      <c r="F22" t="s">
        <v>3452</v>
      </c>
      <c r="G22" s="3">
        <v>36.096111119521098</v>
      </c>
      <c r="H22" s="3">
        <v>129.374163336218</v>
      </c>
      <c r="I22" t="s">
        <v>3794</v>
      </c>
      <c r="J22" t="s">
        <v>7153</v>
      </c>
      <c r="K22" t="s">
        <v>10503</v>
      </c>
      <c r="L22" t="s">
        <v>3366</v>
      </c>
      <c r="M22" t="s">
        <v>11890</v>
      </c>
      <c r="N22" t="s">
        <v>3363</v>
      </c>
      <c r="O22" t="s">
        <v>15211</v>
      </c>
      <c r="P22" t="s">
        <v>3362</v>
      </c>
      <c r="Q22" t="s">
        <v>15211</v>
      </c>
      <c r="R22" t="s">
        <v>15211</v>
      </c>
      <c r="S22" t="s">
        <v>15211</v>
      </c>
      <c r="T22" t="s">
        <v>3369</v>
      </c>
      <c r="U22" t="s">
        <v>11949</v>
      </c>
      <c r="V22" t="s">
        <v>15220</v>
      </c>
    </row>
    <row r="24" spans="1:24" ht="17.399999999999999">
      <c r="A24" s="1"/>
      <c r="B24" s="1"/>
      <c r="C24" s="1"/>
      <c r="D24" s="2"/>
      <c r="E24" s="7"/>
      <c r="F24" s="2"/>
      <c r="H24" s="2"/>
      <c r="I24" s="2"/>
      <c r="J24" s="2"/>
      <c r="K24" s="2"/>
      <c r="L24" s="2"/>
      <c r="M24" s="1"/>
      <c r="N24" s="1"/>
      <c r="O24" s="1"/>
      <c r="P24" s="1"/>
      <c r="Q24" s="1"/>
      <c r="R24" s="1"/>
      <c r="S24" s="1"/>
      <c r="T24" s="2"/>
      <c r="U24" s="7"/>
      <c r="V24" s="1"/>
      <c r="W24" s="2"/>
      <c r="X2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CBA8-49F4-406F-B32C-576C56B67B1E}">
  <dimension ref="A1:Y12"/>
  <sheetViews>
    <sheetView tabSelected="1" workbookViewId="0">
      <selection activeCell="V8" sqref="V8"/>
    </sheetView>
  </sheetViews>
  <sheetFormatPr defaultRowHeight="14.4"/>
  <cols>
    <col min="4" max="4" width="19" bestFit="1" customWidth="1"/>
    <col min="5" max="5" width="10" bestFit="1" customWidth="1"/>
    <col min="6" max="6" width="9.88671875" customWidth="1"/>
    <col min="7" max="7" width="10.5546875" customWidth="1"/>
    <col min="8" max="9" width="16.109375" bestFit="1" customWidth="1"/>
    <col min="21" max="22" width="32" bestFit="1" customWidth="1"/>
  </cols>
  <sheetData>
    <row r="1" spans="1:25" ht="17.399999999999999">
      <c r="A1" s="1" t="s">
        <v>15545</v>
      </c>
      <c r="B1" s="1" t="s">
        <v>15544</v>
      </c>
      <c r="C1" s="1" t="s">
        <v>15543</v>
      </c>
      <c r="D1" s="2" t="s">
        <v>0</v>
      </c>
      <c r="E1" s="7" t="s">
        <v>15520</v>
      </c>
      <c r="F1" s="2" t="s">
        <v>3601</v>
      </c>
      <c r="G1" t="s">
        <v>3765</v>
      </c>
      <c r="H1" t="s">
        <v>3766</v>
      </c>
      <c r="I1" s="2" t="s">
        <v>3767</v>
      </c>
      <c r="J1" s="2" t="s">
        <v>7126</v>
      </c>
      <c r="K1" s="2" t="s">
        <v>15507</v>
      </c>
      <c r="L1" s="2" t="s">
        <v>11883</v>
      </c>
      <c r="M1" s="2" t="s">
        <v>11884</v>
      </c>
      <c r="N1" s="1" t="s">
        <v>15510</v>
      </c>
      <c r="O1" s="1" t="s">
        <v>15511</v>
      </c>
      <c r="P1" s="1" t="s">
        <v>15515</v>
      </c>
      <c r="Q1" s="1" t="s">
        <v>15512</v>
      </c>
      <c r="R1" s="1" t="s">
        <v>15513</v>
      </c>
      <c r="S1" s="1" t="s">
        <v>15514</v>
      </c>
      <c r="T1" s="1" t="s">
        <v>15516</v>
      </c>
      <c r="U1" s="2" t="s">
        <v>11922</v>
      </c>
      <c r="V1" s="7" t="s">
        <v>15506</v>
      </c>
      <c r="W1" s="1"/>
      <c r="X1" s="2"/>
      <c r="Y1" s="2"/>
    </row>
    <row r="2" spans="1:25">
      <c r="A2" t="s">
        <v>15372</v>
      </c>
      <c r="B2" t="s">
        <v>15443</v>
      </c>
      <c r="C2" t="s">
        <v>15452</v>
      </c>
      <c r="D2" t="s">
        <v>457</v>
      </c>
      <c r="E2" t="s">
        <v>3440</v>
      </c>
      <c r="F2" t="s">
        <v>3434</v>
      </c>
      <c r="G2" s="3">
        <v>35.345714305673802</v>
      </c>
      <c r="H2" s="3">
        <v>127.228238227505</v>
      </c>
      <c r="I2" t="s">
        <v>4224</v>
      </c>
      <c r="J2" t="s">
        <v>7583</v>
      </c>
      <c r="K2" t="s">
        <v>10821</v>
      </c>
      <c r="L2" t="s">
        <v>3366</v>
      </c>
      <c r="M2" t="s">
        <v>11894</v>
      </c>
      <c r="N2" t="s">
        <v>3362</v>
      </c>
      <c r="O2" t="s">
        <v>15211</v>
      </c>
      <c r="P2" t="s">
        <v>3361</v>
      </c>
      <c r="Q2" t="s">
        <v>3359</v>
      </c>
      <c r="R2" t="s">
        <v>15211</v>
      </c>
      <c r="S2" t="s">
        <v>15211</v>
      </c>
      <c r="T2" t="s">
        <v>3370</v>
      </c>
      <c r="U2" t="s">
        <v>12367</v>
      </c>
      <c r="V2" t="s">
        <v>15220</v>
      </c>
    </row>
    <row r="3" spans="1:25">
      <c r="A3" t="s">
        <v>15374</v>
      </c>
      <c r="B3" t="s">
        <v>15443</v>
      </c>
      <c r="C3" t="s">
        <v>15452</v>
      </c>
      <c r="D3" t="s">
        <v>475</v>
      </c>
      <c r="E3" t="s">
        <v>3435</v>
      </c>
      <c r="F3" t="s">
        <v>3465</v>
      </c>
      <c r="G3" s="3">
        <v>35.480946924498099</v>
      </c>
      <c r="H3" s="3">
        <v>127.689010053782</v>
      </c>
      <c r="I3" t="s">
        <v>4242</v>
      </c>
      <c r="J3" t="s">
        <v>7601</v>
      </c>
      <c r="K3" t="s">
        <v>10654</v>
      </c>
      <c r="L3" t="s">
        <v>3392</v>
      </c>
      <c r="M3" t="s">
        <v>11903</v>
      </c>
      <c r="N3" t="s">
        <v>3361</v>
      </c>
      <c r="O3" t="s">
        <v>15211</v>
      </c>
      <c r="P3" t="s">
        <v>3363</v>
      </c>
      <c r="Q3" t="s">
        <v>3360</v>
      </c>
      <c r="R3" t="s">
        <v>15211</v>
      </c>
      <c r="S3" t="s">
        <v>15211</v>
      </c>
      <c r="T3" t="s">
        <v>3372</v>
      </c>
      <c r="U3" t="s">
        <v>12385</v>
      </c>
      <c r="V3" t="s">
        <v>15220</v>
      </c>
    </row>
    <row r="4" spans="1:25">
      <c r="A4" t="s">
        <v>15371</v>
      </c>
      <c r="B4" t="s">
        <v>15443</v>
      </c>
      <c r="C4" t="s">
        <v>15452</v>
      </c>
      <c r="D4" t="s">
        <v>448</v>
      </c>
      <c r="E4" t="s">
        <v>3427</v>
      </c>
      <c r="F4" t="s">
        <v>3442</v>
      </c>
      <c r="G4" s="3">
        <v>35.411230266581697</v>
      </c>
      <c r="H4" s="3">
        <v>127.319629859321</v>
      </c>
      <c r="I4" t="s">
        <v>4215</v>
      </c>
      <c r="J4" t="s">
        <v>7574</v>
      </c>
      <c r="K4" t="s">
        <v>3667</v>
      </c>
      <c r="L4" t="s">
        <v>3366</v>
      </c>
      <c r="M4" t="s">
        <v>11908</v>
      </c>
      <c r="N4" t="s">
        <v>3363</v>
      </c>
      <c r="O4" t="s">
        <v>15211</v>
      </c>
      <c r="P4" t="s">
        <v>3363</v>
      </c>
      <c r="Q4" t="s">
        <v>3362</v>
      </c>
      <c r="R4" t="s">
        <v>15211</v>
      </c>
      <c r="S4" t="s">
        <v>15211</v>
      </c>
      <c r="T4" t="s">
        <v>3376</v>
      </c>
      <c r="U4" t="s">
        <v>12358</v>
      </c>
      <c r="V4" t="s">
        <v>15220</v>
      </c>
    </row>
    <row r="5" spans="1:25">
      <c r="A5" t="s">
        <v>15379</v>
      </c>
      <c r="B5" t="s">
        <v>15443</v>
      </c>
      <c r="C5" t="s">
        <v>15452</v>
      </c>
      <c r="D5" t="s">
        <v>714</v>
      </c>
      <c r="E5" t="s">
        <v>3466</v>
      </c>
      <c r="F5" t="s">
        <v>3600</v>
      </c>
      <c r="G5" s="3">
        <v>37.658602327248602</v>
      </c>
      <c r="H5" s="3">
        <v>128.518179815986</v>
      </c>
      <c r="I5" t="s">
        <v>4480</v>
      </c>
      <c r="J5" t="s">
        <v>7839</v>
      </c>
      <c r="K5" t="s">
        <v>11016</v>
      </c>
      <c r="L5" t="s">
        <v>3366</v>
      </c>
      <c r="M5" t="s">
        <v>11896</v>
      </c>
      <c r="N5" t="s">
        <v>3360</v>
      </c>
      <c r="O5" t="s">
        <v>15211</v>
      </c>
      <c r="P5" t="s">
        <v>3363</v>
      </c>
      <c r="Q5" t="s">
        <v>3368</v>
      </c>
      <c r="R5" t="s">
        <v>15211</v>
      </c>
      <c r="S5" t="s">
        <v>15211</v>
      </c>
      <c r="T5" t="s">
        <v>3379</v>
      </c>
      <c r="U5" t="s">
        <v>12619</v>
      </c>
      <c r="V5" t="s">
        <v>15220</v>
      </c>
    </row>
    <row r="6" spans="1:25">
      <c r="A6" t="s">
        <v>15379</v>
      </c>
      <c r="B6" t="s">
        <v>15443</v>
      </c>
      <c r="C6" t="s">
        <v>15452</v>
      </c>
      <c r="D6" t="s">
        <v>715</v>
      </c>
      <c r="E6" t="s">
        <v>3476</v>
      </c>
      <c r="F6" t="s">
        <v>3600</v>
      </c>
      <c r="G6" s="3">
        <v>37.658602347783997</v>
      </c>
      <c r="H6" s="3">
        <v>128.51817981171899</v>
      </c>
      <c r="I6" t="s">
        <v>4481</v>
      </c>
      <c r="J6" t="s">
        <v>7840</v>
      </c>
      <c r="K6" t="s">
        <v>11016</v>
      </c>
      <c r="L6" t="s">
        <v>3366</v>
      </c>
      <c r="M6" t="s">
        <v>11896</v>
      </c>
      <c r="N6" t="s">
        <v>3360</v>
      </c>
      <c r="O6" t="s">
        <v>15211</v>
      </c>
      <c r="P6" t="s">
        <v>3363</v>
      </c>
      <c r="Q6" t="s">
        <v>3368</v>
      </c>
      <c r="R6" t="s">
        <v>15211</v>
      </c>
      <c r="S6" t="s">
        <v>15211</v>
      </c>
      <c r="T6" t="s">
        <v>3379</v>
      </c>
      <c r="U6" t="s">
        <v>12620</v>
      </c>
      <c r="V6" t="s">
        <v>15220</v>
      </c>
    </row>
    <row r="7" spans="1:25">
      <c r="A7" t="s">
        <v>15379</v>
      </c>
      <c r="B7" t="s">
        <v>15443</v>
      </c>
      <c r="C7" t="s">
        <v>15452</v>
      </c>
      <c r="D7" t="s">
        <v>716</v>
      </c>
      <c r="E7" t="s">
        <v>3477</v>
      </c>
      <c r="F7" t="s">
        <v>3496</v>
      </c>
      <c r="G7" s="3">
        <v>37.658602289380603</v>
      </c>
      <c r="H7" s="3">
        <v>128.518179805415</v>
      </c>
      <c r="I7" t="s">
        <v>4482</v>
      </c>
      <c r="J7" t="s">
        <v>7841</v>
      </c>
      <c r="K7" t="s">
        <v>10502</v>
      </c>
      <c r="L7" t="s">
        <v>3366</v>
      </c>
      <c r="M7" t="s">
        <v>11896</v>
      </c>
      <c r="N7" t="s">
        <v>3360</v>
      </c>
      <c r="O7" t="s">
        <v>15211</v>
      </c>
      <c r="P7" t="s">
        <v>3363</v>
      </c>
      <c r="Q7" t="s">
        <v>3368</v>
      </c>
      <c r="R7" t="s">
        <v>15211</v>
      </c>
      <c r="S7" t="s">
        <v>15211</v>
      </c>
      <c r="T7" t="s">
        <v>3379</v>
      </c>
      <c r="U7" t="s">
        <v>12621</v>
      </c>
      <c r="V7" t="s">
        <v>15220</v>
      </c>
    </row>
    <row r="8" spans="1:25">
      <c r="A8" t="s">
        <v>15306</v>
      </c>
      <c r="B8" t="s">
        <v>15443</v>
      </c>
      <c r="C8" t="s">
        <v>15452</v>
      </c>
      <c r="D8" t="s">
        <v>494</v>
      </c>
      <c r="E8" t="s">
        <v>3438</v>
      </c>
      <c r="F8" t="s">
        <v>3435</v>
      </c>
      <c r="G8" s="3">
        <v>35.408100685370201</v>
      </c>
      <c r="H8" s="3">
        <v>127.898419171895</v>
      </c>
      <c r="I8" t="s">
        <v>4261</v>
      </c>
      <c r="J8" t="s">
        <v>7620</v>
      </c>
      <c r="K8" t="s">
        <v>10849</v>
      </c>
      <c r="L8" t="s">
        <v>3366</v>
      </c>
      <c r="M8" t="s">
        <v>11908</v>
      </c>
      <c r="N8" t="s">
        <v>3364</v>
      </c>
      <c r="O8" t="s">
        <v>15211</v>
      </c>
      <c r="P8" t="s">
        <v>3363</v>
      </c>
      <c r="Q8" t="s">
        <v>3361</v>
      </c>
      <c r="R8" t="s">
        <v>15211</v>
      </c>
      <c r="S8" t="s">
        <v>15211</v>
      </c>
      <c r="T8" t="s">
        <v>3376</v>
      </c>
      <c r="U8" t="s">
        <v>12404</v>
      </c>
      <c r="V8" t="s">
        <v>15220</v>
      </c>
    </row>
    <row r="9" spans="1:25">
      <c r="A9" t="s">
        <v>15370</v>
      </c>
      <c r="B9" t="s">
        <v>15443</v>
      </c>
      <c r="C9" t="s">
        <v>15452</v>
      </c>
      <c r="D9" t="s">
        <v>439</v>
      </c>
      <c r="E9" t="s">
        <v>3430</v>
      </c>
      <c r="F9" t="s">
        <v>3452</v>
      </c>
      <c r="G9" s="3">
        <v>35.550114771729902</v>
      </c>
      <c r="H9" s="3">
        <v>127.29328181306199</v>
      </c>
      <c r="I9" t="s">
        <v>4206</v>
      </c>
      <c r="J9" t="s">
        <v>7565</v>
      </c>
      <c r="K9" t="s">
        <v>10504</v>
      </c>
      <c r="L9" t="s">
        <v>3366</v>
      </c>
      <c r="M9" t="s">
        <v>11903</v>
      </c>
      <c r="N9" t="s">
        <v>3361</v>
      </c>
      <c r="O9" t="s">
        <v>15211</v>
      </c>
      <c r="P9" t="s">
        <v>3362</v>
      </c>
      <c r="Q9" t="s">
        <v>3360</v>
      </c>
      <c r="R9" t="s">
        <v>15211</v>
      </c>
      <c r="S9" t="s">
        <v>15211</v>
      </c>
      <c r="T9" t="s">
        <v>3371</v>
      </c>
      <c r="U9" t="s">
        <v>12349</v>
      </c>
      <c r="V9" t="s">
        <v>15220</v>
      </c>
    </row>
    <row r="10" spans="1:25" ht="17.399999999999999">
      <c r="A10" t="s">
        <v>15356</v>
      </c>
      <c r="B10" t="s">
        <v>15443</v>
      </c>
      <c r="C10" t="s">
        <v>15452</v>
      </c>
      <c r="D10" t="s">
        <v>2007</v>
      </c>
      <c r="E10" t="s">
        <v>3436</v>
      </c>
      <c r="F10" t="s">
        <v>3461</v>
      </c>
      <c r="G10" s="3">
        <v>35.517508307957399</v>
      </c>
      <c r="H10" s="3">
        <v>128.64910225276199</v>
      </c>
      <c r="I10" t="s">
        <v>5774</v>
      </c>
      <c r="J10" t="s">
        <v>9130</v>
      </c>
      <c r="K10" t="s">
        <v>11545</v>
      </c>
      <c r="L10" t="s">
        <v>3375</v>
      </c>
      <c r="M10" t="s">
        <v>11885</v>
      </c>
      <c r="N10" t="s">
        <v>3363</v>
      </c>
      <c r="O10" t="s">
        <v>15211</v>
      </c>
      <c r="P10" t="s">
        <v>3361</v>
      </c>
      <c r="Q10" t="s">
        <v>15211</v>
      </c>
      <c r="R10" t="s">
        <v>15211</v>
      </c>
      <c r="S10" t="s">
        <v>15211</v>
      </c>
      <c r="T10" t="s">
        <v>3368</v>
      </c>
      <c r="U10" t="s">
        <v>13892</v>
      </c>
      <c r="V10" t="s">
        <v>15220</v>
      </c>
    </row>
    <row r="11" spans="1:25" ht="17.399999999999999">
      <c r="A11" t="s">
        <v>15356</v>
      </c>
      <c r="B11" t="s">
        <v>15443</v>
      </c>
      <c r="C11" t="s">
        <v>15452</v>
      </c>
      <c r="D11" t="s">
        <v>2008</v>
      </c>
      <c r="E11" t="s">
        <v>3429</v>
      </c>
      <c r="F11" t="s">
        <v>3466</v>
      </c>
      <c r="G11" s="3">
        <v>35.517508315298102</v>
      </c>
      <c r="H11" s="3">
        <v>128.64910227581601</v>
      </c>
      <c r="I11" t="s">
        <v>5775</v>
      </c>
      <c r="J11" t="s">
        <v>9131</v>
      </c>
      <c r="K11" t="s">
        <v>10786</v>
      </c>
      <c r="L11" t="s">
        <v>3366</v>
      </c>
      <c r="M11" t="s">
        <v>11890</v>
      </c>
      <c r="N11" t="s">
        <v>3363</v>
      </c>
      <c r="O11" t="s">
        <v>15211</v>
      </c>
      <c r="P11" t="s">
        <v>3362</v>
      </c>
      <c r="Q11" t="s">
        <v>15211</v>
      </c>
      <c r="R11" t="s">
        <v>15211</v>
      </c>
      <c r="S11" t="s">
        <v>15211</v>
      </c>
      <c r="T11" t="s">
        <v>3369</v>
      </c>
      <c r="U11" t="s">
        <v>13893</v>
      </c>
      <c r="V11" t="s">
        <v>15220</v>
      </c>
    </row>
    <row r="12" spans="1:25" ht="17.399999999999999">
      <c r="A12" t="s">
        <v>15356</v>
      </c>
      <c r="B12" t="s">
        <v>15443</v>
      </c>
      <c r="C12" t="s">
        <v>15452</v>
      </c>
      <c r="D12" t="s">
        <v>2009</v>
      </c>
      <c r="E12" t="s">
        <v>3431</v>
      </c>
      <c r="F12" t="s">
        <v>3579</v>
      </c>
      <c r="G12" s="3">
        <v>35.5175083242464</v>
      </c>
      <c r="H12" s="3">
        <v>128.64910228123</v>
      </c>
      <c r="I12" t="s">
        <v>5776</v>
      </c>
      <c r="J12" t="s">
        <v>9132</v>
      </c>
      <c r="K12" t="s">
        <v>11546</v>
      </c>
      <c r="L12" t="s">
        <v>3366</v>
      </c>
      <c r="M12" t="s">
        <v>11894</v>
      </c>
      <c r="N12" t="s">
        <v>3364</v>
      </c>
      <c r="O12" t="s">
        <v>15211</v>
      </c>
      <c r="P12" t="s">
        <v>3362</v>
      </c>
      <c r="Q12" t="s">
        <v>15211</v>
      </c>
      <c r="R12" t="s">
        <v>15211</v>
      </c>
      <c r="S12" t="s">
        <v>15211</v>
      </c>
      <c r="T12" t="s">
        <v>3370</v>
      </c>
      <c r="U12" t="s">
        <v>13894</v>
      </c>
      <c r="V12" t="s">
        <v>15220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EAFE-9F33-7547-A773-44EFEDD8EC31}">
  <sheetPr filterMode="1"/>
  <dimension ref="A1:U472"/>
  <sheetViews>
    <sheetView topLeftCell="A101" workbookViewId="0">
      <selection activeCell="P81" sqref="P81"/>
    </sheetView>
  </sheetViews>
  <sheetFormatPr defaultColWidth="9.77734375" defaultRowHeight="14.4"/>
  <cols>
    <col min="3" max="3" width="17" customWidth="1"/>
    <col min="9" max="9" width="14" style="11" bestFit="1" customWidth="1"/>
    <col min="10" max="11" width="14.44140625" style="11" bestFit="1" customWidth="1"/>
    <col min="12" max="14" width="9.77734375" style="12"/>
    <col min="16" max="18" width="14" bestFit="1" customWidth="1"/>
  </cols>
  <sheetData>
    <row r="1" spans="1:18" ht="17.399999999999999">
      <c r="A1" s="1" t="s">
        <v>15291</v>
      </c>
      <c r="B1" s="1" t="s">
        <v>15501</v>
      </c>
      <c r="C1" s="1" t="s">
        <v>15502</v>
      </c>
      <c r="D1" s="7" t="s">
        <v>15520</v>
      </c>
      <c r="E1" s="2" t="s">
        <v>3601</v>
      </c>
      <c r="F1" s="2" t="s">
        <v>15507</v>
      </c>
      <c r="G1" s="2" t="s">
        <v>11883</v>
      </c>
      <c r="H1" s="2" t="s">
        <v>11884</v>
      </c>
      <c r="I1" s="11" t="s">
        <v>15521</v>
      </c>
      <c r="J1" s="11" t="s">
        <v>15522</v>
      </c>
      <c r="K1" s="11" t="s">
        <v>15523</v>
      </c>
      <c r="L1" s="13" t="s">
        <v>15524</v>
      </c>
      <c r="M1" s="13" t="s">
        <v>15525</v>
      </c>
      <c r="N1" s="13" t="s">
        <v>15526</v>
      </c>
    </row>
    <row r="2" spans="1:18" s="18" customFormat="1" hidden="1">
      <c r="A2" s="18" t="s">
        <v>15410</v>
      </c>
      <c r="B2" s="18" t="s">
        <v>15441</v>
      </c>
      <c r="C2" s="18" t="s">
        <v>15445</v>
      </c>
      <c r="D2" s="18" t="s">
        <v>3439</v>
      </c>
      <c r="E2" s="18" t="s">
        <v>3425</v>
      </c>
      <c r="F2" s="18" t="s">
        <v>10671</v>
      </c>
      <c r="G2" s="18" t="s">
        <v>3366</v>
      </c>
      <c r="H2" s="18" t="s">
        <v>11902</v>
      </c>
      <c r="I2" s="19">
        <v>-1.32003162779517E-2</v>
      </c>
      <c r="J2" s="19">
        <v>-9.774547036537351E-4</v>
      </c>
      <c r="K2" s="19">
        <v>-0.16440000000000099</v>
      </c>
      <c r="L2" s="20">
        <f>_xlfn.VAR.S(INDEX($I:$I,INT((ROW()-2)/3)*3+2):INDEX($I:$I,INT((ROW()-2)/3)*3+4))</f>
        <v>6.2944431293734898E-7</v>
      </c>
      <c r="M2" s="20">
        <f>_xlfn.VAR.S(INDEX($J:$J,INT((ROW()-2)/3)*3+2):INDEX($J:$J,INT((ROW()-2)/3)*3+4))</f>
        <v>3.9404713970104525E-6</v>
      </c>
      <c r="N2" s="20">
        <f>_xlfn.VAR.S(INDEX($K:$K,INT((ROW()-2)/3)*3+2):INDEX($K:$K,INT((ROW()-2)/3)*3+4))</f>
        <v>1.6973333333356558E-5</v>
      </c>
      <c r="P2" s="120" cm="1">
        <f t="array" ref="P2">_xlfn.LET(
 _xlpm.r, {2;3;4;26;27;28;59;60;61;86;87;88;116;125;135;144;153;162;171;180;181;182;201;220;221;222;223;224;268;277;278;279;280;281;282;283;284;336;337;338;375;376;377;378;410;411;412;440;441;442},
 _xlpm.x, INDEX(I:I, _xlpm.r),
 AVERAGE(IF(ISNUMBER(_xlpm.x), ABS(_xlpm.x)))
)</f>
        <v>0.11906283548254874</v>
      </c>
      <c r="Q2" s="120" cm="1">
        <f t="array" ref="Q2">_xlfn.LET(
 _xlpm.r, {2;3;4;26;27;28;59;60;61;86;87;88;116;125;135;144;153;162;171;180;181;182;201;220;221;222;223;224;268;277;278;279;280;281;282;283;284;336;337;338;375;376;377;378;410;411;412;440;441;442},
 _xlpm.x, INDEX(J:J, _xlpm.r),
 AVERAGE(IF(ISNUMBER(_xlpm.x), ABS(_xlpm.x)))
)</f>
        <v>7.0151831132450326E-2</v>
      </c>
      <c r="R2" s="120" cm="1">
        <f t="array" ref="R2">_xlfn.LET(
 _xlpm.r, {2;3;4;26;27;28;59;60;61;86;87;88;116;125;135;144;153;162;171;180;181;182;201;220;221;222;223;224;268;277;278;279;280;281;282;283;284;336;337;338;375;376;377;378;410;411;412;440;441;442},
 _xlpm.x, INDEX(K:K, _xlpm.r),
 AVERAGE(IF(ISNUMBER(_xlpm.x), ABS(_xlpm.x)))
)</f>
        <v>0.20264599999999913</v>
      </c>
    </row>
    <row r="3" spans="1:18" hidden="1">
      <c r="A3" t="s">
        <v>15410</v>
      </c>
      <c r="B3" t="s">
        <v>15441</v>
      </c>
      <c r="C3" t="s">
        <v>15445</v>
      </c>
      <c r="D3" t="s">
        <v>3439</v>
      </c>
      <c r="E3" s="17" t="s">
        <v>3425</v>
      </c>
      <c r="F3" t="s">
        <v>10672</v>
      </c>
      <c r="G3" t="s">
        <v>3366</v>
      </c>
      <c r="H3" t="s">
        <v>11902</v>
      </c>
      <c r="I3" s="11">
        <v>-1.3544365695450001E-2</v>
      </c>
      <c r="J3" s="11">
        <v>1.1662548616507601E-3</v>
      </c>
      <c r="K3" s="11">
        <v>-0.15819999999999401</v>
      </c>
      <c r="L3" s="12">
        <f>_xlfn.VAR.S(INDEX($I:$I,INT((ROW()-2)/3)*3+2):INDEX($I:$I,INT((ROW()-2)/3)*3+4))</f>
        <v>6.2944431293734898E-7</v>
      </c>
      <c r="M3" s="12">
        <f>_xlfn.VAR.S(INDEX($J:$J,INT((ROW()-2)/3)*3+2):INDEX($J:$J,INT((ROW()-2)/3)*3+4))</f>
        <v>3.9404713970104525E-6</v>
      </c>
      <c r="N3" s="12">
        <f>_xlfn.VAR.S(INDEX($K:$K,INT((ROW()-2)/3)*3+2):INDEX($K:$K,INT((ROW()-2)/3)*3+4))</f>
        <v>1.6973333333356558E-5</v>
      </c>
    </row>
    <row r="4" spans="1:18" hidden="1">
      <c r="A4" t="s">
        <v>15410</v>
      </c>
      <c r="B4" t="s">
        <v>15441</v>
      </c>
      <c r="C4" t="s">
        <v>15445</v>
      </c>
      <c r="D4" t="s">
        <v>3439</v>
      </c>
      <c r="E4" t="s">
        <v>3425</v>
      </c>
      <c r="F4" t="s">
        <v>10673</v>
      </c>
      <c r="G4" t="s">
        <v>3366</v>
      </c>
      <c r="H4" t="s">
        <v>11902</v>
      </c>
      <c r="I4" s="11">
        <v>-1.47138160843271E-2</v>
      </c>
      <c r="J4" s="11">
        <v>2.9883240872868901E-3</v>
      </c>
      <c r="K4" s="11">
        <v>-0.15659999999999699</v>
      </c>
      <c r="L4" s="12">
        <f>_xlfn.VAR.S(INDEX($I:$I,INT((ROW()-2)/3)*3+2):INDEX($I:$I,INT((ROW()-2)/3)*3+4))</f>
        <v>6.2944431293734898E-7</v>
      </c>
      <c r="M4" s="12">
        <f>_xlfn.VAR.S(INDEX($J:$J,INT((ROW()-2)/3)*3+2):INDEX($J:$J,INT((ROW()-2)/3)*3+4))</f>
        <v>3.9404713970104525E-6</v>
      </c>
      <c r="N4" s="12">
        <f>_xlfn.VAR.S(INDEX($K:$K,INT((ROW()-2)/3)*3+2):INDEX($K:$K,INT((ROW()-2)/3)*3+4))</f>
        <v>1.6973333333356558E-5</v>
      </c>
      <c r="P4" s="118"/>
      <c r="Q4" s="118"/>
      <c r="R4" s="118"/>
    </row>
    <row r="5" spans="1:18" s="16" customFormat="1" hidden="1">
      <c r="A5" s="16" t="s">
        <v>15410</v>
      </c>
      <c r="B5" s="16" t="s">
        <v>15441</v>
      </c>
      <c r="C5" s="16" t="s">
        <v>15446</v>
      </c>
      <c r="D5" s="16" t="s">
        <v>3437</v>
      </c>
      <c r="E5" s="16" t="s">
        <v>3435</v>
      </c>
      <c r="F5" s="16" t="s">
        <v>10674</v>
      </c>
      <c r="G5" s="16" t="s">
        <v>3368</v>
      </c>
      <c r="H5" s="16" t="s">
        <v>11900</v>
      </c>
      <c r="I5" s="21">
        <v>-1.32877693140533E-2</v>
      </c>
      <c r="J5" s="21">
        <v>6.7236034179444298E-3</v>
      </c>
      <c r="K5" s="21">
        <v>-0.153999999999996</v>
      </c>
      <c r="L5" s="22">
        <f>_xlfn.VAR.S(INDEX($I:$I,INT((ROW()-2)/3)*3+2):INDEX($I:$I,INT((ROW()-2)/3)*3+4))</f>
        <v>4.6521452188772373E-7</v>
      </c>
      <c r="M5" s="22">
        <f>_xlfn.VAR.S(INDEX($J:$J,INT((ROW()-2)/3)*3+2):INDEX($J:$J,INT((ROW()-2)/3)*3+4))</f>
        <v>4.9319580055362381E-7</v>
      </c>
      <c r="N5" s="22">
        <f>_xlfn.VAR.S(INDEX($K:$K,INT((ROW()-2)/3)*3+2):INDEX($K:$K,INT((ROW()-2)/3)*3+4))</f>
        <v>3.9443333333366302E-5</v>
      </c>
      <c r="P5" s="16" cm="1">
        <f t="array" ref="P5">_xlfn.LET(
 _xlpm.r, {5;6;7;29;30;31;62;63;64;89;90;91;117;126;136;145;154;163;172;183;184;185;202;225;226;227;228;229;269;285;286;287;288;289;339;340;341;379;380;381;413;414;415;443;444;445},
 _xlpm.x, INDEX(I:I, _xlpm.r),
 AVERAGE(IF(ISNUMBER(_xlpm.x), ABS(_xlpm.x)))
)</f>
        <v>0.16479244131535306</v>
      </c>
      <c r="Q5" s="16" cm="1">
        <f t="array" ref="Q5">_xlfn.LET(
 _xlpm.r, {5;6;7;29;30;31;62;63;64;89;90;91;117;126;136;145;154;163;172;183;184;185;202;225;226;227;228;229;269;285;286;287;288;289;339;340;341;379;380;381;413;414;415;443;444;445},
 _xlpm.x, INDEX(J:J, _xlpm.r),
 AVERAGE(IF(ISNUMBER(_xlpm.x), ABS(_xlpm.x)))
)</f>
        <v>7.1121967705364844E-2</v>
      </c>
      <c r="R5" s="16" cm="1">
        <f t="array" ref="R5">_xlfn.LET(
 _xlpm.r, {5;6;7;29;30;31;62;63;64;89;90;91;117;126;136;145;154;163;172;183;184;185;202;225;226;227;228;229;269;285;286;287;288;289;339;340;341;379;380;381;413;414;415;443;444;445},
 _xlpm.x, INDEX(K:K, _xlpm.r),
 AVERAGE(IF(ISNUMBER(_xlpm.x), ABS(_xlpm.x)))
)</f>
        <v>0.25136956521739373</v>
      </c>
    </row>
    <row r="6" spans="1:18" hidden="1">
      <c r="A6" t="s">
        <v>15410</v>
      </c>
      <c r="B6" t="s">
        <v>15441</v>
      </c>
      <c r="C6" t="s">
        <v>15446</v>
      </c>
      <c r="D6" t="s">
        <v>3440</v>
      </c>
      <c r="E6" t="s">
        <v>3430</v>
      </c>
      <c r="F6" t="s">
        <v>10675</v>
      </c>
      <c r="G6" t="s">
        <v>3366</v>
      </c>
      <c r="H6" t="s">
        <v>11902</v>
      </c>
      <c r="I6" s="11">
        <v>-1.34602818126785E-2</v>
      </c>
      <c r="J6" s="11">
        <v>7.8529298840742095E-3</v>
      </c>
      <c r="K6" s="11">
        <v>-0.142699999999991</v>
      </c>
      <c r="L6" s="12">
        <f>_xlfn.VAR.S(INDEX($I:$I,INT((ROW()-2)/3)*3+2):INDEX($I:$I,INT((ROW()-2)/3)*3+4))</f>
        <v>4.6521452188772373E-7</v>
      </c>
      <c r="M6" s="12">
        <f>_xlfn.VAR.S(INDEX($J:$J,INT((ROW()-2)/3)*3+2):INDEX($J:$J,INT((ROW()-2)/3)*3+4))</f>
        <v>4.9319580055362381E-7</v>
      </c>
      <c r="N6" s="12">
        <f>_xlfn.VAR.S(INDEX($K:$K,INT((ROW()-2)/3)*3+2):INDEX($K:$K,INT((ROW()-2)/3)*3+4))</f>
        <v>3.9443333333366302E-5</v>
      </c>
    </row>
    <row r="7" spans="1:18" hidden="1">
      <c r="A7" t="s">
        <v>15410</v>
      </c>
      <c r="B7" t="s">
        <v>15441</v>
      </c>
      <c r="C7" t="s">
        <v>15446</v>
      </c>
      <c r="D7" t="s">
        <v>3438</v>
      </c>
      <c r="E7" t="s">
        <v>3441</v>
      </c>
      <c r="F7" t="s">
        <v>10676</v>
      </c>
      <c r="G7" t="s">
        <v>3368</v>
      </c>
      <c r="H7" t="s">
        <v>11900</v>
      </c>
      <c r="I7" s="11">
        <v>-1.2202136855328E-2</v>
      </c>
      <c r="J7" s="11">
        <v>8.0114911675565597E-3</v>
      </c>
      <c r="K7" s="11">
        <v>-0.14359999999999201</v>
      </c>
      <c r="L7" s="12">
        <f>_xlfn.VAR.S(INDEX($I:$I,INT((ROW()-2)/3)*3+2):INDEX($I:$I,INT((ROW()-2)/3)*3+4))</f>
        <v>4.6521452188772373E-7</v>
      </c>
      <c r="M7" s="12">
        <f>_xlfn.VAR.S(INDEX($J:$J,INT((ROW()-2)/3)*3+2):INDEX($J:$J,INT((ROW()-2)/3)*3+4))</f>
        <v>4.9319580055362381E-7</v>
      </c>
      <c r="N7" s="12">
        <f>_xlfn.VAR.S(INDEX($K:$K,INT((ROW()-2)/3)*3+2):INDEX($K:$K,INT((ROW()-2)/3)*3+4))</f>
        <v>3.9443333333366302E-5</v>
      </c>
    </row>
    <row r="8" spans="1:18" s="16" customFormat="1" hidden="1">
      <c r="A8" s="16" t="s">
        <v>15410</v>
      </c>
      <c r="B8" s="16" t="s">
        <v>15441</v>
      </c>
      <c r="C8" s="16" t="s">
        <v>15448</v>
      </c>
      <c r="D8" s="16" t="s">
        <v>3435</v>
      </c>
      <c r="E8" s="16" t="s">
        <v>3511</v>
      </c>
      <c r="F8" s="16" t="s">
        <v>10677</v>
      </c>
      <c r="G8" s="16" t="s">
        <v>3366</v>
      </c>
      <c r="H8" s="16" t="s">
        <v>11899</v>
      </c>
      <c r="I8" s="21">
        <v>-2.4655874972468999E-3</v>
      </c>
      <c r="J8" s="21">
        <v>6.4156260089556902E-3</v>
      </c>
      <c r="K8" s="21">
        <v>-0.12590000000000101</v>
      </c>
      <c r="L8" s="22">
        <f>_xlfn.VAR.S(INDEX($I:$I,INT((ROW()-2)/3)*3+2):INDEX($I:$I,INT((ROW()-2)/3)*3+4))</f>
        <v>4.3127732806001238E-6</v>
      </c>
      <c r="M8" s="22">
        <f>_xlfn.VAR.S(INDEX($J:$J,INT((ROW()-2)/3)*3+2):INDEX($J:$J,INT((ROW()-2)/3)*3+4))</f>
        <v>2.7571023715830827E-6</v>
      </c>
      <c r="N8" s="22">
        <f>_xlfn.VAR.S(INDEX($K:$K,INT((ROW()-2)/3)*3+2):INDEX($K:$K,INT((ROW()-2)/3)*3+4))</f>
        <v>1.4763333333361719E-5</v>
      </c>
      <c r="P8" s="16" cm="1">
        <f t="array" ref="P8">_xlfn.LET(
_xlpm.x, _xlfn.TOCOL(_xlfn.VSTACK(I8:I10,I35:I37,I68:I70,I92:I94,I119,I128,I138,I147,I155,I165,I174,I186:I188,I204,I214:I216,I230:I234,I271,I295:I299,I345:I347,I385:I388,I419:I421,I449:I451), 1),
AVERAGE(ABS(_xlpm.x))
)</f>
        <v>4.009225269330477E-2</v>
      </c>
      <c r="Q8" s="16" cm="1">
        <f t="array" ref="Q8">_xlfn.LET(
_xlpm.x, _xlfn.TOCOL(_xlfn.VSTACK(J8:J10,J35:J37,J68:J70,J92:J94,J119,J128,J138,J147,J155,J165,J174,J186:J188,J204,J214:J216,J230:J234,J271,J295:J299,J345:J347,J385:J388,J419:J421,J449:J451), 1),
AVERAGE(ABS(_xlpm.x))
)</f>
        <v>3.8641261998921109E-2</v>
      </c>
      <c r="R8" s="16" cm="1">
        <f t="array" ref="R8">_xlfn.LET(
_xlpm.x, _xlfn.TOCOL(_xlfn.VSTACK(K8:K10,K35:K37,K68:K70,K92:K94,K119,K128,K138,K147,K155,K165,K174,K186:K188,K204,K214:K216,K230:K234,K271,K295:K299,K345:K347,K385:K388,K419:K421,K449:K451), 1),
AVERAGE(ABS(_xlpm.x))
)</f>
        <v>0.13429199999999966</v>
      </c>
    </row>
    <row r="9" spans="1:18" hidden="1">
      <c r="A9" t="s">
        <v>15410</v>
      </c>
      <c r="B9" t="s">
        <v>15441</v>
      </c>
      <c r="C9" t="s">
        <v>15448</v>
      </c>
      <c r="D9" t="s">
        <v>3435</v>
      </c>
      <c r="E9" t="s">
        <v>3449</v>
      </c>
      <c r="F9" t="s">
        <v>10678</v>
      </c>
      <c r="G9" t="s">
        <v>3366</v>
      </c>
      <c r="H9" t="s">
        <v>11889</v>
      </c>
      <c r="I9" s="11">
        <v>-5.2731547712258804E-3</v>
      </c>
      <c r="J9" s="11">
        <v>4.19353005121111E-3</v>
      </c>
      <c r="K9" s="11">
        <v>-0.119399999999985</v>
      </c>
      <c r="L9" s="12">
        <f>_xlfn.VAR.S(INDEX($I:$I,INT((ROW()-2)/3)*3+2):INDEX($I:$I,INT((ROW()-2)/3)*3+4))</f>
        <v>4.3127732806001238E-6</v>
      </c>
      <c r="M9" s="12">
        <f>_xlfn.VAR.S(INDEX($J:$J,INT((ROW()-2)/3)*3+2):INDEX($J:$J,INT((ROW()-2)/3)*3+4))</f>
        <v>2.7571023715830827E-6</v>
      </c>
      <c r="N9" s="12">
        <f>_xlfn.VAR.S(INDEX($K:$K,INT((ROW()-2)/3)*3+2):INDEX($K:$K,INT((ROW()-2)/3)*3+4))</f>
        <v>1.4763333333361719E-5</v>
      </c>
    </row>
    <row r="10" spans="1:18" hidden="1">
      <c r="A10" t="s">
        <v>15410</v>
      </c>
      <c r="B10" t="s">
        <v>15441</v>
      </c>
      <c r="C10" t="s">
        <v>15448</v>
      </c>
      <c r="D10" t="s">
        <v>3435</v>
      </c>
      <c r="E10" t="s">
        <v>3449</v>
      </c>
      <c r="F10" t="s">
        <v>3717</v>
      </c>
      <c r="G10" t="s">
        <v>3366</v>
      </c>
      <c r="H10" t="s">
        <v>11888</v>
      </c>
      <c r="I10" s="11">
        <v>-6.52012467679029E-3</v>
      </c>
      <c r="J10" s="11">
        <v>3.1672843486533898E-3</v>
      </c>
      <c r="K10" s="11">
        <v>-0.119100000000003</v>
      </c>
      <c r="L10" s="12">
        <f>_xlfn.VAR.S(INDEX($I:$I,INT((ROW()-2)/3)*3+2):INDEX($I:$I,INT((ROW()-2)/3)*3+4))</f>
        <v>4.3127732806001238E-6</v>
      </c>
      <c r="M10" s="12">
        <f>_xlfn.VAR.S(INDEX($J:$J,INT((ROW()-2)/3)*3+2):INDEX($J:$J,INT((ROW()-2)/3)*3+4))</f>
        <v>2.7571023715830827E-6</v>
      </c>
      <c r="N10" s="12">
        <f>_xlfn.VAR.S(INDEX($K:$K,INT((ROW()-2)/3)*3+2):INDEX($K:$K,INT((ROW()-2)/3)*3+4))</f>
        <v>1.4763333333361719E-5</v>
      </c>
      <c r="P10" cm="1">
        <f t="array" ref="P10">_xlfn.LET(
_xlpm.x, _xlfn.TOCOL(_xlfn.VSTACK(I8:I10,I35:I37,I68:I70,I92:I94,I119,I128,I138,I147,I155,I165,I174,I186:I188,I204,I214:I216,I230:I234,I271,I295:I299,I345:I347,I385:I388,I419:I421,I449:I451), 1),
MAX(ABS(_xlpm.x))
)</f>
        <v>0.242476871038249</v>
      </c>
      <c r="Q10" cm="1">
        <f t="array" ref="Q10">_xlfn.LET(
_xlpm.x, _xlfn.TOCOL(_xlfn.VSTACK(J8:J10,J35:J37,J68:J70,J92:J94,J119,J128,J138,J147,J155,J165,J174,J186:J188,J204,J214:J216,J230:J234,J271,J295:J299,J345:J347,J385:J388,J419:J421,J449:J451), 1),
MAX(ABS(_xlpm.x))
)</f>
        <v>0.20048140605220899</v>
      </c>
      <c r="R10" cm="1">
        <f t="array" ref="R10">_xlfn.LET(
_xlpm.x, _xlfn.TOCOL(_xlfn.VSTACK(K8:K10,K35:K37,K68:K70,K92:K94,K119,K128,K138,K147,K155,K165,K174,K186:K188,K204,K214:K216,K230:K234,K271,K295:K299,K345:K347,K385:K388,K419:K421,K449:K451), 1),
MAX(ABS(_xlpm.x))
)</f>
        <v>0.53810000000000002</v>
      </c>
    </row>
    <row r="11" spans="1:18" s="16" customFormat="1" hidden="1">
      <c r="A11" s="16" t="s">
        <v>15410</v>
      </c>
      <c r="B11" s="16" t="s">
        <v>15441</v>
      </c>
      <c r="C11" s="16" t="s">
        <v>15449</v>
      </c>
      <c r="D11" s="16" t="s">
        <v>3440</v>
      </c>
      <c r="E11" s="16" t="s">
        <v>3434</v>
      </c>
      <c r="F11" s="16" t="s">
        <v>3717</v>
      </c>
      <c r="G11" s="16" t="s">
        <v>3366</v>
      </c>
      <c r="H11" s="16" t="s">
        <v>11888</v>
      </c>
      <c r="I11" s="21">
        <v>-1.1094063541425499E-2</v>
      </c>
      <c r="J11" s="21">
        <v>1.30638901061526E-2</v>
      </c>
      <c r="K11" s="21">
        <v>-0.114100000000008</v>
      </c>
      <c r="L11" s="22">
        <f>_xlfn.VAR.S(INDEX($I:$I,INT((ROW()-2)/3)*3+2):INDEX($I:$I,INT((ROW()-2)/3)*3+4))</f>
        <v>1.4962837898483627E-6</v>
      </c>
      <c r="M11" s="22">
        <f>_xlfn.VAR.S(INDEX($J:$J,INT((ROW()-2)/3)*3+2):INDEX($J:$J,INT((ROW()-2)/3)*3+4))</f>
        <v>1.0811481783261866E-6</v>
      </c>
      <c r="N11" s="22">
        <f>_xlfn.VAR.S(INDEX($K:$K,INT((ROW()-2)/3)*3+2):INDEX($K:$K,INT((ROW()-2)/3)*3+4))</f>
        <v>1.3293333333379873E-5</v>
      </c>
      <c r="P11" s="16" cm="1">
        <f t="array" ref="P11">_xlfn.LET(
 _xlpm.r, {11;12;13;38;39;40;71;72;73;95;96;97;120;129;139;148;156;166;175;189;190;191;205;211;212;213;235;236;237;238;239;272;300;301;302;303;304;348;349;350;389;390;391;422;423;424;452;453;454},
 _xlpm.x, INDEX(I:I, _xlpm.r),
 AVERAGE(IF(ISNUMBER(_xlpm.x), ABS(_xlpm.x)))
)</f>
        <v>2.7365920915487511E-2</v>
      </c>
      <c r="Q11" s="16" cm="1">
        <f t="array" ref="Q11">_xlfn.LET(
 _xlpm.r, {11;12;13;38;39;40;71;72;73;95;96;97;120;129;139;148;156;166;175;189;190;191;205;211;212;213;235;236;237;238;239;272;300;301;302;303;304;348;349;350;389;390;391;422;423;424;452;453;454},
 _xlpm.x, INDEX(J:J, _xlpm.r),
 AVERAGE(IF(ISNUMBER(_xlpm.x), ABS(_xlpm.x)))
)</f>
        <v>2.7298074809442005E-2</v>
      </c>
      <c r="R11" s="16" cm="1">
        <f t="array" ref="R11">_xlfn.LET(
 _xlpm.r, {11;12;13;38;39;40;71;72;73;95;96;97;120;129;139;148;156;166;175;189;190;191;205;211;212;213;235;236;237;238;239;272;300;301;302;303;304;348;349;350;389;390;391;422;423;424;452;453;454},
 _xlpm.x, INDEX(K:K, _xlpm.r),
 AVERAGE(IF(ISNUMBER(_xlpm.x), ABS(_xlpm.x)))
)</f>
        <v>9.9965306122449998E-2</v>
      </c>
    </row>
    <row r="12" spans="1:18" hidden="1">
      <c r="A12" t="s">
        <v>15410</v>
      </c>
      <c r="B12" t="s">
        <v>15441</v>
      </c>
      <c r="C12" t="s">
        <v>15449</v>
      </c>
      <c r="D12" t="s">
        <v>3440</v>
      </c>
      <c r="E12" t="s">
        <v>3434</v>
      </c>
      <c r="F12" t="s">
        <v>3717</v>
      </c>
      <c r="G12" t="s">
        <v>3366</v>
      </c>
      <c r="H12" t="s">
        <v>11888</v>
      </c>
      <c r="I12" s="11">
        <v>-1.2133929461649399E-2</v>
      </c>
      <c r="J12" s="11">
        <v>1.44379341233051E-2</v>
      </c>
      <c r="K12" s="11">
        <v>-0.111500000000007</v>
      </c>
      <c r="L12" s="12">
        <f>_xlfn.VAR.S(INDEX($I:$I,INT((ROW()-2)/3)*3+2):INDEX($I:$I,INT((ROW()-2)/3)*3+4))</f>
        <v>1.4962837898483627E-6</v>
      </c>
      <c r="M12" s="12">
        <f>_xlfn.VAR.S(INDEX($J:$J,INT((ROW()-2)/3)*3+2):INDEX($J:$J,INT((ROW()-2)/3)*3+4))</f>
        <v>1.0811481783261866E-6</v>
      </c>
      <c r="N12" s="12">
        <f>_xlfn.VAR.S(INDEX($K:$K,INT((ROW()-2)/3)*3+2):INDEX($K:$K,INT((ROW()-2)/3)*3+4))</f>
        <v>1.3293333333379873E-5</v>
      </c>
    </row>
    <row r="13" spans="1:18" hidden="1">
      <c r="A13" t="s">
        <v>15410</v>
      </c>
      <c r="B13" t="s">
        <v>15441</v>
      </c>
      <c r="C13" t="s">
        <v>15449</v>
      </c>
      <c r="D13" t="s">
        <v>3440</v>
      </c>
      <c r="E13" t="s">
        <v>3434</v>
      </c>
      <c r="F13" t="s">
        <v>3717</v>
      </c>
      <c r="G13" t="s">
        <v>3366</v>
      </c>
      <c r="H13" t="s">
        <v>11888</v>
      </c>
      <c r="I13" s="11">
        <v>-1.35317713893991E-2</v>
      </c>
      <c r="J13" s="11">
        <v>1.5102743026557E-2</v>
      </c>
      <c r="K13" s="11">
        <v>-0.106899999999996</v>
      </c>
      <c r="L13" s="12">
        <f>_xlfn.VAR.S(INDEX($I:$I,INT((ROW()-2)/3)*3+2):INDEX($I:$I,INT((ROW()-2)/3)*3+4))</f>
        <v>1.4962837898483627E-6</v>
      </c>
      <c r="M13" s="12">
        <f>_xlfn.VAR.S(INDEX($J:$J,INT((ROW()-2)/3)*3+2):INDEX($J:$J,INT((ROW()-2)/3)*3+4))</f>
        <v>1.0811481783261866E-6</v>
      </c>
      <c r="N13" s="12">
        <f>_xlfn.VAR.S(INDEX($K:$K,INT((ROW()-2)/3)*3+2):INDEX($K:$K,INT((ROW()-2)/3)*3+4))</f>
        <v>1.3293333333379873E-5</v>
      </c>
    </row>
    <row r="14" spans="1:18" s="16" customFormat="1">
      <c r="A14" s="16" t="s">
        <v>15410</v>
      </c>
      <c r="B14" s="16" t="s">
        <v>15442</v>
      </c>
      <c r="C14" s="16" t="s">
        <v>15450</v>
      </c>
      <c r="D14" s="16" t="s">
        <v>3438</v>
      </c>
      <c r="E14" s="16" t="s">
        <v>3432</v>
      </c>
      <c r="F14" s="16" t="s">
        <v>10679</v>
      </c>
      <c r="G14" s="16" t="s">
        <v>3366</v>
      </c>
      <c r="H14" s="16" t="s">
        <v>11902</v>
      </c>
      <c r="I14" s="21">
        <v>-8.9037281825668103E-3</v>
      </c>
      <c r="J14" s="21">
        <v>-7.0807598070153901E-3</v>
      </c>
      <c r="K14" s="21">
        <v>-9.7599999999999895E-2</v>
      </c>
      <c r="L14" s="22">
        <f>_xlfn.VAR.S(INDEX($I:$I,INT((ROW()-2)/3)*3+2):INDEX($I:$I,INT((ROW()-2)/3)*3+4))</f>
        <v>1.5784895245454669E-6</v>
      </c>
      <c r="M14" s="22">
        <f>_xlfn.VAR.S(INDEX($J:$J,INT((ROW()-2)/3)*3+2):INDEX($J:$J,INT((ROW()-2)/3)*3+4))</f>
        <v>8.965568642654483E-7</v>
      </c>
      <c r="N14" s="22">
        <f>_xlfn.VAR.S(INDEX($K:$K,INT((ROW()-2)/3)*3+2):INDEX($K:$K,INT((ROW()-2)/3)*3+4))</f>
        <v>1.7633333333196883E-6</v>
      </c>
      <c r="P14" s="121"/>
      <c r="Q14" s="121"/>
      <c r="R14" s="121"/>
    </row>
    <row r="15" spans="1:18">
      <c r="A15" t="s">
        <v>15410</v>
      </c>
      <c r="B15" t="s">
        <v>15442</v>
      </c>
      <c r="C15" t="s">
        <v>15450</v>
      </c>
      <c r="D15" t="s">
        <v>3438</v>
      </c>
      <c r="E15" t="s">
        <v>3432</v>
      </c>
      <c r="F15" t="s">
        <v>10680</v>
      </c>
      <c r="G15" t="s">
        <v>3366</v>
      </c>
      <c r="H15" t="s">
        <v>11902</v>
      </c>
      <c r="I15" s="11">
        <v>-6.8462582149643797E-3</v>
      </c>
      <c r="J15" s="11">
        <v>-5.5370796940485602E-3</v>
      </c>
      <c r="K15" s="11">
        <v>-9.5300000000008794E-2</v>
      </c>
      <c r="L15" s="12">
        <f>_xlfn.VAR.S(INDEX($I:$I,INT((ROW()-2)/3)*3+2):INDEX($I:$I,INT((ROW()-2)/3)*3+4))</f>
        <v>1.5784895245454669E-6</v>
      </c>
      <c r="M15" s="12">
        <f>_xlfn.VAR.S(INDEX($J:$J,INT((ROW()-2)/3)*3+2):INDEX($J:$J,INT((ROW()-2)/3)*3+4))</f>
        <v>8.965568642654483E-7</v>
      </c>
      <c r="N15" s="12">
        <f>_xlfn.VAR.S(INDEX($K:$K,INT((ROW()-2)/3)*3+2):INDEX($K:$K,INT((ROW()-2)/3)*3+4))</f>
        <v>1.7633333333196883E-6</v>
      </c>
    </row>
    <row r="16" spans="1:18">
      <c r="A16" t="s">
        <v>15410</v>
      </c>
      <c r="B16" t="s">
        <v>15442</v>
      </c>
      <c r="C16" t="s">
        <v>15450</v>
      </c>
      <c r="D16" t="s">
        <v>3438</v>
      </c>
      <c r="E16" t="s">
        <v>3432</v>
      </c>
      <c r="F16" t="s">
        <v>10681</v>
      </c>
      <c r="G16" t="s">
        <v>3366</v>
      </c>
      <c r="H16" t="s">
        <v>11902</v>
      </c>
      <c r="I16" s="11">
        <v>-6.6257608052747198E-3</v>
      </c>
      <c r="J16" s="11">
        <v>-5.3589411326571404E-3</v>
      </c>
      <c r="K16" s="11">
        <v>-9.5300000000008794E-2</v>
      </c>
      <c r="L16" s="12">
        <f>_xlfn.VAR.S(INDEX($I:$I,INT((ROW()-2)/3)*3+2):INDEX($I:$I,INT((ROW()-2)/3)*3+4))</f>
        <v>1.5784895245454669E-6</v>
      </c>
      <c r="M16" s="12">
        <f>_xlfn.VAR.S(INDEX($J:$J,INT((ROW()-2)/3)*3+2):INDEX($J:$J,INT((ROW()-2)/3)*3+4))</f>
        <v>8.965568642654483E-7</v>
      </c>
      <c r="N16" s="12">
        <f>_xlfn.VAR.S(INDEX($K:$K,INT((ROW()-2)/3)*3+2):INDEX($K:$K,INT((ROW()-2)/3)*3+4))</f>
        <v>1.7633333333196883E-6</v>
      </c>
      <c r="P16" cm="1">
        <f t="array" ref="P16">_xlfn.LET(
 _xlpm.r, {14;15;16;41;42;43;74;75;76;101;102;103;121;132;140;149;157;167;176;192;193;194;206;243;244;245;246;247;273;305;306;307;308;309;351;352;353;392;393;394;425;426;427;455;456;457},
 _xlpm.x, INDEX(I:I, _xlpm.r),
 AVERAGE(IF(ISNUMBER(_xlpm.x), ABS(_xlpm.x)))
)</f>
        <v>8.6467106254302734E-2</v>
      </c>
      <c r="Q16" cm="1">
        <f t="array" ref="Q16">_xlfn.LET(
 _xlpm.r, {14;15;16;41;42;43;74;75;76;101;102;103;121;132;140;149;157;167;176;192;193;194;206;243;244;245;246;247;273;305;306;307;308;309;351;352;353;392;393;394;425;426;427;455;456;457},
 _xlpm.x, INDEX(J:J, _xlpm.r),
 AVERAGE(IF(ISNUMBER(_xlpm.x), ABS(_xlpm.x)))
)</f>
        <v>4.3686718645485845E-2</v>
      </c>
      <c r="R16" cm="1">
        <f t="array" ref="R16">_xlfn.LET(
 _xlpm.r, {14;15;16;41;42;43;74;75;76;101;102;103;121;132;140;149;157;167;176;192;193;194;206;243;244;245;246;247;273;305;306;307;308;309;351;352;353;392;393;394;425;426;427;455;456;457},
 _xlpm.x, INDEX(K:K, _xlpm.r),
 AVERAGE(IF(ISNUMBER(_xlpm.x), ABS(_xlpm.x)))
)</f>
        <v>0.15764565217391585</v>
      </c>
    </row>
    <row r="17" spans="1:21" s="16" customFormat="1">
      <c r="A17" s="16" t="s">
        <v>15410</v>
      </c>
      <c r="B17" s="16" t="s">
        <v>15442</v>
      </c>
      <c r="C17" s="16" t="s">
        <v>15445</v>
      </c>
      <c r="D17" s="16" t="s">
        <v>3439</v>
      </c>
      <c r="E17" s="16" t="s">
        <v>3431</v>
      </c>
      <c r="F17" s="16" t="s">
        <v>10682</v>
      </c>
      <c r="G17" s="16" t="s">
        <v>3366</v>
      </c>
      <c r="H17" s="16" t="s">
        <v>11902</v>
      </c>
      <c r="I17" s="21">
        <v>-7.7538788798984003E-3</v>
      </c>
      <c r="J17" s="21">
        <v>-1.54598513122705E-3</v>
      </c>
      <c r="K17" s="21">
        <v>-9.7000000000008399E-2</v>
      </c>
      <c r="L17" s="22">
        <f>_xlfn.VAR.S(INDEX($I:$I,INT((ROW()-2)/3)*3+2):INDEX($I:$I,INT((ROW()-2)/3)*3+4))</f>
        <v>8.0542248368858218E-7</v>
      </c>
      <c r="M17" s="22">
        <f>_xlfn.VAR.S(INDEX($J:$J,INT((ROW()-2)/3)*3+2):INDEX($J:$J,INT((ROW()-2)/3)*3+4))</f>
        <v>4.8660601226087262E-7</v>
      </c>
      <c r="N17" s="22">
        <f>_xlfn.VAR.S(INDEX($K:$K,INT((ROW()-2)/3)*3+2):INDEX($K:$K,INT((ROW()-2)/3)*3+4))</f>
        <v>2.9263333333405675E-5</v>
      </c>
      <c r="P17" s="16" cm="1">
        <f t="array" ref="P17">_xlfn.LET(
 _xlpm.r, {17;18;19;44;45;46;77;78;79;104;105;106;122;130;141;150;158;168;177;195;196;197;207;248;249;250;251;252;274;310;311;312;313;354;355;356;395;396;397;428;429;430;458;459;460},
 _xlpm.x, INDEX(I:I, _xlpm.r),
 AVERAGE(IF(ISNUMBER(_xlpm.x), ABS(_xlpm.x)))
)</f>
        <v>0.10879343931234406</v>
      </c>
      <c r="Q17" s="16" cm="1">
        <f t="array" ref="Q17">_xlfn.LET(
 _xlpm.r, {17;18;19;44;45;46;77;78;79;104;105;106;122;130;141;150;158;168;177;195;196;197;207;248;249;250;251;252;274;310;311;312;313;354;355;356;395;396;397;428;429;430;458;459;460},
 _xlpm.x, INDEX(J:J, _xlpm.r),
 AVERAGE(IF(ISNUMBER(_xlpm.x), ABS(_xlpm.x)))
)</f>
        <v>0.1123175182243073</v>
      </c>
      <c r="R17" s="16" cm="1">
        <f t="array" ref="R17">_xlfn.LET(
 _xlpm.r, {17;18;19;44;45;46;77;78;79;104;105;106;122;130;141;150;158;168;177;195;196;197;207;248;249;250;251;252;274;310;311;312;313;354;355;356;395;396;397;428;429;430;458;459;460},
 _xlpm.x, INDEX(K:K, _xlpm.r),
 AVERAGE(IF(ISNUMBER(_xlpm.x), ABS(_xlpm.x)))
)</f>
        <v>0.19451999999999581</v>
      </c>
    </row>
    <row r="18" spans="1:21">
      <c r="A18" t="s">
        <v>15410</v>
      </c>
      <c r="B18" t="s">
        <v>15442</v>
      </c>
      <c r="C18" t="s">
        <v>15445</v>
      </c>
      <c r="D18" t="s">
        <v>3439</v>
      </c>
      <c r="E18" t="s">
        <v>3431</v>
      </c>
      <c r="F18" t="s">
        <v>10683</v>
      </c>
      <c r="G18" t="s">
        <v>3366</v>
      </c>
      <c r="H18" t="s">
        <v>11902</v>
      </c>
      <c r="I18" s="11">
        <v>-6.9327369317527601E-3</v>
      </c>
      <c r="J18" s="11">
        <v>-2.9173542862725201E-3</v>
      </c>
      <c r="K18" s="11">
        <v>-9.7700000000003201E-2</v>
      </c>
      <c r="L18" s="12">
        <f>_xlfn.VAR.S(INDEX($I:$I,INT((ROW()-2)/3)*3+2):INDEX($I:$I,INT((ROW()-2)/3)*3+4))</f>
        <v>8.0542248368858218E-7</v>
      </c>
      <c r="M18" s="12">
        <f>_xlfn.VAR.S(INDEX($J:$J,INT((ROW()-2)/3)*3+2):INDEX($J:$J,INT((ROW()-2)/3)*3+4))</f>
        <v>4.8660601226087262E-7</v>
      </c>
      <c r="N18" s="12">
        <f>_xlfn.VAR.S(INDEX($K:$K,INT((ROW()-2)/3)*3+2):INDEX($K:$K,INT((ROW()-2)/3)*3+4))</f>
        <v>2.9263333333405675E-5</v>
      </c>
    </row>
    <row r="19" spans="1:21">
      <c r="A19" t="s">
        <v>15410</v>
      </c>
      <c r="B19" t="s">
        <v>15442</v>
      </c>
      <c r="C19" t="s">
        <v>15445</v>
      </c>
      <c r="D19" t="s">
        <v>3439</v>
      </c>
      <c r="E19" t="s">
        <v>3431</v>
      </c>
      <c r="F19" t="s">
        <v>10684</v>
      </c>
      <c r="G19" t="s">
        <v>3366</v>
      </c>
      <c r="H19" t="s">
        <v>11902</v>
      </c>
      <c r="I19" s="11">
        <v>-8.7255386668826599E-3</v>
      </c>
      <c r="J19" s="11">
        <v>-2.4537688245180002E-3</v>
      </c>
      <c r="K19" s="11">
        <v>-8.7999999999993903E-2</v>
      </c>
      <c r="L19" s="12">
        <f>_xlfn.VAR.S(INDEX($I:$I,INT((ROW()-2)/3)*3+2):INDEX($I:$I,INT((ROW()-2)/3)*3+4))</f>
        <v>8.0542248368858218E-7</v>
      </c>
      <c r="M19" s="12">
        <f>_xlfn.VAR.S(INDEX($J:$J,INT((ROW()-2)/3)*3+2):INDEX($J:$J,INT((ROW()-2)/3)*3+4))</f>
        <v>4.8660601226087262E-7</v>
      </c>
      <c r="N19" s="12">
        <f>_xlfn.VAR.S(INDEX($K:$K,INT((ROW()-2)/3)*3+2):INDEX($K:$K,INT((ROW()-2)/3)*3+4))</f>
        <v>2.9263333333405675E-5</v>
      </c>
    </row>
    <row r="20" spans="1:21" s="16" customFormat="1">
      <c r="A20" s="16" t="s">
        <v>15410</v>
      </c>
      <c r="B20" s="16" t="s">
        <v>15442</v>
      </c>
      <c r="C20" s="16" t="s">
        <v>15451</v>
      </c>
      <c r="D20" s="16" t="s">
        <v>3438</v>
      </c>
      <c r="E20" s="16" t="s">
        <v>3429</v>
      </c>
      <c r="F20" s="16" t="s">
        <v>10565</v>
      </c>
      <c r="G20" s="16" t="s">
        <v>3368</v>
      </c>
      <c r="H20" s="16" t="s">
        <v>11889</v>
      </c>
      <c r="I20" s="21">
        <v>-1.3771603932677699E-2</v>
      </c>
      <c r="J20" s="21">
        <v>5.3471289983704996E-3</v>
      </c>
      <c r="K20" s="21">
        <v>-0.114599999999996</v>
      </c>
      <c r="L20" s="22">
        <f>_xlfn.VAR.S(INDEX($I:$I,INT((ROW()-2)/3)*3+2):INDEX($I:$I,INT((ROW()-2)/3)*3+4))</f>
        <v>1.9117825165639686E-7</v>
      </c>
      <c r="M20" s="22">
        <f>_xlfn.VAR.S(INDEX($J:$J,INT((ROW()-2)/3)*3+2):INDEX($J:$J,INT((ROW()-2)/3)*3+4))</f>
        <v>1.8983456097408297E-6</v>
      </c>
      <c r="N20" s="22">
        <f>_xlfn.VAR.S(INDEX($K:$K,INT((ROW()-2)/3)*3+2):INDEX($K:$K,INT((ROW()-2)/3)*3+4))</f>
        <v>3.2573333333385472E-5</v>
      </c>
      <c r="P20" s="16" cm="1">
        <f t="array" ref="P20">_xlfn.LET(
 _xlpm.r, {20;21;22;47;48;49;80;81;82;107;108;109;123;131;142;151;159;169;178;198;199;200;208;209;217;218;219;253;254;255;256;257;275;314;315;316;317;318;357;358;359;398;399;400;431;432;433;461;462;463},
 _xlpm.x, INDEX(I:I, _xlpm.r),
 AVERAGE(IF(ISNUMBER(_xlpm.x), ABS(_xlpm.x)))
)</f>
        <v>2.6607790889939902E-2</v>
      </c>
      <c r="Q20" s="16" cm="1">
        <f t="array" ref="Q20">_xlfn.LET(
 _xlpm.r, {20;21;22;47;48;49;80;81;82;107;108;109;123;131;142;151;159;169;178;198;199;200;208;209;217;218;219;253;254;255;256;257;275;314;315;316;317;318;357;358;359;398;399;400;431;432;433;461;462;463},
 _xlpm.x, INDEX(J:J, _xlpm.r),
 AVERAGE(IF(ISNUMBER(_xlpm.x), ABS(_xlpm.x)))
)</f>
        <v>3.0963054871984617E-2</v>
      </c>
      <c r="R20" s="16" cm="1">
        <f t="array" ref="R20">_xlfn.LET(
 _xlpm.r, {20;21;22;47;48;49;80;81;82;107;108;109;123;131;142;151;159;169;178;198;199;200;208;209;217;218;219;253;254;255;256;257;275;314;315;316;317;318;357;358;359;398;399;400;431;432;433;461;462;463},
 _xlpm.x, INDEX(K:K, _xlpm.r),
 AVERAGE(IF(ISNUMBER(_xlpm.x), ABS(_xlpm.x)))
)</f>
        <v>0.11016799999999825</v>
      </c>
    </row>
    <row r="21" spans="1:21">
      <c r="A21" t="s">
        <v>15410</v>
      </c>
      <c r="B21" t="s">
        <v>15442</v>
      </c>
      <c r="C21" t="s">
        <v>15451</v>
      </c>
      <c r="D21" t="s">
        <v>3427</v>
      </c>
      <c r="E21" t="s">
        <v>3441</v>
      </c>
      <c r="F21" t="s">
        <v>10685</v>
      </c>
      <c r="G21" t="s">
        <v>3366</v>
      </c>
      <c r="H21" t="s">
        <v>11908</v>
      </c>
      <c r="I21" s="11">
        <v>-1.3200670461298501E-2</v>
      </c>
      <c r="J21" s="11">
        <v>3.55221608947306E-3</v>
      </c>
      <c r="K21" s="11">
        <v>-0.120800000000003</v>
      </c>
      <c r="L21" s="12">
        <f>_xlfn.VAR.S(INDEX($I:$I,INT((ROW()-2)/3)*3+2):INDEX($I:$I,INT((ROW()-2)/3)*3+4))</f>
        <v>1.9117825165639686E-7</v>
      </c>
      <c r="M21" s="12">
        <f>_xlfn.VAR.S(INDEX($J:$J,INT((ROW()-2)/3)*3+2):INDEX($J:$J,INT((ROW()-2)/3)*3+4))</f>
        <v>1.8983456097408297E-6</v>
      </c>
      <c r="N21" s="12">
        <f>_xlfn.VAR.S(INDEX($K:$K,INT((ROW()-2)/3)*3+2):INDEX($K:$K,INT((ROW()-2)/3)*3+4))</f>
        <v>3.2573333333385472E-5</v>
      </c>
    </row>
    <row r="22" spans="1:21" ht="15" thickBot="1">
      <c r="A22" t="s">
        <v>15410</v>
      </c>
      <c r="B22" t="s">
        <v>15442</v>
      </c>
      <c r="C22" t="s">
        <v>15451</v>
      </c>
      <c r="D22" t="s">
        <v>3427</v>
      </c>
      <c r="E22" t="s">
        <v>3441</v>
      </c>
      <c r="F22" t="s">
        <v>3715</v>
      </c>
      <c r="G22" t="s">
        <v>3366</v>
      </c>
      <c r="H22" t="s">
        <v>11908</v>
      </c>
      <c r="I22" s="11">
        <v>-1.29124988236087E-2</v>
      </c>
      <c r="J22" s="11">
        <v>2.6389399390550402E-3</v>
      </c>
      <c r="K22" s="11">
        <v>-0.109399999999994</v>
      </c>
      <c r="L22" s="12">
        <f>_xlfn.VAR.S(INDEX($I:$I,INT((ROW()-2)/3)*3+2):INDEX($I:$I,INT((ROW()-2)/3)*3+4))</f>
        <v>1.9117825165639686E-7</v>
      </c>
      <c r="M22" s="12">
        <f>_xlfn.VAR.S(INDEX($J:$J,INT((ROW()-2)/3)*3+2):INDEX($J:$J,INT((ROW()-2)/3)*3+4))</f>
        <v>1.8983456097408297E-6</v>
      </c>
      <c r="N22" s="12">
        <f>_xlfn.VAR.S(INDEX($K:$K,INT((ROW()-2)/3)*3+2):INDEX($K:$K,INT((ROW()-2)/3)*3+4))</f>
        <v>3.2573333333385472E-5</v>
      </c>
    </row>
    <row r="23" spans="1:21" s="16" customFormat="1" hidden="1">
      <c r="A23" s="16" t="s">
        <v>15410</v>
      </c>
      <c r="B23" s="16" t="s">
        <v>15441</v>
      </c>
      <c r="C23" s="16" t="s">
        <v>15447</v>
      </c>
      <c r="D23" s="16" t="s">
        <v>3427</v>
      </c>
      <c r="E23" s="16" t="s">
        <v>3433</v>
      </c>
      <c r="F23" s="16" t="s">
        <v>10686</v>
      </c>
      <c r="G23" s="16" t="s">
        <v>3366</v>
      </c>
      <c r="H23" s="16" t="s">
        <v>11909</v>
      </c>
      <c r="I23" s="21">
        <v>-1.53462148614079E-2</v>
      </c>
      <c r="J23" s="21">
        <v>5.2092103638781504E-3</v>
      </c>
      <c r="K23" s="21">
        <v>-6.8600000000003505E-2</v>
      </c>
      <c r="L23" s="22">
        <f>_xlfn.VAR.S(INDEX($I:$I,INT((ROW()-2)/3)*3+2):INDEX($I:$I,INT((ROW()-2)/3)*3+4))</f>
        <v>8.8057714226455292E-7</v>
      </c>
      <c r="M23" s="22">
        <f>_xlfn.VAR.S(INDEX($J:$J,INT((ROW()-2)/3)*3+2):INDEX($J:$J,INT((ROW()-2)/3)*3+4))</f>
        <v>3.2064837003527696E-6</v>
      </c>
      <c r="N23" s="22">
        <f>_xlfn.VAR.S(INDEX($K:$K,INT((ROW()-2)/3)*3+2):INDEX($K:$K,INT((ROW()-2)/3)*3+4))</f>
        <v>7.3033333332793808E-6</v>
      </c>
      <c r="P23" s="16" cm="1">
        <f t="array" ref="P23">_xlfn.LET(
 _xlpm.r, {23;24;25;32;33;34;56;57;58;65;66;67;98;99;100;118;127;137;146;160;164;173;203;240;241;242;270;290;291;292;293;294;342;343;344;382;383;384;416;417;418;446;447;448},
 _xlpm.x, INDEX(I:I, _xlpm.r),
 AVERAGE(IF(ISNUMBER(_xlpm.x), ABS(_xlpm.x)))
)</f>
        <v>0.13796833814081036</v>
      </c>
      <c r="Q23" s="16" cm="1">
        <f t="array" ref="Q23">_xlfn.LET(
 _xlpm.r, {23;24;25;32;33;34;56;57;58;65;66;67;98;99;100;118;127;137;146;160;164;173;203;240;241;242;270;290;291;292;293;294;342;343;344;382;383;384;416;417;418;446;447;448},
 _xlpm.x, INDEX(J:J, _xlpm.r),
 AVERAGE(IF(ISNUMBER(_xlpm.x), ABS(_xlpm.x)))
)</f>
        <v>0.24135554769013534</v>
      </c>
      <c r="R23" s="16" cm="1">
        <f t="array" ref="R23">_xlfn.LET(
 _xlpm.r, {23;24;25;32;33;34;56;57;58;65;66;67;98;99;100;118;127;137;146;160;164;173;203;240;241;242;270;290;291;292;293;294;342;343;344;382;383;384;416;417;418;446;447;448},
 _xlpm.x, INDEX(K:K, _xlpm.r),
 AVERAGE(IF(ISNUMBER(_xlpm.x), ABS(_xlpm.x)))
)</f>
        <v>0.5827318181818173</v>
      </c>
    </row>
    <row r="24" spans="1:21" hidden="1">
      <c r="A24" t="s">
        <v>15410</v>
      </c>
      <c r="B24" t="s">
        <v>15441</v>
      </c>
      <c r="C24" t="s">
        <v>15447</v>
      </c>
      <c r="D24" t="s">
        <v>3427</v>
      </c>
      <c r="E24" t="s">
        <v>3432</v>
      </c>
      <c r="F24" t="s">
        <v>10687</v>
      </c>
      <c r="G24" t="s">
        <v>3366</v>
      </c>
      <c r="H24" t="s">
        <v>11909</v>
      </c>
      <c r="I24" s="11">
        <v>-1.72128115161094E-2</v>
      </c>
      <c r="J24" s="11">
        <v>8.7901898953770506E-3</v>
      </c>
      <c r="K24" s="11">
        <v>-7.1100000000001301E-2</v>
      </c>
      <c r="L24" s="12">
        <f>_xlfn.VAR.S(INDEX($I:$I,INT((ROW()-2)/3)*3+2):INDEX($I:$I,INT((ROW()-2)/3)*3+4))</f>
        <v>8.8057714226455292E-7</v>
      </c>
      <c r="M24" s="12">
        <f>_xlfn.VAR.S(INDEX($J:$J,INT((ROW()-2)/3)*3+2):INDEX($J:$J,INT((ROW()-2)/3)*3+4))</f>
        <v>3.2064837003527696E-6</v>
      </c>
      <c r="N24" s="12">
        <f>_xlfn.VAR.S(INDEX($K:$K,INT((ROW()-2)/3)*3+2):INDEX($K:$K,INT((ROW()-2)/3)*3+4))</f>
        <v>7.3033333332793808E-6</v>
      </c>
    </row>
    <row r="25" spans="1:21" hidden="1">
      <c r="A25" s="6" t="s">
        <v>15410</v>
      </c>
      <c r="B25" t="s">
        <v>15441</v>
      </c>
      <c r="C25" t="s">
        <v>15447</v>
      </c>
      <c r="D25" t="s">
        <v>3438</v>
      </c>
      <c r="E25" t="s">
        <v>3441</v>
      </c>
      <c r="F25" t="s">
        <v>10688</v>
      </c>
      <c r="G25" t="s">
        <v>3366</v>
      </c>
      <c r="H25" t="s">
        <v>11909</v>
      </c>
      <c r="I25" s="11">
        <v>-1.6448611158251299E-2</v>
      </c>
      <c r="J25" s="11">
        <v>7.0431776789806498E-3</v>
      </c>
      <c r="K25" s="11">
        <v>-7.3999999999983898E-2</v>
      </c>
      <c r="L25" s="12">
        <f>_xlfn.VAR.S(INDEX($I:$I,INT((ROW()-2)/3)*3+2):INDEX($I:$I,INT((ROW()-2)/3)*3+4))</f>
        <v>8.8057714226455292E-7</v>
      </c>
      <c r="M25" s="12">
        <f>_xlfn.VAR.S(INDEX($J:$J,INT((ROW()-2)/3)*3+2):INDEX($J:$J,INT((ROW()-2)/3)*3+4))</f>
        <v>3.2064837003527696E-6</v>
      </c>
      <c r="N25" s="12">
        <f>_xlfn.VAR.S(INDEX($K:$K,INT((ROW()-2)/3)*3+2):INDEX($K:$K,INT((ROW()-2)/3)*3+4))</f>
        <v>7.3033333332793808E-6</v>
      </c>
    </row>
    <row r="26" spans="1:21" s="16" customFormat="1" hidden="1">
      <c r="A26" s="16" t="s">
        <v>15400</v>
      </c>
      <c r="B26" s="16" t="s">
        <v>15441</v>
      </c>
      <c r="C26" s="16" t="s">
        <v>15445</v>
      </c>
      <c r="D26" s="16" t="s">
        <v>3438</v>
      </c>
      <c r="E26" s="16" t="s">
        <v>3432</v>
      </c>
      <c r="F26" s="16" t="s">
        <v>11798</v>
      </c>
      <c r="G26" s="16" t="s">
        <v>3366</v>
      </c>
      <c r="H26" s="16" t="s">
        <v>11887</v>
      </c>
      <c r="I26" s="21">
        <v>7.8202786201990795E-3</v>
      </c>
      <c r="J26" s="21">
        <v>9.4274878909612302E-3</v>
      </c>
      <c r="K26" s="21">
        <v>-6.8200000000004493E-2</v>
      </c>
      <c r="L26" s="22">
        <f>_xlfn.VAR.S(INDEX($I:$I,INT((ROW()-2)/3)*3+2):INDEX($I:$I,INT((ROW()-2)/3)*3+4))</f>
        <v>1.4401364210960964E-5</v>
      </c>
      <c r="M26" s="22">
        <f>_xlfn.VAR.S(INDEX($J:$J,INT((ROW()-2)/3)*3+2):INDEX($J:$J,INT((ROW()-2)/3)*3+4))</f>
        <v>2.9600607456201251E-5</v>
      </c>
      <c r="N26" s="22">
        <f>_xlfn.VAR.S(INDEX($K:$K,INT((ROW()-2)/3)*3+2):INDEX($K:$K,INT((ROW()-2)/3)*3+4))</f>
        <v>6.1323333333356857E-5</v>
      </c>
    </row>
    <row r="27" spans="1:21" hidden="1">
      <c r="A27" t="s">
        <v>15400</v>
      </c>
      <c r="B27" t="s">
        <v>15441</v>
      </c>
      <c r="C27" t="s">
        <v>15445</v>
      </c>
      <c r="D27" t="s">
        <v>3438</v>
      </c>
      <c r="E27" t="s">
        <v>3433</v>
      </c>
      <c r="F27" t="s">
        <v>11798</v>
      </c>
      <c r="G27" t="s">
        <v>3366</v>
      </c>
      <c r="H27" t="s">
        <v>11887</v>
      </c>
      <c r="I27" s="11">
        <v>1.35813157749212E-2</v>
      </c>
      <c r="J27" s="11">
        <v>2.2712397865387E-3</v>
      </c>
      <c r="K27" s="11">
        <v>-5.50000000000068E-2</v>
      </c>
      <c r="L27" s="12">
        <f>_xlfn.VAR.S(INDEX($I:$I,INT((ROW()-2)/3)*3+2):INDEX($I:$I,INT((ROW()-2)/3)*3+4))</f>
        <v>1.4401364210960964E-5</v>
      </c>
      <c r="M27" s="12">
        <f>_xlfn.VAR.S(INDEX($J:$J,INT((ROW()-2)/3)*3+2):INDEX($J:$J,INT((ROW()-2)/3)*3+4))</f>
        <v>2.9600607456201251E-5</v>
      </c>
      <c r="N27" s="12">
        <f>_xlfn.VAR.S(INDEX($K:$K,INT((ROW()-2)/3)*3+2):INDEX($K:$K,INT((ROW()-2)/3)*3+4))</f>
        <v>6.1323333333356857E-5</v>
      </c>
    </row>
    <row r="28" spans="1:21" hidden="1">
      <c r="A28" t="s">
        <v>15400</v>
      </c>
      <c r="B28" t="s">
        <v>15441</v>
      </c>
      <c r="C28" t="s">
        <v>15445</v>
      </c>
      <c r="D28" t="s">
        <v>3438</v>
      </c>
      <c r="E28" t="s">
        <v>3433</v>
      </c>
      <c r="F28" t="s">
        <v>11798</v>
      </c>
      <c r="G28" t="s">
        <v>3366</v>
      </c>
      <c r="H28" t="s">
        <v>11887</v>
      </c>
      <c r="I28" s="11">
        <v>1.4980041384249699E-2</v>
      </c>
      <c r="J28" s="11">
        <v>-1.24943233874136E-3</v>
      </c>
      <c r="K28" s="11">
        <v>-5.4299999999997801E-2</v>
      </c>
      <c r="L28" s="12">
        <f>_xlfn.VAR.S(INDEX($I:$I,INT((ROW()-2)/3)*3+2):INDEX($I:$I,INT((ROW()-2)/3)*3+4))</f>
        <v>1.4401364210960964E-5</v>
      </c>
      <c r="M28" s="12">
        <f>_xlfn.VAR.S(INDEX($J:$J,INT((ROW()-2)/3)*3+2):INDEX($J:$J,INT((ROW()-2)/3)*3+4))</f>
        <v>2.9600607456201251E-5</v>
      </c>
      <c r="N28" s="12">
        <f>_xlfn.VAR.S(INDEX($K:$K,INT((ROW()-2)/3)*3+2):INDEX($K:$K,INT((ROW()-2)/3)*3+4))</f>
        <v>6.1323333333356857E-5</v>
      </c>
    </row>
    <row r="29" spans="1:21" s="16" customFormat="1" ht="15" hidden="1" thickBot="1">
      <c r="A29" s="16" t="s">
        <v>15400</v>
      </c>
      <c r="B29" s="16" t="s">
        <v>15441</v>
      </c>
      <c r="C29" s="16" t="s">
        <v>15446</v>
      </c>
      <c r="D29" s="16" t="s">
        <v>3430</v>
      </c>
      <c r="E29" s="16" t="s">
        <v>3540</v>
      </c>
      <c r="F29" s="16" t="s">
        <v>11799</v>
      </c>
      <c r="G29" s="16" t="s">
        <v>3366</v>
      </c>
      <c r="H29" s="16" t="s">
        <v>11887</v>
      </c>
      <c r="I29" s="21">
        <v>-1.2386537432274899E-3</v>
      </c>
      <c r="J29" s="21">
        <v>-6.0084954404527699E-2</v>
      </c>
      <c r="K29" s="21">
        <v>7.6899999999994903E-2</v>
      </c>
      <c r="L29" s="22">
        <f>_xlfn.VAR.S(INDEX($I:$I,INT((ROW()-2)/3)*3+2):INDEX($I:$I,INT((ROW()-2)/3)*3+4))</f>
        <v>4.2872046599366752E-5</v>
      </c>
      <c r="M29" s="22">
        <f>_xlfn.VAR.S(INDEX($J:$J,INT((ROW()-2)/3)*3+2):INDEX($J:$J,INT((ROW()-2)/3)*3+4))</f>
        <v>2.6961731015492241E-5</v>
      </c>
      <c r="N29" s="22">
        <f>_xlfn.VAR.S(INDEX($K:$K,INT((ROW()-2)/3)*3+2):INDEX($K:$K,INT((ROW()-2)/3)*3+4))</f>
        <v>1.1649333333340446E-4</v>
      </c>
      <c r="Q29" s="122">
        <v>0.04</v>
      </c>
      <c r="R29" s="122">
        <v>0.16500000000000001</v>
      </c>
      <c r="S29" s="122">
        <v>0.11899999999999999</v>
      </c>
      <c r="T29" s="122">
        <v>2.7E-2</v>
      </c>
      <c r="U29" s="122">
        <v>0.13800000000000001</v>
      </c>
    </row>
    <row r="30" spans="1:21" ht="15" hidden="1" thickBot="1">
      <c r="A30" t="s">
        <v>15400</v>
      </c>
      <c r="B30" t="s">
        <v>15441</v>
      </c>
      <c r="C30" t="s">
        <v>15446</v>
      </c>
      <c r="D30" t="s">
        <v>3441</v>
      </c>
      <c r="E30" t="s">
        <v>3458</v>
      </c>
      <c r="F30" t="s">
        <v>11800</v>
      </c>
      <c r="G30" t="s">
        <v>3366</v>
      </c>
      <c r="H30" t="s">
        <v>11887</v>
      </c>
      <c r="I30" s="11">
        <v>6.2364553566636501E-3</v>
      </c>
      <c r="J30" s="11">
        <v>-6.4477429988297794E-2</v>
      </c>
      <c r="K30" s="11">
        <v>9.7700000000003201E-2</v>
      </c>
      <c r="L30" s="12">
        <f>_xlfn.VAR.S(INDEX($I:$I,INT((ROW()-2)/3)*3+2):INDEX($I:$I,INT((ROW()-2)/3)*3+4))</f>
        <v>4.2872046599366752E-5</v>
      </c>
      <c r="M30" s="12">
        <f>_xlfn.VAR.S(INDEX($J:$J,INT((ROW()-2)/3)*3+2):INDEX($J:$J,INT((ROW()-2)/3)*3+4))</f>
        <v>2.6961731015492241E-5</v>
      </c>
      <c r="N30" s="12">
        <f>_xlfn.VAR.S(INDEX($K:$K,INT((ROW()-2)/3)*3+2):INDEX($K:$K,INT((ROW()-2)/3)*3+4))</f>
        <v>1.1649333333340446E-4</v>
      </c>
      <c r="Q30" s="122">
        <v>3.9E-2</v>
      </c>
      <c r="R30" s="122">
        <v>7.0999999999999994E-2</v>
      </c>
      <c r="S30" s="122">
        <v>7.0000000000000007E-2</v>
      </c>
      <c r="T30" s="122">
        <v>2.7E-2</v>
      </c>
      <c r="U30" s="122">
        <v>0.24099999999999999</v>
      </c>
    </row>
    <row r="31" spans="1:21" hidden="1">
      <c r="A31" t="s">
        <v>15400</v>
      </c>
      <c r="B31" t="s">
        <v>15441</v>
      </c>
      <c r="C31" t="s">
        <v>15446</v>
      </c>
      <c r="D31" t="s">
        <v>3452</v>
      </c>
      <c r="E31" t="s">
        <v>3612</v>
      </c>
      <c r="F31" t="s">
        <v>11801</v>
      </c>
      <c r="G31" t="s">
        <v>3366</v>
      </c>
      <c r="H31" t="s">
        <v>11887</v>
      </c>
      <c r="I31" s="11">
        <v>1.18106244794139E-2</v>
      </c>
      <c r="J31" s="11">
        <v>-5.4131663883009301E-2</v>
      </c>
      <c r="K31" s="11">
        <v>9.2299999999994498E-2</v>
      </c>
      <c r="L31" s="12">
        <f>_xlfn.VAR.S(INDEX($I:$I,INT((ROW()-2)/3)*3+2):INDEX($I:$I,INT((ROW()-2)/3)*3+4))</f>
        <v>4.2872046599366752E-5</v>
      </c>
      <c r="M31" s="12">
        <f>_xlfn.VAR.S(INDEX($J:$J,INT((ROW()-2)/3)*3+2):INDEX($J:$J,INT((ROW()-2)/3)*3+4))</f>
        <v>2.6961731015492241E-5</v>
      </c>
      <c r="N31" s="12">
        <f>_xlfn.VAR.S(INDEX($K:$K,INT((ROW()-2)/3)*3+2):INDEX($K:$K,INT((ROW()-2)/3)*3+4))</f>
        <v>1.1649333333340446E-4</v>
      </c>
    </row>
    <row r="32" spans="1:21" s="16" customFormat="1" hidden="1">
      <c r="A32" s="16" t="s">
        <v>15400</v>
      </c>
      <c r="B32" s="16" t="s">
        <v>15441</v>
      </c>
      <c r="C32" s="16" t="s">
        <v>15447</v>
      </c>
      <c r="D32" s="16" t="s">
        <v>3534</v>
      </c>
      <c r="E32" s="16" t="s">
        <v>3751</v>
      </c>
      <c r="F32" s="16" t="s">
        <v>11802</v>
      </c>
      <c r="G32" s="16" t="s">
        <v>3366</v>
      </c>
      <c r="H32" s="16" t="s">
        <v>11909</v>
      </c>
      <c r="I32" s="21">
        <v>0.21186347434226099</v>
      </c>
      <c r="J32" s="21">
        <v>1.7350813929559501</v>
      </c>
      <c r="K32" s="21">
        <v>-2.1119000000000101</v>
      </c>
      <c r="L32" s="22">
        <f>_xlfn.VAR.S(INDEX($I:$I,INT((ROW()-2)/3)*3+2):INDEX($I:$I,INT((ROW()-2)/3)*3+4))</f>
        <v>7.4617298429189991E-6</v>
      </c>
      <c r="M32" s="22">
        <f>_xlfn.VAR.S(INDEX($J:$J,INT((ROW()-2)/3)*3+2):INDEX($J:$J,INT((ROW()-2)/3)*3+4))</f>
        <v>5.6112905267300067E-5</v>
      </c>
      <c r="N32" s="22">
        <f>_xlfn.VAR.S(INDEX($K:$K,INT((ROW()-2)/3)*3+2):INDEX($K:$K,INT((ROW()-2)/3)*3+4))</f>
        <v>4.432133333331505E-4</v>
      </c>
      <c r="Q32" s="16">
        <f>AVERAGE(Q29:U30)</f>
        <v>9.3700000000000006E-2</v>
      </c>
    </row>
    <row r="33" spans="1:20" hidden="1">
      <c r="A33" t="s">
        <v>15400</v>
      </c>
      <c r="B33" t="s">
        <v>15441</v>
      </c>
      <c r="C33" t="s">
        <v>15447</v>
      </c>
      <c r="D33" t="s">
        <v>3534</v>
      </c>
      <c r="E33" t="s">
        <v>3751</v>
      </c>
      <c r="F33" t="s">
        <v>11803</v>
      </c>
      <c r="G33" t="s">
        <v>3366</v>
      </c>
      <c r="H33" t="s">
        <v>11909</v>
      </c>
      <c r="I33" s="11">
        <v>0.207684486295832</v>
      </c>
      <c r="J33" s="11">
        <v>1.74951797930214</v>
      </c>
      <c r="K33" s="11">
        <v>-2.14070000000001</v>
      </c>
      <c r="L33" s="12">
        <f>_xlfn.VAR.S(INDEX($I:$I,INT((ROW()-2)/3)*3+2):INDEX($I:$I,INT((ROW()-2)/3)*3+4))</f>
        <v>7.4617298429189991E-6</v>
      </c>
      <c r="M33" s="12">
        <f>_xlfn.VAR.S(INDEX($J:$J,INT((ROW()-2)/3)*3+2):INDEX($J:$J,INT((ROW()-2)/3)*3+4))</f>
        <v>5.6112905267300067E-5</v>
      </c>
      <c r="N33" s="12">
        <f>_xlfn.VAR.S(INDEX($K:$K,INT((ROW()-2)/3)*3+2):INDEX($K:$K,INT((ROW()-2)/3)*3+4))</f>
        <v>4.432133333331505E-4</v>
      </c>
    </row>
    <row r="34" spans="1:20" hidden="1">
      <c r="A34" t="s">
        <v>15400</v>
      </c>
      <c r="B34" t="s">
        <v>15441</v>
      </c>
      <c r="C34" t="s">
        <v>15447</v>
      </c>
      <c r="D34" t="s">
        <v>3534</v>
      </c>
      <c r="E34" t="s">
        <v>3751</v>
      </c>
      <c r="F34" t="s">
        <v>11804</v>
      </c>
      <c r="G34" t="s">
        <v>3366</v>
      </c>
      <c r="H34" t="s">
        <v>11909</v>
      </c>
      <c r="I34" s="11">
        <v>0.20672648401722599</v>
      </c>
      <c r="J34" s="11">
        <v>1.74576774708636</v>
      </c>
      <c r="K34" s="11">
        <v>-2.1528999999999998</v>
      </c>
      <c r="L34" s="12">
        <f>_xlfn.VAR.S(INDEX($I:$I,INT((ROW()-2)/3)*3+2):INDEX($I:$I,INT((ROW()-2)/3)*3+4))</f>
        <v>7.4617298429189991E-6</v>
      </c>
      <c r="M34" s="12">
        <f>_xlfn.VAR.S(INDEX($J:$J,INT((ROW()-2)/3)*3+2):INDEX($J:$J,INT((ROW()-2)/3)*3+4))</f>
        <v>5.6112905267300067E-5</v>
      </c>
      <c r="N34" s="12">
        <f>_xlfn.VAR.S(INDEX($K:$K,INT((ROW()-2)/3)*3+2):INDEX($K:$K,INT((ROW()-2)/3)*3+4))</f>
        <v>4.432133333331505E-4</v>
      </c>
    </row>
    <row r="35" spans="1:20" s="16" customFormat="1" hidden="1">
      <c r="A35" s="16" t="s">
        <v>15400</v>
      </c>
      <c r="B35" s="16" t="s">
        <v>15441</v>
      </c>
      <c r="C35" s="16" t="s">
        <v>15448</v>
      </c>
      <c r="D35" s="16" t="s">
        <v>3452</v>
      </c>
      <c r="E35" s="16" t="s">
        <v>3476</v>
      </c>
      <c r="F35" s="16" t="s">
        <v>11665</v>
      </c>
      <c r="G35" s="16" t="s">
        <v>3366</v>
      </c>
      <c r="H35" s="16" t="s">
        <v>11908</v>
      </c>
      <c r="I35" s="21">
        <v>3.64901664839846E-2</v>
      </c>
      <c r="J35" s="21">
        <v>3.4271446560844999E-2</v>
      </c>
      <c r="K35" s="21">
        <v>-5.4800000000000203E-2</v>
      </c>
      <c r="L35" s="22">
        <f>_xlfn.VAR.S(INDEX($I:$I,INT((ROW()-2)/3)*3+2):INDEX($I:$I,INT((ROW()-2)/3)*3+4))</f>
        <v>1.3534727406807929E-5</v>
      </c>
      <c r="M35" s="22">
        <f>_xlfn.VAR.S(INDEX($J:$J,INT((ROW()-2)/3)*3+2):INDEX($J:$J,INT((ROW()-2)/3)*3+4))</f>
        <v>4.2206325117239048E-5</v>
      </c>
      <c r="N35" s="22">
        <f>_xlfn.VAR.S(INDEX($K:$K,INT((ROW()-2)/3)*3+2):INDEX($K:$K,INT((ROW()-2)/3)*3+4))</f>
        <v>6.1903333333363048E-5</v>
      </c>
    </row>
    <row r="36" spans="1:20" hidden="1">
      <c r="A36" t="s">
        <v>15400</v>
      </c>
      <c r="B36" t="s">
        <v>15441</v>
      </c>
      <c r="C36" t="s">
        <v>15448</v>
      </c>
      <c r="D36" t="s">
        <v>3426</v>
      </c>
      <c r="E36" t="s">
        <v>3590</v>
      </c>
      <c r="F36" t="s">
        <v>10776</v>
      </c>
      <c r="G36" t="s">
        <v>3366</v>
      </c>
      <c r="H36" t="s">
        <v>11889</v>
      </c>
      <c r="I36" s="11">
        <v>3.0171445223415801E-2</v>
      </c>
      <c r="J36" s="11">
        <v>2.9279856378075401E-2</v>
      </c>
      <c r="K36" s="11">
        <v>-6.7900000000008703E-2</v>
      </c>
      <c r="L36" s="12">
        <f>_xlfn.VAR.S(INDEX($I:$I,INT((ROW()-2)/3)*3+2):INDEX($I:$I,INT((ROW()-2)/3)*3+4))</f>
        <v>1.3534727406807929E-5</v>
      </c>
      <c r="M36" s="12">
        <f>_xlfn.VAR.S(INDEX($J:$J,INT((ROW()-2)/3)*3+2):INDEX($J:$J,INT((ROW()-2)/3)*3+4))</f>
        <v>4.2206325117239048E-5</v>
      </c>
      <c r="N36" s="12">
        <f>_xlfn.VAR.S(INDEX($K:$K,INT((ROW()-2)/3)*3+2):INDEX($K:$K,INT((ROW()-2)/3)*3+4))</f>
        <v>6.1903333333363048E-5</v>
      </c>
    </row>
    <row r="37" spans="1:20" hidden="1">
      <c r="A37" t="s">
        <v>15400</v>
      </c>
      <c r="B37" t="s">
        <v>15441</v>
      </c>
      <c r="C37" t="s">
        <v>15448</v>
      </c>
      <c r="D37" t="s">
        <v>3449</v>
      </c>
      <c r="E37" t="s">
        <v>3544</v>
      </c>
      <c r="F37" t="s">
        <v>3634</v>
      </c>
      <c r="G37" t="s">
        <v>3366</v>
      </c>
      <c r="H37" t="s">
        <v>11889</v>
      </c>
      <c r="I37" s="11">
        <v>3.0065916354214701E-2</v>
      </c>
      <c r="J37" s="11">
        <v>2.1386618986251001E-2</v>
      </c>
      <c r="K37" s="11">
        <v>-6.8899999999999295E-2</v>
      </c>
      <c r="L37" s="12">
        <f>_xlfn.VAR.S(INDEX($I:$I,INT((ROW()-2)/3)*3+2):INDEX($I:$I,INT((ROW()-2)/3)*3+4))</f>
        <v>1.3534727406807929E-5</v>
      </c>
      <c r="M37" s="12">
        <f>_xlfn.VAR.S(INDEX($J:$J,INT((ROW()-2)/3)*3+2):INDEX($J:$J,INT((ROW()-2)/3)*3+4))</f>
        <v>4.2206325117239048E-5</v>
      </c>
      <c r="N37" s="12">
        <f>_xlfn.VAR.S(INDEX($K:$K,INT((ROW()-2)/3)*3+2):INDEX($K:$K,INT((ROW()-2)/3)*3+4))</f>
        <v>6.1903333333363048E-5</v>
      </c>
    </row>
    <row r="38" spans="1:20" s="16" customFormat="1" ht="15" hidden="1" thickBot="1">
      <c r="A38" s="16" t="s">
        <v>15400</v>
      </c>
      <c r="B38" s="16" t="s">
        <v>15441</v>
      </c>
      <c r="C38" s="16" t="s">
        <v>15449</v>
      </c>
      <c r="D38" s="16" t="s">
        <v>3429</v>
      </c>
      <c r="E38" s="16" t="s">
        <v>3465</v>
      </c>
      <c r="F38" s="16" t="s">
        <v>11367</v>
      </c>
      <c r="G38" s="16" t="s">
        <v>3366</v>
      </c>
      <c r="H38" s="16" t="s">
        <v>11899</v>
      </c>
      <c r="I38" s="21">
        <v>1.7750556670370201E-2</v>
      </c>
      <c r="J38" s="21">
        <v>1.15085292621393E-2</v>
      </c>
      <c r="K38" s="21">
        <v>-6.9699999999997403E-2</v>
      </c>
      <c r="L38" s="22">
        <f>_xlfn.VAR.S(INDEX($I:$I,INT((ROW()-2)/3)*3+2):INDEX($I:$I,INT((ROW()-2)/3)*3+4))</f>
        <v>4.3519866527546736E-6</v>
      </c>
      <c r="M38" s="22">
        <f>_xlfn.VAR.S(INDEX($J:$J,INT((ROW()-2)/3)*3+2):INDEX($J:$J,INT((ROW()-2)/3)*3+4))</f>
        <v>2.7208028297838981E-5</v>
      </c>
      <c r="N38" s="22">
        <f>_xlfn.VAR.S(INDEX($K:$K,INT((ROW()-2)/3)*3+2):INDEX($K:$K,INT((ROW()-2)/3)*3+4))</f>
        <v>1.9900000000099268E-6</v>
      </c>
      <c r="P38" s="122">
        <v>0.13400000000000001</v>
      </c>
      <c r="Q38" s="122">
        <v>0.251</v>
      </c>
      <c r="R38" s="122">
        <v>0.20300000000000001</v>
      </c>
      <c r="S38" s="122">
        <v>9.9000000000000005E-2</v>
      </c>
      <c r="T38" s="122">
        <v>0.58299999999999996</v>
      </c>
    </row>
    <row r="39" spans="1:20" hidden="1">
      <c r="A39" t="s">
        <v>15400</v>
      </c>
      <c r="B39" t="s">
        <v>15441</v>
      </c>
      <c r="C39" t="s">
        <v>15449</v>
      </c>
      <c r="D39" t="s">
        <v>3429</v>
      </c>
      <c r="E39" t="s">
        <v>3426</v>
      </c>
      <c r="F39" t="s">
        <v>11686</v>
      </c>
      <c r="G39" t="s">
        <v>3366</v>
      </c>
      <c r="H39" t="s">
        <v>11898</v>
      </c>
      <c r="I39" s="11">
        <v>1.9697217975406099E-2</v>
      </c>
      <c r="J39" s="11">
        <v>1.4042397867101999E-2</v>
      </c>
      <c r="K39" s="11">
        <v>-7.1399999999996994E-2</v>
      </c>
      <c r="L39" s="12">
        <f>_xlfn.VAR.S(INDEX($I:$I,INT((ROW()-2)/3)*3+2):INDEX($I:$I,INT((ROW()-2)/3)*3+4))</f>
        <v>4.3519866527546736E-6</v>
      </c>
      <c r="M39" s="12">
        <f>_xlfn.VAR.S(INDEX($J:$J,INT((ROW()-2)/3)*3+2):INDEX($J:$J,INT((ROW()-2)/3)*3+4))</f>
        <v>2.7208028297838981E-5</v>
      </c>
      <c r="N39" s="12">
        <f>_xlfn.VAR.S(INDEX($K:$K,INT((ROW()-2)/3)*3+2):INDEX($K:$K,INT((ROW()-2)/3)*3+4))</f>
        <v>1.9900000000099268E-6</v>
      </c>
    </row>
    <row r="40" spans="1:20" hidden="1">
      <c r="A40" t="s">
        <v>15400</v>
      </c>
      <c r="B40" t="s">
        <v>15441</v>
      </c>
      <c r="C40" t="s">
        <v>15449</v>
      </c>
      <c r="D40" t="s">
        <v>3429</v>
      </c>
      <c r="E40" t="s">
        <v>3426</v>
      </c>
      <c r="F40" t="s">
        <v>10911</v>
      </c>
      <c r="G40" t="s">
        <v>3366</v>
      </c>
      <c r="H40" t="s">
        <v>11898</v>
      </c>
      <c r="I40" s="11">
        <v>2.1919797565819101E-2</v>
      </c>
      <c r="J40" s="11">
        <v>2.1539521831947801E-2</v>
      </c>
      <c r="K40" s="11">
        <v>-7.2500000000005102E-2</v>
      </c>
      <c r="L40" s="12">
        <f>_xlfn.VAR.S(INDEX($I:$I,INT((ROW()-2)/3)*3+2):INDEX($I:$I,INT((ROW()-2)/3)*3+4))</f>
        <v>4.3519866527546736E-6</v>
      </c>
      <c r="M40" s="12">
        <f>_xlfn.VAR.S(INDEX($J:$J,INT((ROW()-2)/3)*3+2):INDEX($J:$J,INT((ROW()-2)/3)*3+4))</f>
        <v>2.7208028297838981E-5</v>
      </c>
      <c r="N40" s="12">
        <f>_xlfn.VAR.S(INDEX($K:$K,INT((ROW()-2)/3)*3+2):INDEX($K:$K,INT((ROW()-2)/3)*3+4))</f>
        <v>1.9900000000099268E-6</v>
      </c>
      <c r="P40">
        <f>AVERAGE(P38:T38)</f>
        <v>0.254</v>
      </c>
    </row>
    <row r="41" spans="1:20" s="16" customFormat="1" ht="15" thickBot="1">
      <c r="A41" s="16" t="s">
        <v>15400</v>
      </c>
      <c r="B41" s="16" t="s">
        <v>15442</v>
      </c>
      <c r="C41" s="16" t="s">
        <v>15450</v>
      </c>
      <c r="D41" s="16" t="s">
        <v>3431</v>
      </c>
      <c r="E41" s="16" t="s">
        <v>3452</v>
      </c>
      <c r="F41" s="16" t="s">
        <v>11175</v>
      </c>
      <c r="G41" s="16" t="s">
        <v>3366</v>
      </c>
      <c r="H41" s="16" t="s">
        <v>11886</v>
      </c>
      <c r="I41" s="21">
        <v>1.8580701410568001E-2</v>
      </c>
      <c r="J41" s="21">
        <v>3.74600214082174E-2</v>
      </c>
      <c r="K41" s="21">
        <v>-0.132000000000005</v>
      </c>
      <c r="L41" s="22">
        <f>_xlfn.VAR.S(INDEX($I:$I,INT((ROW()-2)/3)*3+2):INDEX($I:$I,INT((ROW()-2)/3)*3+4))</f>
        <v>3.263644001221303E-5</v>
      </c>
      <c r="M41" s="22">
        <f>_xlfn.VAR.S(INDEX($J:$J,INT((ROW()-2)/3)*3+2):INDEX($J:$J,INT((ROW()-2)/3)*3+4))</f>
        <v>1.8164667181185737E-5</v>
      </c>
      <c r="N41" s="22">
        <f>_xlfn.VAR.S(INDEX($K:$K,INT((ROW()-2)/3)*3+2):INDEX($K:$K,INT((ROW()-2)/3)*3+4))</f>
        <v>1.0705333333335287E-4</v>
      </c>
      <c r="P41" s="122">
        <v>0.109</v>
      </c>
      <c r="Q41" s="122">
        <v>2.7E-2</v>
      </c>
      <c r="R41" s="122">
        <v>8.5999999999999993E-2</v>
      </c>
    </row>
    <row r="42" spans="1:20" ht="15" thickBot="1">
      <c r="A42" t="s">
        <v>15400</v>
      </c>
      <c r="B42" t="s">
        <v>15442</v>
      </c>
      <c r="C42" t="s">
        <v>15450</v>
      </c>
      <c r="D42" t="s">
        <v>3433</v>
      </c>
      <c r="E42" t="s">
        <v>3543</v>
      </c>
      <c r="F42" t="s">
        <v>11805</v>
      </c>
      <c r="G42" t="s">
        <v>3366</v>
      </c>
      <c r="H42" t="s">
        <v>11886</v>
      </c>
      <c r="I42" s="11">
        <v>7.6612317096461701E-3</v>
      </c>
      <c r="J42" s="11">
        <v>4.5219279745634E-2</v>
      </c>
      <c r="K42" s="11">
        <v>-0.15260000000000701</v>
      </c>
      <c r="L42" s="12">
        <f>_xlfn.VAR.S(INDEX($I:$I,INT((ROW()-2)/3)*3+2):INDEX($I:$I,INT((ROW()-2)/3)*3+4))</f>
        <v>3.263644001221303E-5</v>
      </c>
      <c r="M42" s="12">
        <f>_xlfn.VAR.S(INDEX($J:$J,INT((ROW()-2)/3)*3+2):INDEX($J:$J,INT((ROW()-2)/3)*3+4))</f>
        <v>1.8164667181185737E-5</v>
      </c>
      <c r="N42" s="12">
        <f>_xlfn.VAR.S(INDEX($K:$K,INT((ROW()-2)/3)*3+2):INDEX($K:$K,INT((ROW()-2)/3)*3+4))</f>
        <v>1.0705333333335287E-4</v>
      </c>
      <c r="P42" s="122">
        <v>0.112</v>
      </c>
      <c r="Q42" s="122">
        <v>3.1E-2</v>
      </c>
      <c r="R42" s="122">
        <v>4.3999999999999997E-2</v>
      </c>
    </row>
    <row r="43" spans="1:20">
      <c r="A43" t="s">
        <v>15400</v>
      </c>
      <c r="B43" t="s">
        <v>15442</v>
      </c>
      <c r="C43" t="s">
        <v>15450</v>
      </c>
      <c r="D43" t="s">
        <v>3442</v>
      </c>
      <c r="E43" t="s">
        <v>3478</v>
      </c>
      <c r="F43" t="s">
        <v>10812</v>
      </c>
      <c r="G43" t="s">
        <v>3366</v>
      </c>
      <c r="H43" t="s">
        <v>11886</v>
      </c>
      <c r="I43" s="11">
        <v>1.02083721625593E-2</v>
      </c>
      <c r="J43" s="11">
        <v>3.8283601807111899E-2</v>
      </c>
      <c r="K43" s="11">
        <v>-0.14400000000000501</v>
      </c>
      <c r="L43" s="12">
        <f>_xlfn.VAR.S(INDEX($I:$I,INT((ROW()-2)/3)*3+2):INDEX($I:$I,INT((ROW()-2)/3)*3+4))</f>
        <v>3.263644001221303E-5</v>
      </c>
      <c r="M43" s="12">
        <f>_xlfn.VAR.S(INDEX($J:$J,INT((ROW()-2)/3)*3+2):INDEX($J:$J,INT((ROW()-2)/3)*3+4))</f>
        <v>1.8164667181185737E-5</v>
      </c>
      <c r="N43" s="12">
        <f>_xlfn.VAR.S(INDEX($K:$K,INT((ROW()-2)/3)*3+2):INDEX($K:$K,INT((ROW()-2)/3)*3+4))</f>
        <v>1.0705333333335287E-4</v>
      </c>
    </row>
    <row r="44" spans="1:20" s="16" customFormat="1">
      <c r="A44" s="16" t="s">
        <v>15400</v>
      </c>
      <c r="B44" s="16" t="s">
        <v>15442</v>
      </c>
      <c r="C44" s="16" t="s">
        <v>15445</v>
      </c>
      <c r="D44" s="16" t="s">
        <v>3427</v>
      </c>
      <c r="E44" s="16" t="s">
        <v>3435</v>
      </c>
      <c r="F44" s="16" t="s">
        <v>3631</v>
      </c>
      <c r="G44" s="16" t="s">
        <v>3366</v>
      </c>
      <c r="H44" s="16" t="s">
        <v>11885</v>
      </c>
      <c r="I44" s="21">
        <v>3.8117681310865302E-3</v>
      </c>
      <c r="J44" s="21">
        <v>3.29000154251139E-2</v>
      </c>
      <c r="K44" s="21">
        <v>-0.150700000000001</v>
      </c>
      <c r="L44" s="22">
        <f>_xlfn.VAR.S(INDEX($I:$I,INT((ROW()-2)/3)*3+2):INDEX($I:$I,INT((ROW()-2)/3)*3+4))</f>
        <v>1.2723631043249744E-6</v>
      </c>
      <c r="M44" s="22">
        <f>_xlfn.VAR.S(INDEX($J:$J,INT((ROW()-2)/3)*3+2):INDEX($J:$J,INT((ROW()-2)/3)*3+4))</f>
        <v>3.9124616932450594E-6</v>
      </c>
      <c r="N44" s="22">
        <f>_xlfn.VAR.S(INDEX($K:$K,INT((ROW()-2)/3)*3+2):INDEX($K:$K,INT((ROW()-2)/3)*3+4))</f>
        <v>2.089000000001967E-5</v>
      </c>
      <c r="P44" s="16">
        <f>AVERAGE(P41:R42)</f>
        <v>6.8166666666666667E-2</v>
      </c>
    </row>
    <row r="45" spans="1:20" ht="15" thickBot="1">
      <c r="A45" t="s">
        <v>15400</v>
      </c>
      <c r="B45" t="s">
        <v>15442</v>
      </c>
      <c r="C45" t="s">
        <v>15445</v>
      </c>
      <c r="D45" t="s">
        <v>3427</v>
      </c>
      <c r="E45" t="s">
        <v>3435</v>
      </c>
      <c r="F45" t="s">
        <v>10753</v>
      </c>
      <c r="G45" t="s">
        <v>3366</v>
      </c>
      <c r="H45" t="s">
        <v>11886</v>
      </c>
      <c r="I45" s="11">
        <v>5.98570262605818E-3</v>
      </c>
      <c r="J45" s="11">
        <v>3.6643023369029998E-2</v>
      </c>
      <c r="K45" s="11">
        <v>-0.146900000000002</v>
      </c>
      <c r="L45" s="12">
        <f>_xlfn.VAR.S(INDEX($I:$I,INT((ROW()-2)/3)*3+2):INDEX($I:$I,INT((ROW()-2)/3)*3+4))</f>
        <v>1.2723631043249744E-6</v>
      </c>
      <c r="M45" s="12">
        <f>_xlfn.VAR.S(INDEX($J:$J,INT((ROW()-2)/3)*3+2):INDEX($J:$J,INT((ROW()-2)/3)*3+4))</f>
        <v>3.9124616932450594E-6</v>
      </c>
      <c r="N45" s="12">
        <f>_xlfn.VAR.S(INDEX($K:$K,INT((ROW()-2)/3)*3+2):INDEX($K:$K,INT((ROW()-2)/3)*3+4))</f>
        <v>2.089000000001967E-5</v>
      </c>
    </row>
    <row r="46" spans="1:20" ht="15" thickBot="1">
      <c r="A46" t="s">
        <v>15400</v>
      </c>
      <c r="B46" t="s">
        <v>15442</v>
      </c>
      <c r="C46" t="s">
        <v>15445</v>
      </c>
      <c r="D46" t="s">
        <v>3427</v>
      </c>
      <c r="E46" t="s">
        <v>3435</v>
      </c>
      <c r="F46" t="s">
        <v>10753</v>
      </c>
      <c r="G46" t="s">
        <v>3366</v>
      </c>
      <c r="H46" t="s">
        <v>11886</v>
      </c>
      <c r="I46" s="11">
        <v>4.3766281849289502E-3</v>
      </c>
      <c r="J46" s="11">
        <v>3.36625542359551E-2</v>
      </c>
      <c r="K46" s="11">
        <v>-0.15600000000000599</v>
      </c>
      <c r="L46" s="12">
        <f>_xlfn.VAR.S(INDEX($I:$I,INT((ROW()-2)/3)*3+2):INDEX($I:$I,INT((ROW()-2)/3)*3+4))</f>
        <v>1.2723631043249744E-6</v>
      </c>
      <c r="M46" s="12">
        <f>_xlfn.VAR.S(INDEX($J:$J,INT((ROW()-2)/3)*3+2):INDEX($J:$J,INT((ROW()-2)/3)*3+4))</f>
        <v>3.9124616932450594E-6</v>
      </c>
      <c r="N46" s="12">
        <f>_xlfn.VAR.S(INDEX($K:$K,INT((ROW()-2)/3)*3+2):INDEX($K:$K,INT((ROW()-2)/3)*3+4))</f>
        <v>2.089000000001967E-5</v>
      </c>
      <c r="P46" s="122">
        <v>0.19500000000000001</v>
      </c>
      <c r="Q46" s="122">
        <v>0.11</v>
      </c>
      <c r="R46" s="122">
        <v>0.158</v>
      </c>
    </row>
    <row r="47" spans="1:20" s="16" customFormat="1">
      <c r="A47" s="16" t="s">
        <v>15400</v>
      </c>
      <c r="B47" s="16" t="s">
        <v>15442</v>
      </c>
      <c r="C47" s="16" t="s">
        <v>15451</v>
      </c>
      <c r="D47" s="16" t="s">
        <v>3427</v>
      </c>
      <c r="E47" s="16" t="s">
        <v>3435</v>
      </c>
      <c r="F47" s="16" t="s">
        <v>11404</v>
      </c>
      <c r="G47" s="16" t="s">
        <v>3372</v>
      </c>
      <c r="H47" s="16" t="s">
        <v>11899</v>
      </c>
      <c r="I47" s="21">
        <v>8.7450529479957597E-3</v>
      </c>
      <c r="J47" s="21">
        <v>2.6973961220782602E-2</v>
      </c>
      <c r="K47" s="21">
        <v>-0.117900000000006</v>
      </c>
      <c r="L47" s="22">
        <f>_xlfn.VAR.S(INDEX($I:$I,INT((ROW()-2)/3)*3+2):INDEX($I:$I,INT((ROW()-2)/3)*3+4))</f>
        <v>2.449850699968982E-6</v>
      </c>
      <c r="M47" s="22">
        <f>_xlfn.VAR.S(INDEX($J:$J,INT((ROW()-2)/3)*3+2):INDEX($J:$J,INT((ROW()-2)/3)*3+4))</f>
        <v>1.3784695412066715E-6</v>
      </c>
      <c r="N47" s="22">
        <f>_xlfn.VAR.S(INDEX($K:$K,INT((ROW()-2)/3)*3+2):INDEX($K:$K,INT((ROW()-2)/3)*3+4))</f>
        <v>1.3363333333326863E-5</v>
      </c>
      <c r="P47" s="16">
        <f>AVERAGE(P46:R46)</f>
        <v>0.15433333333333332</v>
      </c>
    </row>
    <row r="48" spans="1:20" ht="15" thickBot="1">
      <c r="A48" t="s">
        <v>15400</v>
      </c>
      <c r="B48" t="s">
        <v>15442</v>
      </c>
      <c r="C48" t="s">
        <v>15451</v>
      </c>
      <c r="D48" t="s">
        <v>3438</v>
      </c>
      <c r="E48" t="s">
        <v>3431</v>
      </c>
      <c r="F48" t="s">
        <v>11404</v>
      </c>
      <c r="G48" t="s">
        <v>3366</v>
      </c>
      <c r="H48" t="s">
        <v>11899</v>
      </c>
      <c r="I48" s="11">
        <v>1.03540392479845E-2</v>
      </c>
      <c r="J48" s="11">
        <v>2.9227027953595702E-2</v>
      </c>
      <c r="K48" s="11">
        <v>-0.122600000000006</v>
      </c>
      <c r="L48" s="12">
        <f>_xlfn.VAR.S(INDEX($I:$I,INT((ROW()-2)/3)*3+2):INDEX($I:$I,INT((ROW()-2)/3)*3+4))</f>
        <v>2.449850699968982E-6</v>
      </c>
      <c r="M48" s="12">
        <f>_xlfn.VAR.S(INDEX($J:$J,INT((ROW()-2)/3)*3+2):INDEX($J:$J,INT((ROW()-2)/3)*3+4))</f>
        <v>1.3784695412066715E-6</v>
      </c>
      <c r="N48" s="12">
        <f>_xlfn.VAR.S(INDEX($K:$K,INT((ROW()-2)/3)*3+2):INDEX($K:$K,INT((ROW()-2)/3)*3+4))</f>
        <v>1.3363333333326863E-5</v>
      </c>
    </row>
    <row r="49" spans="1:18" ht="15" thickBot="1">
      <c r="A49" t="s">
        <v>15400</v>
      </c>
      <c r="B49" t="s">
        <v>15442</v>
      </c>
      <c r="C49" t="s">
        <v>15451</v>
      </c>
      <c r="D49" t="s">
        <v>3427</v>
      </c>
      <c r="E49" t="s">
        <v>3434</v>
      </c>
      <c r="F49" t="s">
        <v>10841</v>
      </c>
      <c r="G49" t="s">
        <v>3366</v>
      </c>
      <c r="H49" t="s">
        <v>11899</v>
      </c>
      <c r="I49" s="11">
        <v>1.18750405432089E-2</v>
      </c>
      <c r="J49" s="11">
        <v>2.8673361366412901E-2</v>
      </c>
      <c r="K49" s="11">
        <v>-0.115400000000008</v>
      </c>
      <c r="L49" s="12">
        <f>_xlfn.VAR.S(INDEX($I:$I,INT((ROW()-2)/3)*3+2):INDEX($I:$I,INT((ROW()-2)/3)*3+4))</f>
        <v>2.449850699968982E-6</v>
      </c>
      <c r="M49" s="12">
        <f>_xlfn.VAR.S(INDEX($J:$J,INT((ROW()-2)/3)*3+2):INDEX($J:$J,INT((ROW()-2)/3)*3+4))</f>
        <v>1.3784695412066715E-6</v>
      </c>
      <c r="N49" s="12">
        <f>_xlfn.VAR.S(INDEX($K:$K,INT((ROW()-2)/3)*3+2):INDEX($K:$K,INT((ROW()-2)/3)*3+4))</f>
        <v>1.3363333333326863E-5</v>
      </c>
      <c r="P49" s="122">
        <v>4.2999999999999997E-2</v>
      </c>
      <c r="Q49" s="123">
        <v>9.6000000000000002E-2</v>
      </c>
    </row>
    <row r="50" spans="1:18" s="16" customFormat="1" ht="15" hidden="1" thickBot="1">
      <c r="A50" s="39" t="s">
        <v>15400</v>
      </c>
      <c r="B50" s="40" t="s">
        <v>15443</v>
      </c>
      <c r="C50" s="40" t="s">
        <v>15497</v>
      </c>
      <c r="D50" s="40" t="s">
        <v>3591</v>
      </c>
      <c r="E50" s="40" t="s">
        <v>3752</v>
      </c>
      <c r="F50" s="40" t="s">
        <v>10650</v>
      </c>
      <c r="G50" s="40" t="s">
        <v>3366</v>
      </c>
      <c r="H50" s="40" t="s">
        <v>11886</v>
      </c>
      <c r="I50" s="41">
        <v>-0.15263541570532499</v>
      </c>
      <c r="J50" s="41">
        <v>0.84439630671195498</v>
      </c>
      <c r="K50" s="41">
        <v>0.4803</v>
      </c>
      <c r="L50" s="42">
        <f>_xlfn.VAR.S(INDEX($I:$I,INT((ROW()-2)/3)*3+2):INDEX($I:$I,INT((ROW()-2)/3)*3+4))</f>
        <v>6.6852999654016983E-3</v>
      </c>
      <c r="M50" s="43">
        <f>_xlfn.VAR.S(INDEX($J:$J,INT((ROW()-2)/3)*3+2):INDEX($J:$J,INT((ROW()-2)/3)*3+4))</f>
        <v>0.12378952644318331</v>
      </c>
      <c r="N50" s="44">
        <f>_xlfn.VAR.S(INDEX($K:$K,INT((ROW()-2)/3)*3+2):INDEX($K:$K,INT((ROW()-2)/3)*3+4))</f>
        <v>4.0500243333333463E-2</v>
      </c>
      <c r="P50" s="122">
        <v>4.4999999999999998E-2</v>
      </c>
      <c r="Q50" s="123">
        <v>0.113</v>
      </c>
      <c r="R50" s="121" cm="1">
        <f t="array" ref="R50">_xlfn.LET(
 _xlpm.r, {50;51;52;113;114;134;135;263;264;265;266;267;322;323;324;325;326;327;328;329;330;365;366;367;368;369;370;371;372;373;374;407;408;409;437;438;439;467;468;469},
 _xlpm.x, INDEX(K:K, _xlpm.r),
 AVERAGE(IF(ISNUMBER(_xlpm.x), ABS(_xlpm.x)))
)</f>
        <v>0.17089999999999766</v>
      </c>
    </row>
    <row r="51" spans="1:18" hidden="1">
      <c r="A51" s="45" t="s">
        <v>15400</v>
      </c>
      <c r="B51" s="9" t="s">
        <v>15443</v>
      </c>
      <c r="C51" s="9" t="s">
        <v>15497</v>
      </c>
      <c r="D51" s="9" t="s">
        <v>3592</v>
      </c>
      <c r="E51" s="9" t="s">
        <v>3753</v>
      </c>
      <c r="F51" s="9" t="s">
        <v>10892</v>
      </c>
      <c r="G51" s="9" t="s">
        <v>3366</v>
      </c>
      <c r="H51" s="9" t="s">
        <v>11886</v>
      </c>
      <c r="I51" s="46">
        <v>-8.5047357506776305E-2</v>
      </c>
      <c r="J51" s="46">
        <v>0.694483333293893</v>
      </c>
      <c r="K51" s="46">
        <v>0.37789999999999702</v>
      </c>
      <c r="L51" s="47"/>
      <c r="M51" s="47"/>
      <c r="N51" s="48"/>
    </row>
    <row r="52" spans="1:18" ht="15" hidden="1" thickBot="1">
      <c r="A52" s="49" t="s">
        <v>15400</v>
      </c>
      <c r="B52" s="50" t="s">
        <v>15443</v>
      </c>
      <c r="C52" s="50" t="s">
        <v>15497</v>
      </c>
      <c r="D52" s="50" t="s">
        <v>3593</v>
      </c>
      <c r="E52" s="50" t="s">
        <v>3754</v>
      </c>
      <c r="F52" s="50" t="s">
        <v>11527</v>
      </c>
      <c r="G52" s="50" t="s">
        <v>3366</v>
      </c>
      <c r="H52" s="50" t="s">
        <v>11902</v>
      </c>
      <c r="I52" s="51">
        <v>1.01151591290042E-2</v>
      </c>
      <c r="J52" s="51">
        <v>0.17402974733849</v>
      </c>
      <c r="K52" s="51">
        <v>9.1999999999998694E-2</v>
      </c>
      <c r="L52" s="52"/>
      <c r="M52" s="52"/>
      <c r="N52" s="53"/>
    </row>
    <row r="53" spans="1:18" s="16" customFormat="1" hidden="1">
      <c r="A53" s="16" t="s">
        <v>15400</v>
      </c>
      <c r="B53" s="16" t="s">
        <v>15443</v>
      </c>
      <c r="C53" s="16" t="s">
        <v>15452</v>
      </c>
      <c r="D53" s="16" t="s">
        <v>3507</v>
      </c>
      <c r="E53" s="16" t="s">
        <v>3755</v>
      </c>
      <c r="F53" s="16" t="s">
        <v>10771</v>
      </c>
      <c r="G53" s="16" t="s">
        <v>3366</v>
      </c>
      <c r="H53" s="16" t="s">
        <v>11902</v>
      </c>
      <c r="I53" s="21">
        <v>4.4450302429290801E-2</v>
      </c>
      <c r="J53" s="21">
        <v>2.4325102017071099E-2</v>
      </c>
      <c r="K53" s="21">
        <v>0.116199999999992</v>
      </c>
      <c r="L53" s="22">
        <f>_xlfn.VAR.S(INDEX($I:$I,INT((ROW()-2)/3)*3+2):INDEX($I:$I,INT((ROW()-2)/3)*3+4))</f>
        <v>6.0194024534017203E-4</v>
      </c>
      <c r="M53" s="22">
        <f>_xlfn.VAR.S(INDEX($J:$J,INT((ROW()-2)/3)*3+2):INDEX($J:$J,INT((ROW()-2)/3)*3+4))</f>
        <v>5.09673965878462E-2</v>
      </c>
      <c r="N53" s="22">
        <f>_xlfn.VAR.S(INDEX($K:$K,INT((ROW()-2)/3)*3+2):INDEX($K:$K,INT((ROW()-2)/3)*3+4))</f>
        <v>2.4121823333333001E-2</v>
      </c>
      <c r="P53" s="16" cm="1">
        <f t="array" ref="P53">_xlfn.LET(
 _xlpm.r, {53;54;55;83;84;85;110;111;112;124;133;143;152;161;170;179;210;258;259;260;261;262;276;319;320;321;331;332;333;334;335;360;361;362;363;364;401;402;403;404;405;406;434;435;436;464;465;466},
 _xlpm.x, INDEX(I:I, _xlpm.r),
 AVERAGE(IF(ISNUMBER(_xlpm.x), ABS(_xlpm.x)))
)</f>
        <v>4.2817301947699039E-2</v>
      </c>
      <c r="Q53" s="16" cm="1">
        <f t="array" ref="Q53">_xlfn.LET(
 _xlpm.r, {53;54;55;83;84;85;110;111;112;124;133;143;152;161;170;179;210;258;259;260;261;262;276;319;320;321;331;332;333;334;335;360;361;362;363;364;401;402;403;404;405;406;434;435;436;464;465;466},
 _xlpm.x, INDEX(J:J, _xlpm.r),
 AVERAGE(IF(ISNUMBER(_xlpm.x), ABS(_xlpm.x)))
)</f>
        <v>4.4773944784722075E-2</v>
      </c>
      <c r="R53" s="16" cm="1">
        <f t="array" ref="R53">_xlfn.LET(
 _xlpm.r, {53;54;55;83;84;85;110;111;112;124;133;143;152;161;170;179;210;258;259;260;261;262;276;319;320;321;331;332;333;334;335;360;361;362;363;364;401;402;403;404;405;406;434;435;436;464;465;466},
 _xlpm.x, INDEX(K:K, _xlpm.r),
 AVERAGE(IF(ISNUMBER(_xlpm.x), ABS(_xlpm.x)))
)</f>
        <v>0.12568541666667224</v>
      </c>
    </row>
    <row r="54" spans="1:18" hidden="1">
      <c r="A54" t="s">
        <v>15400</v>
      </c>
      <c r="B54" t="s">
        <v>15443</v>
      </c>
      <c r="C54" t="s">
        <v>15452</v>
      </c>
      <c r="D54" t="s">
        <v>3594</v>
      </c>
      <c r="E54" t="s">
        <v>3756</v>
      </c>
      <c r="F54" t="s">
        <v>11806</v>
      </c>
      <c r="G54" t="s">
        <v>3366</v>
      </c>
      <c r="H54" t="s">
        <v>11900</v>
      </c>
      <c r="I54" s="11">
        <v>-5.9653042478284297E-4</v>
      </c>
      <c r="J54" s="11">
        <v>0.23527473480171299</v>
      </c>
      <c r="K54" s="11">
        <v>0.18039999999999201</v>
      </c>
      <c r="L54" s="12">
        <f>_xlfn.VAR.S(INDEX($I:$I,INT((ROW()-2)/3)*3+2):INDEX($I:$I,INT((ROW()-2)/3)*3+4))</f>
        <v>6.0194024534017203E-4</v>
      </c>
      <c r="M54" s="12">
        <f>_xlfn.VAR.S(INDEX($J:$J,INT((ROW()-2)/3)*3+2):INDEX($J:$J,INT((ROW()-2)/3)*3+4))</f>
        <v>5.09673965878462E-2</v>
      </c>
      <c r="N54" s="12">
        <f>_xlfn.VAR.S(INDEX($K:$K,INT((ROW()-2)/3)*3+2):INDEX($K:$K,INT((ROW()-2)/3)*3+4))</f>
        <v>2.4121823333333001E-2</v>
      </c>
    </row>
    <row r="55" spans="1:18" hidden="1">
      <c r="A55" t="s">
        <v>15400</v>
      </c>
      <c r="B55" t="s">
        <v>15443</v>
      </c>
      <c r="C55" t="s">
        <v>15452</v>
      </c>
      <c r="D55" t="s">
        <v>3595</v>
      </c>
      <c r="E55" t="s">
        <v>3748</v>
      </c>
      <c r="F55" t="s">
        <v>11807</v>
      </c>
      <c r="G55" t="s">
        <v>3366</v>
      </c>
      <c r="H55" t="s">
        <v>11900</v>
      </c>
      <c r="I55" s="11">
        <v>5.07732003207601E-3</v>
      </c>
      <c r="J55" s="11">
        <v>0.47552723738282399</v>
      </c>
      <c r="K55" s="11">
        <v>0.41149999999998998</v>
      </c>
      <c r="L55" s="12">
        <f>_xlfn.VAR.S(INDEX($I:$I,INT((ROW()-2)/3)*3+2):INDEX($I:$I,INT((ROW()-2)/3)*3+4))</f>
        <v>6.0194024534017203E-4</v>
      </c>
      <c r="M55" s="12">
        <f>_xlfn.VAR.S(INDEX($J:$J,INT((ROW()-2)/3)*3+2):INDEX($J:$J,INT((ROW()-2)/3)*3+4))</f>
        <v>5.09673965878462E-2</v>
      </c>
      <c r="N55" s="12">
        <f>_xlfn.VAR.S(INDEX($K:$K,INT((ROW()-2)/3)*3+2):INDEX($K:$K,INT((ROW()-2)/3)*3+4))</f>
        <v>2.4121823333333001E-2</v>
      </c>
    </row>
    <row r="56" spans="1:18" s="16" customFormat="1" hidden="1">
      <c r="A56" s="39" t="s">
        <v>15400</v>
      </c>
      <c r="B56" s="40" t="s">
        <v>15441</v>
      </c>
      <c r="C56" s="40" t="s">
        <v>15447</v>
      </c>
      <c r="D56" s="40" t="s">
        <v>3468</v>
      </c>
      <c r="E56" s="40" t="s">
        <v>3670</v>
      </c>
      <c r="F56" s="40" t="s">
        <v>11808</v>
      </c>
      <c r="G56" s="40" t="s">
        <v>3359</v>
      </c>
      <c r="H56" s="40" t="s">
        <v>11909</v>
      </c>
      <c r="I56" s="41">
        <v>0.192185532834282</v>
      </c>
      <c r="J56" s="41">
        <v>3.5380311965342297E-2</v>
      </c>
      <c r="K56" s="41">
        <v>0.10540000000000301</v>
      </c>
      <c r="L56" s="42">
        <f>_xlfn.VAR.S(INDEX($I:$I,INT((ROW()-2)/3)*3+2):INDEX($I:$I,INT((ROW()-2)/3)*3+4))</f>
        <v>1.7085806379693737E-2</v>
      </c>
      <c r="M56" s="42">
        <f>_xlfn.VAR.S(INDEX($J:$J,INT((ROW()-2)/3)*3+2):INDEX($J:$J,INT((ROW()-2)/3)*3+4))</f>
        <v>2.0415696006596408E-2</v>
      </c>
      <c r="N56" s="54">
        <f>_xlfn.VAR.S(INDEX($K:$K,INT((ROW()-2)/3)*3+2):INDEX($K:$K,INT((ROW()-2)/3)*3+4))</f>
        <v>0.11885982333333242</v>
      </c>
    </row>
    <row r="57" spans="1:18" hidden="1">
      <c r="A57" s="45" t="s">
        <v>15400</v>
      </c>
      <c r="B57" s="9" t="s">
        <v>15441</v>
      </c>
      <c r="C57" s="9" t="s">
        <v>15447</v>
      </c>
      <c r="D57" s="9" t="s">
        <v>3596</v>
      </c>
      <c r="E57" s="9" t="s">
        <v>3757</v>
      </c>
      <c r="F57" s="9" t="s">
        <v>10485</v>
      </c>
      <c r="G57" s="9" t="s">
        <v>3380</v>
      </c>
      <c r="H57" s="9" t="s">
        <v>11887</v>
      </c>
      <c r="I57" s="46">
        <v>0.29963665076280999</v>
      </c>
      <c r="J57" s="46">
        <v>0.32114726269462401</v>
      </c>
      <c r="K57" s="46">
        <v>0.75719999999999699</v>
      </c>
      <c r="L57" s="47"/>
      <c r="M57" s="47"/>
      <c r="N57" s="48"/>
    </row>
    <row r="58" spans="1:18" ht="15" hidden="1" thickBot="1">
      <c r="A58" s="49" t="s">
        <v>15400</v>
      </c>
      <c r="B58" s="50" t="s">
        <v>15441</v>
      </c>
      <c r="C58" s="50" t="s">
        <v>15447</v>
      </c>
      <c r="D58" s="50" t="s">
        <v>3597</v>
      </c>
      <c r="E58" s="50" t="s">
        <v>3758</v>
      </c>
      <c r="F58" s="50" t="s">
        <v>10975</v>
      </c>
      <c r="G58" s="50" t="s">
        <v>3358</v>
      </c>
      <c r="H58" s="50" t="s">
        <v>11887</v>
      </c>
      <c r="I58" s="51">
        <v>3.9517990942404498E-2</v>
      </c>
      <c r="J58" s="51">
        <v>0.17810434155407301</v>
      </c>
      <c r="K58" s="51">
        <v>0.23649999999999199</v>
      </c>
      <c r="L58" s="52"/>
      <c r="M58" s="52"/>
      <c r="N58" s="53"/>
    </row>
    <row r="59" spans="1:18" s="16" customFormat="1" hidden="1">
      <c r="A59" s="16" t="s">
        <v>15335</v>
      </c>
      <c r="B59" s="16" t="s">
        <v>15441</v>
      </c>
      <c r="C59" s="16" t="s">
        <v>15445</v>
      </c>
      <c r="D59" s="16" t="s">
        <v>3438</v>
      </c>
      <c r="E59" s="16" t="s">
        <v>3435</v>
      </c>
      <c r="F59" s="16" t="s">
        <v>11402</v>
      </c>
      <c r="G59" s="16" t="s">
        <v>3366</v>
      </c>
      <c r="H59" s="16" t="s">
        <v>11885</v>
      </c>
      <c r="I59" s="21">
        <v>1.01304317733375E-2</v>
      </c>
      <c r="J59" s="21">
        <v>-2.66572095876346E-3</v>
      </c>
      <c r="K59" s="21">
        <v>-0.18159999999999599</v>
      </c>
      <c r="L59" s="22">
        <f>_xlfn.VAR.S(INDEX($I:$I,INT((ROW()-2)/3)*3+2):INDEX($I:$I,INT((ROW()-2)/3)*3+4))</f>
        <v>6.8717771703786415E-6</v>
      </c>
      <c r="M59" s="22">
        <f>_xlfn.VAR.S(INDEX($J:$J,INT((ROW()-2)/3)*3+2):INDEX($J:$J,INT((ROW()-2)/3)*3+4))</f>
        <v>3.0786054739190434E-5</v>
      </c>
      <c r="N59" s="22">
        <f>_xlfn.VAR.S(INDEX($K:$K,INT((ROW()-2)/3)*3+2):INDEX($K:$K,INT((ROW()-2)/3)*3+4))</f>
        <v>3.9970000000017142E-5</v>
      </c>
    </row>
    <row r="60" spans="1:18" hidden="1">
      <c r="A60" t="s">
        <v>15335</v>
      </c>
      <c r="B60" t="s">
        <v>15441</v>
      </c>
      <c r="C60" t="s">
        <v>15445</v>
      </c>
      <c r="D60" t="s">
        <v>3438</v>
      </c>
      <c r="E60" t="s">
        <v>3435</v>
      </c>
      <c r="F60" t="s">
        <v>11402</v>
      </c>
      <c r="G60" t="s">
        <v>3366</v>
      </c>
      <c r="H60" t="s">
        <v>11885</v>
      </c>
      <c r="I60" s="11">
        <v>9.9000090108564698E-3</v>
      </c>
      <c r="J60" s="11">
        <v>-4.4838297054595596E-3</v>
      </c>
      <c r="K60" s="11">
        <v>-0.194099999999999</v>
      </c>
      <c r="L60" s="12">
        <f>_xlfn.VAR.S(INDEX($I:$I,INT((ROW()-2)/3)*3+2):INDEX($I:$I,INT((ROW()-2)/3)*3+4))</f>
        <v>6.8717771703786415E-6</v>
      </c>
      <c r="M60" s="12">
        <f>_xlfn.VAR.S(INDEX($J:$J,INT((ROW()-2)/3)*3+2):INDEX($J:$J,INT((ROW()-2)/3)*3+4))</f>
        <v>3.0786054739190434E-5</v>
      </c>
      <c r="N60" s="12">
        <f>_xlfn.VAR.S(INDEX($K:$K,INT((ROW()-2)/3)*3+2):INDEX($K:$K,INT((ROW()-2)/3)*3+4))</f>
        <v>3.9970000000017142E-5</v>
      </c>
    </row>
    <row r="61" spans="1:18" hidden="1">
      <c r="A61" t="s">
        <v>15335</v>
      </c>
      <c r="B61" t="s">
        <v>15441</v>
      </c>
      <c r="C61" t="s">
        <v>15445</v>
      </c>
      <c r="D61" t="s">
        <v>3438</v>
      </c>
      <c r="E61" t="s">
        <v>3435</v>
      </c>
      <c r="F61" t="s">
        <v>11402</v>
      </c>
      <c r="G61" t="s">
        <v>3366</v>
      </c>
      <c r="H61" t="s">
        <v>11885</v>
      </c>
      <c r="I61" s="11">
        <v>5.4791967453294904E-3</v>
      </c>
      <c r="J61" s="11">
        <v>-1.30552302081426E-2</v>
      </c>
      <c r="K61" s="11">
        <v>-0.18619999999999901</v>
      </c>
      <c r="L61" s="12">
        <f>_xlfn.VAR.S(INDEX($I:$I,INT((ROW()-2)/3)*3+2):INDEX($I:$I,INT((ROW()-2)/3)*3+4))</f>
        <v>6.8717771703786415E-6</v>
      </c>
      <c r="M61" s="12">
        <f>_xlfn.VAR.S(INDEX($J:$J,INT((ROW()-2)/3)*3+2):INDEX($J:$J,INT((ROW()-2)/3)*3+4))</f>
        <v>3.0786054739190434E-5</v>
      </c>
      <c r="N61" s="12">
        <f>_xlfn.VAR.S(INDEX($K:$K,INT((ROW()-2)/3)*3+2):INDEX($K:$K,INT((ROW()-2)/3)*3+4))</f>
        <v>3.9970000000017142E-5</v>
      </c>
    </row>
    <row r="62" spans="1:18" s="16" customFormat="1" hidden="1">
      <c r="A62" s="16" t="s">
        <v>15335</v>
      </c>
      <c r="B62" s="16" t="s">
        <v>15441</v>
      </c>
      <c r="C62" s="16" t="s">
        <v>15446</v>
      </c>
      <c r="D62" s="16" t="s">
        <v>3438</v>
      </c>
      <c r="E62" s="16" t="s">
        <v>3435</v>
      </c>
      <c r="F62" s="16" t="s">
        <v>11402</v>
      </c>
      <c r="G62" s="16" t="s">
        <v>3366</v>
      </c>
      <c r="H62" s="16" t="s">
        <v>11885</v>
      </c>
      <c r="I62" s="21">
        <v>5.7205337283262299E-3</v>
      </c>
      <c r="J62" s="21">
        <v>-1.9559514976833E-2</v>
      </c>
      <c r="K62" s="21">
        <v>-0.17309999999999801</v>
      </c>
      <c r="L62" s="22">
        <f>_xlfn.VAR.S(INDEX($I:$I,INT((ROW()-2)/3)*3+2):INDEX($I:$I,INT((ROW()-2)/3)*3+4))</f>
        <v>4.8508750050811808E-6</v>
      </c>
      <c r="M62" s="22">
        <f>_xlfn.VAR.S(INDEX($J:$J,INT((ROW()-2)/3)*3+2):INDEX($J:$J,INT((ROW()-2)/3)*3+4))</f>
        <v>1.2150544205586879E-5</v>
      </c>
      <c r="N62" s="22">
        <f>_xlfn.VAR.S(INDEX($K:$K,INT((ROW()-2)/3)*3+2):INDEX($K:$K,INT((ROW()-2)/3)*3+4))</f>
        <v>7.5623333333323946E-5</v>
      </c>
    </row>
    <row r="63" spans="1:18" hidden="1">
      <c r="A63" t="s">
        <v>15335</v>
      </c>
      <c r="B63" t="s">
        <v>15441</v>
      </c>
      <c r="C63" t="s">
        <v>15446</v>
      </c>
      <c r="D63" t="s">
        <v>3438</v>
      </c>
      <c r="E63" t="s">
        <v>3435</v>
      </c>
      <c r="F63" t="s">
        <v>11402</v>
      </c>
      <c r="G63" t="s">
        <v>3366</v>
      </c>
      <c r="H63" t="s">
        <v>11885</v>
      </c>
      <c r="I63" s="11">
        <v>5.6115834690459001E-3</v>
      </c>
      <c r="J63" s="11">
        <v>-1.75114642234638E-2</v>
      </c>
      <c r="K63" s="11">
        <v>-0.17380000000000001</v>
      </c>
      <c r="L63" s="12">
        <f>_xlfn.VAR.S(INDEX($I:$I,INT((ROW()-2)/3)*3+2):INDEX($I:$I,INT((ROW()-2)/3)*3+4))</f>
        <v>4.8508750050811808E-6</v>
      </c>
      <c r="M63" s="12">
        <f>_xlfn.VAR.S(INDEX($J:$J,INT((ROW()-2)/3)*3+2):INDEX($J:$J,INT((ROW()-2)/3)*3+4))</f>
        <v>1.2150544205586879E-5</v>
      </c>
      <c r="N63" s="12">
        <f>_xlfn.VAR.S(INDEX($K:$K,INT((ROW()-2)/3)*3+2):INDEX($K:$K,INT((ROW()-2)/3)*3+4))</f>
        <v>7.5623333333323946E-5</v>
      </c>
    </row>
    <row r="64" spans="1:18" hidden="1">
      <c r="A64" t="s">
        <v>15335</v>
      </c>
      <c r="B64" t="s">
        <v>15441</v>
      </c>
      <c r="C64" t="s">
        <v>15446</v>
      </c>
      <c r="D64" t="s">
        <v>3438</v>
      </c>
      <c r="E64" t="s">
        <v>3435</v>
      </c>
      <c r="F64" t="s">
        <v>11402</v>
      </c>
      <c r="G64" t="s">
        <v>3366</v>
      </c>
      <c r="H64" t="s">
        <v>11885</v>
      </c>
      <c r="I64" s="11">
        <v>9.4796818621974994E-3</v>
      </c>
      <c r="J64" s="11">
        <v>-1.2764376301964199E-2</v>
      </c>
      <c r="K64" s="11">
        <v>-0.188499999999998</v>
      </c>
      <c r="L64" s="12">
        <f>_xlfn.VAR.S(INDEX($I:$I,INT((ROW()-2)/3)*3+2):INDEX($I:$I,INT((ROW()-2)/3)*3+4))</f>
        <v>4.8508750050811808E-6</v>
      </c>
      <c r="M64" s="12">
        <f>_xlfn.VAR.S(INDEX($J:$J,INT((ROW()-2)/3)*3+2):INDEX($J:$J,INT((ROW()-2)/3)*3+4))</f>
        <v>1.2150544205586879E-5</v>
      </c>
      <c r="N64" s="12">
        <f>_xlfn.VAR.S(INDEX($K:$K,INT((ROW()-2)/3)*3+2):INDEX($K:$K,INT((ROW()-2)/3)*3+4))</f>
        <v>7.5623333333323946E-5</v>
      </c>
    </row>
    <row r="65" spans="1:17" s="16" customFormat="1" hidden="1">
      <c r="A65" s="16" t="s">
        <v>15335</v>
      </c>
      <c r="B65" s="16" t="s">
        <v>15441</v>
      </c>
      <c r="C65" s="16" t="s">
        <v>15447</v>
      </c>
      <c r="D65" s="16" t="s">
        <v>3428</v>
      </c>
      <c r="E65" s="16" t="s">
        <v>3441</v>
      </c>
      <c r="F65" s="16" t="s">
        <v>11403</v>
      </c>
      <c r="G65" s="16" t="s">
        <v>3366</v>
      </c>
      <c r="H65" s="16" t="s">
        <v>11892</v>
      </c>
      <c r="I65" s="21">
        <v>1.6212969069411701E-3</v>
      </c>
      <c r="J65" s="21">
        <v>-1.3376023995178401E-2</v>
      </c>
      <c r="K65" s="21">
        <v>-0.181999999999995</v>
      </c>
      <c r="L65" s="22">
        <f>_xlfn.VAR.S(INDEX($I:$I,INT((ROW()-2)/3)*3+2):INDEX($I:$I,INT((ROW()-2)/3)*3+4))</f>
        <v>1.3254333770227139E-6</v>
      </c>
      <c r="M65" s="22">
        <f>_xlfn.VAR.S(INDEX($J:$J,INT((ROW()-2)/3)*3+2):INDEX($J:$J,INT((ROW()-2)/3)*3+4))</f>
        <v>2.5407629871147912E-6</v>
      </c>
      <c r="N65" s="22">
        <f>_xlfn.VAR.S(INDEX($K:$K,INT((ROW()-2)/3)*3+2):INDEX($K:$K,INT((ROW()-2)/3)*3+4))</f>
        <v>5.1413333333332606E-5</v>
      </c>
    </row>
    <row r="66" spans="1:17" hidden="1">
      <c r="A66" t="s">
        <v>15335</v>
      </c>
      <c r="B66" t="s">
        <v>15441</v>
      </c>
      <c r="C66" t="s">
        <v>15447</v>
      </c>
      <c r="D66" t="s">
        <v>3436</v>
      </c>
      <c r="E66" t="s">
        <v>3432</v>
      </c>
      <c r="F66" t="s">
        <v>10607</v>
      </c>
      <c r="G66" t="s">
        <v>3366</v>
      </c>
      <c r="H66" t="s">
        <v>11892</v>
      </c>
      <c r="I66" s="11">
        <v>1.6951871713410201E-4</v>
      </c>
      <c r="J66" s="11">
        <v>-1.3296402725549E-2</v>
      </c>
      <c r="K66" s="11">
        <v>-0.181199999999997</v>
      </c>
      <c r="L66" s="12">
        <f>_xlfn.VAR.S(INDEX($I:$I,INT((ROW()-2)/3)*3+2):INDEX($I:$I,INT((ROW()-2)/3)*3+4))</f>
        <v>1.3254333770227139E-6</v>
      </c>
      <c r="M66" s="12">
        <f>_xlfn.VAR.S(INDEX($J:$J,INT((ROW()-2)/3)*3+2):INDEX($J:$J,INT((ROW()-2)/3)*3+4))</f>
        <v>2.5407629871147912E-6</v>
      </c>
      <c r="N66" s="12">
        <f>_xlfn.VAR.S(INDEX($K:$K,INT((ROW()-2)/3)*3+2):INDEX($K:$K,INT((ROW()-2)/3)*3+4))</f>
        <v>5.1413333333332606E-5</v>
      </c>
    </row>
    <row r="67" spans="1:17" hidden="1">
      <c r="A67" t="s">
        <v>15335</v>
      </c>
      <c r="B67" t="s">
        <v>15441</v>
      </c>
      <c r="C67" t="s">
        <v>15447</v>
      </c>
      <c r="D67" t="s">
        <v>3428</v>
      </c>
      <c r="E67" t="s">
        <v>3441</v>
      </c>
      <c r="F67" t="s">
        <v>11323</v>
      </c>
      <c r="G67" t="s">
        <v>3366</v>
      </c>
      <c r="H67" t="s">
        <v>11892</v>
      </c>
      <c r="I67" s="11">
        <v>-6.5235030755616099E-4</v>
      </c>
      <c r="J67" s="11">
        <v>-1.60962014584198E-2</v>
      </c>
      <c r="K67" s="11">
        <v>-0.16919999999999599</v>
      </c>
      <c r="L67" s="12">
        <f>_xlfn.VAR.S(INDEX($I:$I,INT((ROW()-2)/3)*3+2):INDEX($I:$I,INT((ROW()-2)/3)*3+4))</f>
        <v>1.3254333770227139E-6</v>
      </c>
      <c r="M67" s="12">
        <f>_xlfn.VAR.S(INDEX($J:$J,INT((ROW()-2)/3)*3+2):INDEX($J:$J,INT((ROW()-2)/3)*3+4))</f>
        <v>2.5407629871147912E-6</v>
      </c>
      <c r="N67" s="12">
        <f>_xlfn.VAR.S(INDEX($K:$K,INT((ROW()-2)/3)*3+2):INDEX($K:$K,INT((ROW()-2)/3)*3+4))</f>
        <v>5.1413333333332606E-5</v>
      </c>
    </row>
    <row r="68" spans="1:17" s="16" customFormat="1" hidden="1">
      <c r="A68" s="16" t="s">
        <v>15335</v>
      </c>
      <c r="B68" s="16" t="s">
        <v>15441</v>
      </c>
      <c r="C68" s="16" t="s">
        <v>15448</v>
      </c>
      <c r="D68" s="16" t="s">
        <v>3428</v>
      </c>
      <c r="E68" s="16" t="s">
        <v>3432</v>
      </c>
      <c r="F68" s="16" t="s">
        <v>11404</v>
      </c>
      <c r="G68" s="16" t="s">
        <v>3366</v>
      </c>
      <c r="H68" s="16" t="s">
        <v>11907</v>
      </c>
      <c r="I68" s="21">
        <v>2.0977142000510601E-4</v>
      </c>
      <c r="J68" s="21">
        <v>-1.3426748560647701E-2</v>
      </c>
      <c r="K68" s="21">
        <v>-0.1875</v>
      </c>
      <c r="L68" s="22">
        <f>_xlfn.VAR.S(INDEX($I:$I,INT((ROW()-2)/3)*3+2):INDEX($I:$I,INT((ROW()-2)/3)*3+4))</f>
        <v>8.3879839552636207E-7</v>
      </c>
      <c r="M68" s="22">
        <f>_xlfn.VAR.S(INDEX($J:$J,INT((ROW()-2)/3)*3+2):INDEX($J:$J,INT((ROW()-2)/3)*3+4))</f>
        <v>1.733220122518779E-6</v>
      </c>
      <c r="N68" s="22">
        <f>_xlfn.VAR.S(INDEX($K:$K,INT((ROW()-2)/3)*3+2):INDEX($K:$K,INT((ROW()-2)/3)*3+4))</f>
        <v>5.3023333333355476E-5</v>
      </c>
    </row>
    <row r="69" spans="1:17" hidden="1">
      <c r="A69" t="s">
        <v>15335</v>
      </c>
      <c r="B69" t="s">
        <v>15441</v>
      </c>
      <c r="C69" t="s">
        <v>15448</v>
      </c>
      <c r="D69" t="s">
        <v>3428</v>
      </c>
      <c r="E69" t="s">
        <v>3433</v>
      </c>
      <c r="F69" t="s">
        <v>11404</v>
      </c>
      <c r="G69" t="s">
        <v>3366</v>
      </c>
      <c r="H69" t="s">
        <v>11907</v>
      </c>
      <c r="I69" s="11">
        <v>-1.11722288243595E-3</v>
      </c>
      <c r="J69" s="11">
        <v>-1.5894112979209399E-2</v>
      </c>
      <c r="K69" s="11">
        <v>-0.183199999999999</v>
      </c>
      <c r="L69" s="12">
        <f>_xlfn.VAR.S(INDEX($I:$I,INT((ROW()-2)/3)*3+2):INDEX($I:$I,INT((ROW()-2)/3)*3+4))</f>
        <v>8.3879839552636207E-7</v>
      </c>
      <c r="M69" s="12">
        <f>_xlfn.VAR.S(INDEX($J:$J,INT((ROW()-2)/3)*3+2):INDEX($J:$J,INT((ROW()-2)/3)*3+4))</f>
        <v>1.733220122518779E-6</v>
      </c>
      <c r="N69" s="12">
        <f>_xlfn.VAR.S(INDEX($K:$K,INT((ROW()-2)/3)*3+2):INDEX($K:$K,INT((ROW()-2)/3)*3+4))</f>
        <v>5.3023333333355476E-5</v>
      </c>
    </row>
    <row r="70" spans="1:17" hidden="1">
      <c r="A70" t="s">
        <v>15335</v>
      </c>
      <c r="B70" t="s">
        <v>15441</v>
      </c>
      <c r="C70" t="s">
        <v>15448</v>
      </c>
      <c r="D70" t="s">
        <v>3436</v>
      </c>
      <c r="E70" t="s">
        <v>3452</v>
      </c>
      <c r="F70" t="s">
        <v>11405</v>
      </c>
      <c r="G70" t="s">
        <v>3366</v>
      </c>
      <c r="H70" t="s">
        <v>11911</v>
      </c>
      <c r="I70" s="11">
        <v>6.3975942073947196E-4</v>
      </c>
      <c r="J70" s="11">
        <v>-1.38643497520239E-2</v>
      </c>
      <c r="K70" s="11">
        <v>-0.19740000000000199</v>
      </c>
      <c r="L70" s="12">
        <f>_xlfn.VAR.S(INDEX($I:$I,INT((ROW()-2)/3)*3+2):INDEX($I:$I,INT((ROW()-2)/3)*3+4))</f>
        <v>8.3879839552636207E-7</v>
      </c>
      <c r="M70" s="12">
        <f>_xlfn.VAR.S(INDEX($J:$J,INT((ROW()-2)/3)*3+2):INDEX($J:$J,INT((ROW()-2)/3)*3+4))</f>
        <v>1.733220122518779E-6</v>
      </c>
      <c r="N70" s="12">
        <f>_xlfn.VAR.S(INDEX($K:$K,INT((ROW()-2)/3)*3+2):INDEX($K:$K,INT((ROW()-2)/3)*3+4))</f>
        <v>5.3023333333355476E-5</v>
      </c>
    </row>
    <row r="71" spans="1:17" s="16" customFormat="1" hidden="1">
      <c r="A71" s="16" t="s">
        <v>15335</v>
      </c>
      <c r="B71" s="16" t="s">
        <v>15441</v>
      </c>
      <c r="C71" s="16" t="s">
        <v>15449</v>
      </c>
      <c r="D71" s="16" t="s">
        <v>3427</v>
      </c>
      <c r="E71" s="16" t="s">
        <v>3433</v>
      </c>
      <c r="F71" s="16" t="s">
        <v>11406</v>
      </c>
      <c r="G71" s="16" t="s">
        <v>3366</v>
      </c>
      <c r="H71" s="16" t="s">
        <v>11891</v>
      </c>
      <c r="I71" s="21">
        <v>4.1366383017290703E-3</v>
      </c>
      <c r="J71" s="21">
        <v>-2.2810442292931402E-2</v>
      </c>
      <c r="K71" s="21">
        <v>-0.14549999999999799</v>
      </c>
      <c r="L71" s="22">
        <f>_xlfn.VAR.S(INDEX($I:$I,INT((ROW()-2)/3)*3+2):INDEX($I:$I,INT((ROW()-2)/3)*3+4))</f>
        <v>6.0290256570338987E-6</v>
      </c>
      <c r="M71" s="22">
        <f>_xlfn.VAR.S(INDEX($J:$J,INT((ROW()-2)/3)*3+2):INDEX($J:$J,INT((ROW()-2)/3)*3+4))</f>
        <v>2.9588366137289311E-8</v>
      </c>
      <c r="N71" s="22">
        <f>_xlfn.VAR.S(INDEX($K:$K,INT((ROW()-2)/3)*3+2):INDEX($K:$K,INT((ROW()-2)/3)*3+4))</f>
        <v>7.7700000000062428E-6</v>
      </c>
    </row>
    <row r="72" spans="1:17" hidden="1">
      <c r="A72" t="s">
        <v>15335</v>
      </c>
      <c r="B72" t="s">
        <v>15441</v>
      </c>
      <c r="C72" t="s">
        <v>15449</v>
      </c>
      <c r="D72" t="s">
        <v>3427</v>
      </c>
      <c r="E72" t="s">
        <v>3453</v>
      </c>
      <c r="F72" t="s">
        <v>11406</v>
      </c>
      <c r="G72" t="s">
        <v>3366</v>
      </c>
      <c r="H72" t="s">
        <v>11891</v>
      </c>
      <c r="I72" s="11">
        <v>2.5181265167480599E-4</v>
      </c>
      <c r="J72" s="11">
        <v>-2.2468386782809099E-2</v>
      </c>
      <c r="K72" s="11">
        <v>-0.14940000000000001</v>
      </c>
      <c r="L72" s="12">
        <f>_xlfn.VAR.S(INDEX($I:$I,INT((ROW()-2)/3)*3+2):INDEX($I:$I,INT((ROW()-2)/3)*3+4))</f>
        <v>6.0290256570338987E-6</v>
      </c>
      <c r="M72" s="12">
        <f>_xlfn.VAR.S(INDEX($J:$J,INT((ROW()-2)/3)*3+2):INDEX($J:$J,INT((ROW()-2)/3)*3+4))</f>
        <v>2.9588366137289311E-8</v>
      </c>
      <c r="N72" s="12">
        <f>_xlfn.VAR.S(INDEX($K:$K,INT((ROW()-2)/3)*3+2):INDEX($K:$K,INT((ROW()-2)/3)*3+4))</f>
        <v>7.7700000000062428E-6</v>
      </c>
    </row>
    <row r="73" spans="1:17" hidden="1">
      <c r="A73" t="s">
        <v>15335</v>
      </c>
      <c r="B73" t="s">
        <v>15441</v>
      </c>
      <c r="C73" t="s">
        <v>15449</v>
      </c>
      <c r="D73" t="s">
        <v>3428</v>
      </c>
      <c r="E73" t="s">
        <v>3433</v>
      </c>
      <c r="F73" t="s">
        <v>11077</v>
      </c>
      <c r="G73" t="s">
        <v>3366</v>
      </c>
      <c r="H73" t="s">
        <v>11893</v>
      </c>
      <c r="I73" s="11">
        <v>-4.0734601426501902E-4</v>
      </c>
      <c r="J73" s="11">
        <v>-2.2671251927965801E-2</v>
      </c>
      <c r="K73" s="11">
        <v>-0.15090000000000001</v>
      </c>
      <c r="L73" s="12">
        <f>_xlfn.VAR.S(INDEX($I:$I,INT((ROW()-2)/3)*3+2):INDEX($I:$I,INT((ROW()-2)/3)*3+4))</f>
        <v>6.0290256570338987E-6</v>
      </c>
      <c r="M73" s="12">
        <f>_xlfn.VAR.S(INDEX($J:$J,INT((ROW()-2)/3)*3+2):INDEX($J:$J,INT((ROW()-2)/3)*3+4))</f>
        <v>2.9588366137289311E-8</v>
      </c>
      <c r="N73" s="12">
        <f>_xlfn.VAR.S(INDEX($K:$K,INT((ROW()-2)/3)*3+2):INDEX($K:$K,INT((ROW()-2)/3)*3+4))</f>
        <v>7.7700000000062428E-6</v>
      </c>
    </row>
    <row r="74" spans="1:17" s="16" customFormat="1">
      <c r="A74" s="16" t="s">
        <v>15335</v>
      </c>
      <c r="B74" s="16" t="s">
        <v>15442</v>
      </c>
      <c r="C74" s="16" t="s">
        <v>15450</v>
      </c>
      <c r="D74" s="16" t="s">
        <v>3425</v>
      </c>
      <c r="E74" s="16" t="s">
        <v>3462</v>
      </c>
      <c r="F74" s="16" t="s">
        <v>10579</v>
      </c>
      <c r="G74" s="16" t="s">
        <v>3366</v>
      </c>
      <c r="H74" s="16" t="s">
        <v>11890</v>
      </c>
      <c r="I74" s="21">
        <v>-4.1125548144368904E-3</v>
      </c>
      <c r="J74" s="21">
        <v>-2.7217449880141502E-4</v>
      </c>
      <c r="K74" s="21">
        <v>-9.9000000000017997E-3</v>
      </c>
      <c r="L74" s="22">
        <f>_xlfn.VAR.S(INDEX($I:$I,INT((ROW()-2)/3)*3+2):INDEX($I:$I,INT((ROW()-2)/3)*3+4))</f>
        <v>3.6616024922951587E-6</v>
      </c>
      <c r="M74" s="22">
        <f>_xlfn.VAR.S(INDEX($J:$J,INT((ROW()-2)/3)*3+2):INDEX($J:$J,INT((ROW()-2)/3)*3+4))</f>
        <v>3.8648863757817605E-7</v>
      </c>
      <c r="N74" s="22">
        <f>_xlfn.VAR.S(INDEX($K:$K,INT((ROW()-2)/3)*3+2):INDEX($K:$K,INT((ROW()-2)/3)*3+4))</f>
        <v>1.0742333333336463E-4</v>
      </c>
      <c r="P74" s="16">
        <v>4.4999999999999998E-2</v>
      </c>
      <c r="Q74" s="16">
        <v>0.113</v>
      </c>
    </row>
    <row r="75" spans="1:17">
      <c r="A75" t="s">
        <v>15335</v>
      </c>
      <c r="B75" t="s">
        <v>15442</v>
      </c>
      <c r="C75" t="s">
        <v>15450</v>
      </c>
      <c r="D75" t="s">
        <v>3425</v>
      </c>
      <c r="E75" t="s">
        <v>3462</v>
      </c>
      <c r="F75" t="s">
        <v>3681</v>
      </c>
      <c r="G75" t="s">
        <v>3366</v>
      </c>
      <c r="H75" t="s">
        <v>11890</v>
      </c>
      <c r="I75" s="11">
        <v>-8.6729918157483403E-4</v>
      </c>
      <c r="J75" s="11">
        <v>9.5235251423399399E-4</v>
      </c>
      <c r="K75" s="11">
        <v>7.8999999999993503E-3</v>
      </c>
      <c r="L75" s="12">
        <f>_xlfn.VAR.S(INDEX($I:$I,INT((ROW()-2)/3)*3+2):INDEX($I:$I,INT((ROW()-2)/3)*3+4))</f>
        <v>3.6616024922951587E-6</v>
      </c>
      <c r="M75" s="12">
        <f>_xlfn.VAR.S(INDEX($J:$J,INT((ROW()-2)/3)*3+2):INDEX($J:$J,INT((ROW()-2)/3)*3+4))</f>
        <v>3.8648863757817605E-7</v>
      </c>
      <c r="N75" s="12">
        <f>_xlfn.VAR.S(INDEX($K:$K,INT((ROW()-2)/3)*3+2):INDEX($K:$K,INT((ROW()-2)/3)*3+4))</f>
        <v>1.0742333333336463E-4</v>
      </c>
    </row>
    <row r="76" spans="1:17">
      <c r="A76" t="s">
        <v>15335</v>
      </c>
      <c r="B76" t="s">
        <v>15442</v>
      </c>
      <c r="C76" t="s">
        <v>15450</v>
      </c>
      <c r="D76" t="s">
        <v>3425</v>
      </c>
      <c r="E76" t="s">
        <v>3462</v>
      </c>
      <c r="F76" t="s">
        <v>11363</v>
      </c>
      <c r="G76" t="s">
        <v>3366</v>
      </c>
      <c r="H76" t="s">
        <v>11890</v>
      </c>
      <c r="I76" s="11">
        <v>-4.2466410854197197E-3</v>
      </c>
      <c r="J76" s="11">
        <v>5.2681369407152898E-4</v>
      </c>
      <c r="K76" s="11">
        <v>8.2000000000022107E-3</v>
      </c>
      <c r="L76" s="12">
        <f>_xlfn.VAR.S(INDEX($I:$I,INT((ROW()-2)/3)*3+2):INDEX($I:$I,INT((ROW()-2)/3)*3+4))</f>
        <v>3.6616024922951587E-6</v>
      </c>
      <c r="M76" s="12">
        <f>_xlfn.VAR.S(INDEX($J:$J,INT((ROW()-2)/3)*3+2):INDEX($J:$J,INT((ROW()-2)/3)*3+4))</f>
        <v>3.8648863757817605E-7</v>
      </c>
      <c r="N76" s="12">
        <f>_xlfn.VAR.S(INDEX($K:$K,INT((ROW()-2)/3)*3+2):INDEX($K:$K,INT((ROW()-2)/3)*3+4))</f>
        <v>1.0742333333336463E-4</v>
      </c>
      <c r="P76">
        <f>AVERAGE(P49:Q74)</f>
        <v>6.7823905841552637E-2</v>
      </c>
    </row>
    <row r="77" spans="1:17" s="16" customFormat="1" ht="15" thickBot="1">
      <c r="A77" s="16" t="s">
        <v>15335</v>
      </c>
      <c r="B77" s="16" t="s">
        <v>15442</v>
      </c>
      <c r="C77" s="16" t="s">
        <v>15445</v>
      </c>
      <c r="D77" s="16" t="s">
        <v>3428</v>
      </c>
      <c r="E77" s="16" t="s">
        <v>3441</v>
      </c>
      <c r="F77" s="16" t="s">
        <v>10860</v>
      </c>
      <c r="G77" s="16" t="s">
        <v>3366</v>
      </c>
      <c r="H77" s="16" t="s">
        <v>11890</v>
      </c>
      <c r="I77" s="21">
        <v>-6.1558568075027601E-4</v>
      </c>
      <c r="J77" s="21">
        <v>5.9585890244518802E-4</v>
      </c>
      <c r="K77" s="21">
        <v>4.2900000000002998E-2</v>
      </c>
      <c r="L77" s="22">
        <f>_xlfn.VAR.S(INDEX($I:$I,INT((ROW()-2)/3)*3+2):INDEX($I:$I,INT((ROW()-2)/3)*3+4))</f>
        <v>3.010703958322898E-7</v>
      </c>
      <c r="M77" s="22">
        <f>_xlfn.VAR.S(INDEX($J:$J,INT((ROW()-2)/3)*3+2):INDEX($J:$J,INT((ROW()-2)/3)*3+4))</f>
        <v>3.7400738600818467E-6</v>
      </c>
      <c r="N77" s="22">
        <f>_xlfn.VAR.S(INDEX($K:$K,INT((ROW()-2)/3)*3+2):INDEX($K:$K,INT((ROW()-2)/3)*3+4))</f>
        <v>3.9543333333343523E-5</v>
      </c>
    </row>
    <row r="78" spans="1:17" ht="15" thickBot="1">
      <c r="A78" t="s">
        <v>15335</v>
      </c>
      <c r="B78" t="s">
        <v>15442</v>
      </c>
      <c r="C78" t="s">
        <v>15445</v>
      </c>
      <c r="D78" t="s">
        <v>3436</v>
      </c>
      <c r="E78" t="s">
        <v>3433</v>
      </c>
      <c r="F78" t="s">
        <v>10870</v>
      </c>
      <c r="G78" t="s">
        <v>3366</v>
      </c>
      <c r="H78" t="s">
        <v>11890</v>
      </c>
      <c r="I78" s="11">
        <v>-2.53760076066847E-4</v>
      </c>
      <c r="J78" s="11">
        <v>4.3797115245432696E-3</v>
      </c>
      <c r="K78" s="11">
        <v>3.1500000000001201E-2</v>
      </c>
      <c r="L78" s="12">
        <f>_xlfn.VAR.S(INDEX($I:$I,INT((ROW()-2)/3)*3+2):INDEX($I:$I,INT((ROW()-2)/3)*3+4))</f>
        <v>3.010703958322898E-7</v>
      </c>
      <c r="M78" s="12">
        <f>_xlfn.VAR.S(INDEX($J:$J,INT((ROW()-2)/3)*3+2):INDEX($J:$J,INT((ROW()-2)/3)*3+4))</f>
        <v>3.7400738600818467E-6</v>
      </c>
      <c r="N78" s="12">
        <f>_xlfn.VAR.S(INDEX($K:$K,INT((ROW()-2)/3)*3+2):INDEX($K:$K,INT((ROW()-2)/3)*3+4))</f>
        <v>3.9543333333343523E-5</v>
      </c>
      <c r="P78" s="122">
        <v>0.126</v>
      </c>
      <c r="Q78" s="123">
        <v>0.17100000000000001</v>
      </c>
    </row>
    <row r="79" spans="1:17">
      <c r="A79" t="s">
        <v>15335</v>
      </c>
      <c r="B79" t="s">
        <v>15442</v>
      </c>
      <c r="C79" t="s">
        <v>15445</v>
      </c>
      <c r="D79" t="s">
        <v>3436</v>
      </c>
      <c r="E79" t="s">
        <v>3433</v>
      </c>
      <c r="F79" t="s">
        <v>10859</v>
      </c>
      <c r="G79" t="s">
        <v>3366</v>
      </c>
      <c r="H79" t="s">
        <v>11890</v>
      </c>
      <c r="I79" s="11">
        <v>4.6255778387593302E-4</v>
      </c>
      <c r="J79" s="11">
        <v>3.18209500092823E-3</v>
      </c>
      <c r="K79" s="11">
        <v>3.2600000000002197E-2</v>
      </c>
      <c r="L79" s="12">
        <f>_xlfn.VAR.S(INDEX($I:$I,INT((ROW()-2)/3)*3+2):INDEX($I:$I,INT((ROW()-2)/3)*3+4))</f>
        <v>3.010703958322898E-7</v>
      </c>
      <c r="M79" s="12">
        <f>_xlfn.VAR.S(INDEX($J:$J,INT((ROW()-2)/3)*3+2):INDEX($J:$J,INT((ROW()-2)/3)*3+4))</f>
        <v>3.7400738600818467E-6</v>
      </c>
      <c r="N79" s="12">
        <f>_xlfn.VAR.S(INDEX($K:$K,INT((ROW()-2)/3)*3+2):INDEX($K:$K,INT((ROW()-2)/3)*3+4))</f>
        <v>3.9543333333343523E-5</v>
      </c>
    </row>
    <row r="80" spans="1:17" s="16" customFormat="1">
      <c r="A80" s="16" t="s">
        <v>15335</v>
      </c>
      <c r="B80" s="16" t="s">
        <v>15442</v>
      </c>
      <c r="C80" s="16" t="s">
        <v>15451</v>
      </c>
      <c r="D80" s="16" t="s">
        <v>3440</v>
      </c>
      <c r="E80" s="16" t="s">
        <v>3435</v>
      </c>
      <c r="F80" s="16" t="s">
        <v>11407</v>
      </c>
      <c r="G80" s="16" t="s">
        <v>3366</v>
      </c>
      <c r="H80" s="16" t="s">
        <v>11910</v>
      </c>
      <c r="I80" s="21">
        <v>1.00732179192504E-4</v>
      </c>
      <c r="J80" s="21">
        <v>6.5331404711964396E-5</v>
      </c>
      <c r="K80" s="21">
        <v>1.6400000000004401E-2</v>
      </c>
      <c r="L80" s="22">
        <f>_xlfn.VAR.S(INDEX($I:$I,INT((ROW()-2)/3)*3+2):INDEX($I:$I,INT((ROW()-2)/3)*3+4))</f>
        <v>8.818293200910027E-7</v>
      </c>
      <c r="M80" s="22">
        <f>_xlfn.VAR.S(INDEX($J:$J,INT((ROW()-2)/3)*3+2):INDEX($J:$J,INT((ROW()-2)/3)*3+4))</f>
        <v>4.0437287489874622E-7</v>
      </c>
      <c r="N80" s="22">
        <f>_xlfn.VAR.S(INDEX($K:$K,INT((ROW()-2)/3)*3+2):INDEX($K:$K,INT((ROW()-2)/3)*3+4))</f>
        <v>3.7233333333258274E-6</v>
      </c>
      <c r="P80" s="16">
        <f>AVERAGE(P78:Q78)</f>
        <v>0.14850000000000002</v>
      </c>
    </row>
    <row r="81" spans="1:14">
      <c r="A81" t="s">
        <v>15335</v>
      </c>
      <c r="B81" t="s">
        <v>15442</v>
      </c>
      <c r="C81" t="s">
        <v>15451</v>
      </c>
      <c r="D81" t="s">
        <v>3440</v>
      </c>
      <c r="E81" t="s">
        <v>3435</v>
      </c>
      <c r="F81" t="s">
        <v>11404</v>
      </c>
      <c r="G81" t="s">
        <v>3366</v>
      </c>
      <c r="H81" t="s">
        <v>11911</v>
      </c>
      <c r="I81" s="11">
        <v>-1.33100991187608E-3</v>
      </c>
      <c r="J81" s="11">
        <v>1.2563340461371299E-3</v>
      </c>
      <c r="K81" s="11">
        <v>2.0099999999999299E-2</v>
      </c>
      <c r="L81" s="12">
        <f>_xlfn.VAR.S(INDEX($I:$I,INT((ROW()-2)/3)*3+2):INDEX($I:$I,INT((ROW()-2)/3)*3+4))</f>
        <v>8.818293200910027E-7</v>
      </c>
      <c r="M81" s="12">
        <f>_xlfn.VAR.S(INDEX($J:$J,INT((ROW()-2)/3)*3+2):INDEX($J:$J,INT((ROW()-2)/3)*3+4))</f>
        <v>4.0437287489874622E-7</v>
      </c>
      <c r="N81" s="12">
        <f>_xlfn.VAR.S(INDEX($K:$K,INT((ROW()-2)/3)*3+2):INDEX($K:$K,INT((ROW()-2)/3)*3+4))</f>
        <v>3.7233333333258274E-6</v>
      </c>
    </row>
    <row r="82" spans="1:14">
      <c r="A82" t="s">
        <v>15335</v>
      </c>
      <c r="B82" t="s">
        <v>15442</v>
      </c>
      <c r="C82" t="s">
        <v>15451</v>
      </c>
      <c r="D82" t="s">
        <v>3438</v>
      </c>
      <c r="E82" t="s">
        <v>3429</v>
      </c>
      <c r="F82" t="s">
        <v>11404</v>
      </c>
      <c r="G82" t="s">
        <v>3366</v>
      </c>
      <c r="H82" t="s">
        <v>11911</v>
      </c>
      <c r="I82" s="11">
        <v>-1.66778975755403E-3</v>
      </c>
      <c r="J82" s="11">
        <v>1.04716568516905E-3</v>
      </c>
      <c r="K82" s="11">
        <v>1.7299999999998799E-2</v>
      </c>
      <c r="L82" s="12">
        <f>_xlfn.VAR.S(INDEX($I:$I,INT((ROW()-2)/3)*3+2):INDEX($I:$I,INT((ROW()-2)/3)*3+4))</f>
        <v>8.818293200910027E-7</v>
      </c>
      <c r="M82" s="12">
        <f>_xlfn.VAR.S(INDEX($J:$J,INT((ROW()-2)/3)*3+2):INDEX($J:$J,INT((ROW()-2)/3)*3+4))</f>
        <v>4.0437287489874622E-7</v>
      </c>
      <c r="N82" s="12">
        <f>_xlfn.VAR.S(INDEX($K:$K,INT((ROW()-2)/3)*3+2):INDEX($K:$K,INT((ROW()-2)/3)*3+4))</f>
        <v>3.7233333333258274E-6</v>
      </c>
    </row>
    <row r="83" spans="1:14" s="16" customFormat="1" hidden="1">
      <c r="A83" s="16" t="s">
        <v>15335</v>
      </c>
      <c r="B83" s="16" t="s">
        <v>15443</v>
      </c>
      <c r="C83" s="16" t="s">
        <v>15452</v>
      </c>
      <c r="D83" s="16" t="s">
        <v>3428</v>
      </c>
      <c r="E83" s="16" t="s">
        <v>3433</v>
      </c>
      <c r="F83" s="16" t="s">
        <v>10730</v>
      </c>
      <c r="G83" s="16" t="s">
        <v>3366</v>
      </c>
      <c r="H83" s="16" t="s">
        <v>11908</v>
      </c>
      <c r="I83" s="21">
        <v>1.1767103417890799E-2</v>
      </c>
      <c r="J83" s="21">
        <v>5.96633597158057E-3</v>
      </c>
      <c r="K83" s="21">
        <v>6.3099999999998602E-2</v>
      </c>
      <c r="L83" s="22">
        <f>_xlfn.VAR.S(INDEX($I:$I,INT((ROW()-2)/3)*3+2):INDEX($I:$I,INT((ROW()-2)/3)*3+4))</f>
        <v>9.7083232147646569E-7</v>
      </c>
      <c r="M83" s="22">
        <f>_xlfn.VAR.S(INDEX($J:$J,INT((ROW()-2)/3)*3+2):INDEX($J:$J,INT((ROW()-2)/3)*3+4))</f>
        <v>1.4957364921522666E-7</v>
      </c>
      <c r="N83" s="22">
        <f>_xlfn.VAR.S(INDEX($K:$K,INT((ROW()-2)/3)*3+2):INDEX($K:$K,INT((ROW()-2)/3)*3+4))</f>
        <v>4.8360000000002349E-5</v>
      </c>
    </row>
    <row r="84" spans="1:14" hidden="1">
      <c r="A84" t="s">
        <v>15335</v>
      </c>
      <c r="B84" t="s">
        <v>15443</v>
      </c>
      <c r="C84" t="s">
        <v>15452</v>
      </c>
      <c r="D84" t="s">
        <v>3428</v>
      </c>
      <c r="E84" t="s">
        <v>3452</v>
      </c>
      <c r="F84" t="s">
        <v>10730</v>
      </c>
      <c r="G84" t="s">
        <v>3366</v>
      </c>
      <c r="H84" t="s">
        <v>11908</v>
      </c>
      <c r="I84" s="11">
        <v>1.0464707424464301E-2</v>
      </c>
      <c r="J84" s="11">
        <v>5.2866633803830597E-3</v>
      </c>
      <c r="K84" s="11">
        <v>6.1900000000001398E-2</v>
      </c>
      <c r="L84" s="12">
        <f>_xlfn.VAR.S(INDEX($I:$I,INT((ROW()-2)/3)*3+2):INDEX($I:$I,INT((ROW()-2)/3)*3+4))</f>
        <v>9.7083232147646569E-7</v>
      </c>
      <c r="M84" s="12">
        <f>_xlfn.VAR.S(INDEX($J:$J,INT((ROW()-2)/3)*3+2):INDEX($J:$J,INT((ROW()-2)/3)*3+4))</f>
        <v>1.4957364921522666E-7</v>
      </c>
      <c r="N84" s="12">
        <f>_xlfn.VAR.S(INDEX($K:$K,INT((ROW()-2)/3)*3+2):INDEX($K:$K,INT((ROW()-2)/3)*3+4))</f>
        <v>4.8360000000002349E-5</v>
      </c>
    </row>
    <row r="85" spans="1:14" hidden="1">
      <c r="A85" t="s">
        <v>15335</v>
      </c>
      <c r="B85" t="s">
        <v>15443</v>
      </c>
      <c r="C85" t="s">
        <v>15452</v>
      </c>
      <c r="D85" t="s">
        <v>3436</v>
      </c>
      <c r="E85" t="s">
        <v>3461</v>
      </c>
      <c r="F85" t="s">
        <v>10730</v>
      </c>
      <c r="G85" t="s">
        <v>3366</v>
      </c>
      <c r="H85" t="s">
        <v>11908</v>
      </c>
      <c r="I85" s="11">
        <v>1.23966553857137E-2</v>
      </c>
      <c r="J85" s="11">
        <v>5.3067265935830199E-3</v>
      </c>
      <c r="K85" s="11">
        <v>5.0499999999999497E-2</v>
      </c>
      <c r="L85" s="12">
        <f>_xlfn.VAR.S(INDEX($I:$I,INT((ROW()-2)/3)*3+2):INDEX($I:$I,INT((ROW()-2)/3)*3+4))</f>
        <v>9.7083232147646569E-7</v>
      </c>
      <c r="M85" s="12">
        <f>_xlfn.VAR.S(INDEX($J:$J,INT((ROW()-2)/3)*3+2):INDEX($J:$J,INT((ROW()-2)/3)*3+4))</f>
        <v>1.4957364921522666E-7</v>
      </c>
      <c r="N85" s="12">
        <f>_xlfn.VAR.S(INDEX($K:$K,INT((ROW()-2)/3)*3+2):INDEX($K:$K,INT((ROW()-2)/3)*3+4))</f>
        <v>4.8360000000002349E-5</v>
      </c>
    </row>
    <row r="86" spans="1:14" s="16" customFormat="1" hidden="1">
      <c r="A86" s="16" t="s">
        <v>15338</v>
      </c>
      <c r="B86" s="16" t="s">
        <v>15441</v>
      </c>
      <c r="C86" s="16" t="s">
        <v>15445</v>
      </c>
      <c r="D86" s="16" t="s">
        <v>3425</v>
      </c>
      <c r="E86" s="16" t="s">
        <v>3461</v>
      </c>
      <c r="F86" s="16" t="s">
        <v>3630</v>
      </c>
      <c r="G86" s="16" t="s">
        <v>3367</v>
      </c>
      <c r="H86" s="16" t="s">
        <v>11885</v>
      </c>
      <c r="I86" s="21">
        <v>3.1405438807160402E-2</v>
      </c>
      <c r="J86" s="21">
        <v>-1.7333926089182002E-2</v>
      </c>
      <c r="K86" s="21">
        <v>-5.8499999999980901E-2</v>
      </c>
      <c r="L86" s="22">
        <f>_xlfn.VAR.S(INDEX($I:$I,INT((ROW()-2)/3)*3+2):INDEX($I:$I,INT((ROW()-2)/3)*3+4))</f>
        <v>1.4029047102886936E-5</v>
      </c>
      <c r="M86" s="22">
        <f>_xlfn.VAR.S(INDEX($J:$J,INT((ROW()-2)/3)*3+2):INDEX($J:$J,INT((ROW()-2)/3)*3+4))</f>
        <v>1.1001230292431089E-6</v>
      </c>
      <c r="N86" s="22">
        <f>_xlfn.VAR.S(INDEX($K:$K,INT((ROW()-2)/3)*3+2):INDEX($K:$K,INT((ROW()-2)/3)*3+4))</f>
        <v>1.3170999999991993E-4</v>
      </c>
    </row>
    <row r="87" spans="1:14" hidden="1">
      <c r="A87" t="s">
        <v>15338</v>
      </c>
      <c r="B87" t="s">
        <v>15441</v>
      </c>
      <c r="C87" t="s">
        <v>15445</v>
      </c>
      <c r="D87" t="s">
        <v>3425</v>
      </c>
      <c r="E87" t="s">
        <v>3461</v>
      </c>
      <c r="F87" t="s">
        <v>10539</v>
      </c>
      <c r="G87" t="s">
        <v>3366</v>
      </c>
      <c r="H87" t="s">
        <v>11886</v>
      </c>
      <c r="I87" s="11">
        <v>3.1946081391017199E-2</v>
      </c>
      <c r="J87" s="11">
        <v>-1.84904180388092E-2</v>
      </c>
      <c r="K87" s="11">
        <v>-4.5699999999982303E-2</v>
      </c>
      <c r="L87" s="12">
        <f>_xlfn.VAR.S(INDEX($I:$I,INT((ROW()-2)/3)*3+2):INDEX($I:$I,INT((ROW()-2)/3)*3+4))</f>
        <v>1.4029047102886936E-5</v>
      </c>
      <c r="M87" s="12">
        <f>_xlfn.VAR.S(INDEX($J:$J,INT((ROW()-2)/3)*3+2):INDEX($J:$J,INT((ROW()-2)/3)*3+4))</f>
        <v>1.1001230292431089E-6</v>
      </c>
      <c r="N87" s="12">
        <f>_xlfn.VAR.S(INDEX($K:$K,INT((ROW()-2)/3)*3+2):INDEX($K:$K,INT((ROW()-2)/3)*3+4))</f>
        <v>1.3170999999991993E-4</v>
      </c>
    </row>
    <row r="88" spans="1:14" hidden="1">
      <c r="A88" t="s">
        <v>15338</v>
      </c>
      <c r="B88" t="s">
        <v>15441</v>
      </c>
      <c r="C88" t="s">
        <v>15445</v>
      </c>
      <c r="D88" t="s">
        <v>3436</v>
      </c>
      <c r="E88" t="s">
        <v>3452</v>
      </c>
      <c r="F88" t="s">
        <v>11415</v>
      </c>
      <c r="G88" t="s">
        <v>3366</v>
      </c>
      <c r="H88" t="s">
        <v>11886</v>
      </c>
      <c r="I88" s="11">
        <v>3.8146302619314697E-2</v>
      </c>
      <c r="J88" s="11">
        <v>-1.9427844807553701E-2</v>
      </c>
      <c r="K88" s="11">
        <v>-3.5599999999988099E-2</v>
      </c>
      <c r="L88" s="12">
        <f>_xlfn.VAR.S(INDEX($I:$I,INT((ROW()-2)/3)*3+2):INDEX($I:$I,INT((ROW()-2)/3)*3+4))</f>
        <v>1.4029047102886936E-5</v>
      </c>
      <c r="M88" s="12">
        <f>_xlfn.VAR.S(INDEX($J:$J,INT((ROW()-2)/3)*3+2):INDEX($J:$J,INT((ROW()-2)/3)*3+4))</f>
        <v>1.1001230292431089E-6</v>
      </c>
      <c r="N88" s="12">
        <f>_xlfn.VAR.S(INDEX($K:$K,INT((ROW()-2)/3)*3+2):INDEX($K:$K,INT((ROW()-2)/3)*3+4))</f>
        <v>1.3170999999991993E-4</v>
      </c>
    </row>
    <row r="89" spans="1:14" s="16" customFormat="1" hidden="1">
      <c r="A89" s="16" t="s">
        <v>15338</v>
      </c>
      <c r="B89" s="16" t="s">
        <v>15441</v>
      </c>
      <c r="C89" s="16" t="s">
        <v>15446</v>
      </c>
      <c r="D89" s="16" t="s">
        <v>3436</v>
      </c>
      <c r="E89" s="16" t="s">
        <v>3433</v>
      </c>
      <c r="F89" s="16" t="s">
        <v>11252</v>
      </c>
      <c r="G89" s="16" t="s">
        <v>3376</v>
      </c>
      <c r="H89" s="16" t="s">
        <v>11886</v>
      </c>
      <c r="I89" s="21">
        <v>3.7720411718354697E-2</v>
      </c>
      <c r="J89" s="21">
        <v>-1.3195681294042499E-2</v>
      </c>
      <c r="K89" s="21">
        <v>-2.1099999999989901E-2</v>
      </c>
      <c r="L89" s="22">
        <f>_xlfn.VAR.S(INDEX($I:$I,INT((ROW()-2)/3)*3+2):INDEX($I:$I,INT((ROW()-2)/3)*3+4))</f>
        <v>4.6227746933757163E-6</v>
      </c>
      <c r="M89" s="22">
        <f>_xlfn.VAR.S(INDEX($J:$J,INT((ROW()-2)/3)*3+2):INDEX($J:$J,INT((ROW()-2)/3)*3+4))</f>
        <v>2.3315013891709698E-5</v>
      </c>
      <c r="N89" s="22">
        <f>_xlfn.VAR.S(INDEX($K:$K,INT((ROW()-2)/3)*3+2):INDEX($K:$K,INT((ROW()-2)/3)*3+4))</f>
        <v>9.0813333333420463E-5</v>
      </c>
    </row>
    <row r="90" spans="1:14" hidden="1">
      <c r="A90" t="s">
        <v>15338</v>
      </c>
      <c r="B90" t="s">
        <v>15441</v>
      </c>
      <c r="C90" t="s">
        <v>15446</v>
      </c>
      <c r="D90" t="s">
        <v>3429</v>
      </c>
      <c r="E90" t="s">
        <v>3484</v>
      </c>
      <c r="F90" t="s">
        <v>11416</v>
      </c>
      <c r="G90" t="s">
        <v>3366</v>
      </c>
      <c r="H90" t="s">
        <v>11886</v>
      </c>
      <c r="I90" s="11">
        <v>4.1722789430642303E-2</v>
      </c>
      <c r="J90" s="11">
        <v>-5.9784514510348398E-3</v>
      </c>
      <c r="K90" s="11">
        <v>-3.5099999999999902E-2</v>
      </c>
      <c r="L90" s="12">
        <f>_xlfn.VAR.S(INDEX($I:$I,INT((ROW()-2)/3)*3+2):INDEX($I:$I,INT((ROW()-2)/3)*3+4))</f>
        <v>4.6227746933757163E-6</v>
      </c>
      <c r="M90" s="12">
        <f>_xlfn.VAR.S(INDEX($J:$J,INT((ROW()-2)/3)*3+2):INDEX($J:$J,INT((ROW()-2)/3)*3+4))</f>
        <v>2.3315013891709698E-5</v>
      </c>
      <c r="N90" s="12">
        <f>_xlfn.VAR.S(INDEX($K:$K,INT((ROW()-2)/3)*3+2):INDEX($K:$K,INT((ROW()-2)/3)*3+4))</f>
        <v>9.0813333333420463E-5</v>
      </c>
    </row>
    <row r="91" spans="1:14" hidden="1">
      <c r="A91" t="s">
        <v>15338</v>
      </c>
      <c r="B91" t="s">
        <v>15441</v>
      </c>
      <c r="C91" t="s">
        <v>15446</v>
      </c>
      <c r="D91" t="s">
        <v>3453</v>
      </c>
      <c r="E91" t="s">
        <v>3476</v>
      </c>
      <c r="F91" t="s">
        <v>10569</v>
      </c>
      <c r="G91" t="s">
        <v>3366</v>
      </c>
      <c r="H91" t="s">
        <v>11886</v>
      </c>
      <c r="I91" s="11">
        <v>4.1083236930602701E-2</v>
      </c>
      <c r="J91" s="11">
        <v>-4.0302024440238803E-3</v>
      </c>
      <c r="K91" s="11">
        <v>-3.9299999999997198E-2</v>
      </c>
      <c r="L91" s="12">
        <f>_xlfn.VAR.S(INDEX($I:$I,INT((ROW()-2)/3)*3+2):INDEX($I:$I,INT((ROW()-2)/3)*3+4))</f>
        <v>4.6227746933757163E-6</v>
      </c>
      <c r="M91" s="12">
        <f>_xlfn.VAR.S(INDEX($J:$J,INT((ROW()-2)/3)*3+2):INDEX($J:$J,INT((ROW()-2)/3)*3+4))</f>
        <v>2.3315013891709698E-5</v>
      </c>
      <c r="N91" s="12">
        <f>_xlfn.VAR.S(INDEX($K:$K,INT((ROW()-2)/3)*3+2):INDEX($K:$K,INT((ROW()-2)/3)*3+4))</f>
        <v>9.0813333333420463E-5</v>
      </c>
    </row>
    <row r="92" spans="1:14" s="16" customFormat="1" hidden="1">
      <c r="A92" s="16" t="s">
        <v>15338</v>
      </c>
      <c r="B92" s="16" t="s">
        <v>15441</v>
      </c>
      <c r="C92" s="16" t="s">
        <v>15448</v>
      </c>
      <c r="D92" s="16" t="s">
        <v>3485</v>
      </c>
      <c r="E92" s="16" t="s">
        <v>3639</v>
      </c>
      <c r="F92" s="16" t="s">
        <v>11130</v>
      </c>
      <c r="G92" s="16" t="s">
        <v>3376</v>
      </c>
      <c r="H92" s="16" t="s">
        <v>11912</v>
      </c>
      <c r="I92" s="21">
        <v>0.111556645068526</v>
      </c>
      <c r="J92" s="21">
        <v>0.20048140605220899</v>
      </c>
      <c r="K92" s="21">
        <v>-8.2499999999981796E-2</v>
      </c>
      <c r="L92" s="22">
        <f>_xlfn.VAR.S(INDEX($I:$I,INT((ROW()-2)/3)*3+2):INDEX($I:$I,INT((ROW()-2)/3)*3+4))</f>
        <v>3.7283476748879545E-4</v>
      </c>
      <c r="M92" s="22">
        <f>_xlfn.VAR.S(INDEX($J:$J,INT((ROW()-2)/3)*3+2):INDEX($J:$J,INT((ROW()-2)/3)*3+4))</f>
        <v>9.3896410681295478E-4</v>
      </c>
      <c r="N92" s="22">
        <f>_xlfn.VAR.S(INDEX($K:$K,INT((ROW()-2)/3)*3+2):INDEX($K:$K,INT((ROW()-2)/3)*3+4))</f>
        <v>6.3950833333321477E-3</v>
      </c>
    </row>
    <row r="93" spans="1:14" hidden="1">
      <c r="A93" t="s">
        <v>15338</v>
      </c>
      <c r="B93" t="s">
        <v>15441</v>
      </c>
      <c r="C93" t="s">
        <v>15448</v>
      </c>
      <c r="D93" t="s">
        <v>3486</v>
      </c>
      <c r="E93" t="s">
        <v>3640</v>
      </c>
      <c r="F93" t="s">
        <v>10678</v>
      </c>
      <c r="G93" t="s">
        <v>3366</v>
      </c>
      <c r="H93" t="s">
        <v>11914</v>
      </c>
      <c r="I93" s="11">
        <v>0.106412113373622</v>
      </c>
      <c r="J93" s="11">
        <v>0.168424341995943</v>
      </c>
      <c r="K93" s="11">
        <v>1.8000000000000699E-2</v>
      </c>
      <c r="L93" s="12">
        <f>_xlfn.VAR.S(INDEX($I:$I,INT((ROW()-2)/3)*3+2):INDEX($I:$I,INT((ROW()-2)/3)*3+4))</f>
        <v>3.7283476748879545E-4</v>
      </c>
      <c r="M93" s="12">
        <f>_xlfn.VAR.S(INDEX($J:$J,INT((ROW()-2)/3)*3+2):INDEX($J:$J,INT((ROW()-2)/3)*3+4))</f>
        <v>9.3896410681295478E-4</v>
      </c>
      <c r="N93" s="12">
        <f>_xlfn.VAR.S(INDEX($K:$K,INT((ROW()-2)/3)*3+2):INDEX($K:$K,INT((ROW()-2)/3)*3+4))</f>
        <v>6.3950833333321477E-3</v>
      </c>
    </row>
    <row r="94" spans="1:14" hidden="1">
      <c r="A94" t="s">
        <v>15338</v>
      </c>
      <c r="B94" t="s">
        <v>15441</v>
      </c>
      <c r="C94" t="s">
        <v>15448</v>
      </c>
      <c r="D94" t="s">
        <v>3487</v>
      </c>
      <c r="E94" t="s">
        <v>3641</v>
      </c>
      <c r="F94" t="s">
        <v>10578</v>
      </c>
      <c r="G94" t="s">
        <v>3366</v>
      </c>
      <c r="H94" t="s">
        <v>11896</v>
      </c>
      <c r="I94" s="11">
        <v>7.5838419471860499E-2</v>
      </c>
      <c r="J94" s="11">
        <v>0.139218475569932</v>
      </c>
      <c r="K94" s="11">
        <v>7.5500000000005202E-2</v>
      </c>
      <c r="L94" s="12">
        <f>_xlfn.VAR.S(INDEX($I:$I,INT((ROW()-2)/3)*3+2):INDEX($I:$I,INT((ROW()-2)/3)*3+4))</f>
        <v>3.7283476748879545E-4</v>
      </c>
      <c r="M94" s="12">
        <f>_xlfn.VAR.S(INDEX($J:$J,INT((ROW()-2)/3)*3+2):INDEX($J:$J,INT((ROW()-2)/3)*3+4))</f>
        <v>9.3896410681295478E-4</v>
      </c>
      <c r="N94" s="12">
        <f>_xlfn.VAR.S(INDEX($K:$K,INT((ROW()-2)/3)*3+2):INDEX($K:$K,INT((ROW()-2)/3)*3+4))</f>
        <v>6.3950833333321477E-3</v>
      </c>
    </row>
    <row r="95" spans="1:14" s="16" customFormat="1" hidden="1">
      <c r="A95" s="16" t="s">
        <v>15338</v>
      </c>
      <c r="B95" s="16" t="s">
        <v>15441</v>
      </c>
      <c r="C95" s="16" t="s">
        <v>15449</v>
      </c>
      <c r="D95" s="16" t="s">
        <v>3430</v>
      </c>
      <c r="E95" s="16" t="s">
        <v>3515</v>
      </c>
      <c r="F95" s="16" t="s">
        <v>10703</v>
      </c>
      <c r="G95" s="16" t="s">
        <v>3374</v>
      </c>
      <c r="H95" s="16" t="s">
        <v>11896</v>
      </c>
      <c r="I95" s="21">
        <v>3.5462416808064397E-2</v>
      </c>
      <c r="J95" s="21">
        <v>6.0412425667516001E-3</v>
      </c>
      <c r="K95" s="21">
        <v>-9.8999999999875906E-3</v>
      </c>
      <c r="L95" s="22">
        <f>_xlfn.VAR.S(INDEX($I:$I,INT((ROW()-2)/3)*3+2):INDEX($I:$I,INT((ROW()-2)/3)*3+4))</f>
        <v>3.010179994649443E-7</v>
      </c>
      <c r="M95" s="22">
        <f>_xlfn.VAR.S(INDEX($J:$J,INT((ROW()-2)/3)*3+2):INDEX($J:$J,INT((ROW()-2)/3)*3+4))</f>
        <v>2.5133892519840376E-6</v>
      </c>
      <c r="N95" s="22">
        <f>_xlfn.VAR.S(INDEX($K:$K,INT((ROW()-2)/3)*3+2):INDEX($K:$K,INT((ROW()-2)/3)*3+4))</f>
        <v>8.8633333333363288E-6</v>
      </c>
    </row>
    <row r="96" spans="1:14" hidden="1">
      <c r="A96" t="s">
        <v>15338</v>
      </c>
      <c r="B96" t="s">
        <v>15441</v>
      </c>
      <c r="C96" t="s">
        <v>15449</v>
      </c>
      <c r="D96" t="s">
        <v>3430</v>
      </c>
      <c r="E96" t="s">
        <v>3484</v>
      </c>
      <c r="F96" t="s">
        <v>11083</v>
      </c>
      <c r="G96" t="s">
        <v>3366</v>
      </c>
      <c r="H96" t="s">
        <v>11888</v>
      </c>
      <c r="I96" s="11">
        <v>3.5035363278649499E-2</v>
      </c>
      <c r="J96" s="11">
        <v>8.2151035573550107E-3</v>
      </c>
      <c r="K96" s="11">
        <v>-4.8999999999921303E-3</v>
      </c>
      <c r="L96" s="12">
        <f>_xlfn.VAR.S(INDEX($I:$I,INT((ROW()-2)/3)*3+2):INDEX($I:$I,INT((ROW()-2)/3)*3+4))</f>
        <v>3.010179994649443E-7</v>
      </c>
      <c r="M96" s="12">
        <f>_xlfn.VAR.S(INDEX($J:$J,INT((ROW()-2)/3)*3+2):INDEX($J:$J,INT((ROW()-2)/3)*3+4))</f>
        <v>2.5133892519840376E-6</v>
      </c>
      <c r="N96" s="12">
        <f>_xlfn.VAR.S(INDEX($K:$K,INT((ROW()-2)/3)*3+2):INDEX($K:$K,INT((ROW()-2)/3)*3+4))</f>
        <v>8.8633333333363288E-6</v>
      </c>
    </row>
    <row r="97" spans="1:14" hidden="1">
      <c r="A97" t="s">
        <v>15338</v>
      </c>
      <c r="B97" t="s">
        <v>15441</v>
      </c>
      <c r="C97" t="s">
        <v>15449</v>
      </c>
      <c r="D97" t="s">
        <v>3442</v>
      </c>
      <c r="E97" t="s">
        <v>3515</v>
      </c>
      <c r="F97" t="s">
        <v>11006</v>
      </c>
      <c r="G97" t="s">
        <v>3366</v>
      </c>
      <c r="H97" t="s">
        <v>11888</v>
      </c>
      <c r="I97" s="11">
        <v>3.4373519858431997E-2</v>
      </c>
      <c r="J97" s="11">
        <v>5.1291948102702399E-3</v>
      </c>
      <c r="K97" s="11">
        <v>-4.5999999999821696E-3</v>
      </c>
      <c r="L97" s="12">
        <f>_xlfn.VAR.S(INDEX($I:$I,INT((ROW()-2)/3)*3+2):INDEX($I:$I,INT((ROW()-2)/3)*3+4))</f>
        <v>3.010179994649443E-7</v>
      </c>
      <c r="M97" s="12">
        <f>_xlfn.VAR.S(INDEX($J:$J,INT((ROW()-2)/3)*3+2):INDEX($J:$J,INT((ROW()-2)/3)*3+4))</f>
        <v>2.5133892519840376E-6</v>
      </c>
      <c r="N97" s="12">
        <f>_xlfn.VAR.S(INDEX($K:$K,INT((ROW()-2)/3)*3+2):INDEX($K:$K,INT((ROW()-2)/3)*3+4))</f>
        <v>8.8633333333363288E-6</v>
      </c>
    </row>
    <row r="98" spans="1:14" s="16" customFormat="1" hidden="1">
      <c r="A98" s="39" t="s">
        <v>15338</v>
      </c>
      <c r="B98" s="40" t="s">
        <v>15441</v>
      </c>
      <c r="C98" s="40" t="s">
        <v>15447</v>
      </c>
      <c r="D98" s="40" t="s">
        <v>3488</v>
      </c>
      <c r="E98" s="40" t="s">
        <v>3642</v>
      </c>
      <c r="F98" s="40" t="s">
        <v>11417</v>
      </c>
      <c r="G98" s="40" t="s">
        <v>3383</v>
      </c>
      <c r="H98" s="40" t="s">
        <v>11909</v>
      </c>
      <c r="I98" s="41">
        <v>0.103183196501306</v>
      </c>
      <c r="J98" s="41">
        <v>0.17953283193771299</v>
      </c>
      <c r="K98" s="41">
        <v>-1.99419999999998</v>
      </c>
      <c r="L98" s="42">
        <f>_xlfn.VAR.S(INDEX($I:$I,INT((ROW()-2)/3)*3+2):INDEX($I:$I,INT((ROW()-2)/3)*3+4))</f>
        <v>4.369643534771761E-4</v>
      </c>
      <c r="M98" s="42">
        <f>_xlfn.VAR.S(INDEX($J:$J,INT((ROW()-2)/3)*3+2):INDEX($J:$J,INT((ROW()-2)/3)*3+4))</f>
        <v>3.6018013978525582E-3</v>
      </c>
      <c r="N98" s="55">
        <f>_xlfn.VAR.S(INDEX($K:$K,INT((ROW()-2)/3)*3+2):INDEX($K:$K,INT((ROW()-2)/3)*3+4))</f>
        <v>8.5391063333331019E-2</v>
      </c>
    </row>
    <row r="99" spans="1:14" hidden="1">
      <c r="A99" s="45" t="s">
        <v>15338</v>
      </c>
      <c r="B99" s="9" t="s">
        <v>15441</v>
      </c>
      <c r="C99" s="9" t="s">
        <v>15447</v>
      </c>
      <c r="D99" s="9" t="s">
        <v>3489</v>
      </c>
      <c r="E99" s="9" t="s">
        <v>3643</v>
      </c>
      <c r="F99" s="9" t="s">
        <v>11298</v>
      </c>
      <c r="G99" s="9" t="s">
        <v>3366</v>
      </c>
      <c r="H99" s="9" t="s">
        <v>11887</v>
      </c>
      <c r="I99" s="46">
        <v>0.12002390274218699</v>
      </c>
      <c r="J99" s="46">
        <v>0.24514939883780101</v>
      </c>
      <c r="K99" s="46">
        <v>-1.4504999999999799</v>
      </c>
      <c r="L99" s="47"/>
      <c r="M99" s="47"/>
      <c r="N99" s="48"/>
    </row>
    <row r="100" spans="1:14" ht="15" hidden="1" thickBot="1">
      <c r="A100" s="49" t="s">
        <v>15338</v>
      </c>
      <c r="B100" s="50" t="s">
        <v>15441</v>
      </c>
      <c r="C100" s="50" t="s">
        <v>15447</v>
      </c>
      <c r="D100" s="50" t="s">
        <v>3490</v>
      </c>
      <c r="E100" s="50" t="s">
        <v>3644</v>
      </c>
      <c r="F100" s="50" t="s">
        <v>11418</v>
      </c>
      <c r="G100" s="50" t="s">
        <v>3366</v>
      </c>
      <c r="H100" s="50" t="s">
        <v>11909</v>
      </c>
      <c r="I100" s="51">
        <v>0.144742439470575</v>
      </c>
      <c r="J100" s="51">
        <v>0.29938279393741701</v>
      </c>
      <c r="K100" s="51">
        <v>-1.5367</v>
      </c>
      <c r="L100" s="52"/>
      <c r="M100" s="52"/>
      <c r="N100" s="53"/>
    </row>
    <row r="101" spans="1:14" s="16" customFormat="1">
      <c r="A101" s="16" t="s">
        <v>15338</v>
      </c>
      <c r="B101" s="16" t="s">
        <v>15442</v>
      </c>
      <c r="C101" s="16" t="s">
        <v>15450</v>
      </c>
      <c r="D101" s="16" t="s">
        <v>3426</v>
      </c>
      <c r="E101" s="16" t="s">
        <v>3645</v>
      </c>
      <c r="F101" s="16" t="s">
        <v>10899</v>
      </c>
      <c r="G101" s="16" t="s">
        <v>3374</v>
      </c>
      <c r="H101" s="16" t="s">
        <v>11886</v>
      </c>
      <c r="I101" s="21">
        <v>3.6395834462254098E-2</v>
      </c>
      <c r="J101" s="21">
        <v>7.8051158527400102E-3</v>
      </c>
      <c r="K101" s="21">
        <v>-8.9699999999993493E-2</v>
      </c>
      <c r="L101" s="22">
        <f>_xlfn.VAR.S(INDEX($I:$I,INT((ROW()-2)/3)*3+2):INDEX($I:$I,INT((ROW()-2)/3)*3+4))</f>
        <v>1.6202082661569564E-5</v>
      </c>
      <c r="M101" s="22">
        <f>_xlfn.VAR.S(INDEX($J:$J,INT((ROW()-2)/3)*3+2):INDEX($J:$J,INT((ROW()-2)/3)*3+4))</f>
        <v>9.413930635692613E-6</v>
      </c>
      <c r="N101" s="22">
        <f>_xlfn.VAR.S(INDEX($K:$K,INT((ROW()-2)/3)*3+2):INDEX($K:$K,INT((ROW()-2)/3)*3+4))</f>
        <v>6.3373333333435552E-5</v>
      </c>
    </row>
    <row r="102" spans="1:14">
      <c r="A102" t="s">
        <v>15338</v>
      </c>
      <c r="B102" t="s">
        <v>15442</v>
      </c>
      <c r="C102" t="s">
        <v>15450</v>
      </c>
      <c r="D102" t="s">
        <v>3435</v>
      </c>
      <c r="E102" t="s">
        <v>3579</v>
      </c>
      <c r="F102" t="s">
        <v>11325</v>
      </c>
      <c r="G102" t="s">
        <v>3366</v>
      </c>
      <c r="H102" t="s">
        <v>11902</v>
      </c>
      <c r="I102" s="11">
        <v>3.4152877400533799E-2</v>
      </c>
      <c r="J102" s="11">
        <v>8.0199192645456305E-3</v>
      </c>
      <c r="K102" s="11">
        <v>-7.3899999999980495E-2</v>
      </c>
      <c r="L102" s="12">
        <f>_xlfn.VAR.S(INDEX($I:$I,INT((ROW()-2)/3)*3+2):INDEX($I:$I,INT((ROW()-2)/3)*3+4))</f>
        <v>1.6202082661569564E-5</v>
      </c>
      <c r="M102" s="12">
        <f>_xlfn.VAR.S(INDEX($J:$J,INT((ROW()-2)/3)*3+2):INDEX($J:$J,INT((ROW()-2)/3)*3+4))</f>
        <v>9.413930635692613E-6</v>
      </c>
      <c r="N102" s="12">
        <f>_xlfn.VAR.S(INDEX($K:$K,INT((ROW()-2)/3)*3+2):INDEX($K:$K,INT((ROW()-2)/3)*3+4))</f>
        <v>6.3373333333435552E-5</v>
      </c>
    </row>
    <row r="103" spans="1:14">
      <c r="A103" t="s">
        <v>15338</v>
      </c>
      <c r="B103" t="s">
        <v>15442</v>
      </c>
      <c r="C103" t="s">
        <v>15450</v>
      </c>
      <c r="D103" t="s">
        <v>3429</v>
      </c>
      <c r="E103" t="s">
        <v>3478</v>
      </c>
      <c r="F103" t="s">
        <v>11419</v>
      </c>
      <c r="G103" t="s">
        <v>3366</v>
      </c>
      <c r="H103" t="s">
        <v>11886</v>
      </c>
      <c r="I103" s="11">
        <v>2.85786031209052E-2</v>
      </c>
      <c r="J103" s="11">
        <v>1.32235613852164E-2</v>
      </c>
      <c r="K103" s="11">
        <v>-8.0099999999987403E-2</v>
      </c>
      <c r="L103" s="12">
        <f>_xlfn.VAR.S(INDEX($I:$I,INT((ROW()-2)/3)*3+2):INDEX($I:$I,INT((ROW()-2)/3)*3+4))</f>
        <v>1.6202082661569564E-5</v>
      </c>
      <c r="M103" s="12">
        <f>_xlfn.VAR.S(INDEX($J:$J,INT((ROW()-2)/3)*3+2):INDEX($J:$J,INT((ROW()-2)/3)*3+4))</f>
        <v>9.413930635692613E-6</v>
      </c>
      <c r="N103" s="12">
        <f>_xlfn.VAR.S(INDEX($K:$K,INT((ROW()-2)/3)*3+2):INDEX($K:$K,INT((ROW()-2)/3)*3+4))</f>
        <v>6.3373333333435552E-5</v>
      </c>
    </row>
    <row r="104" spans="1:14" s="16" customFormat="1">
      <c r="A104" s="16" t="s">
        <v>15338</v>
      </c>
      <c r="B104" s="16" t="s">
        <v>15442</v>
      </c>
      <c r="C104" s="16" t="s">
        <v>15445</v>
      </c>
      <c r="D104" s="16" t="s">
        <v>3491</v>
      </c>
      <c r="E104" s="16" t="s">
        <v>3646</v>
      </c>
      <c r="F104" s="16" t="s">
        <v>11158</v>
      </c>
      <c r="G104" s="16" t="s">
        <v>3374</v>
      </c>
      <c r="H104" s="16" t="s">
        <v>11902</v>
      </c>
      <c r="I104" s="21">
        <v>-4.3975569049176802E-3</v>
      </c>
      <c r="J104" s="21">
        <v>3.3416088992096901E-2</v>
      </c>
      <c r="K104" s="21">
        <v>-0.22109999999997901</v>
      </c>
      <c r="L104" s="22">
        <f>_xlfn.VAR.S(INDEX($I:$I,INT((ROW()-2)/3)*3+2):INDEX($I:$I,INT((ROW()-2)/3)*3+4))</f>
        <v>2.0625340161167801E-5</v>
      </c>
      <c r="M104" s="22">
        <f>_xlfn.VAR.S(INDEX($J:$J,INT((ROW()-2)/3)*3+2):INDEX($J:$J,INT((ROW()-2)/3)*3+4))</f>
        <v>8.6358992425176983E-6</v>
      </c>
      <c r="N104" s="22">
        <f>_xlfn.VAR.S(INDEX($K:$K,INT((ROW()-2)/3)*3+2):INDEX($K:$K,INT((ROW()-2)/3)*3+4))</f>
        <v>2.1520433333326594E-3</v>
      </c>
    </row>
    <row r="105" spans="1:14">
      <c r="A105" t="s">
        <v>15338</v>
      </c>
      <c r="B105" t="s">
        <v>15442</v>
      </c>
      <c r="C105" t="s">
        <v>15445</v>
      </c>
      <c r="D105" t="s">
        <v>3441</v>
      </c>
      <c r="E105" t="s">
        <v>3581</v>
      </c>
      <c r="F105" t="s">
        <v>11420</v>
      </c>
      <c r="G105" t="s">
        <v>3366</v>
      </c>
      <c r="H105" t="s">
        <v>11902</v>
      </c>
      <c r="I105" s="11">
        <v>4.53551536410553E-3</v>
      </c>
      <c r="J105" s="11">
        <v>3.81417293584181E-2</v>
      </c>
      <c r="K105" s="11">
        <v>-0.149499999999989</v>
      </c>
      <c r="L105" s="12">
        <f>_xlfn.VAR.S(INDEX($I:$I,INT((ROW()-2)/3)*3+2):INDEX($I:$I,INT((ROW()-2)/3)*3+4))</f>
        <v>2.0625340161167801E-5</v>
      </c>
      <c r="M105" s="12">
        <f>_xlfn.VAR.S(INDEX($J:$J,INT((ROW()-2)/3)*3+2):INDEX($J:$J,INT((ROW()-2)/3)*3+4))</f>
        <v>8.6358992425176983E-6</v>
      </c>
      <c r="N105" s="12">
        <f>_xlfn.VAR.S(INDEX($K:$K,INT((ROW()-2)/3)*3+2):INDEX($K:$K,INT((ROW()-2)/3)*3+4))</f>
        <v>2.1520433333326594E-3</v>
      </c>
    </row>
    <row r="106" spans="1:14">
      <c r="A106" t="s">
        <v>15338</v>
      </c>
      <c r="B106" t="s">
        <v>15442</v>
      </c>
      <c r="C106" t="s">
        <v>15445</v>
      </c>
      <c r="D106" t="s">
        <v>3431</v>
      </c>
      <c r="E106" t="s">
        <v>3515</v>
      </c>
      <c r="F106" t="s">
        <v>11421</v>
      </c>
      <c r="G106" t="s">
        <v>3366</v>
      </c>
      <c r="H106" t="s">
        <v>11902</v>
      </c>
      <c r="I106" s="11">
        <v>1.49242060907177E-3</v>
      </c>
      <c r="J106" s="11">
        <v>3.2752535094992499E-2</v>
      </c>
      <c r="K106" s="11">
        <v>-0.13419999999999299</v>
      </c>
      <c r="L106" s="12">
        <f>_xlfn.VAR.S(INDEX($I:$I,INT((ROW()-2)/3)*3+2):INDEX($I:$I,INT((ROW()-2)/3)*3+4))</f>
        <v>2.0625340161167801E-5</v>
      </c>
      <c r="M106" s="12">
        <f>_xlfn.VAR.S(INDEX($J:$J,INT((ROW()-2)/3)*3+2):INDEX($J:$J,INT((ROW()-2)/3)*3+4))</f>
        <v>8.6358992425176983E-6</v>
      </c>
      <c r="N106" s="12">
        <f>_xlfn.VAR.S(INDEX($K:$K,INT((ROW()-2)/3)*3+2):INDEX($K:$K,INT((ROW()-2)/3)*3+4))</f>
        <v>2.1520433333326594E-3</v>
      </c>
    </row>
    <row r="107" spans="1:14" s="16" customFormat="1">
      <c r="A107" s="16" t="s">
        <v>15338</v>
      </c>
      <c r="B107" s="16" t="s">
        <v>15442</v>
      </c>
      <c r="C107" s="16" t="s">
        <v>15451</v>
      </c>
      <c r="D107" s="16" t="s">
        <v>3440</v>
      </c>
      <c r="E107" s="16" t="s">
        <v>3435</v>
      </c>
      <c r="F107" s="16" t="s">
        <v>11422</v>
      </c>
      <c r="G107" s="16" t="s">
        <v>3376</v>
      </c>
      <c r="H107" s="16" t="s">
        <v>11893</v>
      </c>
      <c r="I107" s="21">
        <v>2.4242978441599099E-2</v>
      </c>
      <c r="J107" s="21">
        <v>1.6252321425375402E-2</v>
      </c>
      <c r="K107" s="21">
        <v>-3.7799999999975901E-2</v>
      </c>
      <c r="L107" s="22">
        <f>_xlfn.VAR.S(INDEX($I:$I,INT((ROW()-2)/3)*3+2):INDEX($I:$I,INT((ROW()-2)/3)*3+4))</f>
        <v>2.9739447759199276E-8</v>
      </c>
      <c r="M107" s="22">
        <f>_xlfn.VAR.S(INDEX($J:$J,INT((ROW()-2)/3)*3+2):INDEX($J:$J,INT((ROW()-2)/3)*3+4))</f>
        <v>3.5897038615801562E-6</v>
      </c>
      <c r="N107" s="22">
        <f>_xlfn.VAR.S(INDEX($K:$K,INT((ROW()-2)/3)*3+2):INDEX($K:$K,INT((ROW()-2)/3)*3+4))</f>
        <v>1.3293333333285859E-5</v>
      </c>
    </row>
    <row r="108" spans="1:14">
      <c r="A108" t="s">
        <v>15338</v>
      </c>
      <c r="B108" t="s">
        <v>15442</v>
      </c>
      <c r="C108" t="s">
        <v>15451</v>
      </c>
      <c r="D108" t="s">
        <v>3438</v>
      </c>
      <c r="E108" t="s">
        <v>3429</v>
      </c>
      <c r="F108" t="s">
        <v>11016</v>
      </c>
      <c r="G108" t="s">
        <v>3366</v>
      </c>
      <c r="H108" t="s">
        <v>11893</v>
      </c>
      <c r="I108" s="11">
        <v>2.4448404967794098E-2</v>
      </c>
      <c r="J108" s="11">
        <v>1.4037701206483601E-2</v>
      </c>
      <c r="K108" s="11">
        <v>-3.0599999999992598E-2</v>
      </c>
      <c r="L108" s="12">
        <f>_xlfn.VAR.S(INDEX($I:$I,INT((ROW()-2)/3)*3+2):INDEX($I:$I,INT((ROW()-2)/3)*3+4))</f>
        <v>2.9739447759199276E-8</v>
      </c>
      <c r="M108" s="12">
        <f>_xlfn.VAR.S(INDEX($J:$J,INT((ROW()-2)/3)*3+2):INDEX($J:$J,INT((ROW()-2)/3)*3+4))</f>
        <v>3.5897038615801562E-6</v>
      </c>
      <c r="N108" s="12">
        <f>_xlfn.VAR.S(INDEX($K:$K,INT((ROW()-2)/3)*3+2):INDEX($K:$K,INT((ROW()-2)/3)*3+4))</f>
        <v>1.3293333333285859E-5</v>
      </c>
    </row>
    <row r="109" spans="1:14">
      <c r="A109" t="s">
        <v>15338</v>
      </c>
      <c r="B109" t="s">
        <v>15442</v>
      </c>
      <c r="C109" t="s">
        <v>15451</v>
      </c>
      <c r="D109" t="s">
        <v>3438</v>
      </c>
      <c r="E109" t="s">
        <v>3429</v>
      </c>
      <c r="F109" t="s">
        <v>11248</v>
      </c>
      <c r="G109" t="s">
        <v>3366</v>
      </c>
      <c r="H109" t="s">
        <v>11893</v>
      </c>
      <c r="I109" s="11">
        <v>2.4105757755391401E-2</v>
      </c>
      <c r="J109" s="11">
        <v>1.2482173628555899E-2</v>
      </c>
      <c r="K109" s="11">
        <v>-3.5200000000003201E-2</v>
      </c>
      <c r="L109" s="12">
        <f>_xlfn.VAR.S(INDEX($I:$I,INT((ROW()-2)/3)*3+2):INDEX($I:$I,INT((ROW()-2)/3)*3+4))</f>
        <v>2.9739447759199276E-8</v>
      </c>
      <c r="M109" s="12">
        <f>_xlfn.VAR.S(INDEX($J:$J,INT((ROW()-2)/3)*3+2):INDEX($J:$J,INT((ROW()-2)/3)*3+4))</f>
        <v>3.5897038615801562E-6</v>
      </c>
      <c r="N109" s="12">
        <f>_xlfn.VAR.S(INDEX($K:$K,INT((ROW()-2)/3)*3+2):INDEX($K:$K,INT((ROW()-2)/3)*3+4))</f>
        <v>1.3293333333285859E-5</v>
      </c>
    </row>
    <row r="110" spans="1:14" s="16" customFormat="1" hidden="1">
      <c r="A110" s="16" t="s">
        <v>15338</v>
      </c>
      <c r="B110" s="16" t="s">
        <v>15443</v>
      </c>
      <c r="C110" s="16" t="s">
        <v>15452</v>
      </c>
      <c r="D110" s="16" t="s">
        <v>3492</v>
      </c>
      <c r="E110" s="16" t="s">
        <v>3599</v>
      </c>
      <c r="F110" s="16" t="s">
        <v>10982</v>
      </c>
      <c r="G110" s="16" t="s">
        <v>3375</v>
      </c>
      <c r="H110" s="16" t="s">
        <v>11901</v>
      </c>
      <c r="I110" s="21">
        <v>0.10089646914950801</v>
      </c>
      <c r="J110" s="21">
        <v>-9.6181098712124505E-2</v>
      </c>
      <c r="K110" s="21">
        <v>5.4800000000000203E-2</v>
      </c>
      <c r="L110" s="22">
        <f>_xlfn.VAR.S(INDEX($I:$I,INT((ROW()-2)/3)*3+2):INDEX($I:$I,INT((ROW()-2)/3)*3+4))</f>
        <v>7.1466755102305574E-4</v>
      </c>
      <c r="M110" s="22">
        <f>_xlfn.VAR.S(INDEX($J:$J,INT((ROW()-2)/3)*3+2):INDEX($J:$J,INT((ROW()-2)/3)*3+4))</f>
        <v>4.4699019927453391E-4</v>
      </c>
      <c r="N110" s="22">
        <f>_xlfn.VAR.S(INDEX($K:$K,INT((ROW()-2)/3)*3+2):INDEX($K:$K,INT((ROW()-2)/3)*3+4))</f>
        <v>6.1971700000012751E-3</v>
      </c>
    </row>
    <row r="111" spans="1:14" hidden="1">
      <c r="A111" t="s">
        <v>15338</v>
      </c>
      <c r="B111" t="s">
        <v>15443</v>
      </c>
      <c r="C111" t="s">
        <v>15452</v>
      </c>
      <c r="D111" t="s">
        <v>3493</v>
      </c>
      <c r="E111" t="s">
        <v>3647</v>
      </c>
      <c r="F111" t="s">
        <v>11423</v>
      </c>
      <c r="G111" t="s">
        <v>3366</v>
      </c>
      <c r="H111" t="s">
        <v>11903</v>
      </c>
      <c r="I111" s="11">
        <v>5.1934697031000399E-2</v>
      </c>
      <c r="J111" s="11">
        <v>-5.6025018376518999E-2</v>
      </c>
      <c r="K111" s="11">
        <v>0.106300000000005</v>
      </c>
      <c r="L111" s="12">
        <f>_xlfn.VAR.S(INDEX($I:$I,INT((ROW()-2)/3)*3+2):INDEX($I:$I,INT((ROW()-2)/3)*3+4))</f>
        <v>7.1466755102305574E-4</v>
      </c>
      <c r="M111" s="12">
        <f>_xlfn.VAR.S(INDEX($J:$J,INT((ROW()-2)/3)*3+2):INDEX($J:$J,INT((ROW()-2)/3)*3+4))</f>
        <v>4.4699019927453391E-4</v>
      </c>
      <c r="N111" s="12">
        <f>_xlfn.VAR.S(INDEX($K:$K,INT((ROW()-2)/3)*3+2):INDEX($K:$K,INT((ROW()-2)/3)*3+4))</f>
        <v>6.1971700000012751E-3</v>
      </c>
    </row>
    <row r="112" spans="1:14" hidden="1">
      <c r="A112" t="s">
        <v>15338</v>
      </c>
      <c r="B112" t="s">
        <v>15443</v>
      </c>
      <c r="C112" t="s">
        <v>15452</v>
      </c>
      <c r="D112" t="s">
        <v>3494</v>
      </c>
      <c r="E112" t="s">
        <v>3648</v>
      </c>
      <c r="F112" t="s">
        <v>11424</v>
      </c>
      <c r="G112" t="s">
        <v>3366</v>
      </c>
      <c r="H112" t="s">
        <v>11903</v>
      </c>
      <c r="I112" s="11">
        <v>9.5018306179379203E-2</v>
      </c>
      <c r="J112" s="11">
        <v>-6.4631898756231307E-2</v>
      </c>
      <c r="K112" s="11">
        <v>0.20940000000001599</v>
      </c>
      <c r="L112" s="12">
        <f>_xlfn.VAR.S(INDEX($I:$I,INT((ROW()-2)/3)*3+2):INDEX($I:$I,INT((ROW()-2)/3)*3+4))</f>
        <v>7.1466755102305574E-4</v>
      </c>
      <c r="M112" s="12">
        <f>_xlfn.VAR.S(INDEX($J:$J,INT((ROW()-2)/3)*3+2):INDEX($J:$J,INT((ROW()-2)/3)*3+4))</f>
        <v>4.4699019927453391E-4</v>
      </c>
      <c r="N112" s="12">
        <f>_xlfn.VAR.S(INDEX($K:$K,INT((ROW()-2)/3)*3+2):INDEX($K:$K,INT((ROW()-2)/3)*3+4))</f>
        <v>6.1971700000012751E-3</v>
      </c>
    </row>
    <row r="113" spans="1:14" s="16" customFormat="1" hidden="1">
      <c r="A113" s="16" t="s">
        <v>15338</v>
      </c>
      <c r="B113" s="16" t="s">
        <v>15443</v>
      </c>
      <c r="C113" s="16" t="s">
        <v>15474</v>
      </c>
      <c r="D113" s="16" t="s">
        <v>3491</v>
      </c>
      <c r="E113" s="16" t="s">
        <v>3649</v>
      </c>
      <c r="F113" s="16" t="s">
        <v>11425</v>
      </c>
      <c r="G113" s="16" t="s">
        <v>3377</v>
      </c>
      <c r="H113" s="16" t="s">
        <v>11903</v>
      </c>
      <c r="I113" s="21">
        <v>8.3701031483619404E-2</v>
      </c>
      <c r="J113" s="21">
        <v>-0.143855113955105</v>
      </c>
      <c r="K113" s="21">
        <v>0.36400000000000399</v>
      </c>
      <c r="L113" s="22">
        <f>_xlfn.VAR.S(INDEX($I:$I,INT((ROW()-2)/3)*3+2):INDEX($I:$I,INT((ROW()-2)/3)*3+4))</f>
        <v>8.5051917974082107E-5</v>
      </c>
      <c r="M113" s="22">
        <f>_xlfn.VAR.S(INDEX($J:$J,INT((ROW()-2)/3)*3+2):INDEX($J:$J,INT((ROW()-2)/3)*3+4))</f>
        <v>4.259206432206091E-5</v>
      </c>
      <c r="N113" s="22">
        <f>_xlfn.VAR.S(INDEX($K:$K,INT((ROW()-2)/3)*3+2):INDEX($K:$K,INT((ROW()-2)/3)*3+4))</f>
        <v>1.6710633333331623E-3</v>
      </c>
    </row>
    <row r="114" spans="1:14" hidden="1">
      <c r="A114" t="s">
        <v>15338</v>
      </c>
      <c r="B114" t="s">
        <v>15443</v>
      </c>
      <c r="C114" t="s">
        <v>15474</v>
      </c>
      <c r="D114" t="s">
        <v>3495</v>
      </c>
      <c r="E114" t="s">
        <v>3650</v>
      </c>
      <c r="F114" t="s">
        <v>11426</v>
      </c>
      <c r="G114" t="s">
        <v>3366</v>
      </c>
      <c r="H114" t="s">
        <v>11903</v>
      </c>
      <c r="I114" s="11">
        <v>9.0127268192345997E-2</v>
      </c>
      <c r="J114" s="11">
        <v>-0.14259184675203199</v>
      </c>
      <c r="K114" s="11">
        <v>0.349299999999999</v>
      </c>
      <c r="L114" s="12">
        <f>_xlfn.VAR.S(INDEX($I:$I,INT((ROW()-2)/3)*3+2):INDEX($I:$I,INT((ROW()-2)/3)*3+4))</f>
        <v>8.5051917974082107E-5</v>
      </c>
      <c r="M114" s="12">
        <f>_xlfn.VAR.S(INDEX($J:$J,INT((ROW()-2)/3)*3+2):INDEX($J:$J,INT((ROW()-2)/3)*3+4))</f>
        <v>4.259206432206091E-5</v>
      </c>
      <c r="N114" s="12">
        <f>_xlfn.VAR.S(INDEX($K:$K,INT((ROW()-2)/3)*3+2):INDEX($K:$K,INT((ROW()-2)/3)*3+4))</f>
        <v>1.6710633333331623E-3</v>
      </c>
    </row>
    <row r="115" spans="1:14" hidden="1">
      <c r="A115" t="s">
        <v>15338</v>
      </c>
      <c r="B115" t="s">
        <v>15443</v>
      </c>
      <c r="C115" t="s">
        <v>15474</v>
      </c>
      <c r="D115" t="s">
        <v>3496</v>
      </c>
      <c r="E115" t="s">
        <v>3501</v>
      </c>
      <c r="F115" t="s">
        <v>10747</v>
      </c>
      <c r="G115" t="s">
        <v>3366</v>
      </c>
      <c r="H115" t="s">
        <v>11903</v>
      </c>
      <c r="I115" s="11">
        <v>0.101886903934835</v>
      </c>
      <c r="J115" s="11">
        <v>-0.13197273326964501</v>
      </c>
      <c r="K115" s="11">
        <v>0.28700000000000597</v>
      </c>
      <c r="L115" s="12">
        <f>_xlfn.VAR.S(INDEX($I:$I,INT((ROW()-2)/3)*3+2):INDEX($I:$I,INT((ROW()-2)/3)*3+4))</f>
        <v>8.5051917974082107E-5</v>
      </c>
      <c r="M115" s="12">
        <f>_xlfn.VAR.S(INDEX($J:$J,INT((ROW()-2)/3)*3+2):INDEX($J:$J,INT((ROW()-2)/3)*3+4))</f>
        <v>4.259206432206091E-5</v>
      </c>
      <c r="N115" s="12">
        <f>_xlfn.VAR.S(INDEX($K:$K,INT((ROW()-2)/3)*3+2):INDEX($K:$K,INT((ROW()-2)/3)*3+4))</f>
        <v>1.6710633333331623E-3</v>
      </c>
    </row>
    <row r="116" spans="1:14" s="16" customFormat="1" hidden="1">
      <c r="A116" s="16" t="s">
        <v>15368</v>
      </c>
      <c r="B116" s="16" t="s">
        <v>15441</v>
      </c>
      <c r="C116" s="16" t="s">
        <v>15445</v>
      </c>
      <c r="D116" s="16" t="s">
        <v>3443</v>
      </c>
      <c r="E116" s="16" t="s">
        <v>3427</v>
      </c>
      <c r="F116" s="16" t="s">
        <v>10796</v>
      </c>
      <c r="G116" s="16" t="s">
        <v>3366</v>
      </c>
      <c r="H116" s="16" t="s">
        <v>11885</v>
      </c>
      <c r="I116" s="21">
        <v>-3.8119701667580601E-2</v>
      </c>
      <c r="J116" s="21">
        <v>-5.5490228385472698E-2</v>
      </c>
      <c r="K116" s="21">
        <v>-2.4899999999988199E-2</v>
      </c>
      <c r="L116" s="23" t="s">
        <v>15528</v>
      </c>
      <c r="M116" s="23" t="s">
        <v>15528</v>
      </c>
      <c r="N116" s="23" t="s">
        <v>15528</v>
      </c>
    </row>
    <row r="117" spans="1:14" s="16" customFormat="1" hidden="1">
      <c r="A117" s="16" t="s">
        <v>15368</v>
      </c>
      <c r="B117" s="16" t="s">
        <v>15441</v>
      </c>
      <c r="C117" s="16" t="s">
        <v>15446</v>
      </c>
      <c r="D117" s="16" t="s">
        <v>3443</v>
      </c>
      <c r="E117" s="16" t="s">
        <v>3428</v>
      </c>
      <c r="F117" s="16" t="s">
        <v>10797</v>
      </c>
      <c r="G117" s="16" t="s">
        <v>3366</v>
      </c>
      <c r="H117" s="16" t="s">
        <v>11890</v>
      </c>
      <c r="I117" s="21">
        <v>-3.6402028410398198E-2</v>
      </c>
      <c r="J117" s="21">
        <v>-5.64231173344888E-2</v>
      </c>
      <c r="K117" s="21">
        <v>-1.20000000000005E-2</v>
      </c>
      <c r="L117" s="22"/>
      <c r="M117" s="22"/>
      <c r="N117" s="22"/>
    </row>
    <row r="118" spans="1:14" s="16" customFormat="1" hidden="1">
      <c r="A118" s="16" t="s">
        <v>15368</v>
      </c>
      <c r="B118" s="16" t="s">
        <v>15441</v>
      </c>
      <c r="C118" s="16" t="s">
        <v>15447</v>
      </c>
      <c r="D118" s="16" t="s">
        <v>3438</v>
      </c>
      <c r="E118" s="16" t="s">
        <v>3435</v>
      </c>
      <c r="F118" s="16" t="s">
        <v>10798</v>
      </c>
      <c r="G118" s="16" t="s">
        <v>3389</v>
      </c>
      <c r="H118" s="16" t="s">
        <v>11909</v>
      </c>
      <c r="I118" s="21">
        <v>-3.1598022797810599E-2</v>
      </c>
      <c r="J118" s="21">
        <v>-5.7299852816497E-2</v>
      </c>
      <c r="K118" s="21">
        <v>-4.6199999999998902E-2</v>
      </c>
      <c r="L118" s="22"/>
      <c r="M118" s="22"/>
      <c r="N118" s="22"/>
    </row>
    <row r="119" spans="1:14" s="16" customFormat="1" hidden="1">
      <c r="A119" s="16" t="s">
        <v>15368</v>
      </c>
      <c r="B119" s="16" t="s">
        <v>15441</v>
      </c>
      <c r="C119" s="16" t="s">
        <v>15448</v>
      </c>
      <c r="D119" s="16" t="s">
        <v>3425</v>
      </c>
      <c r="E119" s="16" t="s">
        <v>3465</v>
      </c>
      <c r="F119" s="16" t="s">
        <v>10757</v>
      </c>
      <c r="G119" s="16" t="s">
        <v>3366</v>
      </c>
      <c r="H119" s="16" t="s">
        <v>11893</v>
      </c>
      <c r="I119" s="21">
        <v>-6.6651949255262105E-2</v>
      </c>
      <c r="J119" s="21">
        <v>-7.7283579247201403E-2</v>
      </c>
      <c r="K119" s="21">
        <v>-6.1699999999987702E-2</v>
      </c>
      <c r="L119" s="22"/>
      <c r="M119" s="22"/>
      <c r="N119" s="22"/>
    </row>
    <row r="120" spans="1:14" s="16" customFormat="1" hidden="1">
      <c r="A120" s="16" t="s">
        <v>15368</v>
      </c>
      <c r="B120" s="16" t="s">
        <v>15441</v>
      </c>
      <c r="C120" s="16" t="s">
        <v>15449</v>
      </c>
      <c r="D120" s="16" t="s">
        <v>3440</v>
      </c>
      <c r="E120" s="16" t="s">
        <v>3435</v>
      </c>
      <c r="F120" s="16" t="s">
        <v>10799</v>
      </c>
      <c r="G120" s="16" t="s">
        <v>3366</v>
      </c>
      <c r="H120" s="16" t="s">
        <v>11891</v>
      </c>
      <c r="I120" s="21">
        <v>-6.6740626431585903E-2</v>
      </c>
      <c r="J120" s="21">
        <v>-8.0049394116457603E-2</v>
      </c>
      <c r="K120" s="21">
        <v>-5.7599999999993698E-2</v>
      </c>
      <c r="L120" s="22"/>
      <c r="M120" s="22"/>
      <c r="N120" s="22"/>
    </row>
    <row r="121" spans="1:14" s="16" customFormat="1">
      <c r="A121" s="16" t="s">
        <v>15368</v>
      </c>
      <c r="B121" s="16" t="s">
        <v>15442</v>
      </c>
      <c r="C121" s="16" t="s">
        <v>15450</v>
      </c>
      <c r="D121" s="16" t="s">
        <v>3440</v>
      </c>
      <c r="E121" s="16" t="s">
        <v>3425</v>
      </c>
      <c r="F121" s="16" t="s">
        <v>10800</v>
      </c>
      <c r="G121" s="16" t="s">
        <v>3366</v>
      </c>
      <c r="H121" s="16" t="s">
        <v>11903</v>
      </c>
      <c r="I121" s="21">
        <v>-6.0254923529484798E-2</v>
      </c>
      <c r="J121" s="21">
        <v>-7.9446740469808194E-2</v>
      </c>
      <c r="K121" s="21">
        <v>-6.7399999999992105E-2</v>
      </c>
      <c r="L121" s="22"/>
      <c r="M121" s="22"/>
      <c r="N121" s="22"/>
    </row>
    <row r="122" spans="1:14" s="16" customFormat="1">
      <c r="A122" s="16" t="s">
        <v>15368</v>
      </c>
      <c r="B122" s="16" t="s">
        <v>15442</v>
      </c>
      <c r="C122" s="16" t="s">
        <v>15445</v>
      </c>
      <c r="D122" s="16" t="s">
        <v>3439</v>
      </c>
      <c r="E122" s="16" t="s">
        <v>3427</v>
      </c>
      <c r="F122" s="16" t="s">
        <v>10724</v>
      </c>
      <c r="G122" s="16" t="s">
        <v>3366</v>
      </c>
      <c r="H122" s="16" t="s">
        <v>11903</v>
      </c>
      <c r="I122" s="21">
        <v>-5.6927417566638001E-2</v>
      </c>
      <c r="J122" s="21">
        <v>-8.4414728186751095E-2</v>
      </c>
      <c r="K122" s="21">
        <v>-4.0999999999996803E-2</v>
      </c>
      <c r="L122" s="22"/>
      <c r="M122" s="22"/>
      <c r="N122" s="22"/>
    </row>
    <row r="123" spans="1:14" s="16" customFormat="1">
      <c r="A123" s="16" t="s">
        <v>15368</v>
      </c>
      <c r="B123" s="16" t="s">
        <v>15442</v>
      </c>
      <c r="C123" s="16" t="s">
        <v>15451</v>
      </c>
      <c r="D123" s="16" t="s">
        <v>3457</v>
      </c>
      <c r="E123" s="16" t="s">
        <v>3440</v>
      </c>
      <c r="F123" s="16" t="s">
        <v>10801</v>
      </c>
      <c r="G123" s="16" t="s">
        <v>3366</v>
      </c>
      <c r="H123" s="16" t="s">
        <v>11893</v>
      </c>
      <c r="I123" s="21">
        <v>-5.8467827676404002E-2</v>
      </c>
      <c r="J123" s="21">
        <v>-8.1459035665962798E-2</v>
      </c>
      <c r="K123" s="21">
        <v>-3.2699999999991299E-2</v>
      </c>
      <c r="L123" s="22"/>
      <c r="M123" s="22"/>
      <c r="N123" s="22"/>
    </row>
    <row r="124" spans="1:14" s="16" customFormat="1" hidden="1">
      <c r="A124" s="16" t="s">
        <v>15368</v>
      </c>
      <c r="B124" s="16" t="s">
        <v>15443</v>
      </c>
      <c r="C124" s="16" t="s">
        <v>15452</v>
      </c>
      <c r="D124" s="16" t="s">
        <v>3439</v>
      </c>
      <c r="E124" s="16" t="s">
        <v>3428</v>
      </c>
      <c r="F124" s="16" t="s">
        <v>10535</v>
      </c>
      <c r="G124" s="16" t="s">
        <v>3366</v>
      </c>
      <c r="H124" s="16" t="s">
        <v>11903</v>
      </c>
      <c r="I124" s="21">
        <v>-6.2011556835350798E-2</v>
      </c>
      <c r="J124" s="21">
        <v>-7.3669279074008095E-2</v>
      </c>
      <c r="K124" s="21">
        <v>6.6500000000004902E-2</v>
      </c>
      <c r="L124" s="22"/>
      <c r="M124" s="22"/>
      <c r="N124" s="22"/>
    </row>
    <row r="125" spans="1:14" s="16" customFormat="1" hidden="1">
      <c r="A125" s="16" t="s">
        <v>15376</v>
      </c>
      <c r="B125" s="16" t="s">
        <v>15441</v>
      </c>
      <c r="C125" s="16" t="s">
        <v>15445</v>
      </c>
      <c r="D125" s="16" t="s">
        <v>3425</v>
      </c>
      <c r="E125" s="16" t="s">
        <v>3453</v>
      </c>
      <c r="F125" s="16" t="s">
        <v>10850</v>
      </c>
      <c r="G125" s="16" t="s">
        <v>3366</v>
      </c>
      <c r="H125" s="16" t="s">
        <v>11890</v>
      </c>
      <c r="I125" s="21">
        <v>7.6166366455750201E-2</v>
      </c>
      <c r="J125" s="21">
        <v>-0.152579848902298</v>
      </c>
      <c r="K125" s="21">
        <v>1.56000000000063E-2</v>
      </c>
      <c r="L125" s="22"/>
      <c r="M125" s="22"/>
      <c r="N125" s="22"/>
    </row>
    <row r="126" spans="1:14" s="16" customFormat="1" hidden="1">
      <c r="A126" s="16" t="s">
        <v>15376</v>
      </c>
      <c r="B126" s="16" t="s">
        <v>15441</v>
      </c>
      <c r="C126" s="16" t="s">
        <v>15446</v>
      </c>
      <c r="D126" s="16" t="s">
        <v>3434</v>
      </c>
      <c r="E126" s="16" t="s">
        <v>3463</v>
      </c>
      <c r="F126" s="16" t="s">
        <v>10851</v>
      </c>
      <c r="G126" s="16" t="s">
        <v>3366</v>
      </c>
      <c r="H126" s="16" t="s">
        <v>11890</v>
      </c>
      <c r="I126" s="21">
        <v>8.9865134322827597E-2</v>
      </c>
      <c r="J126" s="21">
        <v>-0.15663667119803801</v>
      </c>
      <c r="K126" s="21">
        <v>1.53000000000247E-2</v>
      </c>
      <c r="L126" s="22"/>
      <c r="M126" s="22"/>
      <c r="N126" s="22"/>
    </row>
    <row r="127" spans="1:14" s="16" customFormat="1" hidden="1">
      <c r="A127" s="16" t="s">
        <v>15376</v>
      </c>
      <c r="B127" s="16" t="s">
        <v>15441</v>
      </c>
      <c r="C127" s="16" t="s">
        <v>15447</v>
      </c>
      <c r="D127" s="16" t="s">
        <v>3429</v>
      </c>
      <c r="E127" s="16" t="s">
        <v>3460</v>
      </c>
      <c r="F127" s="16" t="s">
        <v>10852</v>
      </c>
      <c r="G127" s="16" t="s">
        <v>3366</v>
      </c>
      <c r="H127" s="16" t="s">
        <v>11892</v>
      </c>
      <c r="I127" s="21">
        <v>9.0700936162500106E-2</v>
      </c>
      <c r="J127" s="21">
        <v>-0.14616237919158301</v>
      </c>
      <c r="K127" s="21">
        <v>1.62000000000262E-2</v>
      </c>
      <c r="L127" s="22"/>
      <c r="M127" s="22"/>
      <c r="N127" s="22"/>
    </row>
    <row r="128" spans="1:14" s="16" customFormat="1" hidden="1">
      <c r="A128" s="16" t="s">
        <v>15376</v>
      </c>
      <c r="B128" s="16" t="s">
        <v>15441</v>
      </c>
      <c r="C128" s="16" t="s">
        <v>15448</v>
      </c>
      <c r="D128" s="16" t="s">
        <v>3452</v>
      </c>
      <c r="E128" s="16" t="s">
        <v>3458</v>
      </c>
      <c r="F128" s="16" t="s">
        <v>10853</v>
      </c>
      <c r="G128" s="16" t="s">
        <v>3366</v>
      </c>
      <c r="H128" s="16" t="s">
        <v>11891</v>
      </c>
      <c r="I128" s="21">
        <v>8.4379668754793399E-2</v>
      </c>
      <c r="J128" s="21">
        <v>-0.14730332604520599</v>
      </c>
      <c r="K128" s="21">
        <v>3.72000000000412E-2</v>
      </c>
      <c r="L128" s="22"/>
      <c r="M128" s="22"/>
      <c r="N128" s="22"/>
    </row>
    <row r="129" spans="1:14" s="16" customFormat="1" hidden="1">
      <c r="A129" s="16" t="s">
        <v>15376</v>
      </c>
      <c r="B129" s="16" t="s">
        <v>15441</v>
      </c>
      <c r="C129" s="16" t="s">
        <v>15449</v>
      </c>
      <c r="D129" s="16" t="s">
        <v>3434</v>
      </c>
      <c r="E129" s="16" t="s">
        <v>3450</v>
      </c>
      <c r="F129" s="16" t="s">
        <v>10854</v>
      </c>
      <c r="G129" s="16" t="s">
        <v>3366</v>
      </c>
      <c r="H129" s="16" t="s">
        <v>11891</v>
      </c>
      <c r="I129" s="21">
        <v>8.2169397956281004E-2</v>
      </c>
      <c r="J129" s="21">
        <v>-0.148609291854676</v>
      </c>
      <c r="K129" s="21">
        <v>4.8800000000028397E-2</v>
      </c>
      <c r="L129" s="22"/>
      <c r="M129" s="22"/>
      <c r="N129" s="22"/>
    </row>
    <row r="130" spans="1:14" s="16" customFormat="1">
      <c r="A130" s="16" t="s">
        <v>15376</v>
      </c>
      <c r="B130" s="16" t="s">
        <v>15442</v>
      </c>
      <c r="C130" s="16" t="s">
        <v>15445</v>
      </c>
      <c r="D130" s="16" t="s">
        <v>3429</v>
      </c>
      <c r="E130" s="16" t="s">
        <v>3477</v>
      </c>
      <c r="F130" s="16" t="s">
        <v>10855</v>
      </c>
      <c r="G130" s="16" t="s">
        <v>3375</v>
      </c>
      <c r="H130" s="16" t="s">
        <v>11885</v>
      </c>
      <c r="I130" s="21">
        <v>0.10637206525453601</v>
      </c>
      <c r="J130" s="21">
        <v>-0.15173946142150699</v>
      </c>
      <c r="K130" s="21">
        <v>3.1800000000032497E-2</v>
      </c>
      <c r="L130" s="22"/>
      <c r="M130" s="22"/>
      <c r="N130" s="22"/>
    </row>
    <row r="131" spans="1:14" s="16" customFormat="1">
      <c r="A131" s="16" t="s">
        <v>15376</v>
      </c>
      <c r="B131" s="16" t="s">
        <v>15442</v>
      </c>
      <c r="C131" s="16" t="s">
        <v>15451</v>
      </c>
      <c r="D131" s="16" t="s">
        <v>3438</v>
      </c>
      <c r="E131" s="16" t="s">
        <v>3442</v>
      </c>
      <c r="F131" s="16" t="s">
        <v>3652</v>
      </c>
      <c r="G131" s="16" t="s">
        <v>3366</v>
      </c>
      <c r="H131" s="16" t="s">
        <v>11908</v>
      </c>
      <c r="I131" s="21">
        <v>9.4041155173089905E-2</v>
      </c>
      <c r="J131" s="21">
        <v>-0.138887701447416</v>
      </c>
      <c r="K131" s="21">
        <v>1.9900000000006898E-2</v>
      </c>
      <c r="L131" s="22"/>
      <c r="M131" s="22"/>
      <c r="N131" s="22"/>
    </row>
    <row r="132" spans="1:14" s="16" customFormat="1">
      <c r="A132" s="16" t="s">
        <v>15376</v>
      </c>
      <c r="B132" s="16" t="s">
        <v>15442</v>
      </c>
      <c r="C132" s="16" t="s">
        <v>15450</v>
      </c>
      <c r="D132" s="16" t="s">
        <v>3434</v>
      </c>
      <c r="E132" s="16" t="s">
        <v>3460</v>
      </c>
      <c r="F132" s="16" t="s">
        <v>10856</v>
      </c>
      <c r="G132" s="16" t="s">
        <v>3402</v>
      </c>
      <c r="H132" s="16" t="s">
        <v>11890</v>
      </c>
      <c r="I132" s="21">
        <v>0.14178628877252999</v>
      </c>
      <c r="J132" s="21">
        <v>-0.163261911314248</v>
      </c>
      <c r="K132" s="21">
        <v>-4.7899999999970098E-2</v>
      </c>
      <c r="L132" s="22"/>
      <c r="M132" s="22"/>
      <c r="N132" s="22"/>
    </row>
    <row r="133" spans="1:14" s="16" customFormat="1" hidden="1">
      <c r="A133" s="16" t="s">
        <v>15376</v>
      </c>
      <c r="B133" s="16" t="s">
        <v>15443</v>
      </c>
      <c r="C133" s="16" t="s">
        <v>15452</v>
      </c>
      <c r="D133" s="16" t="s">
        <v>3434</v>
      </c>
      <c r="E133" s="16" t="s">
        <v>3463</v>
      </c>
      <c r="F133" s="16" t="s">
        <v>10857</v>
      </c>
      <c r="G133" s="16" t="s">
        <v>3366</v>
      </c>
      <c r="H133" s="16" t="s">
        <v>11898</v>
      </c>
      <c r="I133" s="21">
        <v>8.4392528175214004E-2</v>
      </c>
      <c r="J133" s="21">
        <v>-0.14270269203386801</v>
      </c>
      <c r="K133" s="21">
        <v>0.20730000000003199</v>
      </c>
      <c r="L133" s="22"/>
      <c r="M133" s="22"/>
      <c r="N133" s="22"/>
    </row>
    <row r="134" spans="1:14" s="16" customFormat="1" hidden="1">
      <c r="A134" s="117" t="s">
        <v>15376</v>
      </c>
      <c r="B134" s="16" t="s">
        <v>15443</v>
      </c>
      <c r="C134" s="16" t="s">
        <v>15463</v>
      </c>
      <c r="D134" s="16" t="s">
        <v>3442</v>
      </c>
      <c r="E134" s="16" t="s">
        <v>3466</v>
      </c>
      <c r="F134" s="16" t="s">
        <v>10858</v>
      </c>
      <c r="G134" s="16" t="s">
        <v>3366</v>
      </c>
      <c r="H134" s="16" t="s">
        <v>11901</v>
      </c>
      <c r="I134" s="21">
        <v>8.39809211900822E-2</v>
      </c>
      <c r="J134" s="21">
        <v>-0.15240485476587401</v>
      </c>
      <c r="K134" s="21">
        <v>0.25760000000002498</v>
      </c>
      <c r="L134" s="22"/>
      <c r="M134" s="22"/>
      <c r="N134" s="22"/>
    </row>
    <row r="135" spans="1:14" s="16" customFormat="1" hidden="1">
      <c r="A135" s="16" t="s">
        <v>15375</v>
      </c>
      <c r="B135" s="16" t="s">
        <v>15441</v>
      </c>
      <c r="C135" s="16" t="s">
        <v>15445</v>
      </c>
      <c r="D135" s="16" t="s">
        <v>3427</v>
      </c>
      <c r="E135" s="16" t="s">
        <v>3434</v>
      </c>
      <c r="F135" s="16" t="s">
        <v>10835</v>
      </c>
      <c r="G135" s="16" t="s">
        <v>3366</v>
      </c>
      <c r="H135" s="16" t="s">
        <v>11885</v>
      </c>
      <c r="I135" s="21">
        <v>-4.1336518236623002E-2</v>
      </c>
      <c r="J135" s="21">
        <v>-0.113378232859007</v>
      </c>
      <c r="K135" s="21">
        <v>3.8600000000002403E-2</v>
      </c>
      <c r="L135" s="22"/>
      <c r="M135" s="22"/>
      <c r="N135" s="22"/>
    </row>
    <row r="136" spans="1:14" s="16" customFormat="1" hidden="1">
      <c r="A136" s="16" t="s">
        <v>15375</v>
      </c>
      <c r="B136" s="16" t="s">
        <v>15441</v>
      </c>
      <c r="C136" s="16" t="s">
        <v>15446</v>
      </c>
      <c r="D136" s="16" t="s">
        <v>3438</v>
      </c>
      <c r="E136" s="16" t="s">
        <v>3431</v>
      </c>
      <c r="F136" s="16" t="s">
        <v>10710</v>
      </c>
      <c r="G136" s="16" t="s">
        <v>3366</v>
      </c>
      <c r="H136" s="16" t="s">
        <v>11885</v>
      </c>
      <c r="I136" s="21">
        <v>-4.8229881552762699E-2</v>
      </c>
      <c r="J136" s="21">
        <v>-0.111281430065635</v>
      </c>
      <c r="K136" s="21">
        <v>4.4600000000002603E-2</v>
      </c>
      <c r="L136" s="22"/>
      <c r="M136" s="22"/>
      <c r="N136" s="22"/>
    </row>
    <row r="137" spans="1:14" s="16" customFormat="1" hidden="1">
      <c r="A137" s="16" t="s">
        <v>15375</v>
      </c>
      <c r="B137" s="16" t="s">
        <v>15441</v>
      </c>
      <c r="C137" s="16" t="s">
        <v>15447</v>
      </c>
      <c r="D137" s="16" t="s">
        <v>3462</v>
      </c>
      <c r="E137" s="16" t="s">
        <v>3467</v>
      </c>
      <c r="F137" s="16" t="s">
        <v>10836</v>
      </c>
      <c r="G137" s="16" t="s">
        <v>3383</v>
      </c>
      <c r="H137" s="16" t="s">
        <v>11887</v>
      </c>
      <c r="I137" s="21">
        <v>-5.38572074828935E-2</v>
      </c>
      <c r="J137" s="21">
        <v>-0.110422209049568</v>
      </c>
      <c r="K137" s="21">
        <v>7.5999999999993406E-2</v>
      </c>
      <c r="L137" s="22"/>
      <c r="M137" s="22"/>
      <c r="N137" s="22"/>
    </row>
    <row r="138" spans="1:14" s="16" customFormat="1" hidden="1">
      <c r="A138" s="16" t="s">
        <v>15375</v>
      </c>
      <c r="B138" s="16" t="s">
        <v>15441</v>
      </c>
      <c r="C138" s="16" t="s">
        <v>15448</v>
      </c>
      <c r="D138" s="16" t="s">
        <v>3462</v>
      </c>
      <c r="E138" s="16" t="s">
        <v>3477</v>
      </c>
      <c r="F138" s="16" t="s">
        <v>10837</v>
      </c>
      <c r="G138" s="16" t="s">
        <v>3366</v>
      </c>
      <c r="H138" s="16" t="s">
        <v>11914</v>
      </c>
      <c r="I138" s="21">
        <v>-4.8235323592825202E-2</v>
      </c>
      <c r="J138" s="21">
        <v>-0.109664674739803</v>
      </c>
      <c r="K138" s="21">
        <v>5.0099999999986301E-2</v>
      </c>
      <c r="L138" s="22"/>
      <c r="M138" s="22"/>
      <c r="N138" s="22"/>
    </row>
    <row r="139" spans="1:14" s="16" customFormat="1" hidden="1">
      <c r="A139" s="16" t="s">
        <v>15375</v>
      </c>
      <c r="B139" s="16" t="s">
        <v>15441</v>
      </c>
      <c r="C139" s="16" t="s">
        <v>15449</v>
      </c>
      <c r="D139" s="16" t="s">
        <v>3453</v>
      </c>
      <c r="E139" s="16" t="s">
        <v>3460</v>
      </c>
      <c r="F139" s="16" t="s">
        <v>10838</v>
      </c>
      <c r="G139" s="16" t="s">
        <v>3366</v>
      </c>
      <c r="H139" s="16" t="s">
        <v>11889</v>
      </c>
      <c r="I139" s="21">
        <v>-5.0887489314286098E-2</v>
      </c>
      <c r="J139" s="21">
        <v>-0.110911100210436</v>
      </c>
      <c r="K139" s="21">
        <v>3.07999999999993E-2</v>
      </c>
      <c r="L139" s="22"/>
      <c r="M139" s="22"/>
      <c r="N139" s="22"/>
    </row>
    <row r="140" spans="1:14" s="16" customFormat="1">
      <c r="A140" s="16" t="s">
        <v>15375</v>
      </c>
      <c r="B140" s="16" t="s">
        <v>15442</v>
      </c>
      <c r="C140" s="16" t="s">
        <v>15450</v>
      </c>
      <c r="D140" s="16" t="s">
        <v>3436</v>
      </c>
      <c r="E140" s="16" t="s">
        <v>3442</v>
      </c>
      <c r="F140" s="16" t="s">
        <v>10839</v>
      </c>
      <c r="G140" s="16" t="s">
        <v>3366</v>
      </c>
      <c r="H140" s="16" t="s">
        <v>11885</v>
      </c>
      <c r="I140" s="21">
        <v>-4.9469705113865697E-2</v>
      </c>
      <c r="J140" s="21">
        <v>-8.3768268895447598E-2</v>
      </c>
      <c r="K140" s="21">
        <v>-8.5000000000008E-2</v>
      </c>
      <c r="L140" s="22"/>
      <c r="M140" s="22"/>
      <c r="N140" s="22"/>
    </row>
    <row r="141" spans="1:14" s="16" customFormat="1">
      <c r="A141" s="16" t="s">
        <v>15375</v>
      </c>
      <c r="B141" s="16" t="s">
        <v>15442</v>
      </c>
      <c r="C141" s="16" t="s">
        <v>15445</v>
      </c>
      <c r="D141" s="16" t="s">
        <v>3436</v>
      </c>
      <c r="E141" s="16" t="s">
        <v>3435</v>
      </c>
      <c r="F141" s="16" t="s">
        <v>10840</v>
      </c>
      <c r="G141" s="16" t="s">
        <v>3366</v>
      </c>
      <c r="H141" s="16" t="s">
        <v>11885</v>
      </c>
      <c r="I141" s="21">
        <v>-4.91799081022158E-2</v>
      </c>
      <c r="J141" s="21">
        <v>-8.3845967733985602E-2</v>
      </c>
      <c r="K141" s="21">
        <v>-7.6200000000000004E-2</v>
      </c>
      <c r="L141" s="22"/>
      <c r="M141" s="22"/>
      <c r="N141" s="22"/>
    </row>
    <row r="142" spans="1:14" s="16" customFormat="1">
      <c r="A142" s="16" t="s">
        <v>15375</v>
      </c>
      <c r="B142" s="16" t="s">
        <v>15442</v>
      </c>
      <c r="C142" s="16" t="s">
        <v>15451</v>
      </c>
      <c r="D142" s="16" t="s">
        <v>3438</v>
      </c>
      <c r="E142" s="16" t="s">
        <v>3431</v>
      </c>
      <c r="F142" s="16" t="s">
        <v>3637</v>
      </c>
      <c r="G142" s="16" t="s">
        <v>3366</v>
      </c>
      <c r="H142" s="16" t="s">
        <v>11893</v>
      </c>
      <c r="I142" s="21">
        <v>-4.68549092705417E-2</v>
      </c>
      <c r="J142" s="21">
        <v>-9.2578390403175795E-2</v>
      </c>
      <c r="K142" s="21">
        <v>-8.69999999999891E-2</v>
      </c>
      <c r="L142" s="22"/>
      <c r="M142" s="22"/>
      <c r="N142" s="22"/>
    </row>
    <row r="143" spans="1:14" s="16" customFormat="1" hidden="1">
      <c r="A143" s="16" t="s">
        <v>15375</v>
      </c>
      <c r="B143" s="16" t="s">
        <v>15443</v>
      </c>
      <c r="C143" s="16" t="s">
        <v>15452</v>
      </c>
      <c r="D143" s="16" t="s">
        <v>3435</v>
      </c>
      <c r="E143" s="16" t="s">
        <v>3426</v>
      </c>
      <c r="F143" s="16" t="s">
        <v>10562</v>
      </c>
      <c r="G143" s="16" t="s">
        <v>3366</v>
      </c>
      <c r="H143" s="16" t="s">
        <v>11901</v>
      </c>
      <c r="I143" s="21">
        <v>-3.61032980936093E-2</v>
      </c>
      <c r="J143" s="21">
        <v>-8.8522938947050794E-2</v>
      </c>
      <c r="K143" s="21">
        <v>0.11899999999999999</v>
      </c>
      <c r="L143" s="22"/>
      <c r="M143" s="22"/>
      <c r="N143" s="22"/>
    </row>
    <row r="144" spans="1:14" s="16" customFormat="1" hidden="1">
      <c r="A144" s="16" t="s">
        <v>15372</v>
      </c>
      <c r="B144" s="16" t="s">
        <v>15441</v>
      </c>
      <c r="C144" s="16" t="s">
        <v>15445</v>
      </c>
      <c r="D144" s="16" t="s">
        <v>3438</v>
      </c>
      <c r="E144" s="16" t="s">
        <v>3425</v>
      </c>
      <c r="F144" s="16" t="s">
        <v>10817</v>
      </c>
      <c r="G144" s="16" t="s">
        <v>3366</v>
      </c>
      <c r="H144" s="16" t="s">
        <v>11890</v>
      </c>
      <c r="I144" s="21">
        <v>-7.99029227470862E-2</v>
      </c>
      <c r="J144" s="21">
        <v>7.7859045704382901E-2</v>
      </c>
      <c r="K144" s="21">
        <v>7.2500000000005102E-2</v>
      </c>
      <c r="L144" s="22"/>
      <c r="M144" s="22"/>
      <c r="N144" s="22"/>
    </row>
    <row r="145" spans="1:14" s="16" customFormat="1" hidden="1">
      <c r="A145" s="16" t="s">
        <v>15372</v>
      </c>
      <c r="B145" s="16" t="s">
        <v>15441</v>
      </c>
      <c r="C145" s="16" t="s">
        <v>15446</v>
      </c>
      <c r="D145" s="16" t="s">
        <v>3428</v>
      </c>
      <c r="E145" s="16" t="s">
        <v>3435</v>
      </c>
      <c r="F145" s="16" t="s">
        <v>10812</v>
      </c>
      <c r="G145" s="16" t="s">
        <v>3366</v>
      </c>
      <c r="H145" s="16" t="s">
        <v>11885</v>
      </c>
      <c r="I145" s="21">
        <v>-7.6044291639573297E-2</v>
      </c>
      <c r="J145" s="21">
        <v>8.1271484291764298E-2</v>
      </c>
      <c r="K145" s="21">
        <v>5.1999999999992497E-2</v>
      </c>
      <c r="L145" s="22"/>
      <c r="M145" s="22"/>
      <c r="N145" s="22"/>
    </row>
    <row r="146" spans="1:14" s="16" customFormat="1" hidden="1">
      <c r="A146" s="16" t="s">
        <v>15372</v>
      </c>
      <c r="B146" s="16" t="s">
        <v>15441</v>
      </c>
      <c r="C146" s="16" t="s">
        <v>15447</v>
      </c>
      <c r="D146" s="16" t="s">
        <v>3429</v>
      </c>
      <c r="E146" s="16" t="s">
        <v>3461</v>
      </c>
      <c r="F146" s="16" t="s">
        <v>10818</v>
      </c>
      <c r="G146" s="16" t="s">
        <v>3366</v>
      </c>
      <c r="H146" s="16" t="s">
        <v>11887</v>
      </c>
      <c r="I146" s="21">
        <v>-8.3236956525606906E-2</v>
      </c>
      <c r="J146" s="21">
        <v>7.4374624347999199E-2</v>
      </c>
      <c r="K146" s="21">
        <v>7.5400000000001896E-2</v>
      </c>
      <c r="L146" s="22"/>
      <c r="M146" s="22"/>
      <c r="N146" s="22"/>
    </row>
    <row r="147" spans="1:14" s="16" customFormat="1" hidden="1">
      <c r="A147" s="16" t="s">
        <v>15372</v>
      </c>
      <c r="B147" s="16" t="s">
        <v>15441</v>
      </c>
      <c r="C147" s="16" t="s">
        <v>15448</v>
      </c>
      <c r="D147" s="16" t="s">
        <v>3432</v>
      </c>
      <c r="E147" s="16" t="s">
        <v>3563</v>
      </c>
      <c r="F147" s="16" t="s">
        <v>3651</v>
      </c>
      <c r="G147" s="16" t="s">
        <v>3366</v>
      </c>
      <c r="H147" s="16" t="s">
        <v>11891</v>
      </c>
      <c r="I147" s="21">
        <v>-6.0989009571460397E-2</v>
      </c>
      <c r="J147" s="21">
        <v>7.7825528478751099E-2</v>
      </c>
      <c r="K147" s="21">
        <v>3.4999999999996603E-2</v>
      </c>
      <c r="L147" s="22"/>
      <c r="M147" s="22"/>
      <c r="N147" s="22"/>
    </row>
    <row r="148" spans="1:14" s="16" customFormat="1" hidden="1">
      <c r="A148" s="16" t="s">
        <v>15372</v>
      </c>
      <c r="B148" s="16" t="s">
        <v>15441</v>
      </c>
      <c r="C148" s="16" t="s">
        <v>15449</v>
      </c>
      <c r="D148" s="16" t="s">
        <v>3434</v>
      </c>
      <c r="E148" s="16" t="s">
        <v>3450</v>
      </c>
      <c r="F148" s="16" t="s">
        <v>10819</v>
      </c>
      <c r="G148" s="16" t="s">
        <v>3366</v>
      </c>
      <c r="H148" s="16" t="s">
        <v>11896</v>
      </c>
      <c r="I148" s="21">
        <v>-7.8937810255546706E-2</v>
      </c>
      <c r="J148" s="21">
        <v>6.7964310879472106E-2</v>
      </c>
      <c r="K148" s="21">
        <v>4.9899999999993797E-2</v>
      </c>
      <c r="L148" s="22"/>
      <c r="M148" s="22"/>
      <c r="N148" s="22"/>
    </row>
    <row r="149" spans="1:14" s="16" customFormat="1">
      <c r="A149" s="16" t="s">
        <v>15372</v>
      </c>
      <c r="B149" s="16" t="s">
        <v>15442</v>
      </c>
      <c r="C149" s="16" t="s">
        <v>15450</v>
      </c>
      <c r="D149" s="16" t="s">
        <v>3432</v>
      </c>
      <c r="E149" s="16" t="s">
        <v>3590</v>
      </c>
      <c r="F149" s="16" t="s">
        <v>10820</v>
      </c>
      <c r="G149" s="16" t="s">
        <v>3382</v>
      </c>
      <c r="H149" s="16" t="s">
        <v>11890</v>
      </c>
      <c r="I149" s="21">
        <v>-0.151822661753095</v>
      </c>
      <c r="J149" s="21">
        <v>0.113403820288569</v>
      </c>
      <c r="K149" s="21">
        <v>0.21200000000000299</v>
      </c>
      <c r="L149" s="22"/>
      <c r="M149" s="22"/>
      <c r="N149" s="22"/>
    </row>
    <row r="150" spans="1:14" s="16" customFormat="1">
      <c r="A150" s="16" t="s">
        <v>15372</v>
      </c>
      <c r="B150" s="16" t="s">
        <v>15442</v>
      </c>
      <c r="C150" s="16" t="s">
        <v>15445</v>
      </c>
      <c r="D150" s="16" t="s">
        <v>3438</v>
      </c>
      <c r="E150" s="16" t="s">
        <v>3431</v>
      </c>
      <c r="F150" s="16" t="s">
        <v>10762</v>
      </c>
      <c r="G150" s="16" t="s">
        <v>3366</v>
      </c>
      <c r="H150" s="16" t="s">
        <v>11890</v>
      </c>
      <c r="I150" s="21">
        <v>-8.7186035804822801E-2</v>
      </c>
      <c r="J150" s="21">
        <v>7.7423335172699004E-2</v>
      </c>
      <c r="K150" s="21">
        <v>1.9300000000001202E-2</v>
      </c>
      <c r="L150" s="22"/>
      <c r="M150" s="22"/>
      <c r="N150" s="22"/>
    </row>
    <row r="151" spans="1:14" s="16" customFormat="1">
      <c r="A151" s="16" t="s">
        <v>15372</v>
      </c>
      <c r="B151" s="16" t="s">
        <v>15442</v>
      </c>
      <c r="C151" s="16" t="s">
        <v>15451</v>
      </c>
      <c r="D151" s="16" t="s">
        <v>3439</v>
      </c>
      <c r="E151" s="16" t="s">
        <v>3428</v>
      </c>
      <c r="F151" s="16" t="s">
        <v>10704</v>
      </c>
      <c r="G151" s="16" t="s">
        <v>3366</v>
      </c>
      <c r="H151" s="16" t="s">
        <v>11889</v>
      </c>
      <c r="I151" s="21">
        <v>-7.4551307098398495E-2</v>
      </c>
      <c r="J151" s="21">
        <v>8.2423135281549001E-2</v>
      </c>
      <c r="K151" s="21">
        <v>2.2000000000005598E-2</v>
      </c>
      <c r="L151" s="22"/>
      <c r="M151" s="22"/>
      <c r="N151" s="22"/>
    </row>
    <row r="152" spans="1:14" s="16" customFormat="1" hidden="1">
      <c r="A152" s="16" t="s">
        <v>15372</v>
      </c>
      <c r="B152" s="16" t="s">
        <v>15443</v>
      </c>
      <c r="C152" s="16" t="s">
        <v>15452</v>
      </c>
      <c r="D152" s="16" t="s">
        <v>3440</v>
      </c>
      <c r="E152" s="16" t="s">
        <v>3434</v>
      </c>
      <c r="F152" s="16" t="s">
        <v>10821</v>
      </c>
      <c r="G152" s="16" t="s">
        <v>3366</v>
      </c>
      <c r="H152" s="16" t="s">
        <v>11894</v>
      </c>
      <c r="I152" s="21">
        <v>-6.1889035859890897E-2</v>
      </c>
      <c r="J152" s="21">
        <v>7.92168918408966E-2</v>
      </c>
      <c r="K152" s="21">
        <v>0.18859999999999399</v>
      </c>
      <c r="L152" s="22"/>
      <c r="M152" s="22"/>
      <c r="N152" s="22"/>
    </row>
    <row r="153" spans="1:14" s="16" customFormat="1" hidden="1">
      <c r="A153" s="16" t="s">
        <v>15374</v>
      </c>
      <c r="B153" s="16" t="s">
        <v>15441</v>
      </c>
      <c r="C153" s="16" t="s">
        <v>15445</v>
      </c>
      <c r="D153" s="16" t="s">
        <v>3452</v>
      </c>
      <c r="E153" s="16" t="s">
        <v>3460</v>
      </c>
      <c r="F153" s="16" t="s">
        <v>10828</v>
      </c>
      <c r="G153" s="16" t="s">
        <v>3387</v>
      </c>
      <c r="H153" s="16" t="s">
        <v>11902</v>
      </c>
      <c r="I153" s="21">
        <v>5.4099763813193001E-2</v>
      </c>
      <c r="J153" s="21">
        <v>-8.9206941419140998E-2</v>
      </c>
      <c r="K153" s="21">
        <v>-6.4499999999952706E-2</v>
      </c>
      <c r="L153" s="22"/>
      <c r="M153" s="22"/>
      <c r="N153" s="22"/>
    </row>
    <row r="154" spans="1:14" s="16" customFormat="1" hidden="1">
      <c r="A154" s="16" t="s">
        <v>15374</v>
      </c>
      <c r="B154" s="16" t="s">
        <v>15441</v>
      </c>
      <c r="C154" s="16" t="s">
        <v>15446</v>
      </c>
      <c r="D154" s="16" t="s">
        <v>3436</v>
      </c>
      <c r="E154" s="16" t="s">
        <v>3426</v>
      </c>
      <c r="F154" s="16" t="s">
        <v>10829</v>
      </c>
      <c r="G154" s="16" t="s">
        <v>3366</v>
      </c>
      <c r="H154" s="16" t="s">
        <v>11902</v>
      </c>
      <c r="I154" s="21">
        <v>5.3397262366008301E-2</v>
      </c>
      <c r="J154" s="21">
        <v>-8.9418155841814603E-2</v>
      </c>
      <c r="K154" s="21">
        <v>-6.8699999999978403E-2</v>
      </c>
      <c r="L154" s="22"/>
      <c r="M154" s="22"/>
      <c r="N154" s="22"/>
    </row>
    <row r="155" spans="1:14" s="16" customFormat="1" hidden="1">
      <c r="A155" s="16" t="s">
        <v>15374</v>
      </c>
      <c r="B155" s="16" t="s">
        <v>15441</v>
      </c>
      <c r="C155" s="16" t="s">
        <v>15448</v>
      </c>
      <c r="D155" s="16" t="s">
        <v>3433</v>
      </c>
      <c r="E155" s="16" t="s">
        <v>3458</v>
      </c>
      <c r="F155" s="16" t="s">
        <v>10830</v>
      </c>
      <c r="G155" s="16" t="s">
        <v>3366</v>
      </c>
      <c r="H155" s="16" t="s">
        <v>11910</v>
      </c>
      <c r="I155" s="21">
        <v>5.05230025153902E-2</v>
      </c>
      <c r="J155" s="21">
        <v>-8.2716390055178404E-2</v>
      </c>
      <c r="K155" s="21">
        <v>-6.1000000000035496E-3</v>
      </c>
      <c r="L155" s="22"/>
      <c r="M155" s="22"/>
      <c r="N155" s="22"/>
    </row>
    <row r="156" spans="1:14" s="16" customFormat="1" hidden="1">
      <c r="A156" s="16" t="s">
        <v>15374</v>
      </c>
      <c r="B156" s="16" t="s">
        <v>15441</v>
      </c>
      <c r="C156" s="16" t="s">
        <v>15449</v>
      </c>
      <c r="D156" s="16" t="s">
        <v>3442</v>
      </c>
      <c r="E156" s="16" t="s">
        <v>3466</v>
      </c>
      <c r="F156" s="16" t="s">
        <v>10831</v>
      </c>
      <c r="G156" s="16" t="s">
        <v>3366</v>
      </c>
      <c r="H156" s="16" t="s">
        <v>11896</v>
      </c>
      <c r="I156" s="21">
        <v>5.4287255213231599E-2</v>
      </c>
      <c r="J156" s="21">
        <v>-8.2884378056639701E-2</v>
      </c>
      <c r="K156" s="21">
        <v>1.0000000000332E-3</v>
      </c>
      <c r="L156" s="22"/>
      <c r="M156" s="22"/>
      <c r="N156" s="22"/>
    </row>
    <row r="157" spans="1:14" s="16" customFormat="1">
      <c r="A157" s="16" t="s">
        <v>15374</v>
      </c>
      <c r="B157" s="16" t="s">
        <v>15442</v>
      </c>
      <c r="C157" s="16" t="s">
        <v>15450</v>
      </c>
      <c r="D157" s="16" t="s">
        <v>3461</v>
      </c>
      <c r="E157" s="16" t="s">
        <v>3458</v>
      </c>
      <c r="F157" s="16" t="s">
        <v>10651</v>
      </c>
      <c r="G157" s="16" t="s">
        <v>3400</v>
      </c>
      <c r="H157" s="16" t="s">
        <v>11885</v>
      </c>
      <c r="I157" s="21">
        <v>4.6618539440664498E-2</v>
      </c>
      <c r="J157" s="21">
        <v>-9.5012224876312196E-2</v>
      </c>
      <c r="K157" s="21">
        <v>1.4100000000041701E-2</v>
      </c>
      <c r="L157" s="22"/>
      <c r="M157" s="22"/>
      <c r="N157" s="22"/>
    </row>
    <row r="158" spans="1:14" s="16" customFormat="1">
      <c r="A158" s="16" t="s">
        <v>15374</v>
      </c>
      <c r="B158" s="16" t="s">
        <v>15442</v>
      </c>
      <c r="C158" s="16" t="s">
        <v>15445</v>
      </c>
      <c r="D158" s="16" t="s">
        <v>3425</v>
      </c>
      <c r="E158" s="16" t="s">
        <v>3433</v>
      </c>
      <c r="F158" s="16" t="s">
        <v>10832</v>
      </c>
      <c r="G158" s="16" t="s">
        <v>3366</v>
      </c>
      <c r="H158" s="16" t="s">
        <v>11885</v>
      </c>
      <c r="I158" s="21">
        <v>6.0889830469911699E-2</v>
      </c>
      <c r="J158" s="21">
        <v>-9.9356360380015898E-2</v>
      </c>
      <c r="K158" s="21">
        <v>-5.2899999999965502E-2</v>
      </c>
      <c r="L158" s="22"/>
      <c r="M158" s="22"/>
      <c r="N158" s="22"/>
    </row>
    <row r="159" spans="1:14" s="16" customFormat="1">
      <c r="A159" s="16" t="s">
        <v>15374</v>
      </c>
      <c r="B159" s="16" t="s">
        <v>15442</v>
      </c>
      <c r="C159" s="16" t="s">
        <v>15451</v>
      </c>
      <c r="D159" s="16" t="s">
        <v>3427</v>
      </c>
      <c r="E159" s="16" t="s">
        <v>3435</v>
      </c>
      <c r="F159" s="16" t="s">
        <v>10833</v>
      </c>
      <c r="G159" s="16" t="s">
        <v>3366</v>
      </c>
      <c r="H159" s="16" t="s">
        <v>11896</v>
      </c>
      <c r="I159" s="21">
        <v>6.0734647296158198E-2</v>
      </c>
      <c r="J159" s="21">
        <v>-8.6728120749570897E-2</v>
      </c>
      <c r="K159" s="21">
        <v>-1.0299999999972401E-2</v>
      </c>
      <c r="L159" s="22"/>
      <c r="M159" s="22"/>
      <c r="N159" s="22"/>
    </row>
    <row r="160" spans="1:14" s="16" customFormat="1" hidden="1">
      <c r="A160" s="16" t="s">
        <v>15374</v>
      </c>
      <c r="B160" s="16" t="s">
        <v>15441</v>
      </c>
      <c r="C160" s="16" t="s">
        <v>15447</v>
      </c>
      <c r="D160" s="16" t="s">
        <v>3436</v>
      </c>
      <c r="E160" s="16" t="s">
        <v>3441</v>
      </c>
      <c r="F160" s="16" t="s">
        <v>10834</v>
      </c>
      <c r="G160" s="16" t="s">
        <v>3366</v>
      </c>
      <c r="H160" s="16" t="s">
        <v>11892</v>
      </c>
      <c r="I160" s="21">
        <v>4.9884388870454099E-2</v>
      </c>
      <c r="J160" s="21">
        <v>-7.5170742546433203E-2</v>
      </c>
      <c r="K160" s="21">
        <v>-5.3799999999966999E-2</v>
      </c>
      <c r="L160" s="22"/>
      <c r="M160" s="22"/>
      <c r="N160" s="22"/>
    </row>
    <row r="161" spans="1:14" s="16" customFormat="1" hidden="1">
      <c r="A161" s="16" t="s">
        <v>15374</v>
      </c>
      <c r="B161" s="16" t="s">
        <v>15443</v>
      </c>
      <c r="C161" s="16" t="s">
        <v>15452</v>
      </c>
      <c r="D161" s="16" t="s">
        <v>3435</v>
      </c>
      <c r="E161" s="16" t="s">
        <v>3465</v>
      </c>
      <c r="F161" s="16" t="s">
        <v>10654</v>
      </c>
      <c r="G161" s="16" t="s">
        <v>3392</v>
      </c>
      <c r="H161" s="16" t="s">
        <v>11903</v>
      </c>
      <c r="I161" s="21">
        <v>7.8237664996162901E-2</v>
      </c>
      <c r="J161" s="21">
        <v>-7.494653623177E-2</v>
      </c>
      <c r="K161" s="21">
        <v>0.12440000000003699</v>
      </c>
      <c r="L161" s="22"/>
      <c r="M161" s="22"/>
      <c r="N161" s="22"/>
    </row>
    <row r="162" spans="1:14" s="16" customFormat="1" hidden="1">
      <c r="A162" s="16" t="s">
        <v>15301</v>
      </c>
      <c r="B162" s="16" t="s">
        <v>15441</v>
      </c>
      <c r="C162" s="16" t="s">
        <v>15445</v>
      </c>
      <c r="D162" s="16" t="s">
        <v>3439</v>
      </c>
      <c r="E162" s="16" t="s">
        <v>3438</v>
      </c>
      <c r="F162" s="16" t="s">
        <v>10739</v>
      </c>
      <c r="G162" s="16" t="s">
        <v>3366</v>
      </c>
      <c r="H162" s="16" t="s">
        <v>11894</v>
      </c>
      <c r="I162" s="21">
        <v>-0.109084927243393</v>
      </c>
      <c r="J162" s="21">
        <v>1.59894233581564E-2</v>
      </c>
      <c r="K162" s="21">
        <v>-7.4799999999996203E-2</v>
      </c>
      <c r="L162" s="22"/>
      <c r="M162" s="22"/>
      <c r="N162" s="22"/>
    </row>
    <row r="163" spans="1:14" s="16" customFormat="1" hidden="1">
      <c r="A163" s="16" t="s">
        <v>15301</v>
      </c>
      <c r="B163" s="16" t="s">
        <v>15441</v>
      </c>
      <c r="C163" s="16" t="s">
        <v>15446</v>
      </c>
      <c r="D163" s="16" t="s">
        <v>3437</v>
      </c>
      <c r="E163" s="16" t="s">
        <v>3428</v>
      </c>
      <c r="F163" s="16" t="s">
        <v>10754</v>
      </c>
      <c r="G163" s="16" t="s">
        <v>3366</v>
      </c>
      <c r="H163" s="16" t="s">
        <v>11894</v>
      </c>
      <c r="I163" s="21">
        <v>-0.106948219964923</v>
      </c>
      <c r="J163" s="21">
        <v>1.3421105079358399E-2</v>
      </c>
      <c r="K163" s="21">
        <v>-7.8200000000002504E-2</v>
      </c>
      <c r="L163" s="22"/>
      <c r="M163" s="22"/>
      <c r="N163" s="22"/>
    </row>
    <row r="164" spans="1:14" s="16" customFormat="1" hidden="1">
      <c r="A164" s="16" t="s">
        <v>15301</v>
      </c>
      <c r="B164" s="16" t="s">
        <v>15441</v>
      </c>
      <c r="C164" s="16" t="s">
        <v>15447</v>
      </c>
      <c r="D164" s="16" t="s">
        <v>3438</v>
      </c>
      <c r="E164" s="16" t="s">
        <v>3429</v>
      </c>
      <c r="F164" s="16" t="s">
        <v>10755</v>
      </c>
      <c r="G164" s="16" t="s">
        <v>3366</v>
      </c>
      <c r="H164" s="16" t="s">
        <v>11892</v>
      </c>
      <c r="I164" s="21">
        <v>-0.10140547605324</v>
      </c>
      <c r="J164" s="21">
        <v>1.69569975146656E-2</v>
      </c>
      <c r="K164" s="21">
        <v>-7.4899999999999495E-2</v>
      </c>
      <c r="L164" s="22"/>
      <c r="M164" s="22"/>
      <c r="N164" s="22"/>
    </row>
    <row r="165" spans="1:14" s="16" customFormat="1" hidden="1">
      <c r="A165" s="16" t="s">
        <v>15301</v>
      </c>
      <c r="B165" s="16" t="s">
        <v>15441</v>
      </c>
      <c r="C165" s="16" t="s">
        <v>15448</v>
      </c>
      <c r="D165" s="16" t="s">
        <v>3436</v>
      </c>
      <c r="E165" s="16" t="s">
        <v>3453</v>
      </c>
      <c r="F165" s="16" t="s">
        <v>10756</v>
      </c>
      <c r="G165" s="16" t="s">
        <v>3366</v>
      </c>
      <c r="H165" s="16" t="s">
        <v>11911</v>
      </c>
      <c r="I165" s="21">
        <v>-0.118607079492489</v>
      </c>
      <c r="J165" s="21">
        <v>2.8426816561854602E-2</v>
      </c>
      <c r="K165" s="21">
        <v>-5.8500000000002203E-2</v>
      </c>
      <c r="L165" s="22"/>
      <c r="M165" s="22"/>
      <c r="N165" s="22"/>
    </row>
    <row r="166" spans="1:14" s="16" customFormat="1" hidden="1">
      <c r="A166" s="16" t="s">
        <v>15301</v>
      </c>
      <c r="B166" s="16" t="s">
        <v>15441</v>
      </c>
      <c r="C166" s="16" t="s">
        <v>15449</v>
      </c>
      <c r="D166" s="16" t="s">
        <v>3440</v>
      </c>
      <c r="E166" s="16" t="s">
        <v>3431</v>
      </c>
      <c r="F166" s="16" t="s">
        <v>10741</v>
      </c>
      <c r="G166" s="16" t="s">
        <v>3366</v>
      </c>
      <c r="H166" s="16" t="s">
        <v>11910</v>
      </c>
      <c r="I166" s="21">
        <v>-0.109971856731919</v>
      </c>
      <c r="J166" s="21">
        <v>2.5220989398503799E-2</v>
      </c>
      <c r="K166" s="21">
        <v>-5.57999999999979E-2</v>
      </c>
      <c r="L166" s="22"/>
      <c r="M166" s="22"/>
      <c r="N166" s="22"/>
    </row>
    <row r="167" spans="1:14" s="16" customFormat="1">
      <c r="A167" s="16" t="s">
        <v>15301</v>
      </c>
      <c r="B167" s="16" t="s">
        <v>15442</v>
      </c>
      <c r="C167" s="16" t="s">
        <v>15450</v>
      </c>
      <c r="D167" s="16" t="s">
        <v>3435</v>
      </c>
      <c r="E167" s="16" t="s">
        <v>3462</v>
      </c>
      <c r="F167" s="16" t="s">
        <v>10757</v>
      </c>
      <c r="G167" s="16" t="s">
        <v>3366</v>
      </c>
      <c r="H167" s="16" t="s">
        <v>11894</v>
      </c>
      <c r="I167" s="21">
        <v>-0.106508619268433</v>
      </c>
      <c r="J167" s="21">
        <v>1.63064521657681E-2</v>
      </c>
      <c r="K167" s="21">
        <v>-0.10099999999999899</v>
      </c>
      <c r="L167" s="22"/>
      <c r="M167" s="22"/>
      <c r="N167" s="22"/>
    </row>
    <row r="168" spans="1:14" s="16" customFormat="1">
      <c r="A168" s="16" t="s">
        <v>15301</v>
      </c>
      <c r="B168" s="16" t="s">
        <v>15442</v>
      </c>
      <c r="C168" s="16" t="s">
        <v>15445</v>
      </c>
      <c r="D168" s="16" t="s">
        <v>3440</v>
      </c>
      <c r="E168" s="16" t="s">
        <v>3425</v>
      </c>
      <c r="F168" s="16" t="s">
        <v>10669</v>
      </c>
      <c r="G168" s="16" t="s">
        <v>3366</v>
      </c>
      <c r="H168" s="16" t="s">
        <v>11894</v>
      </c>
      <c r="I168" s="21">
        <v>-0.101279069998126</v>
      </c>
      <c r="J168" s="21">
        <v>1.42299815474297E-2</v>
      </c>
      <c r="K168" s="21">
        <v>-0.101700000000001</v>
      </c>
      <c r="L168" s="22"/>
      <c r="M168" s="22"/>
      <c r="N168" s="22"/>
    </row>
    <row r="169" spans="1:14" s="16" customFormat="1">
      <c r="A169" s="16" t="s">
        <v>15301</v>
      </c>
      <c r="B169" s="16" t="s">
        <v>15442</v>
      </c>
      <c r="C169" s="16" t="s">
        <v>15451</v>
      </c>
      <c r="D169" s="16" t="s">
        <v>3457</v>
      </c>
      <c r="E169" s="16" t="s">
        <v>3440</v>
      </c>
      <c r="F169" s="16" t="s">
        <v>10758</v>
      </c>
      <c r="G169" s="16" t="s">
        <v>3366</v>
      </c>
      <c r="H169" s="16" t="s">
        <v>11891</v>
      </c>
      <c r="I169" s="21">
        <v>-9.8952573357832502E-2</v>
      </c>
      <c r="J169" s="21">
        <v>2.0082322126016801E-2</v>
      </c>
      <c r="K169" s="21">
        <v>-9.8500000000001406E-2</v>
      </c>
      <c r="L169" s="22"/>
      <c r="M169" s="22"/>
      <c r="N169" s="22"/>
    </row>
    <row r="170" spans="1:14" s="16" customFormat="1" hidden="1">
      <c r="A170" s="16" t="s">
        <v>15301</v>
      </c>
      <c r="B170" s="16" t="s">
        <v>15443</v>
      </c>
      <c r="C170" s="16" t="s">
        <v>15452</v>
      </c>
      <c r="D170" s="16" t="s">
        <v>3430</v>
      </c>
      <c r="E170" s="16" t="s">
        <v>3476</v>
      </c>
      <c r="F170" s="16" t="s">
        <v>10759</v>
      </c>
      <c r="G170" s="16" t="s">
        <v>3366</v>
      </c>
      <c r="H170" s="16" t="s">
        <v>11899</v>
      </c>
      <c r="I170" s="21">
        <v>-9.9619611389294802E-2</v>
      </c>
      <c r="J170" s="21">
        <v>2.4081814315460599E-2</v>
      </c>
      <c r="K170" s="21">
        <v>0.1158</v>
      </c>
      <c r="L170" s="22"/>
      <c r="M170" s="22"/>
      <c r="N170" s="22"/>
    </row>
    <row r="171" spans="1:14" s="16" customFormat="1" hidden="1">
      <c r="A171" s="16" t="s">
        <v>15371</v>
      </c>
      <c r="B171" s="16" t="s">
        <v>15441</v>
      </c>
      <c r="C171" s="16" t="s">
        <v>15445</v>
      </c>
      <c r="D171" s="16" t="s">
        <v>3437</v>
      </c>
      <c r="E171" s="16" t="s">
        <v>3425</v>
      </c>
      <c r="F171" s="16" t="s">
        <v>10727</v>
      </c>
      <c r="G171" s="16" t="s">
        <v>3366</v>
      </c>
      <c r="H171" s="16" t="s">
        <v>11890</v>
      </c>
      <c r="I171" s="21">
        <v>1.6689348340341E-3</v>
      </c>
      <c r="J171" s="21">
        <v>-0.110668732315365</v>
      </c>
      <c r="K171" s="21">
        <v>5.4900000000003502E-2</v>
      </c>
      <c r="L171" s="22"/>
      <c r="M171" s="22"/>
      <c r="N171" s="22"/>
    </row>
    <row r="172" spans="1:14" s="16" customFormat="1" hidden="1">
      <c r="A172" s="16" t="s">
        <v>15371</v>
      </c>
      <c r="B172" s="16" t="s">
        <v>15441</v>
      </c>
      <c r="C172" s="16" t="s">
        <v>15446</v>
      </c>
      <c r="D172" s="16" t="s">
        <v>3437</v>
      </c>
      <c r="E172" s="16" t="s">
        <v>3431</v>
      </c>
      <c r="F172" s="16" t="s">
        <v>10812</v>
      </c>
      <c r="G172" s="16" t="s">
        <v>3366</v>
      </c>
      <c r="H172" s="16" t="s">
        <v>11890</v>
      </c>
      <c r="I172" s="21">
        <v>8.2262508880971905E-3</v>
      </c>
      <c r="J172" s="21">
        <v>-0.113955470309806</v>
      </c>
      <c r="K172" s="21">
        <v>6.3999999999993007E-2</v>
      </c>
      <c r="L172" s="22"/>
      <c r="M172" s="22"/>
      <c r="N172" s="22"/>
    </row>
    <row r="173" spans="1:14" s="16" customFormat="1" hidden="1">
      <c r="A173" s="16" t="s">
        <v>15371</v>
      </c>
      <c r="B173" s="16" t="s">
        <v>15441</v>
      </c>
      <c r="C173" s="16" t="s">
        <v>15447</v>
      </c>
      <c r="D173" s="16" t="s">
        <v>3427</v>
      </c>
      <c r="E173" s="16" t="s">
        <v>3453</v>
      </c>
      <c r="F173" s="16" t="s">
        <v>10813</v>
      </c>
      <c r="G173" s="16" t="s">
        <v>3366</v>
      </c>
      <c r="H173" s="16" t="s">
        <v>11892</v>
      </c>
      <c r="I173" s="21">
        <v>1.0713701291878101E-3</v>
      </c>
      <c r="J173" s="21">
        <v>-0.116422324557207</v>
      </c>
      <c r="K173" s="21">
        <v>6.4199999999999605E-2</v>
      </c>
      <c r="L173" s="22"/>
      <c r="M173" s="22"/>
      <c r="N173" s="22"/>
    </row>
    <row r="174" spans="1:14" s="16" customFormat="1" hidden="1">
      <c r="A174" s="16" t="s">
        <v>15371</v>
      </c>
      <c r="B174" s="16" t="s">
        <v>15441</v>
      </c>
      <c r="C174" s="16" t="s">
        <v>15448</v>
      </c>
      <c r="D174" s="16" t="s">
        <v>3431</v>
      </c>
      <c r="E174" s="16" t="s">
        <v>3426</v>
      </c>
      <c r="F174" s="16" t="s">
        <v>10666</v>
      </c>
      <c r="G174" s="16" t="s">
        <v>3366</v>
      </c>
      <c r="H174" s="16" t="s">
        <v>11910</v>
      </c>
      <c r="I174" s="21">
        <v>1.5676689683009299E-2</v>
      </c>
      <c r="J174" s="21">
        <v>-0.11846860743177701</v>
      </c>
      <c r="K174" s="21">
        <v>4.07000000000153E-2</v>
      </c>
      <c r="L174" s="22"/>
      <c r="M174" s="22"/>
      <c r="N174" s="22"/>
    </row>
    <row r="175" spans="1:14" s="16" customFormat="1" hidden="1">
      <c r="A175" s="16" t="s">
        <v>15371</v>
      </c>
      <c r="B175" s="16" t="s">
        <v>15441</v>
      </c>
      <c r="C175" s="16" t="s">
        <v>15449</v>
      </c>
      <c r="D175" s="16" t="s">
        <v>3438</v>
      </c>
      <c r="E175" s="16" t="s">
        <v>3435</v>
      </c>
      <c r="F175" s="16" t="s">
        <v>10517</v>
      </c>
      <c r="G175" s="16" t="s">
        <v>3366</v>
      </c>
      <c r="H175" s="16" t="s">
        <v>11889</v>
      </c>
      <c r="I175" s="21">
        <v>7.0815307872440303E-3</v>
      </c>
      <c r="J175" s="21">
        <v>-0.114362206423772</v>
      </c>
      <c r="K175" s="21">
        <v>5.1899999999989198E-2</v>
      </c>
      <c r="L175" s="22"/>
      <c r="M175" s="22"/>
      <c r="N175" s="22"/>
    </row>
    <row r="176" spans="1:14" s="16" customFormat="1">
      <c r="A176" s="16" t="s">
        <v>15371</v>
      </c>
      <c r="B176" s="16" t="s">
        <v>15442</v>
      </c>
      <c r="C176" s="16" t="s">
        <v>15450</v>
      </c>
      <c r="D176" s="16" t="s">
        <v>3427</v>
      </c>
      <c r="E176" s="16" t="s">
        <v>3442</v>
      </c>
      <c r="F176" s="16" t="s">
        <v>10814</v>
      </c>
      <c r="G176" s="16" t="s">
        <v>3366</v>
      </c>
      <c r="H176" s="16" t="s">
        <v>11890</v>
      </c>
      <c r="I176" s="21">
        <v>7.7795526972000498E-3</v>
      </c>
      <c r="J176" s="21">
        <v>-0.114393959722452</v>
      </c>
      <c r="K176" s="21">
        <v>1.35999999999967E-2</v>
      </c>
      <c r="L176" s="22"/>
      <c r="M176" s="22"/>
      <c r="N176" s="22"/>
    </row>
    <row r="177" spans="1:14" s="16" customFormat="1">
      <c r="A177" s="16" t="s">
        <v>15371</v>
      </c>
      <c r="B177" s="16" t="s">
        <v>15442</v>
      </c>
      <c r="C177" s="16" t="s">
        <v>15445</v>
      </c>
      <c r="D177" s="16" t="s">
        <v>3439</v>
      </c>
      <c r="E177" s="16" t="s">
        <v>3436</v>
      </c>
      <c r="F177" s="16" t="s">
        <v>10815</v>
      </c>
      <c r="G177" s="16" t="s">
        <v>3366</v>
      </c>
      <c r="H177" s="16" t="s">
        <v>11890</v>
      </c>
      <c r="I177" s="21">
        <v>-2.1564235963949501E-3</v>
      </c>
      <c r="J177" s="21">
        <v>-0.101397818372994</v>
      </c>
      <c r="K177" s="21">
        <v>4.7000000000139196E-3</v>
      </c>
      <c r="L177" s="22"/>
      <c r="M177" s="22"/>
      <c r="N177" s="22"/>
    </row>
    <row r="178" spans="1:14" s="16" customFormat="1">
      <c r="A178" s="16" t="s">
        <v>15371</v>
      </c>
      <c r="B178" s="16" t="s">
        <v>15442</v>
      </c>
      <c r="C178" s="16" t="s">
        <v>15451</v>
      </c>
      <c r="D178" s="16" t="s">
        <v>3443</v>
      </c>
      <c r="E178" s="16" t="s">
        <v>3438</v>
      </c>
      <c r="F178" s="16" t="s">
        <v>10816</v>
      </c>
      <c r="G178" s="16" t="s">
        <v>3366</v>
      </c>
      <c r="H178" s="16" t="s">
        <v>11888</v>
      </c>
      <c r="I178" s="21">
        <v>2.8331815396940001E-3</v>
      </c>
      <c r="J178" s="21">
        <v>-0.110317304126841</v>
      </c>
      <c r="K178" s="21">
        <v>4.6000000000106E-3</v>
      </c>
      <c r="L178" s="22"/>
      <c r="M178" s="22"/>
      <c r="N178" s="22"/>
    </row>
    <row r="179" spans="1:14" s="16" customFormat="1" hidden="1">
      <c r="A179" s="16" t="s">
        <v>15371</v>
      </c>
      <c r="B179" s="16" t="s">
        <v>15443</v>
      </c>
      <c r="C179" s="16" t="s">
        <v>15452</v>
      </c>
      <c r="D179" s="16" t="s">
        <v>3427</v>
      </c>
      <c r="E179" s="16" t="s">
        <v>3442</v>
      </c>
      <c r="F179" s="16" t="s">
        <v>3667</v>
      </c>
      <c r="G179" s="16" t="s">
        <v>3366</v>
      </c>
      <c r="H179" s="16" t="s">
        <v>11908</v>
      </c>
      <c r="I179" s="21">
        <v>1.3966376982086699E-2</v>
      </c>
      <c r="J179" s="21">
        <v>-0.11773771475009499</v>
      </c>
      <c r="K179" s="21">
        <v>0.16870000000000099</v>
      </c>
      <c r="L179" s="23" t="s">
        <v>15528</v>
      </c>
      <c r="M179" s="23" t="s">
        <v>15528</v>
      </c>
      <c r="N179" s="23" t="s">
        <v>15528</v>
      </c>
    </row>
    <row r="180" spans="1:14" s="16" customFormat="1" ht="17.399999999999999" hidden="1">
      <c r="A180" s="16" t="s">
        <v>15427</v>
      </c>
      <c r="B180" s="16" t="s">
        <v>15441</v>
      </c>
      <c r="C180" s="16" t="s">
        <v>15445</v>
      </c>
      <c r="D180" s="16" t="s">
        <v>3428</v>
      </c>
      <c r="E180" s="16" t="s">
        <v>3436</v>
      </c>
      <c r="F180" s="16" t="s">
        <v>11392</v>
      </c>
      <c r="G180" s="16" t="s">
        <v>3366</v>
      </c>
      <c r="H180" s="16" t="s">
        <v>11894</v>
      </c>
      <c r="I180" s="21">
        <v>2.4080346187401101E-2</v>
      </c>
      <c r="J180" s="21">
        <v>1.41025046960391E-2</v>
      </c>
      <c r="K180" s="21">
        <v>-0.17730000000000201</v>
      </c>
      <c r="L180" s="22">
        <f>_xlfn.VAR.S(INDEX($I:$I,INT((ROW()-180)/3)*3+180):INDEX($I:$I,INT((ROW()-180)/3)*3+182))</f>
        <v>1.0002678202523365E-6</v>
      </c>
      <c r="M180" s="22">
        <f>_xlfn.VAR.S(INDEX($J:$J,INT((ROW()-180)/3)*3+180):INDEX($J:$J,INT((ROW()-180)/3)*3+182))</f>
        <v>3.0080297391336387E-6</v>
      </c>
      <c r="N180" s="22">
        <f>_xlfn.VAR.S(INDEX($K:$K,INT((ROW()-180)/3)*3+180):INDEX($K:$K,INT((ROW()-180)/3)*3+182))</f>
        <v>6.3699999999979553E-6</v>
      </c>
    </row>
    <row r="181" spans="1:14" ht="17.399999999999999" hidden="1">
      <c r="A181" t="s">
        <v>15427</v>
      </c>
      <c r="B181" t="s">
        <v>15441</v>
      </c>
      <c r="C181" t="s">
        <v>15445</v>
      </c>
      <c r="D181" t="s">
        <v>3427</v>
      </c>
      <c r="E181" t="s">
        <v>3436</v>
      </c>
      <c r="F181" t="s">
        <v>11658</v>
      </c>
      <c r="G181" t="s">
        <v>3366</v>
      </c>
      <c r="H181" t="s">
        <v>11894</v>
      </c>
      <c r="I181" s="11">
        <v>2.4426910600956701E-2</v>
      </c>
      <c r="J181" s="11">
        <v>1.6153086180973001E-2</v>
      </c>
      <c r="K181" s="11">
        <v>-0.18229999999999799</v>
      </c>
      <c r="L181" s="12">
        <f>_xlfn.VAR.S(INDEX($I:$I,INT((ROW()-180)/3)*3+180):INDEX($I:$I,INT((ROW()-180)/3)*3+182))</f>
        <v>1.0002678202523365E-6</v>
      </c>
      <c r="M181" s="12">
        <f>_xlfn.VAR.S(INDEX($J:$J,INT((ROW()-180)/3)*3+180):INDEX($J:$J,INT((ROW()-180)/3)*3+182))</f>
        <v>3.0080297391336387E-6</v>
      </c>
      <c r="N181" s="12">
        <f>_xlfn.VAR.S(INDEX($K:$K,INT((ROW()-180)/3)*3+180):INDEX($K:$K,INT((ROW()-180)/3)*3+182))</f>
        <v>6.3699999999979553E-6</v>
      </c>
    </row>
    <row r="182" spans="1:14" ht="17.399999999999999" hidden="1">
      <c r="A182" t="s">
        <v>15427</v>
      </c>
      <c r="B182" t="s">
        <v>15441</v>
      </c>
      <c r="C182" t="s">
        <v>15445</v>
      </c>
      <c r="D182" t="s">
        <v>3427</v>
      </c>
      <c r="E182" t="s">
        <v>3436</v>
      </c>
      <c r="F182" t="s">
        <v>11829</v>
      </c>
      <c r="G182" t="s">
        <v>3366</v>
      </c>
      <c r="H182" t="s">
        <v>11894</v>
      </c>
      <c r="I182" s="11">
        <v>2.2547544196022298E-2</v>
      </c>
      <c r="J182" s="11">
        <v>1.2704899258799701E-2</v>
      </c>
      <c r="K182" s="11">
        <v>-0.17919999999997999</v>
      </c>
      <c r="L182" s="12">
        <f>_xlfn.VAR.S(INDEX($I:$I,INT((ROW()-180)/3)*3+180):INDEX($I:$I,INT((ROW()-180)/3)*3+182))</f>
        <v>1.0002678202523365E-6</v>
      </c>
      <c r="M182" s="12">
        <f>_xlfn.VAR.S(INDEX($J:$J,INT((ROW()-180)/3)*3+180):INDEX($J:$J,INT((ROW()-180)/3)*3+182))</f>
        <v>3.0080297391336387E-6</v>
      </c>
      <c r="N182" s="12">
        <f>_xlfn.VAR.S(INDEX($K:$K,INT((ROW()-180)/3)*3+180):INDEX($K:$K,INT((ROW()-180)/3)*3+182))</f>
        <v>6.3699999999979553E-6</v>
      </c>
    </row>
    <row r="183" spans="1:14" s="16" customFormat="1" ht="17.399999999999999" hidden="1">
      <c r="A183" s="16" t="s">
        <v>15427</v>
      </c>
      <c r="B183" s="16" t="s">
        <v>15441</v>
      </c>
      <c r="C183" s="16" t="s">
        <v>15446</v>
      </c>
      <c r="D183" s="16" t="s">
        <v>3425</v>
      </c>
      <c r="E183" s="16" t="s">
        <v>3434</v>
      </c>
      <c r="F183" s="16" t="s">
        <v>11777</v>
      </c>
      <c r="G183" s="16" t="s">
        <v>3383</v>
      </c>
      <c r="H183" s="16" t="s">
        <v>11895</v>
      </c>
      <c r="I183" s="21">
        <v>1.6254084188074201E-2</v>
      </c>
      <c r="J183" s="21">
        <v>2.72862563156594E-2</v>
      </c>
      <c r="K183" s="21">
        <v>-0.21160000000000401</v>
      </c>
      <c r="L183" s="22">
        <f>_xlfn.VAR.S(INDEX($I:$I,INT((ROW()-180)/3)*3+180):INDEX($I:$I,INT((ROW()-180)/3)*3+182))</f>
        <v>1.0486002525210474E-8</v>
      </c>
      <c r="M183" s="22">
        <f>_xlfn.VAR.S(INDEX($J:$J,INT((ROW()-180)/3)*3+180):INDEX($J:$J,INT((ROW()-180)/3)*3+182))</f>
        <v>1.4851166044947789E-6</v>
      </c>
      <c r="N183" s="22">
        <f>_xlfn.VAR.S(INDEX($K:$K,INT((ROW()-180)/3)*3+180):INDEX($K:$K,INT((ROW()-180)/3)*3+182))</f>
        <v>4.3233333333091055E-6</v>
      </c>
    </row>
    <row r="184" spans="1:14" ht="17.399999999999999" hidden="1">
      <c r="A184" t="s">
        <v>15427</v>
      </c>
      <c r="B184" t="s">
        <v>15441</v>
      </c>
      <c r="C184" t="s">
        <v>15446</v>
      </c>
      <c r="D184" t="s">
        <v>3431</v>
      </c>
      <c r="E184" t="s">
        <v>3435</v>
      </c>
      <c r="F184" t="s">
        <v>10874</v>
      </c>
      <c r="G184" t="s">
        <v>3366</v>
      </c>
      <c r="H184" t="s">
        <v>11895</v>
      </c>
      <c r="I184" s="11">
        <v>1.62300645204808E-2</v>
      </c>
      <c r="J184" s="11">
        <v>2.9638839804178699E-2</v>
      </c>
      <c r="K184" s="11">
        <v>-0.215499999999992</v>
      </c>
      <c r="L184" s="12">
        <f>_xlfn.VAR.S(INDEX($I:$I,INT((ROW()-180)/3)*3+180):INDEX($I:$I,INT((ROW()-180)/3)*3+182))</f>
        <v>1.0486002525210474E-8</v>
      </c>
      <c r="M184" s="12">
        <f>_xlfn.VAR.S(INDEX($J:$J,INT((ROW()-180)/3)*3+180):INDEX($J:$J,INT((ROW()-180)/3)*3+182))</f>
        <v>1.4851166044947789E-6</v>
      </c>
      <c r="N184" s="12">
        <f>_xlfn.VAR.S(INDEX($K:$K,INT((ROW()-180)/3)*3+180):INDEX($K:$K,INT((ROW()-180)/3)*3+182))</f>
        <v>4.3233333333091055E-6</v>
      </c>
    </row>
    <row r="185" spans="1:14" ht="17.399999999999999" hidden="1">
      <c r="A185" t="s">
        <v>15427</v>
      </c>
      <c r="B185" t="s">
        <v>15441</v>
      </c>
      <c r="C185" t="s">
        <v>15446</v>
      </c>
      <c r="D185" t="s">
        <v>3431</v>
      </c>
      <c r="E185" t="s">
        <v>3435</v>
      </c>
      <c r="F185" t="s">
        <v>10874</v>
      </c>
      <c r="G185" t="s">
        <v>3366</v>
      </c>
      <c r="H185" t="s">
        <v>11895</v>
      </c>
      <c r="I185" s="11">
        <v>1.6418214353290099E-2</v>
      </c>
      <c r="J185" s="11">
        <v>2.9014239106288399E-2</v>
      </c>
      <c r="K185" s="11">
        <v>-0.21229999999999899</v>
      </c>
      <c r="L185" s="12">
        <f>_xlfn.VAR.S(INDEX($I:$I,INT((ROW()-180)/3)*3+180):INDEX($I:$I,INT((ROW()-180)/3)*3+182))</f>
        <v>1.0486002525210474E-8</v>
      </c>
      <c r="M185" s="12">
        <f>_xlfn.VAR.S(INDEX($J:$J,INT((ROW()-180)/3)*3+180):INDEX($J:$J,INT((ROW()-180)/3)*3+182))</f>
        <v>1.4851166044947789E-6</v>
      </c>
      <c r="N185" s="12">
        <f>_xlfn.VAR.S(INDEX($K:$K,INT((ROW()-180)/3)*3+180):INDEX($K:$K,INT((ROW()-180)/3)*3+182))</f>
        <v>4.3233333333091055E-6</v>
      </c>
    </row>
    <row r="186" spans="1:14" s="16" customFormat="1" ht="17.399999999999999" hidden="1">
      <c r="A186" s="16" t="s">
        <v>15427</v>
      </c>
      <c r="B186" s="16" t="s">
        <v>15441</v>
      </c>
      <c r="C186" s="16" t="s">
        <v>15448</v>
      </c>
      <c r="D186" s="16" t="s">
        <v>3431</v>
      </c>
      <c r="E186" s="16" t="s">
        <v>3484</v>
      </c>
      <c r="F186" s="16" t="s">
        <v>3654</v>
      </c>
      <c r="G186" s="16" t="s">
        <v>3366</v>
      </c>
      <c r="H186" s="16" t="s">
        <v>11907</v>
      </c>
      <c r="I186" s="21">
        <v>1.9253250846381902E-2</v>
      </c>
      <c r="J186" s="21">
        <v>-2.9125223579017399E-4</v>
      </c>
      <c r="K186" s="21">
        <v>-0.158500000000004</v>
      </c>
      <c r="L186" s="22">
        <f>_xlfn.VAR.S(INDEX($I:$I,INT((ROW()-180)/3)*3+180):INDEX($I:$I,INT((ROW()-180)/3)*3+182))</f>
        <v>7.4908371903762655E-7</v>
      </c>
      <c r="M186" s="22">
        <f>_xlfn.VAR.S(INDEX($J:$J,INT((ROW()-180)/3)*3+180):INDEX($J:$J,INT((ROW()-180)/3)*3+182))</f>
        <v>6.0177003523867819E-6</v>
      </c>
      <c r="N186" s="22">
        <f>_xlfn.VAR.S(INDEX($K:$K,INT((ROW()-180)/3)*3+180):INDEX($K:$K,INT((ROW()-180)/3)*3+182))</f>
        <v>2.4523333333411568E-5</v>
      </c>
    </row>
    <row r="187" spans="1:14" ht="17.399999999999999" hidden="1">
      <c r="A187" t="s">
        <v>15427</v>
      </c>
      <c r="B187" t="s">
        <v>15441</v>
      </c>
      <c r="C187" t="s">
        <v>15448</v>
      </c>
      <c r="D187" t="s">
        <v>3425</v>
      </c>
      <c r="E187" t="s">
        <v>3511</v>
      </c>
      <c r="F187" t="s">
        <v>3654</v>
      </c>
      <c r="G187" t="s">
        <v>3366</v>
      </c>
      <c r="H187" t="s">
        <v>11907</v>
      </c>
      <c r="I187" s="11">
        <v>2.04108216717253E-2</v>
      </c>
      <c r="J187" s="11">
        <v>3.0198781039093598E-4</v>
      </c>
      <c r="K187" s="11">
        <v>-0.15379999999999</v>
      </c>
      <c r="L187" s="12">
        <f>_xlfn.VAR.S(INDEX($I:$I,INT((ROW()-180)/3)*3+180):INDEX($I:$I,INT((ROW()-180)/3)*3+182))</f>
        <v>7.4908371903762655E-7</v>
      </c>
      <c r="M187" s="12">
        <f>_xlfn.VAR.S(INDEX($J:$J,INT((ROW()-180)/3)*3+180):INDEX($J:$J,INT((ROW()-180)/3)*3+182))</f>
        <v>6.0177003523867819E-6</v>
      </c>
      <c r="N187" s="12">
        <f>_xlfn.VAR.S(INDEX($K:$K,INT((ROW()-180)/3)*3+180):INDEX($K:$K,INT((ROW()-180)/3)*3+182))</f>
        <v>2.4523333333411568E-5</v>
      </c>
    </row>
    <row r="188" spans="1:14" ht="17.399999999999999" hidden="1">
      <c r="A188" t="s">
        <v>15427</v>
      </c>
      <c r="B188" t="s">
        <v>15441</v>
      </c>
      <c r="C188" t="s">
        <v>15448</v>
      </c>
      <c r="D188" t="s">
        <v>3431</v>
      </c>
      <c r="E188" t="s">
        <v>3511</v>
      </c>
      <c r="F188" t="s">
        <v>11695</v>
      </c>
      <c r="G188" t="s">
        <v>3366</v>
      </c>
      <c r="H188" t="s">
        <v>11907</v>
      </c>
      <c r="I188" s="11">
        <v>2.0946609493681202E-2</v>
      </c>
      <c r="J188" s="11">
        <v>4.2230864529851399E-3</v>
      </c>
      <c r="K188" s="11">
        <v>-0.14859999999998799</v>
      </c>
      <c r="L188" s="12">
        <f>_xlfn.VAR.S(INDEX($I:$I,INT((ROW()-180)/3)*3+180):INDEX($I:$I,INT((ROW()-180)/3)*3+182))</f>
        <v>7.4908371903762655E-7</v>
      </c>
      <c r="M188" s="12">
        <f>_xlfn.VAR.S(INDEX($J:$J,INT((ROW()-180)/3)*3+180):INDEX($J:$J,INT((ROW()-180)/3)*3+182))</f>
        <v>6.0177003523867819E-6</v>
      </c>
      <c r="N188" s="12">
        <f>_xlfn.VAR.S(INDEX($K:$K,INT((ROW()-180)/3)*3+180):INDEX($K:$K,INT((ROW()-180)/3)*3+182))</f>
        <v>2.4523333333411568E-5</v>
      </c>
    </row>
    <row r="189" spans="1:14" s="16" customFormat="1" ht="17.399999999999999" hidden="1">
      <c r="A189" s="16" t="s">
        <v>15427</v>
      </c>
      <c r="B189" s="16" t="s">
        <v>15441</v>
      </c>
      <c r="C189" s="16" t="s">
        <v>15449</v>
      </c>
      <c r="D189" s="16" t="s">
        <v>3437</v>
      </c>
      <c r="E189" s="16" t="s">
        <v>3436</v>
      </c>
      <c r="F189" s="16" t="s">
        <v>11830</v>
      </c>
      <c r="G189" s="16" t="s">
        <v>3372</v>
      </c>
      <c r="H189" s="16" t="s">
        <v>11891</v>
      </c>
      <c r="I189" s="21">
        <v>2.3875854148375099E-2</v>
      </c>
      <c r="J189" s="21">
        <v>1.41840587915079E-2</v>
      </c>
      <c r="K189" s="21">
        <v>-0.150499999999994</v>
      </c>
      <c r="L189" s="22">
        <f>_xlfn.VAR.S(INDEX($I:$I,INT((ROW()-180)/3)*3+180):INDEX($I:$I,INT((ROW()-180)/3)*3+182))</f>
        <v>5.2405018444345156E-6</v>
      </c>
      <c r="M189" s="22">
        <f>_xlfn.VAR.S(INDEX($J:$J,INT((ROW()-180)/3)*3+180):INDEX($J:$J,INT((ROW()-180)/3)*3+182))</f>
        <v>1.1489744797770625E-6</v>
      </c>
      <c r="N189" s="22">
        <f>_xlfn.VAR.S(INDEX($K:$K,INT((ROW()-180)/3)*3+180):INDEX($K:$K,INT((ROW()-180)/3)*3+182))</f>
        <v>1.4323333333350117E-5</v>
      </c>
    </row>
    <row r="190" spans="1:14" ht="17.399999999999999" hidden="1">
      <c r="A190" t="s">
        <v>15427</v>
      </c>
      <c r="B190" t="s">
        <v>15441</v>
      </c>
      <c r="C190" t="s">
        <v>15449</v>
      </c>
      <c r="D190" t="s">
        <v>3437</v>
      </c>
      <c r="E190" t="s">
        <v>3425</v>
      </c>
      <c r="F190" t="s">
        <v>10633</v>
      </c>
      <c r="G190" t="s">
        <v>3366</v>
      </c>
      <c r="H190" t="s">
        <v>11891</v>
      </c>
      <c r="I190" s="11">
        <v>2.6324228306492298E-2</v>
      </c>
      <c r="J190" s="11">
        <v>1.3030161542601599E-2</v>
      </c>
      <c r="K190" s="11">
        <v>-0.14379999999999901</v>
      </c>
      <c r="L190" s="12">
        <f>_xlfn.VAR.S(INDEX($I:$I,INT((ROW()-180)/3)*3+180):INDEX($I:$I,INT((ROW()-180)/3)*3+182))</f>
        <v>5.2405018444345156E-6</v>
      </c>
      <c r="M190" s="12">
        <f>_xlfn.VAR.S(INDEX($J:$J,INT((ROW()-180)/3)*3+180):INDEX($J:$J,INT((ROW()-180)/3)*3+182))</f>
        <v>1.1489744797770625E-6</v>
      </c>
      <c r="N190" s="12">
        <f>_xlfn.VAR.S(INDEX($K:$K,INT((ROW()-180)/3)*3+180):INDEX($K:$K,INT((ROW()-180)/3)*3+182))</f>
        <v>1.4323333333350117E-5</v>
      </c>
    </row>
    <row r="191" spans="1:14" ht="17.399999999999999" hidden="1">
      <c r="A191" t="s">
        <v>15427</v>
      </c>
      <c r="B191" t="s">
        <v>15441</v>
      </c>
      <c r="C191" t="s">
        <v>15449</v>
      </c>
      <c r="D191" t="s">
        <v>3437</v>
      </c>
      <c r="E191" t="s">
        <v>3425</v>
      </c>
      <c r="F191" t="s">
        <v>11831</v>
      </c>
      <c r="G191" t="s">
        <v>3366</v>
      </c>
      <c r="H191" t="s">
        <v>11891</v>
      </c>
      <c r="I191" s="11">
        <v>2.8450504407309202E-2</v>
      </c>
      <c r="J191" s="11">
        <v>1.2042401154632299E-2</v>
      </c>
      <c r="K191" s="11">
        <v>-0.14409999999997999</v>
      </c>
      <c r="L191" s="12">
        <f>_xlfn.VAR.S(INDEX($I:$I,INT((ROW()-180)/3)*3+180):INDEX($I:$I,INT((ROW()-180)/3)*3+182))</f>
        <v>5.2405018444345156E-6</v>
      </c>
      <c r="M191" s="12">
        <f>_xlfn.VAR.S(INDEX($J:$J,INT((ROW()-180)/3)*3+180):INDEX($J:$J,INT((ROW()-180)/3)*3+182))</f>
        <v>1.1489744797770625E-6</v>
      </c>
      <c r="N191" s="12">
        <f>_xlfn.VAR.S(INDEX($K:$K,INT((ROW()-180)/3)*3+180):INDEX($K:$K,INT((ROW()-180)/3)*3+182))</f>
        <v>1.4323333333350117E-5</v>
      </c>
    </row>
    <row r="192" spans="1:14" s="16" customFormat="1" ht="17.399999999999999">
      <c r="A192" s="16" t="s">
        <v>15427</v>
      </c>
      <c r="B192" s="16" t="s">
        <v>15442</v>
      </c>
      <c r="C192" s="16" t="s">
        <v>15450</v>
      </c>
      <c r="D192" s="16" t="s">
        <v>3427</v>
      </c>
      <c r="E192" s="16" t="s">
        <v>3436</v>
      </c>
      <c r="F192" s="16" t="s">
        <v>3761</v>
      </c>
      <c r="G192" s="16" t="s">
        <v>3366</v>
      </c>
      <c r="H192" s="16" t="s">
        <v>11903</v>
      </c>
      <c r="I192" s="21">
        <v>4.3609655702859899E-2</v>
      </c>
      <c r="J192" s="21">
        <v>6.8702112135615903E-2</v>
      </c>
      <c r="K192" s="21">
        <v>-0.17939999999998699</v>
      </c>
      <c r="L192" s="22">
        <f>_xlfn.VAR.S(INDEX($I:$I,INT((ROW()-180)/3)*3+180):INDEX($I:$I,INT((ROW()-180)/3)*3+182))</f>
        <v>1.6468718927355375E-6</v>
      </c>
      <c r="M192" s="22">
        <f>_xlfn.VAR.S(INDEX($J:$J,INT((ROW()-180)/3)*3+180):INDEX($J:$J,INT((ROW()-180)/3)*3+182))</f>
        <v>7.3065770054796154E-6</v>
      </c>
      <c r="N192" s="22">
        <f>_xlfn.VAR.S(INDEX($K:$K,INT((ROW()-180)/3)*3+180):INDEX($K:$K,INT((ROW()-180)/3)*3+182))</f>
        <v>2.6613333333269946E-5</v>
      </c>
    </row>
    <row r="193" spans="1:14" ht="17.399999999999999">
      <c r="A193" t="s">
        <v>15427</v>
      </c>
      <c r="B193" t="s">
        <v>15442</v>
      </c>
      <c r="C193" t="s">
        <v>15450</v>
      </c>
      <c r="D193" t="s">
        <v>3427</v>
      </c>
      <c r="E193" t="s">
        <v>3425</v>
      </c>
      <c r="F193" t="s">
        <v>10528</v>
      </c>
      <c r="G193" t="s">
        <v>3366</v>
      </c>
      <c r="H193" t="s">
        <v>11901</v>
      </c>
      <c r="I193" s="11">
        <v>4.1975054380629997E-2</v>
      </c>
      <c r="J193" s="11">
        <v>6.3935155086418602E-2</v>
      </c>
      <c r="K193" s="11">
        <v>-0.17220000000000399</v>
      </c>
      <c r="L193" s="12">
        <f>_xlfn.VAR.S(INDEX($I:$I,INT((ROW()-180)/3)*3+180):INDEX($I:$I,INT((ROW()-180)/3)*3+182))</f>
        <v>1.6468718927355375E-6</v>
      </c>
      <c r="M193" s="12">
        <f>_xlfn.VAR.S(INDEX($J:$J,INT((ROW()-180)/3)*3+180):INDEX($J:$J,INT((ROW()-180)/3)*3+182))</f>
        <v>7.3065770054796154E-6</v>
      </c>
      <c r="N193" s="12">
        <f>_xlfn.VAR.S(INDEX($K:$K,INT((ROW()-180)/3)*3+180):INDEX($K:$K,INT((ROW()-180)/3)*3+182))</f>
        <v>2.6613333333269946E-5</v>
      </c>
    </row>
    <row r="194" spans="1:14" ht="17.399999999999999">
      <c r="A194" t="s">
        <v>15427</v>
      </c>
      <c r="B194" t="s">
        <v>15442</v>
      </c>
      <c r="C194" t="s">
        <v>15450</v>
      </c>
      <c r="D194" t="s">
        <v>3428</v>
      </c>
      <c r="E194" t="s">
        <v>3434</v>
      </c>
      <c r="F194" t="s">
        <v>10528</v>
      </c>
      <c r="G194" t="s">
        <v>3366</v>
      </c>
      <c r="H194" t="s">
        <v>11901</v>
      </c>
      <c r="I194" s="11">
        <v>4.45060278711467E-2</v>
      </c>
      <c r="J194" s="11">
        <v>6.4110280970524805E-2</v>
      </c>
      <c r="K194" s="11">
        <v>-0.169399999999996</v>
      </c>
      <c r="L194" s="12">
        <f>_xlfn.VAR.S(INDEX($I:$I,INT((ROW()-180)/3)*3+180):INDEX($I:$I,INT((ROW()-180)/3)*3+182))</f>
        <v>1.6468718927355375E-6</v>
      </c>
      <c r="M194" s="12">
        <f>_xlfn.VAR.S(INDEX($J:$J,INT((ROW()-180)/3)*3+180):INDEX($J:$J,INT((ROW()-180)/3)*3+182))</f>
        <v>7.3065770054796154E-6</v>
      </c>
      <c r="N194" s="12">
        <f>_xlfn.VAR.S(INDEX($K:$K,INT((ROW()-180)/3)*3+180):INDEX($K:$K,INT((ROW()-180)/3)*3+182))</f>
        <v>2.6613333333269946E-5</v>
      </c>
    </row>
    <row r="195" spans="1:14" s="16" customFormat="1" ht="17.399999999999999">
      <c r="A195" s="16" t="s">
        <v>15427</v>
      </c>
      <c r="B195" s="16" t="s">
        <v>15442</v>
      </c>
      <c r="C195" s="16" t="s">
        <v>15445</v>
      </c>
      <c r="D195" s="16" t="s">
        <v>3440</v>
      </c>
      <c r="E195" s="16" t="s">
        <v>3436</v>
      </c>
      <c r="F195" s="16" t="s">
        <v>11832</v>
      </c>
      <c r="G195" s="16" t="s">
        <v>3372</v>
      </c>
      <c r="H195" s="16" t="s">
        <v>11895</v>
      </c>
      <c r="I195" s="21">
        <v>2.2047296040730802E-2</v>
      </c>
      <c r="J195" s="21">
        <v>5.9191755586011198E-3</v>
      </c>
      <c r="K195" s="21">
        <v>-0.17159999999998399</v>
      </c>
      <c r="L195" s="22">
        <f>_xlfn.VAR.S(INDEX($I:$I,INT((ROW()-180)/3)*3+180):INDEX($I:$I,INT((ROW()-180)/3)*3+182))</f>
        <v>3.0760208756864739E-6</v>
      </c>
      <c r="M195" s="22">
        <f>_xlfn.VAR.S(INDEX($J:$J,INT((ROW()-180)/3)*3+180):INDEX($J:$J,INT((ROW()-180)/3)*3+182))</f>
        <v>9.5539893256407428E-6</v>
      </c>
      <c r="N195" s="22">
        <f>_xlfn.VAR.S(INDEX($K:$K,INT((ROW()-180)/3)*3+180):INDEX($K:$K,INT((ROW()-180)/3)*3+182))</f>
        <v>2.587000000002359E-5</v>
      </c>
    </row>
    <row r="196" spans="1:14" ht="17.399999999999999">
      <c r="A196" t="s">
        <v>15427</v>
      </c>
      <c r="B196" t="s">
        <v>15442</v>
      </c>
      <c r="C196" t="s">
        <v>15445</v>
      </c>
      <c r="D196" t="s">
        <v>3438</v>
      </c>
      <c r="E196" t="s">
        <v>3425</v>
      </c>
      <c r="F196" t="s">
        <v>11433</v>
      </c>
      <c r="G196" t="s">
        <v>3366</v>
      </c>
      <c r="H196" t="s">
        <v>11895</v>
      </c>
      <c r="I196" s="11">
        <v>2.0499403078989498E-2</v>
      </c>
      <c r="J196" s="11">
        <v>4.3147169280222802E-3</v>
      </c>
      <c r="K196" s="11">
        <v>-0.16999999999998699</v>
      </c>
      <c r="L196" s="12">
        <f>_xlfn.VAR.S(INDEX($I:$I,INT((ROW()-180)/3)*3+180):INDEX($I:$I,INT((ROW()-180)/3)*3+182))</f>
        <v>3.0760208756864739E-6</v>
      </c>
      <c r="M196" s="12">
        <f>_xlfn.VAR.S(INDEX($J:$J,INT((ROW()-180)/3)*3+180):INDEX($J:$J,INT((ROW()-180)/3)*3+182))</f>
        <v>9.5539893256407428E-6</v>
      </c>
      <c r="N196" s="12">
        <f>_xlfn.VAR.S(INDEX($K:$K,INT((ROW()-180)/3)*3+180):INDEX($K:$K,INT((ROW()-180)/3)*3+182))</f>
        <v>2.587000000002359E-5</v>
      </c>
    </row>
    <row r="197" spans="1:14" ht="17.399999999999999">
      <c r="A197" t="s">
        <v>15427</v>
      </c>
      <c r="B197" t="s">
        <v>15442</v>
      </c>
      <c r="C197" t="s">
        <v>15445</v>
      </c>
      <c r="D197" t="s">
        <v>3427</v>
      </c>
      <c r="E197" t="s">
        <v>3434</v>
      </c>
      <c r="F197" t="s">
        <v>11433</v>
      </c>
      <c r="G197" t="s">
        <v>3366</v>
      </c>
      <c r="H197" t="s">
        <v>11895</v>
      </c>
      <c r="I197" s="11">
        <v>1.85473482463419E-2</v>
      </c>
      <c r="J197" s="11">
        <v>-5.32812520692359E-5</v>
      </c>
      <c r="K197" s="11">
        <v>-0.16209999999998101</v>
      </c>
      <c r="L197" s="12">
        <f>_xlfn.VAR.S(INDEX($I:$I,INT((ROW()-180)/3)*3+180):INDEX($I:$I,INT((ROW()-180)/3)*3+182))</f>
        <v>3.0760208756864739E-6</v>
      </c>
      <c r="M197" s="12">
        <f>_xlfn.VAR.S(INDEX($J:$J,INT((ROW()-180)/3)*3+180):INDEX($J:$J,INT((ROW()-180)/3)*3+182))</f>
        <v>9.5539893256407428E-6</v>
      </c>
      <c r="N197" s="12">
        <f>_xlfn.VAR.S(INDEX($K:$K,INT((ROW()-180)/3)*3+180):INDEX($K:$K,INT((ROW()-180)/3)*3+182))</f>
        <v>2.587000000002359E-5</v>
      </c>
    </row>
    <row r="198" spans="1:14" s="16" customFormat="1" ht="17.399999999999999">
      <c r="A198" s="16" t="s">
        <v>15427</v>
      </c>
      <c r="B198" s="16" t="s">
        <v>15442</v>
      </c>
      <c r="C198" s="16" t="s">
        <v>15451</v>
      </c>
      <c r="D198" s="16" t="s">
        <v>3437</v>
      </c>
      <c r="E198" s="16" t="s">
        <v>3425</v>
      </c>
      <c r="F198" s="16" t="s">
        <v>11833</v>
      </c>
      <c r="G198" s="16" t="s">
        <v>3374</v>
      </c>
      <c r="H198" s="16" t="s">
        <v>11910</v>
      </c>
      <c r="I198" s="21">
        <v>2.5441338014183499E-2</v>
      </c>
      <c r="J198" s="21">
        <v>6.7236860356474203E-3</v>
      </c>
      <c r="K198" s="21">
        <v>-0.156099999999981</v>
      </c>
      <c r="L198" s="22">
        <f>_xlfn.VAR.S(INDEX($I:$I,INT((ROW()-180)/3)*3+180):INDEX($I:$I,INT((ROW()-180)/3)*3+182))</f>
        <v>4.2187310273187351E-6</v>
      </c>
      <c r="M198" s="22">
        <f>_xlfn.VAR.S(INDEX($J:$J,INT((ROW()-180)/3)*3+180):INDEX($J:$J,INT((ROW()-180)/3)*3+182))</f>
        <v>1.1275328179373171E-6</v>
      </c>
      <c r="N198" s="22">
        <f>_xlfn.VAR.S(INDEX($K:$K,INT((ROW()-180)/3)*3+180):INDEX($K:$K,INT((ROW()-180)/3)*3+182))</f>
        <v>1.119999999983211E-6</v>
      </c>
    </row>
    <row r="199" spans="1:14" ht="17.399999999999999">
      <c r="A199" t="s">
        <v>15427</v>
      </c>
      <c r="B199" t="s">
        <v>15442</v>
      </c>
      <c r="C199" t="s">
        <v>15451</v>
      </c>
      <c r="D199" t="s">
        <v>3440</v>
      </c>
      <c r="E199" t="s">
        <v>3425</v>
      </c>
      <c r="F199" t="s">
        <v>11833</v>
      </c>
      <c r="G199" t="s">
        <v>3366</v>
      </c>
      <c r="H199" t="s">
        <v>11910</v>
      </c>
      <c r="I199" s="11">
        <v>2.8553910294541001E-2</v>
      </c>
      <c r="J199" s="11">
        <v>5.3377324225633797E-3</v>
      </c>
      <c r="K199" s="11">
        <v>-0.15409999999999999</v>
      </c>
      <c r="L199" s="12">
        <f>_xlfn.VAR.S(INDEX($I:$I,INT((ROW()-180)/3)*3+180):INDEX($I:$I,INT((ROW()-180)/3)*3+182))</f>
        <v>4.2187310273187351E-6</v>
      </c>
      <c r="M199" s="12">
        <f>_xlfn.VAR.S(INDEX($J:$J,INT((ROW()-180)/3)*3+180):INDEX($J:$J,INT((ROW()-180)/3)*3+182))</f>
        <v>1.1275328179373171E-6</v>
      </c>
      <c r="N199" s="12">
        <f>_xlfn.VAR.S(INDEX($K:$K,INT((ROW()-180)/3)*3+180):INDEX($K:$K,INT((ROW()-180)/3)*3+182))</f>
        <v>1.119999999983211E-6</v>
      </c>
    </row>
    <row r="200" spans="1:14" ht="17.399999999999999">
      <c r="A200" t="s">
        <v>15427</v>
      </c>
      <c r="B200" t="s">
        <v>15442</v>
      </c>
      <c r="C200" t="s">
        <v>15451</v>
      </c>
      <c r="D200" t="s">
        <v>3440</v>
      </c>
      <c r="E200" t="s">
        <v>3431</v>
      </c>
      <c r="F200" t="s">
        <v>11154</v>
      </c>
      <c r="G200" t="s">
        <v>3366</v>
      </c>
      <c r="H200" t="s">
        <v>11911</v>
      </c>
      <c r="I200" s="11">
        <v>2.9319285936711001E-2</v>
      </c>
      <c r="J200" s="11">
        <v>4.6371713248500399E-3</v>
      </c>
      <c r="K200" s="11">
        <v>-0.15449999999998501</v>
      </c>
      <c r="L200" s="12">
        <f>_xlfn.VAR.S(INDEX($I:$I,INT((ROW()-180)/3)*3+180):INDEX($I:$I,INT((ROW()-180)/3)*3+182))</f>
        <v>4.2187310273187351E-6</v>
      </c>
      <c r="M200" s="12">
        <f>_xlfn.VAR.S(INDEX($J:$J,INT((ROW()-180)/3)*3+180):INDEX($J:$J,INT((ROW()-180)/3)*3+182))</f>
        <v>1.1275328179373171E-6</v>
      </c>
      <c r="N200" s="12">
        <f>_xlfn.VAR.S(INDEX($K:$K,INT((ROW()-180)/3)*3+180):INDEX($K:$K,INT((ROW()-180)/3)*3+182))</f>
        <v>1.119999999983211E-6</v>
      </c>
    </row>
    <row r="201" spans="1:14" s="16" customFormat="1" hidden="1">
      <c r="A201" s="16" t="s">
        <v>15306</v>
      </c>
      <c r="B201" s="16" t="s">
        <v>15441</v>
      </c>
      <c r="C201" s="16" t="s">
        <v>15445</v>
      </c>
      <c r="D201" s="16" t="s">
        <v>3427</v>
      </c>
      <c r="E201" s="16" t="s">
        <v>3430</v>
      </c>
      <c r="F201" s="16" t="s">
        <v>10548</v>
      </c>
      <c r="G201" s="16" t="s">
        <v>3366</v>
      </c>
      <c r="H201" s="16" t="s">
        <v>11903</v>
      </c>
      <c r="I201" s="21">
        <v>-4.9213473090758901E-2</v>
      </c>
      <c r="J201" s="21">
        <v>-0.145243898261883</v>
      </c>
      <c r="K201" s="21">
        <v>5.5999999999983202E-2</v>
      </c>
      <c r="L201" s="23" t="s">
        <v>15528</v>
      </c>
      <c r="M201" s="23" t="s">
        <v>15528</v>
      </c>
      <c r="N201" s="23" t="s">
        <v>15528</v>
      </c>
    </row>
    <row r="202" spans="1:14" s="16" customFormat="1" hidden="1">
      <c r="A202" s="16" t="s">
        <v>15306</v>
      </c>
      <c r="B202" s="16" t="s">
        <v>15441</v>
      </c>
      <c r="C202" s="16" t="s">
        <v>15446</v>
      </c>
      <c r="D202" s="16" t="s">
        <v>3427</v>
      </c>
      <c r="E202" s="16" t="s">
        <v>3429</v>
      </c>
      <c r="F202" s="16" t="s">
        <v>10841</v>
      </c>
      <c r="G202" s="16" t="s">
        <v>3366</v>
      </c>
      <c r="H202" s="16" t="s">
        <v>11903</v>
      </c>
      <c r="I202" s="21">
        <v>-4.6493308540642403E-2</v>
      </c>
      <c r="J202" s="21">
        <v>-0.14239303231511599</v>
      </c>
      <c r="K202" s="21">
        <v>4.55000000000041E-2</v>
      </c>
      <c r="L202" s="22"/>
      <c r="M202" s="22"/>
      <c r="N202" s="22"/>
    </row>
    <row r="203" spans="1:14" s="16" customFormat="1" hidden="1">
      <c r="A203" s="16" t="s">
        <v>15306</v>
      </c>
      <c r="B203" s="16" t="s">
        <v>15441</v>
      </c>
      <c r="C203" s="16" t="s">
        <v>15447</v>
      </c>
      <c r="D203" s="16" t="s">
        <v>3436</v>
      </c>
      <c r="E203" s="16" t="s">
        <v>3442</v>
      </c>
      <c r="F203" s="16" t="s">
        <v>10842</v>
      </c>
      <c r="G203" s="16" t="s">
        <v>3366</v>
      </c>
      <c r="H203" s="16" t="s">
        <v>11900</v>
      </c>
      <c r="I203" s="21">
        <v>-5.1999310133934801E-2</v>
      </c>
      <c r="J203" s="21">
        <v>-0.13812604676609699</v>
      </c>
      <c r="K203" s="21">
        <v>5.3100000000000598E-2</v>
      </c>
      <c r="L203" s="22"/>
      <c r="M203" s="22"/>
      <c r="N203" s="22"/>
    </row>
    <row r="204" spans="1:14" s="16" customFormat="1" hidden="1">
      <c r="A204" s="16" t="s">
        <v>15306</v>
      </c>
      <c r="B204" s="16" t="s">
        <v>15441</v>
      </c>
      <c r="C204" s="16" t="s">
        <v>15448</v>
      </c>
      <c r="D204" s="16" t="s">
        <v>3434</v>
      </c>
      <c r="E204" s="16" t="s">
        <v>3465</v>
      </c>
      <c r="F204" s="16" t="s">
        <v>10843</v>
      </c>
      <c r="G204" s="16" t="s">
        <v>3366</v>
      </c>
      <c r="H204" s="16" t="s">
        <v>11913</v>
      </c>
      <c r="I204" s="21">
        <v>-4.3612643499940797E-2</v>
      </c>
      <c r="J204" s="21">
        <v>-0.137635900456477</v>
      </c>
      <c r="K204" s="21">
        <v>4.5799999999985602E-2</v>
      </c>
      <c r="L204" s="22"/>
      <c r="M204" s="22"/>
      <c r="N204" s="22"/>
    </row>
    <row r="205" spans="1:14" s="16" customFormat="1" hidden="1">
      <c r="A205" s="16" t="s">
        <v>15306</v>
      </c>
      <c r="B205" s="16" t="s">
        <v>15441</v>
      </c>
      <c r="C205" s="16" t="s">
        <v>15449</v>
      </c>
      <c r="D205" s="16" t="s">
        <v>3429</v>
      </c>
      <c r="E205" s="16" t="s">
        <v>3450</v>
      </c>
      <c r="F205" s="16" t="s">
        <v>10844</v>
      </c>
      <c r="G205" s="16" t="s">
        <v>3366</v>
      </c>
      <c r="H205" s="16" t="s">
        <v>11907</v>
      </c>
      <c r="I205" s="21">
        <v>-4.7607008279850302E-2</v>
      </c>
      <c r="J205" s="21">
        <v>-0.13532895777253701</v>
      </c>
      <c r="K205" s="21">
        <v>3.9999999999992E-2</v>
      </c>
      <c r="L205" s="22"/>
      <c r="M205" s="22"/>
      <c r="N205" s="22"/>
    </row>
    <row r="206" spans="1:14" s="16" customFormat="1">
      <c r="A206" s="16" t="s">
        <v>15306</v>
      </c>
      <c r="B206" s="16" t="s">
        <v>15442</v>
      </c>
      <c r="C206" s="16" t="s">
        <v>15450</v>
      </c>
      <c r="D206" s="16" t="s">
        <v>3435</v>
      </c>
      <c r="E206" s="16" t="s">
        <v>3426</v>
      </c>
      <c r="F206" s="16" t="s">
        <v>10845</v>
      </c>
      <c r="G206" s="16" t="s">
        <v>3366</v>
      </c>
      <c r="H206" s="16" t="s">
        <v>11895</v>
      </c>
      <c r="I206" s="21">
        <v>-4.9484699183377001E-2</v>
      </c>
      <c r="J206" s="21">
        <v>-0.17637631427537201</v>
      </c>
      <c r="K206" s="21">
        <v>-8.6600000000004201E-2</v>
      </c>
      <c r="L206" s="22"/>
      <c r="M206" s="22"/>
      <c r="N206" s="22"/>
    </row>
    <row r="207" spans="1:14" s="16" customFormat="1">
      <c r="A207" s="16" t="s">
        <v>15306</v>
      </c>
      <c r="B207" s="16" t="s">
        <v>15442</v>
      </c>
      <c r="C207" s="16" t="s">
        <v>15445</v>
      </c>
      <c r="D207" s="16" t="s">
        <v>3428</v>
      </c>
      <c r="E207" s="16" t="s">
        <v>3461</v>
      </c>
      <c r="F207" s="16" t="s">
        <v>10846</v>
      </c>
      <c r="G207" s="16" t="s">
        <v>3366</v>
      </c>
      <c r="H207" s="16" t="s">
        <v>11895</v>
      </c>
      <c r="I207" s="21">
        <v>-5.4090094252798697E-2</v>
      </c>
      <c r="J207" s="21">
        <v>-0.13992444895651401</v>
      </c>
      <c r="K207" s="21">
        <v>-0.12710000000001301</v>
      </c>
      <c r="L207" s="22"/>
      <c r="M207" s="22"/>
      <c r="N207" s="22"/>
    </row>
    <row r="208" spans="1:14" s="16" customFormat="1">
      <c r="A208" s="16" t="s">
        <v>15306</v>
      </c>
      <c r="B208" s="16" t="s">
        <v>15442</v>
      </c>
      <c r="C208" s="16" t="s">
        <v>15451</v>
      </c>
      <c r="D208" s="16" t="s">
        <v>3437</v>
      </c>
      <c r="E208" s="16" t="s">
        <v>3425</v>
      </c>
      <c r="F208" s="16" t="s">
        <v>10847</v>
      </c>
      <c r="G208" s="16" t="s">
        <v>3366</v>
      </c>
      <c r="H208" s="16" t="s">
        <v>11911</v>
      </c>
      <c r="I208" s="21">
        <v>-5.0952463978085498E-2</v>
      </c>
      <c r="J208" s="21">
        <v>-0.14617659446199999</v>
      </c>
      <c r="K208" s="21">
        <v>-0.106899999999996</v>
      </c>
      <c r="L208" s="22"/>
      <c r="M208" s="22"/>
      <c r="N208" s="22"/>
    </row>
    <row r="209" spans="1:14" s="16" customFormat="1">
      <c r="A209" s="16" t="s">
        <v>15306</v>
      </c>
      <c r="B209" s="16" t="s">
        <v>15442</v>
      </c>
      <c r="C209" s="16" t="s">
        <v>15451</v>
      </c>
      <c r="D209" s="16" t="s">
        <v>3437</v>
      </c>
      <c r="E209" s="16" t="s">
        <v>3425</v>
      </c>
      <c r="F209" s="16" t="s">
        <v>10848</v>
      </c>
      <c r="G209" s="16" t="s">
        <v>3366</v>
      </c>
      <c r="H209" s="16" t="s">
        <v>11910</v>
      </c>
      <c r="I209" s="21">
        <v>-4.9057423309847602E-2</v>
      </c>
      <c r="J209" s="21">
        <v>-0.14831920115928399</v>
      </c>
      <c r="K209" s="21">
        <v>-0.107600000000019</v>
      </c>
      <c r="L209" s="22"/>
      <c r="M209" s="22"/>
      <c r="N209" s="22"/>
    </row>
    <row r="210" spans="1:14" s="16" customFormat="1" hidden="1">
      <c r="A210" s="16" t="s">
        <v>15306</v>
      </c>
      <c r="B210" s="16" t="s">
        <v>15443</v>
      </c>
      <c r="C210" s="16" t="s">
        <v>15452</v>
      </c>
      <c r="D210" s="16" t="s">
        <v>3438</v>
      </c>
      <c r="E210" s="16" t="s">
        <v>3435</v>
      </c>
      <c r="F210" s="16" t="s">
        <v>10849</v>
      </c>
      <c r="G210" s="16" t="s">
        <v>3366</v>
      </c>
      <c r="H210" s="16" t="s">
        <v>11908</v>
      </c>
      <c r="I210" s="21">
        <v>-7.5218941316373494E-2</v>
      </c>
      <c r="J210" s="21">
        <v>-0.15171122726021</v>
      </c>
      <c r="K210" s="21">
        <v>7.7100000000001501E-2</v>
      </c>
      <c r="L210" s="23" t="s">
        <v>15528</v>
      </c>
      <c r="M210" s="23" t="s">
        <v>15528</v>
      </c>
      <c r="N210" s="23" t="s">
        <v>15528</v>
      </c>
    </row>
    <row r="211" spans="1:14" s="16" customFormat="1" ht="17.399999999999999" hidden="1">
      <c r="A211" s="16" t="s">
        <v>15381</v>
      </c>
      <c r="B211" s="16" t="s">
        <v>15441</v>
      </c>
      <c r="C211" s="16" t="s">
        <v>15449</v>
      </c>
      <c r="D211" s="16" t="s">
        <v>3428</v>
      </c>
      <c r="E211" s="16" t="s">
        <v>3442</v>
      </c>
      <c r="F211" s="16" t="s">
        <v>10657</v>
      </c>
      <c r="G211" s="16" t="s">
        <v>3366</v>
      </c>
      <c r="H211" s="16" t="s">
        <v>11907</v>
      </c>
      <c r="I211" s="21">
        <v>1.67341456689237E-2</v>
      </c>
      <c r="J211" s="21">
        <v>9.6774832109313494E-3</v>
      </c>
      <c r="K211" s="21">
        <v>-0.51680000000000303</v>
      </c>
      <c r="L211" s="22">
        <f>_xlfn.VAR.S(INDEX($I:$I,INT((ROW()-211)/3)*3+211):INDEX($I:$I,INT((ROW()-211)/3)*3+213))</f>
        <v>3.5575024377754143E-8</v>
      </c>
      <c r="M211" s="22">
        <f>_xlfn.VAR.S(INDEX($J:$J,INT((ROW()-211)/3)*3+211):INDEX($J:$J,INT((ROW()-211)/3)*3+213))</f>
        <v>2.9067473210069237E-7</v>
      </c>
      <c r="N211" s="22">
        <f>_xlfn.VAR.S(INDEX($K:$K,INT((ROW()-211)/3)*3+211):INDEX($K:$K,INT((ROW()-211)/3)*3+213))</f>
        <v>2.6233333333480654E-6</v>
      </c>
    </row>
    <row r="212" spans="1:14" ht="17.399999999999999" hidden="1">
      <c r="A212" t="s">
        <v>15381</v>
      </c>
      <c r="B212" t="s">
        <v>15441</v>
      </c>
      <c r="C212" t="s">
        <v>15449</v>
      </c>
      <c r="D212" t="s">
        <v>3428</v>
      </c>
      <c r="E212" t="s">
        <v>3442</v>
      </c>
      <c r="F212" t="s">
        <v>11028</v>
      </c>
      <c r="G212" t="s">
        <v>3366</v>
      </c>
      <c r="H212" t="s">
        <v>11907</v>
      </c>
      <c r="I212" s="11">
        <v>1.64406215245517E-2</v>
      </c>
      <c r="J212" s="11">
        <v>8.8258519373628393E-3</v>
      </c>
      <c r="K212" s="11">
        <v>-0.51700000000001001</v>
      </c>
      <c r="L212" s="12">
        <f>_xlfn.VAR.S(INDEX($I:$I,INT((ROW()-211)/3)*3+211):INDEX($I:$I,INT((ROW()-211)/3)*3+213))</f>
        <v>3.5575024377754143E-8</v>
      </c>
      <c r="M212" s="12">
        <f>_xlfn.VAR.S(INDEX($J:$J,INT((ROW()-211)/3)*3+211):INDEX($J:$J,INT((ROW()-211)/3)*3+213))</f>
        <v>2.9067473210069237E-7</v>
      </c>
      <c r="N212" s="12">
        <f>_xlfn.VAR.S(INDEX($K:$K,INT((ROW()-211)/3)*3+211):INDEX($K:$K,INT((ROW()-211)/3)*3+213))</f>
        <v>2.6233333333480654E-6</v>
      </c>
    </row>
    <row r="213" spans="1:14" ht="17.399999999999999" hidden="1">
      <c r="A213" t="s">
        <v>15381</v>
      </c>
      <c r="B213" t="s">
        <v>15441</v>
      </c>
      <c r="C213" t="s">
        <v>15449</v>
      </c>
      <c r="D213" t="s">
        <v>3436</v>
      </c>
      <c r="E213" t="s">
        <v>3441</v>
      </c>
      <c r="F213" t="s">
        <v>10940</v>
      </c>
      <c r="G213" t="s">
        <v>3366</v>
      </c>
      <c r="H213" t="s">
        <v>11907</v>
      </c>
      <c r="I213" s="11">
        <v>1.6792585340483401E-2</v>
      </c>
      <c r="J213" s="11">
        <v>8.6788959558626901E-3</v>
      </c>
      <c r="K213" s="11">
        <v>-0.514099999999999</v>
      </c>
      <c r="L213" s="12">
        <f>_xlfn.VAR.S(INDEX($I:$I,INT((ROW()-211)/3)*3+211):INDEX($I:$I,INT((ROW()-211)/3)*3+213))</f>
        <v>3.5575024377754143E-8</v>
      </c>
      <c r="M213" s="12">
        <f>_xlfn.VAR.S(INDEX($J:$J,INT((ROW()-211)/3)*3+211):INDEX($J:$J,INT((ROW()-211)/3)*3+213))</f>
        <v>2.9067473210069237E-7</v>
      </c>
      <c r="N213" s="12">
        <f>_xlfn.VAR.S(INDEX($K:$K,INT((ROW()-211)/3)*3+211):INDEX($K:$K,INT((ROW()-211)/3)*3+213))</f>
        <v>2.6233333333480654E-6</v>
      </c>
    </row>
    <row r="214" spans="1:14" s="16" customFormat="1" ht="17.399999999999999" hidden="1">
      <c r="A214" s="16" t="s">
        <v>15381</v>
      </c>
      <c r="B214" s="16" t="s">
        <v>15441</v>
      </c>
      <c r="C214" s="16" t="s">
        <v>15448</v>
      </c>
      <c r="D214" s="16" t="s">
        <v>3433</v>
      </c>
      <c r="E214" s="16" t="s">
        <v>3491</v>
      </c>
      <c r="F214" s="16" t="s">
        <v>11029</v>
      </c>
      <c r="G214" s="16" t="s">
        <v>3366</v>
      </c>
      <c r="H214" s="16" t="s">
        <v>11905</v>
      </c>
      <c r="I214" s="21">
        <v>-6.4294194978607704E-3</v>
      </c>
      <c r="J214" s="21">
        <v>-7.3046161603580002E-3</v>
      </c>
      <c r="K214" s="21">
        <v>-0.53810000000000002</v>
      </c>
      <c r="L214" s="22">
        <f>_xlfn.VAR.S(INDEX($I:$I,INT((ROW()-211)/3)*3+211):INDEX($I:$I,INT((ROW()-211)/3)*3+213))</f>
        <v>4.0313540851833482E-6</v>
      </c>
      <c r="M214" s="22">
        <f>_xlfn.VAR.S(INDEX($J:$J,INT((ROW()-211)/3)*3+211):INDEX($J:$J,INT((ROW()-211)/3)*3+213))</f>
        <v>1.7820676232889575E-6</v>
      </c>
      <c r="N214" s="22">
        <f>_xlfn.VAR.S(INDEX($K:$K,INT((ROW()-211)/3)*3+211):INDEX($K:$K,INT((ROW()-211)/3)*3+213))</f>
        <v>2.8373333333289899E-5</v>
      </c>
    </row>
    <row r="215" spans="1:14" ht="17.399999999999999" hidden="1">
      <c r="A215" t="s">
        <v>15381</v>
      </c>
      <c r="B215" t="s">
        <v>15441</v>
      </c>
      <c r="C215" t="s">
        <v>15448</v>
      </c>
      <c r="D215" t="s">
        <v>3453</v>
      </c>
      <c r="E215" t="s">
        <v>3562</v>
      </c>
      <c r="F215" t="s">
        <v>10658</v>
      </c>
      <c r="G215" t="s">
        <v>3366</v>
      </c>
      <c r="H215" t="s">
        <v>11916</v>
      </c>
      <c r="I215" s="11">
        <v>-2.5153848478121398E-3</v>
      </c>
      <c r="J215" s="11">
        <v>-8.3566798813866291E-3</v>
      </c>
      <c r="K215" s="11">
        <v>-0.537300000000002</v>
      </c>
      <c r="L215" s="12">
        <f>_xlfn.VAR.S(INDEX($I:$I,INT((ROW()-211)/3)*3+211):INDEX($I:$I,INT((ROW()-211)/3)*3+213))</f>
        <v>4.0313540851833482E-6</v>
      </c>
      <c r="M215" s="12">
        <f>_xlfn.VAR.S(INDEX($J:$J,INT((ROW()-211)/3)*3+211):INDEX($J:$J,INT((ROW()-211)/3)*3+213))</f>
        <v>1.7820676232889575E-6</v>
      </c>
      <c r="N215" s="12">
        <f>_xlfn.VAR.S(INDEX($K:$K,INT((ROW()-211)/3)*3+211):INDEX($K:$K,INT((ROW()-211)/3)*3+213))</f>
        <v>2.8373333333289899E-5</v>
      </c>
    </row>
    <row r="216" spans="1:14" ht="17.399999999999999" hidden="1">
      <c r="A216" t="s">
        <v>15381</v>
      </c>
      <c r="B216" t="s">
        <v>15441</v>
      </c>
      <c r="C216" t="s">
        <v>15448</v>
      </c>
      <c r="D216" t="s">
        <v>3453</v>
      </c>
      <c r="E216" t="s">
        <v>3542</v>
      </c>
      <c r="F216" t="s">
        <v>10756</v>
      </c>
      <c r="G216" t="s">
        <v>3366</v>
      </c>
      <c r="H216" t="s">
        <v>11916</v>
      </c>
      <c r="I216" s="11">
        <v>-3.6950272155513199E-3</v>
      </c>
      <c r="J216" s="11">
        <v>-9.9557537394280807E-3</v>
      </c>
      <c r="K216" s="11">
        <v>-0.52850000000000796</v>
      </c>
      <c r="L216" s="12">
        <f>_xlfn.VAR.S(INDEX($I:$I,INT((ROW()-211)/3)*3+211):INDEX($I:$I,INT((ROW()-211)/3)*3+213))</f>
        <v>4.0313540851833482E-6</v>
      </c>
      <c r="M216" s="12">
        <f>_xlfn.VAR.S(INDEX($J:$J,INT((ROW()-211)/3)*3+211):INDEX($J:$J,INT((ROW()-211)/3)*3+213))</f>
        <v>1.7820676232889575E-6</v>
      </c>
      <c r="N216" s="12">
        <f>_xlfn.VAR.S(INDEX($K:$K,INT((ROW()-211)/3)*3+211):INDEX($K:$K,INT((ROW()-211)/3)*3+213))</f>
        <v>2.8373333333289899E-5</v>
      </c>
    </row>
    <row r="217" spans="1:14" s="16" customFormat="1" ht="17.399999999999999">
      <c r="A217" s="16" t="s">
        <v>15381</v>
      </c>
      <c r="B217" s="16" t="s">
        <v>15444</v>
      </c>
      <c r="C217" s="16" t="s">
        <v>15451</v>
      </c>
      <c r="D217" s="16" t="s">
        <v>3427</v>
      </c>
      <c r="E217" s="16" t="s">
        <v>3453</v>
      </c>
      <c r="F217" s="16" t="s">
        <v>11030</v>
      </c>
      <c r="G217" s="16" t="s">
        <v>3369</v>
      </c>
      <c r="H217" s="16" t="s">
        <v>11913</v>
      </c>
      <c r="I217" s="21">
        <v>6.0284015787149996E-3</v>
      </c>
      <c r="J217" s="21">
        <v>7.4101171747202599E-3</v>
      </c>
      <c r="K217" s="21">
        <v>-0.53499999999999703</v>
      </c>
      <c r="L217" s="22">
        <f>_xlfn.VAR.S(INDEX($I:$I,INT((ROW()-211)/3)*3+211):INDEX($I:$I,INT((ROW()-211)/3)*3+213))</f>
        <v>1.5951800925257E-6</v>
      </c>
      <c r="M217" s="22">
        <f>_xlfn.VAR.S(INDEX($J:$J,INT((ROW()-211)/3)*3+211):INDEX($J:$J,INT((ROW()-211)/3)*3+213))</f>
        <v>2.3968254761388598E-6</v>
      </c>
      <c r="N217" s="22">
        <f>_xlfn.VAR.S(INDEX($K:$K,INT((ROW()-211)/3)*3+211):INDEX($K:$K,INT((ROW()-211)/3)*3+213))</f>
        <v>4.4433333333329356E-6</v>
      </c>
    </row>
    <row r="218" spans="1:14" ht="17.399999999999999">
      <c r="A218" t="s">
        <v>15381</v>
      </c>
      <c r="B218" t="s">
        <v>15444</v>
      </c>
      <c r="C218" t="s">
        <v>15451</v>
      </c>
      <c r="D218" t="s">
        <v>3438</v>
      </c>
      <c r="E218" t="s">
        <v>3441</v>
      </c>
      <c r="F218" t="s">
        <v>10658</v>
      </c>
      <c r="G218" t="s">
        <v>3366</v>
      </c>
      <c r="H218" t="s">
        <v>11913</v>
      </c>
      <c r="I218" s="11">
        <v>8.5023643513042393E-3</v>
      </c>
      <c r="J218" s="11">
        <v>9.2888945510478296E-3</v>
      </c>
      <c r="K218" s="11">
        <v>-0.53490000000000704</v>
      </c>
      <c r="L218" s="12">
        <f>_xlfn.VAR.S(INDEX($I:$I,INT((ROW()-211)/3)*3+211):INDEX($I:$I,INT((ROW()-211)/3)*3+213))</f>
        <v>1.5951800925257E-6</v>
      </c>
      <c r="M218" s="12">
        <f>_xlfn.VAR.S(INDEX($J:$J,INT((ROW()-211)/3)*3+211):INDEX($J:$J,INT((ROW()-211)/3)*3+213))</f>
        <v>2.3968254761388598E-6</v>
      </c>
      <c r="N218" s="12">
        <f>_xlfn.VAR.S(INDEX($K:$K,INT((ROW()-211)/3)*3+211):INDEX($K:$K,INT((ROW()-211)/3)*3+213))</f>
        <v>4.4433333333329356E-6</v>
      </c>
    </row>
    <row r="219" spans="1:14" ht="17.399999999999999">
      <c r="A219" t="s">
        <v>15381</v>
      </c>
      <c r="B219" t="s">
        <v>15444</v>
      </c>
      <c r="C219" t="s">
        <v>15451</v>
      </c>
      <c r="D219" t="s">
        <v>3438</v>
      </c>
      <c r="E219" t="s">
        <v>3430</v>
      </c>
      <c r="F219" t="s">
        <v>11031</v>
      </c>
      <c r="G219" t="s">
        <v>3366</v>
      </c>
      <c r="H219" t="s">
        <v>11906</v>
      </c>
      <c r="I219" s="11">
        <v>7.7071650690598197E-3</v>
      </c>
      <c r="J219" s="11">
        <v>1.0480966185307699E-2</v>
      </c>
      <c r="K219" s="11">
        <v>-0.53130000000000199</v>
      </c>
      <c r="L219" s="12">
        <f>_xlfn.VAR.S(INDEX($I:$I,INT((ROW()-211)/3)*3+211):INDEX($I:$I,INT((ROW()-211)/3)*3+213))</f>
        <v>1.5951800925257E-6</v>
      </c>
      <c r="M219" s="12">
        <f>_xlfn.VAR.S(INDEX($J:$J,INT((ROW()-211)/3)*3+211):INDEX($J:$J,INT((ROW()-211)/3)*3+213))</f>
        <v>2.3968254761388598E-6</v>
      </c>
      <c r="N219" s="12">
        <f>_xlfn.VAR.S(INDEX($K:$K,INT((ROW()-211)/3)*3+211):INDEX($K:$K,INT((ROW()-211)/3)*3+213))</f>
        <v>4.4433333333329356E-6</v>
      </c>
    </row>
    <row r="220" spans="1:14" s="16" customFormat="1" ht="17.399999999999999" hidden="1">
      <c r="A220" s="16" t="s">
        <v>15392</v>
      </c>
      <c r="B220" s="16" t="s">
        <v>15441</v>
      </c>
      <c r="C220" s="16" t="s">
        <v>15445</v>
      </c>
      <c r="D220" s="16" t="s">
        <v>3484</v>
      </c>
      <c r="E220" s="16" t="s">
        <v>3699</v>
      </c>
      <c r="F220" s="16" t="s">
        <v>11591</v>
      </c>
      <c r="G220" s="16" t="s">
        <v>3366</v>
      </c>
      <c r="H220" s="16" t="s">
        <v>11902</v>
      </c>
      <c r="I220" s="21">
        <v>1.7160740509428798E-2</v>
      </c>
      <c r="J220" s="21">
        <v>-8.9472059858875293E-3</v>
      </c>
      <c r="K220" s="21">
        <v>-5.27000000000157E-2</v>
      </c>
      <c r="L220" s="22">
        <f>_xlfn.VAR.S(INDEX($I:$I,INT((ROW()-220)/5)*5+220):INDEX($I:$I,INT((ROW()-220)/5)*5+224))</f>
        <v>1.0924090378981191E-5</v>
      </c>
      <c r="M220" s="22">
        <f>_xlfn.VAR.S(INDEX($J:$J,INT((ROW()-220)/5)*5+220):INDEX($J:$J,INT((ROW()-220)/5)*5+222))</f>
        <v>2.1336034756908754E-7</v>
      </c>
      <c r="N220" s="22">
        <f>_xlfn.VAR.S(K220:K224)</f>
        <v>2.4555800000002547E-4</v>
      </c>
    </row>
    <row r="221" spans="1:14" ht="17.399999999999999" hidden="1">
      <c r="A221" t="s">
        <v>15392</v>
      </c>
      <c r="B221" t="s">
        <v>15441</v>
      </c>
      <c r="C221" t="s">
        <v>15445</v>
      </c>
      <c r="D221" t="s">
        <v>3463</v>
      </c>
      <c r="E221" t="s">
        <v>3702</v>
      </c>
      <c r="F221" t="s">
        <v>11592</v>
      </c>
      <c r="G221" t="s">
        <v>3369</v>
      </c>
      <c r="H221" t="s">
        <v>11900</v>
      </c>
      <c r="I221" s="11">
        <v>1.2450752669258601E-2</v>
      </c>
      <c r="J221" s="11">
        <v>-8.1808556746340595E-3</v>
      </c>
      <c r="K221" s="11">
        <v>-5.5800000000004998E-2</v>
      </c>
      <c r="L221" s="12">
        <f>_xlfn.VAR.S(INDEX($I:$I,INT((ROW()-220)/5)*5+220):INDEX($I:$I,INT((ROW()-220)/5)*5+224))</f>
        <v>1.0924090378981191E-5</v>
      </c>
      <c r="M221" s="12">
        <f>_xlfn.VAR.S(INDEX($J:$J,INT((ROW()-220)/5)*5+220):INDEX($J:$J,INT((ROW()-220)/5)*5+222))</f>
        <v>2.1336034756908754E-7</v>
      </c>
      <c r="N221" s="13" t="s">
        <v>15527</v>
      </c>
    </row>
    <row r="222" spans="1:14" ht="17.399999999999999" hidden="1">
      <c r="A222" t="s">
        <v>15392</v>
      </c>
      <c r="B222" t="s">
        <v>15441</v>
      </c>
      <c r="C222" t="s">
        <v>15445</v>
      </c>
      <c r="D222" t="s">
        <v>3450</v>
      </c>
      <c r="E222" t="s">
        <v>3537</v>
      </c>
      <c r="F222" t="s">
        <v>10761</v>
      </c>
      <c r="G222" t="s">
        <v>3366</v>
      </c>
      <c r="H222" t="s">
        <v>11902</v>
      </c>
      <c r="I222" s="11">
        <v>1.0578653583807499E-2</v>
      </c>
      <c r="J222" s="11">
        <v>-9.0108097946699807E-3</v>
      </c>
      <c r="K222" s="11">
        <v>-5.6700000000006398E-2</v>
      </c>
      <c r="L222" s="12">
        <f>_xlfn.VAR.S(INDEX($I:$I,INT((ROW()-220)/5)*5+220):INDEX($I:$I,INT((ROW()-220)/5)*5+224))</f>
        <v>1.0924090378981191E-5</v>
      </c>
      <c r="M222" s="12">
        <f>_xlfn.VAR.S(INDEX($J:$J,INT((ROW()-220)/5)*5+220):INDEX($J:$J,INT((ROW()-220)/5)*5+222))</f>
        <v>2.1336034756908754E-7</v>
      </c>
      <c r="N222" s="13" t="s">
        <v>15527</v>
      </c>
    </row>
    <row r="223" spans="1:14" ht="17.399999999999999" hidden="1">
      <c r="A223" t="s">
        <v>15392</v>
      </c>
      <c r="B223" t="s">
        <v>15441</v>
      </c>
      <c r="C223" t="s">
        <v>15445</v>
      </c>
      <c r="D223" t="s">
        <v>3460</v>
      </c>
      <c r="E223" t="s">
        <v>3580</v>
      </c>
      <c r="F223" t="s">
        <v>11593</v>
      </c>
      <c r="G223" t="s">
        <v>3366</v>
      </c>
      <c r="H223" t="s">
        <v>11902</v>
      </c>
      <c r="I223" s="11">
        <v>1.0133130694751399E-2</v>
      </c>
      <c r="J223" s="11">
        <v>-9.3265301527570808E-3</v>
      </c>
      <c r="K223" s="11">
        <v>-3.8700000000005702E-2</v>
      </c>
      <c r="L223" s="12">
        <f>_xlfn.VAR.S(INDEX($I:$I,INT((ROW()-220)/5)*5+220):INDEX($I:$I,INT((ROW()-220)/5)*5+224))</f>
        <v>1.0924090378981191E-5</v>
      </c>
      <c r="M223" s="12">
        <f>_xlfn.VAR.S(INDEX($J:$J,INT((ROW()-220)/5)*5+220):INDEX($J:$J,INT((ROW()-220)/5)*5+222))</f>
        <v>2.1336034756908754E-7</v>
      </c>
      <c r="N223" s="13" t="s">
        <v>15527</v>
      </c>
    </row>
    <row r="224" spans="1:14" ht="17.399999999999999" hidden="1">
      <c r="A224" t="s">
        <v>15392</v>
      </c>
      <c r="B224" t="s">
        <v>15441</v>
      </c>
      <c r="C224" t="s">
        <v>15445</v>
      </c>
      <c r="D224" t="s">
        <v>3463</v>
      </c>
      <c r="E224" t="s">
        <v>3553</v>
      </c>
      <c r="F224" t="s">
        <v>10930</v>
      </c>
      <c r="G224" t="s">
        <v>3366</v>
      </c>
      <c r="H224" t="s">
        <v>11902</v>
      </c>
      <c r="I224" s="11">
        <v>8.5958603244411305E-3</v>
      </c>
      <c r="J224" s="11">
        <v>-9.2564450750905504E-3</v>
      </c>
      <c r="K224" s="11">
        <v>-1.9900000000006898E-2</v>
      </c>
      <c r="L224" s="12">
        <f>_xlfn.VAR.S(INDEX($I:$I,INT((ROW()-220)/5)*5+220):INDEX($I:$I,INT((ROW()-220)/5)*5+224))</f>
        <v>1.0924090378981191E-5</v>
      </c>
      <c r="M224" s="12">
        <f>_xlfn.VAR.S(INDEX($J:$J,INT((ROW()-220)/5)*5+220):INDEX($J:$J,INT((ROW()-220)/5)*5+222))</f>
        <v>2.1336034756908754E-7</v>
      </c>
      <c r="N224" s="13" t="s">
        <v>15527</v>
      </c>
    </row>
    <row r="225" spans="1:14" s="16" customFormat="1" ht="17.399999999999999" hidden="1">
      <c r="A225" s="16" t="s">
        <v>15392</v>
      </c>
      <c r="B225" s="16" t="s">
        <v>15441</v>
      </c>
      <c r="C225" s="16" t="s">
        <v>15446</v>
      </c>
      <c r="D225" s="16" t="s">
        <v>3546</v>
      </c>
      <c r="E225" s="16" t="s">
        <v>3585</v>
      </c>
      <c r="F225" s="16" t="s">
        <v>11594</v>
      </c>
      <c r="G225" s="16" t="s">
        <v>3366</v>
      </c>
      <c r="H225" s="16" t="s">
        <v>11902</v>
      </c>
      <c r="I225" s="21">
        <v>2.1293917989808699E-2</v>
      </c>
      <c r="J225" s="21">
        <v>6.5290405435240303E-3</v>
      </c>
      <c r="K225" s="21">
        <v>1.47000000000048E-2</v>
      </c>
      <c r="L225" s="22">
        <f>_xlfn.VAR.S(INDEX($I:$I,INT((ROW()-220)/5)*5+220):INDEX($I:$I,INT((ROW()-220)/5)*5+224))</f>
        <v>1.6078106244397355E-4</v>
      </c>
      <c r="M225" s="22">
        <f>_xlfn.VAR.S(INDEX($J:$J,INT((ROW()-220)/5)*5+220):INDEX($J:$J,INT((ROW()-220)/5)*5+222))</f>
        <v>2.1473155543072497E-5</v>
      </c>
      <c r="N225" s="22">
        <f>_xlfn.VAR.S(K225:K229)</f>
        <v>6.0616300000028911E-4</v>
      </c>
    </row>
    <row r="226" spans="1:14" ht="17.399999999999999" hidden="1">
      <c r="A226" t="s">
        <v>15392</v>
      </c>
      <c r="B226" t="s">
        <v>15441</v>
      </c>
      <c r="C226" t="s">
        <v>15446</v>
      </c>
      <c r="D226" t="s">
        <v>3426</v>
      </c>
      <c r="E226" t="s">
        <v>3529</v>
      </c>
      <c r="F226" t="s">
        <v>11595</v>
      </c>
      <c r="G226" t="s">
        <v>3366</v>
      </c>
      <c r="H226" t="s">
        <v>11902</v>
      </c>
      <c r="I226" s="11">
        <v>6.6664254639812502E-5</v>
      </c>
      <c r="J226" s="11">
        <v>1.2334985497881101E-2</v>
      </c>
      <c r="K226" s="11">
        <v>-2.3600000000016101E-2</v>
      </c>
      <c r="L226" s="12">
        <f>_xlfn.VAR.S(INDEX($I:$I,INT((ROW()-220)/5)*5+220):INDEX($I:$I,INT((ROW()-220)/5)*5+224))</f>
        <v>1.6078106244397355E-4</v>
      </c>
      <c r="M226" s="12">
        <f>_xlfn.VAR.S(INDEX($J:$J,INT((ROW()-220)/5)*5+220):INDEX($J:$J,INT((ROW()-220)/5)*5+222))</f>
        <v>2.1473155543072497E-5</v>
      </c>
      <c r="N226" s="13" t="s">
        <v>15527</v>
      </c>
    </row>
    <row r="227" spans="1:14" ht="17.399999999999999" hidden="1">
      <c r="A227" t="s">
        <v>15392</v>
      </c>
      <c r="B227" t="s">
        <v>15441</v>
      </c>
      <c r="C227" t="s">
        <v>15446</v>
      </c>
      <c r="D227" t="s">
        <v>3442</v>
      </c>
      <c r="E227" t="s">
        <v>3540</v>
      </c>
      <c r="F227" t="s">
        <v>11596</v>
      </c>
      <c r="G227" t="s">
        <v>3366</v>
      </c>
      <c r="H227" t="s">
        <v>11902</v>
      </c>
      <c r="I227" s="11">
        <v>-7.7424513980223399E-3</v>
      </c>
      <c r="J227" s="11">
        <v>1.5688027648199002E-2</v>
      </c>
      <c r="K227" s="11">
        <v>-4.0900000000021898E-2</v>
      </c>
      <c r="L227" s="12">
        <f>_xlfn.VAR.S(INDEX($I:$I,INT((ROW()-220)/5)*5+220):INDEX($I:$I,INT((ROW()-220)/5)*5+224))</f>
        <v>1.6078106244397355E-4</v>
      </c>
      <c r="M227" s="12">
        <f>_xlfn.VAR.S(INDEX($J:$J,INT((ROW()-220)/5)*5+220):INDEX($J:$J,INT((ROW()-220)/5)*5+222))</f>
        <v>2.1473155543072497E-5</v>
      </c>
      <c r="N227" s="13" t="s">
        <v>15527</v>
      </c>
    </row>
    <row r="228" spans="1:14" ht="17.399999999999999" hidden="1">
      <c r="A228" t="s">
        <v>15392</v>
      </c>
      <c r="B228" t="s">
        <v>15441</v>
      </c>
      <c r="C228" t="s">
        <v>15446</v>
      </c>
      <c r="D228" t="s">
        <v>3441</v>
      </c>
      <c r="E228" t="s">
        <v>3540</v>
      </c>
      <c r="F228" t="s">
        <v>11597</v>
      </c>
      <c r="G228" t="s">
        <v>3366</v>
      </c>
      <c r="H228" t="s">
        <v>11902</v>
      </c>
      <c r="I228" s="11">
        <v>-7.9288633084315992E-3</v>
      </c>
      <c r="J228" s="11">
        <v>1.7939665722529499E-2</v>
      </c>
      <c r="K228" s="11">
        <v>-4.2000000000001599E-2</v>
      </c>
      <c r="L228" s="12">
        <f>_xlfn.VAR.S(INDEX($I:$I,INT((ROW()-220)/5)*5+220):INDEX($I:$I,INT((ROW()-220)/5)*5+224))</f>
        <v>1.6078106244397355E-4</v>
      </c>
      <c r="M228" s="12">
        <f>_xlfn.VAR.S(INDEX($J:$J,INT((ROW()-220)/5)*5+220):INDEX($J:$J,INT((ROW()-220)/5)*5+222))</f>
        <v>2.1473155543072497E-5</v>
      </c>
      <c r="N228" s="13" t="s">
        <v>15527</v>
      </c>
    </row>
    <row r="229" spans="1:14" ht="17.399999999999999" hidden="1">
      <c r="A229" t="s">
        <v>15392</v>
      </c>
      <c r="B229" t="s">
        <v>15441</v>
      </c>
      <c r="C229" t="s">
        <v>15446</v>
      </c>
      <c r="D229" t="s">
        <v>3441</v>
      </c>
      <c r="E229" t="s">
        <v>3540</v>
      </c>
      <c r="F229" t="s">
        <v>11300</v>
      </c>
      <c r="G229" t="s">
        <v>3366</v>
      </c>
      <c r="H229" t="s">
        <v>11902</v>
      </c>
      <c r="I229" s="11">
        <v>-8.25809998162454E-3</v>
      </c>
      <c r="J229" s="11">
        <v>1.9687936549721001E-2</v>
      </c>
      <c r="K229" s="11">
        <v>-4.3000000000006401E-2</v>
      </c>
      <c r="L229" s="12">
        <f>_xlfn.VAR.S(INDEX($I:$I,INT((ROW()-220)/5)*5+220):INDEX($I:$I,INT((ROW()-220)/5)*5+224))</f>
        <v>1.6078106244397355E-4</v>
      </c>
      <c r="M229" s="12">
        <f>_xlfn.VAR.S(INDEX($J:$J,INT((ROW()-220)/5)*5+220):INDEX($J:$J,INT((ROW()-220)/5)*5+222))</f>
        <v>2.1473155543072497E-5</v>
      </c>
      <c r="N229" s="13" t="s">
        <v>15527</v>
      </c>
    </row>
    <row r="230" spans="1:14" s="16" customFormat="1" ht="17.399999999999999" hidden="1">
      <c r="A230" s="16" t="s">
        <v>15392</v>
      </c>
      <c r="B230" s="16" t="s">
        <v>15441</v>
      </c>
      <c r="C230" s="16" t="s">
        <v>15448</v>
      </c>
      <c r="D230" s="16" t="s">
        <v>3460</v>
      </c>
      <c r="E230" s="16" t="s">
        <v>3598</v>
      </c>
      <c r="F230" s="16" t="s">
        <v>10710</v>
      </c>
      <c r="G230" s="16" t="s">
        <v>3366</v>
      </c>
      <c r="H230" s="16" t="s">
        <v>11908</v>
      </c>
      <c r="I230" s="21">
        <v>-1.9117523772647398E-2</v>
      </c>
      <c r="J230" s="21">
        <v>9.9645633263921295E-3</v>
      </c>
      <c r="K230" s="21">
        <v>-0.17050000000000401</v>
      </c>
      <c r="L230" s="22">
        <f>_xlfn.VAR.S(INDEX($I:$I,INT((ROW()-220)/5)*5+220):INDEX($I:$I,INT((ROW()-220)/5)*5+224))</f>
        <v>6.4913923528375512E-5</v>
      </c>
      <c r="M230" s="22">
        <f>_xlfn.VAR.S(INDEX($J:$J,INT((ROW()-220)/5)*5+220):INDEX($J:$J,INT((ROW()-220)/5)*5+222))</f>
        <v>1.748605073582807E-5</v>
      </c>
      <c r="N230" s="22">
        <f>_xlfn.VAR.S(K230:K234)</f>
        <v>2.750785000000637E-3</v>
      </c>
    </row>
    <row r="231" spans="1:14" ht="17.399999999999999" hidden="1">
      <c r="A231" t="s">
        <v>15392</v>
      </c>
      <c r="B231" t="s">
        <v>15441</v>
      </c>
      <c r="C231" t="s">
        <v>15448</v>
      </c>
      <c r="D231" t="s">
        <v>3465</v>
      </c>
      <c r="E231" t="s">
        <v>3580</v>
      </c>
      <c r="F231" t="s">
        <v>10484</v>
      </c>
      <c r="G231" t="s">
        <v>3366</v>
      </c>
      <c r="H231" t="s">
        <v>11908</v>
      </c>
      <c r="I231" s="11">
        <v>-1.3699972960014E-2</v>
      </c>
      <c r="J231" s="11">
        <v>1.7550908663776298E-2</v>
      </c>
      <c r="K231" s="11">
        <v>-0.17459999999999801</v>
      </c>
      <c r="L231" s="12">
        <f>_xlfn.VAR.S(INDEX($I:$I,INT((ROW()-220)/5)*5+220):INDEX($I:$I,INT((ROW()-220)/5)*5+224))</f>
        <v>6.4913923528375512E-5</v>
      </c>
      <c r="M231" s="12">
        <f>_xlfn.VAR.S(INDEX($J:$J,INT((ROW()-220)/5)*5+220):INDEX($J:$J,INT((ROW()-220)/5)*5+222))</f>
        <v>1.748605073582807E-5</v>
      </c>
      <c r="N231" s="13" t="s">
        <v>15527</v>
      </c>
    </row>
    <row r="232" spans="1:14" ht="17.399999999999999" hidden="1">
      <c r="A232" t="s">
        <v>15392</v>
      </c>
      <c r="B232" t="s">
        <v>15441</v>
      </c>
      <c r="C232" t="s">
        <v>15448</v>
      </c>
      <c r="D232" t="s">
        <v>3478</v>
      </c>
      <c r="E232" t="s">
        <v>3645</v>
      </c>
      <c r="F232" t="s">
        <v>10945</v>
      </c>
      <c r="G232" t="s">
        <v>3366</v>
      </c>
      <c r="H232" t="s">
        <v>11908</v>
      </c>
      <c r="I232" s="11">
        <v>-2.7133645893995501E-2</v>
      </c>
      <c r="J232" s="11">
        <v>1.6806289016428302E-2</v>
      </c>
      <c r="K232" s="11">
        <v>-0.25440000000000401</v>
      </c>
      <c r="L232" s="12">
        <f>_xlfn.VAR.S(INDEX($I:$I,INT((ROW()-220)/5)*5+220):INDEX($I:$I,INT((ROW()-220)/5)*5+224))</f>
        <v>6.4913923528375512E-5</v>
      </c>
      <c r="M232" s="12">
        <f>_xlfn.VAR.S(INDEX($J:$J,INT((ROW()-220)/5)*5+220):INDEX($J:$J,INT((ROW()-220)/5)*5+222))</f>
        <v>1.748605073582807E-5</v>
      </c>
      <c r="N232" s="13" t="s">
        <v>15527</v>
      </c>
    </row>
    <row r="233" spans="1:14" ht="17.399999999999999" hidden="1">
      <c r="A233" t="s">
        <v>15392</v>
      </c>
      <c r="B233" t="s">
        <v>15441</v>
      </c>
      <c r="C233" t="s">
        <v>15448</v>
      </c>
      <c r="D233" t="s">
        <v>3465</v>
      </c>
      <c r="E233" t="s">
        <v>3664</v>
      </c>
      <c r="F233" t="s">
        <v>11598</v>
      </c>
      <c r="G233" t="s">
        <v>3366</v>
      </c>
      <c r="H233" t="s">
        <v>11908</v>
      </c>
      <c r="I233" s="11">
        <v>-2.9650372566206999E-2</v>
      </c>
      <c r="J233" s="11">
        <v>1.25410337021063E-2</v>
      </c>
      <c r="K233" s="11">
        <v>-0.179900000000004</v>
      </c>
      <c r="L233" s="12">
        <f>_xlfn.VAR.S(INDEX($I:$I,INT((ROW()-220)/5)*5+220):INDEX($I:$I,INT((ROW()-220)/5)*5+224))</f>
        <v>6.4913923528375512E-5</v>
      </c>
      <c r="M233" s="12">
        <f>_xlfn.VAR.S(INDEX($J:$J,INT((ROW()-220)/5)*5+220):INDEX($J:$J,INT((ROW()-220)/5)*5+222))</f>
        <v>1.748605073582807E-5</v>
      </c>
      <c r="N233" s="13" t="s">
        <v>15527</v>
      </c>
    </row>
    <row r="234" spans="1:14" ht="17.399999999999999" hidden="1">
      <c r="A234" t="s">
        <v>15392</v>
      </c>
      <c r="B234" t="s">
        <v>15441</v>
      </c>
      <c r="C234" t="s">
        <v>15448</v>
      </c>
      <c r="D234" t="s">
        <v>3466</v>
      </c>
      <c r="E234" t="s">
        <v>3580</v>
      </c>
      <c r="F234" t="s">
        <v>10638</v>
      </c>
      <c r="G234" t="s">
        <v>3366</v>
      </c>
      <c r="H234" t="s">
        <v>11908</v>
      </c>
      <c r="I234" s="11">
        <v>-3.3480499973618599E-2</v>
      </c>
      <c r="J234" s="11">
        <v>8.7266196781038696E-3</v>
      </c>
      <c r="K234" s="11">
        <v>-0.283100000000019</v>
      </c>
      <c r="L234" s="12">
        <f>_xlfn.VAR.S(INDEX($I:$I,INT((ROW()-220)/5)*5+220):INDEX($I:$I,INT((ROW()-220)/5)*5+224))</f>
        <v>6.4913923528375512E-5</v>
      </c>
      <c r="M234" s="12">
        <f>_xlfn.VAR.S(INDEX($J:$J,INT((ROW()-220)/5)*5+220):INDEX($J:$J,INT((ROW()-220)/5)*5+222))</f>
        <v>1.748605073582807E-5</v>
      </c>
      <c r="N234" s="13" t="s">
        <v>15527</v>
      </c>
    </row>
    <row r="235" spans="1:14" s="16" customFormat="1" ht="17.399999999999999" hidden="1">
      <c r="A235" s="16" t="s">
        <v>15392</v>
      </c>
      <c r="B235" s="16" t="s">
        <v>15441</v>
      </c>
      <c r="C235" s="16" t="s">
        <v>15449</v>
      </c>
      <c r="D235" s="16" t="s">
        <v>3453</v>
      </c>
      <c r="E235" s="16" t="s">
        <v>3544</v>
      </c>
      <c r="F235" s="16" t="s">
        <v>11599</v>
      </c>
      <c r="G235" s="16" t="s">
        <v>3366</v>
      </c>
      <c r="H235" s="16" t="s">
        <v>11895</v>
      </c>
      <c r="I235" s="21">
        <v>-7.2845901912825901E-3</v>
      </c>
      <c r="J235" s="21">
        <v>6.1766279550955205E-4</v>
      </c>
      <c r="K235" s="21">
        <v>-6.2000000000011803E-2</v>
      </c>
      <c r="L235" s="22">
        <f>_xlfn.VAR.S(INDEX($I:$I,INT((ROW()-220)/5)*5+220):INDEX($I:$I,INT((ROW()-220)/5)*5+224))</f>
        <v>1.7033293484810982E-5</v>
      </c>
      <c r="M235" s="22">
        <f>_xlfn.VAR.S(INDEX($J:$J,INT((ROW()-220)/5)*5+220):INDEX($J:$J,INT((ROW()-220)/5)*5+222))</f>
        <v>8.2751398532839943E-6</v>
      </c>
      <c r="N235" s="22">
        <f>_xlfn.VAR.S(K235:K239)</f>
        <v>3.2324800000005718E-4</v>
      </c>
    </row>
    <row r="236" spans="1:14" ht="17.399999999999999" hidden="1">
      <c r="A236" t="s">
        <v>15392</v>
      </c>
      <c r="B236" t="s">
        <v>15441</v>
      </c>
      <c r="C236" t="s">
        <v>15449</v>
      </c>
      <c r="D236" t="s">
        <v>3453</v>
      </c>
      <c r="E236" t="s">
        <v>3541</v>
      </c>
      <c r="F236" t="s">
        <v>11600</v>
      </c>
      <c r="G236" t="s">
        <v>3366</v>
      </c>
      <c r="H236" t="s">
        <v>11895</v>
      </c>
      <c r="I236" s="11">
        <v>-8.5276861049442092E-3</v>
      </c>
      <c r="J236" s="11">
        <v>5.4578797604240203E-3</v>
      </c>
      <c r="K236" s="11">
        <v>-4.7200000000003697E-2</v>
      </c>
      <c r="L236" s="12">
        <f>_xlfn.VAR.S(INDEX($I:$I,INT((ROW()-220)/5)*5+220):INDEX($I:$I,INT((ROW()-220)/5)*5+224))</f>
        <v>1.7033293484810982E-5</v>
      </c>
      <c r="M236" s="12">
        <f>_xlfn.VAR.S(INDEX($J:$J,INT((ROW()-220)/5)*5+220):INDEX($J:$J,INT((ROW()-220)/5)*5+222))</f>
        <v>8.2751398532839943E-6</v>
      </c>
      <c r="N236" s="13" t="s">
        <v>15527</v>
      </c>
    </row>
    <row r="237" spans="1:14" ht="17.399999999999999" hidden="1">
      <c r="A237" t="s">
        <v>15392</v>
      </c>
      <c r="B237" t="s">
        <v>15441</v>
      </c>
      <c r="C237" t="s">
        <v>15449</v>
      </c>
      <c r="D237" t="s">
        <v>3452</v>
      </c>
      <c r="E237" t="s">
        <v>3610</v>
      </c>
      <c r="F237" t="s">
        <v>10492</v>
      </c>
      <c r="G237" t="s">
        <v>3366</v>
      </c>
      <c r="H237" t="s">
        <v>11895</v>
      </c>
      <c r="I237" s="11">
        <v>-1.23356219486412E-2</v>
      </c>
      <c r="J237" s="11">
        <v>5.7312159793236998E-3</v>
      </c>
      <c r="K237" s="11">
        <v>-5.0399999999996198E-2</v>
      </c>
      <c r="L237" s="12">
        <f>_xlfn.VAR.S(INDEX($I:$I,INT((ROW()-220)/5)*5+220):INDEX($I:$I,INT((ROW()-220)/5)*5+224))</f>
        <v>1.7033293484810982E-5</v>
      </c>
      <c r="M237" s="12">
        <f>_xlfn.VAR.S(INDEX($J:$J,INT((ROW()-220)/5)*5+220):INDEX($J:$J,INT((ROW()-220)/5)*5+222))</f>
        <v>8.2751398532839943E-6</v>
      </c>
      <c r="N237" s="13" t="s">
        <v>15527</v>
      </c>
    </row>
    <row r="238" spans="1:14" ht="17.399999999999999" hidden="1">
      <c r="A238" t="s">
        <v>15392</v>
      </c>
      <c r="B238" t="s">
        <v>15441</v>
      </c>
      <c r="C238" t="s">
        <v>15449</v>
      </c>
      <c r="D238" t="s">
        <v>3452</v>
      </c>
      <c r="E238" t="s">
        <v>3610</v>
      </c>
      <c r="F238" t="s">
        <v>11601</v>
      </c>
      <c r="G238" t="s">
        <v>3366</v>
      </c>
      <c r="H238" t="s">
        <v>11895</v>
      </c>
      <c r="I238" s="11">
        <v>-1.45694478115958E-2</v>
      </c>
      <c r="J238" s="11">
        <v>6.9400826319235996E-3</v>
      </c>
      <c r="K238" s="11">
        <v>-6.6100000000005807E-2</v>
      </c>
      <c r="L238" s="12">
        <f>_xlfn.VAR.S(INDEX($I:$I,INT((ROW()-220)/5)*5+220):INDEX($I:$I,INT((ROW()-220)/5)*5+224))</f>
        <v>1.7033293484810982E-5</v>
      </c>
      <c r="M238" s="12">
        <f>_xlfn.VAR.S(INDEX($J:$J,INT((ROW()-220)/5)*5+220):INDEX($J:$J,INT((ROW()-220)/5)*5+222))</f>
        <v>8.2751398532839943E-6</v>
      </c>
      <c r="N238" s="13" t="s">
        <v>15527</v>
      </c>
    </row>
    <row r="239" spans="1:14" ht="17.399999999999999" hidden="1">
      <c r="A239" t="s">
        <v>15392</v>
      </c>
      <c r="B239" t="s">
        <v>15441</v>
      </c>
      <c r="C239" t="s">
        <v>15449</v>
      </c>
      <c r="D239" t="s">
        <v>3433</v>
      </c>
      <c r="E239" t="s">
        <v>3534</v>
      </c>
      <c r="F239" t="s">
        <v>11602</v>
      </c>
      <c r="G239" t="s">
        <v>3366</v>
      </c>
      <c r="H239" t="s">
        <v>11903</v>
      </c>
      <c r="I239" s="11">
        <v>-1.7208408472687401E-2</v>
      </c>
      <c r="J239" s="11">
        <v>9.65212815703494E-3</v>
      </c>
      <c r="K239" s="11">
        <v>-9.2600000000004498E-2</v>
      </c>
      <c r="L239" s="12">
        <f>_xlfn.VAR.S(INDEX($I:$I,INT((ROW()-220)/5)*5+220):INDEX($I:$I,INT((ROW()-220)/5)*5+224))</f>
        <v>1.7033293484810982E-5</v>
      </c>
      <c r="M239" s="12">
        <f>_xlfn.VAR.S(INDEX($J:$J,INT((ROW()-220)/5)*5+220):INDEX($J:$J,INT((ROW()-220)/5)*5+222))</f>
        <v>8.2751398532839943E-6</v>
      </c>
      <c r="N239" s="14" t="s">
        <v>15527</v>
      </c>
    </row>
    <row r="240" spans="1:14" s="16" customFormat="1" ht="17.399999999999999" hidden="1">
      <c r="A240" s="16" t="s">
        <v>15392</v>
      </c>
      <c r="B240" s="16" t="s">
        <v>15441</v>
      </c>
      <c r="C240" s="16" t="s">
        <v>15447</v>
      </c>
      <c r="D240" s="16" t="s">
        <v>3547</v>
      </c>
      <c r="E240" s="16" t="s">
        <v>3703</v>
      </c>
      <c r="F240" s="16" t="s">
        <v>11603</v>
      </c>
      <c r="G240" s="16" t="s">
        <v>3366</v>
      </c>
      <c r="H240" s="16" t="s">
        <v>11915</v>
      </c>
      <c r="I240" s="21">
        <v>0.41215540055409899</v>
      </c>
      <c r="J240" s="21">
        <v>-0.31814582648980599</v>
      </c>
      <c r="K240" s="21">
        <v>0.54249999999998999</v>
      </c>
      <c r="L240" s="22">
        <f>_xlfn.VAR.S(INDEX($I:$I,INT((ROW()-240)/3)*3+220):INDEX($I:$I,INT((ROW()-240)/3)*3+242))</f>
        <v>1.6483133814284335E-2</v>
      </c>
      <c r="M240" s="22">
        <f>_xlfn.VAR.S(INDEX($J:$J,INT((ROW()-240)/3)*3+240):INDEX($J:$J,INT((ROW()-240)/3)*3+242))</f>
        <v>1.7936005230757973E-3</v>
      </c>
      <c r="N240" s="20">
        <f>_xlfn.VAR.S(K240:K242)</f>
        <v>3.999809999999826E-3</v>
      </c>
    </row>
    <row r="241" spans="1:14" ht="17.399999999999999" hidden="1">
      <c r="A241" t="s">
        <v>15392</v>
      </c>
      <c r="B241" t="s">
        <v>15441</v>
      </c>
      <c r="C241" t="s">
        <v>15447</v>
      </c>
      <c r="D241" t="s">
        <v>3548</v>
      </c>
      <c r="E241" t="s">
        <v>3499</v>
      </c>
      <c r="F241" t="s">
        <v>11604</v>
      </c>
      <c r="G241" t="s">
        <v>3367</v>
      </c>
      <c r="H241" t="s">
        <v>11897</v>
      </c>
      <c r="I241" s="11">
        <v>0.36621908820442001</v>
      </c>
      <c r="J241" s="11">
        <v>-0.26888542612497601</v>
      </c>
      <c r="K241" s="11">
        <v>0.42429999999998802</v>
      </c>
      <c r="L241" s="12">
        <f>_xlfn.VAR.S(INDEX($I:$I,INT((ROW()-240)/3)*3+220):INDEX($I:$I,INT((ROW()-240)/3)*3+242))</f>
        <v>1.6483133814284335E-2</v>
      </c>
      <c r="M241" s="12">
        <f>_xlfn.VAR.S(INDEX($J:$J,INT((ROW()-240)/3)*3+240):INDEX($J:$J,INT((ROW()-240)/3)*3+242))</f>
        <v>1.7936005230757973E-3</v>
      </c>
      <c r="N241" s="14" t="s">
        <v>15527</v>
      </c>
    </row>
    <row r="242" spans="1:14" ht="17.399999999999999" hidden="1">
      <c r="A242" t="s">
        <v>15392</v>
      </c>
      <c r="B242" t="s">
        <v>15441</v>
      </c>
      <c r="C242" t="s">
        <v>15447</v>
      </c>
      <c r="D242" t="s">
        <v>3549</v>
      </c>
      <c r="E242" t="s">
        <v>3704</v>
      </c>
      <c r="F242" t="s">
        <v>11605</v>
      </c>
      <c r="G242" t="s">
        <v>3377</v>
      </c>
      <c r="H242" t="s">
        <v>11897</v>
      </c>
      <c r="I242" s="11">
        <v>0.30491104978134898</v>
      </c>
      <c r="J242" s="11">
        <v>-0.233842673588844</v>
      </c>
      <c r="K242" s="11">
        <v>0.44440000000000202</v>
      </c>
      <c r="L242" s="12">
        <f>_xlfn.VAR.S(INDEX($I:$I,INT((ROW()-240)/3)*3+220):INDEX($I:$I,INT((ROW()-240)/3)*3+242))</f>
        <v>1.6483133814284335E-2</v>
      </c>
      <c r="M242" s="12">
        <f>_xlfn.VAR.S(INDEX($J:$J,INT((ROW()-240)/3)*3+240):INDEX($J:$J,INT((ROW()-240)/3)*3+242))</f>
        <v>1.7936005230757973E-3</v>
      </c>
      <c r="N242" s="14" t="s">
        <v>15527</v>
      </c>
    </row>
    <row r="243" spans="1:14" s="16" customFormat="1" ht="17.399999999999999">
      <c r="A243" s="16" t="s">
        <v>15392</v>
      </c>
      <c r="B243" s="16" t="s">
        <v>15442</v>
      </c>
      <c r="C243" s="16" t="s">
        <v>15450</v>
      </c>
      <c r="D243" s="16" t="s">
        <v>3550</v>
      </c>
      <c r="E243" s="16" t="s">
        <v>3705</v>
      </c>
      <c r="F243" s="16" t="s">
        <v>11210</v>
      </c>
      <c r="G243" s="16" t="s">
        <v>3366</v>
      </c>
      <c r="H243" s="16" t="s">
        <v>11902</v>
      </c>
      <c r="I243" s="21">
        <v>9.9552852173815903E-2</v>
      </c>
      <c r="J243" s="21">
        <v>-3.0964961162281701E-2</v>
      </c>
      <c r="K243" s="21">
        <v>-0.107700000000023</v>
      </c>
      <c r="L243" s="22">
        <f>_xlfn.VAR.S(INDEX($I:$I,INT((ROW()-243)/5)*5+243):INDEX($I:$I,INT((ROW()-243)/5)*5+247))</f>
        <v>7.6975750298154594E-5</v>
      </c>
      <c r="M243" s="22">
        <f>_xlfn.VAR.S(INDEX($J:$J,INT((ROW()-243)/5)*5+243):INDEX($J:$J,INT((ROW()-243)/5)*5+247))</f>
        <v>5.745209564964591E-5</v>
      </c>
      <c r="N243" s="20">
        <f>_xlfn.VAR.S(K243:K247)</f>
        <v>3.0297799999977684E-4</v>
      </c>
    </row>
    <row r="244" spans="1:14" ht="17.399999999999999">
      <c r="A244" t="s">
        <v>15392</v>
      </c>
      <c r="B244" t="s">
        <v>15442</v>
      </c>
      <c r="C244" t="s">
        <v>15450</v>
      </c>
      <c r="D244" t="s">
        <v>3551</v>
      </c>
      <c r="E244" t="s">
        <v>3696</v>
      </c>
      <c r="F244" t="s">
        <v>10970</v>
      </c>
      <c r="G244" t="s">
        <v>3367</v>
      </c>
      <c r="H244" t="s">
        <v>11886</v>
      </c>
      <c r="I244" s="11">
        <v>8.1805005286916199E-2</v>
      </c>
      <c r="J244" s="11">
        <v>-2.3843063127301799E-2</v>
      </c>
      <c r="K244" s="11">
        <v>-0.137100000000004</v>
      </c>
      <c r="L244" s="12">
        <f>_xlfn.VAR.S(INDEX($I:$I,INT((ROW()-243)/5)*5+243):INDEX($I:$I,INT((ROW()-243)/5)*5+247))</f>
        <v>7.6975750298154594E-5</v>
      </c>
      <c r="M244" s="12">
        <f>_xlfn.VAR.S(INDEX($J:$J,INT((ROW()-243)/5)*5+243):INDEX($J:$J,INT((ROW()-243)/5)*5+247))</f>
        <v>5.745209564964591E-5</v>
      </c>
      <c r="N244" s="14" t="s">
        <v>15527</v>
      </c>
    </row>
    <row r="245" spans="1:14" ht="17.399999999999999">
      <c r="A245" t="s">
        <v>15392</v>
      </c>
      <c r="B245" t="s">
        <v>15442</v>
      </c>
      <c r="C245" t="s">
        <v>15450</v>
      </c>
      <c r="D245" t="s">
        <v>3552</v>
      </c>
      <c r="E245" t="s">
        <v>3556</v>
      </c>
      <c r="F245" t="s">
        <v>11606</v>
      </c>
      <c r="G245" t="s">
        <v>3366</v>
      </c>
      <c r="H245" t="s">
        <v>11886</v>
      </c>
      <c r="I245" s="11">
        <v>8.9635337396497095E-2</v>
      </c>
      <c r="J245" s="11">
        <v>-2.8977658552131001E-2</v>
      </c>
      <c r="K245" s="11">
        <v>-0.14590000000001199</v>
      </c>
      <c r="L245" s="12">
        <f>_xlfn.VAR.S(INDEX($I:$I,INT((ROW()-243)/5)*5+243):INDEX($I:$I,INT((ROW()-243)/5)*5+247))</f>
        <v>7.6975750298154594E-5</v>
      </c>
      <c r="M245" s="12">
        <f>_xlfn.VAR.S(INDEX($J:$J,INT((ROW()-243)/5)*5+243):INDEX($J:$J,INT((ROW()-243)/5)*5+247))</f>
        <v>5.745209564964591E-5</v>
      </c>
      <c r="N245" s="13" t="s">
        <v>15527</v>
      </c>
    </row>
    <row r="246" spans="1:14" ht="17.399999999999999">
      <c r="A246" s="9" t="s">
        <v>15392</v>
      </c>
      <c r="B246" s="9" t="s">
        <v>15442</v>
      </c>
      <c r="C246" s="9" t="s">
        <v>15450</v>
      </c>
      <c r="D246" s="9" t="s">
        <v>3553</v>
      </c>
      <c r="E246" s="9" t="s">
        <v>3706</v>
      </c>
      <c r="F246" s="9" t="s">
        <v>10531</v>
      </c>
      <c r="G246" s="9" t="s">
        <v>3366</v>
      </c>
      <c r="H246" s="9" t="s">
        <v>11886</v>
      </c>
      <c r="I246" s="11">
        <v>9.5570933562347193E-2</v>
      </c>
      <c r="J246" s="11">
        <v>-3.1497406193680501E-2</v>
      </c>
      <c r="K246" s="11">
        <v>-0.13080000000002201</v>
      </c>
      <c r="L246" s="12">
        <f>_xlfn.VAR.S(INDEX($I:$I,INT((ROW()-243)/5)*5+243):INDEX($I:$I,INT((ROW()-243)/5)*5+247))</f>
        <v>7.6975750298154594E-5</v>
      </c>
      <c r="M246" s="12">
        <f>_xlfn.VAR.S(INDEX($J:$J,INT((ROW()-243)/5)*5+243):INDEX($J:$J,INT((ROW()-243)/5)*5+247))</f>
        <v>5.745209564964591E-5</v>
      </c>
      <c r="N246" s="13" t="s">
        <v>15527</v>
      </c>
    </row>
    <row r="247" spans="1:14" ht="17.399999999999999">
      <c r="A247" t="s">
        <v>15392</v>
      </c>
      <c r="B247" t="s">
        <v>15442</v>
      </c>
      <c r="C247" t="s">
        <v>15450</v>
      </c>
      <c r="D247" t="s">
        <v>3554</v>
      </c>
      <c r="E247" t="s">
        <v>3707</v>
      </c>
      <c r="F247" t="s">
        <v>10977</v>
      </c>
      <c r="G247" t="s">
        <v>3367</v>
      </c>
      <c r="H247" t="s">
        <v>11902</v>
      </c>
      <c r="I247" s="11">
        <v>0.104343971926893</v>
      </c>
      <c r="J247" s="11">
        <v>-4.4362822711434602E-2</v>
      </c>
      <c r="K247" s="11">
        <v>-0.107700000000023</v>
      </c>
      <c r="L247" s="12">
        <f>_xlfn.VAR.S(INDEX($I:$I,INT((ROW()-243)/5)*5+243):INDEX($I:$I,INT((ROW()-243)/5)*5+247))</f>
        <v>7.6975750298154594E-5</v>
      </c>
      <c r="M247" s="12">
        <f>_xlfn.VAR.S(INDEX($J:$J,INT((ROW()-243)/5)*5+243):INDEX($J:$J,INT((ROW()-243)/5)*5+247))</f>
        <v>5.745209564964591E-5</v>
      </c>
      <c r="N247" s="13" t="s">
        <v>15527</v>
      </c>
    </row>
    <row r="248" spans="1:14" s="16" customFormat="1" ht="17.399999999999999">
      <c r="A248" s="16" t="s">
        <v>15392</v>
      </c>
      <c r="B248" s="16" t="s">
        <v>15442</v>
      </c>
      <c r="C248" s="16" t="s">
        <v>15445</v>
      </c>
      <c r="D248" s="16" t="s">
        <v>3425</v>
      </c>
      <c r="E248" s="16" t="s">
        <v>3449</v>
      </c>
      <c r="F248" s="16" t="s">
        <v>11607</v>
      </c>
      <c r="G248" s="16" t="s">
        <v>3383</v>
      </c>
      <c r="H248" s="16" t="s">
        <v>11902</v>
      </c>
      <c r="I248" s="21">
        <v>-8.9049464724648801E-3</v>
      </c>
      <c r="J248" s="21">
        <v>2.7402408979000201E-3</v>
      </c>
      <c r="K248" s="21">
        <v>-0.10859999999999601</v>
      </c>
      <c r="L248" s="22">
        <f>_xlfn.VAR.S(INDEX($I:$I,INT((ROW()-243)/5)*5+243):INDEX($I:$I,INT((ROW()-243)/5)*5+247))</f>
        <v>9.1789771931288311E-5</v>
      </c>
      <c r="M248" s="22">
        <f>_xlfn.VAR.S(INDEX($J:$J,INT((ROW()-243)/5)*5+243):INDEX($J:$J,INT((ROW()-243)/5)*5+247))</f>
        <v>8.8116794789577639E-5</v>
      </c>
      <c r="N248" s="22">
        <f>_xlfn.VAR.S(K248:K252)</f>
        <v>3.0860700000015159E-4</v>
      </c>
    </row>
    <row r="249" spans="1:14" ht="17.399999999999999">
      <c r="A249" t="s">
        <v>15392</v>
      </c>
      <c r="B249" t="s">
        <v>15442</v>
      </c>
      <c r="C249" t="s">
        <v>15445</v>
      </c>
      <c r="D249" t="s">
        <v>3436</v>
      </c>
      <c r="E249" t="s">
        <v>3450</v>
      </c>
      <c r="F249" t="s">
        <v>11608</v>
      </c>
      <c r="G249" t="s">
        <v>3369</v>
      </c>
      <c r="H249" t="s">
        <v>11886</v>
      </c>
      <c r="I249" s="11">
        <v>-9.3842007402002697E-3</v>
      </c>
      <c r="J249" s="11">
        <v>9.8107201303994991E-4</v>
      </c>
      <c r="K249" s="11">
        <v>-0.147600000000011</v>
      </c>
      <c r="L249" s="12">
        <f>_xlfn.VAR.S(INDEX($I:$I,INT((ROW()-243)/5)*5+243):INDEX($I:$I,INT((ROW()-243)/5)*5+247))</f>
        <v>9.1789771931288311E-5</v>
      </c>
      <c r="M249" s="12">
        <f>_xlfn.VAR.S(INDEX($J:$J,INT((ROW()-243)/5)*5+243):INDEX($J:$J,INT((ROW()-243)/5)*5+247))</f>
        <v>8.8116794789577639E-5</v>
      </c>
      <c r="N249" s="13" t="s">
        <v>15527</v>
      </c>
    </row>
    <row r="250" spans="1:14" ht="17.399999999999999">
      <c r="A250" t="s">
        <v>15392</v>
      </c>
      <c r="B250" t="s">
        <v>15442</v>
      </c>
      <c r="C250" t="s">
        <v>15445</v>
      </c>
      <c r="D250" t="s">
        <v>3428</v>
      </c>
      <c r="E250" t="s">
        <v>3462</v>
      </c>
      <c r="F250" t="s">
        <v>11609</v>
      </c>
      <c r="G250" t="s">
        <v>3366</v>
      </c>
      <c r="H250" t="s">
        <v>11885</v>
      </c>
      <c r="I250" s="11">
        <v>-1.2177349374963399E-2</v>
      </c>
      <c r="J250" s="11">
        <v>9.6120529551017592E-3</v>
      </c>
      <c r="K250" s="11">
        <v>-0.143500000000017</v>
      </c>
      <c r="L250" s="12">
        <f>_xlfn.VAR.S(INDEX($I:$I,INT((ROW()-243)/5)*5+243):INDEX($I:$I,INT((ROW()-243)/5)*5+247))</f>
        <v>9.1789771931288311E-5</v>
      </c>
      <c r="M250" s="12">
        <f>_xlfn.VAR.S(INDEX($J:$J,INT((ROW()-243)/5)*5+243):INDEX($J:$J,INT((ROW()-243)/5)*5+247))</f>
        <v>8.8116794789577639E-5</v>
      </c>
      <c r="N250" s="13" t="s">
        <v>15527</v>
      </c>
    </row>
    <row r="251" spans="1:14" ht="17.399999999999999">
      <c r="A251" t="s">
        <v>15392</v>
      </c>
      <c r="B251" t="s">
        <v>15442</v>
      </c>
      <c r="C251" t="s">
        <v>15445</v>
      </c>
      <c r="D251" t="s">
        <v>3427</v>
      </c>
      <c r="E251" t="s">
        <v>3461</v>
      </c>
      <c r="F251" t="s">
        <v>11610</v>
      </c>
      <c r="G251" t="s">
        <v>3366</v>
      </c>
      <c r="H251" t="s">
        <v>11885</v>
      </c>
      <c r="I251" s="11">
        <v>-2.4805547513357801E-2</v>
      </c>
      <c r="J251" s="11">
        <v>2.1739342134392499E-2</v>
      </c>
      <c r="K251" s="11">
        <v>-0.14979999999999899</v>
      </c>
      <c r="L251" s="12">
        <f>_xlfn.VAR.S(INDEX($I:$I,INT((ROW()-243)/5)*5+243):INDEX($I:$I,INT((ROW()-243)/5)*5+247))</f>
        <v>9.1789771931288311E-5</v>
      </c>
      <c r="M251" s="12">
        <f>_xlfn.VAR.S(INDEX($J:$J,INT((ROW()-243)/5)*5+243):INDEX($J:$J,INT((ROW()-243)/5)*5+247))</f>
        <v>8.8116794789577639E-5</v>
      </c>
      <c r="N251" s="13" t="s">
        <v>15527</v>
      </c>
    </row>
    <row r="252" spans="1:14" ht="17.399999999999999">
      <c r="A252" t="s">
        <v>15392</v>
      </c>
      <c r="B252" t="s">
        <v>15442</v>
      </c>
      <c r="C252" t="s">
        <v>15445</v>
      </c>
      <c r="D252" t="s">
        <v>3427</v>
      </c>
      <c r="E252" t="s">
        <v>3452</v>
      </c>
      <c r="F252" t="s">
        <v>11611</v>
      </c>
      <c r="G252" t="s">
        <v>3368</v>
      </c>
      <c r="H252" t="s">
        <v>11886</v>
      </c>
      <c r="I252" s="11">
        <v>-2.9627204634238999E-2</v>
      </c>
      <c r="J252" s="11">
        <v>1.91682316789368E-2</v>
      </c>
      <c r="K252" s="11">
        <v>-0.14910000000000401</v>
      </c>
      <c r="L252" s="12">
        <f>_xlfn.VAR.S(INDEX($I:$I,INT((ROW()-243)/5)*5+243):INDEX($I:$I,INT((ROW()-243)/5)*5+247))</f>
        <v>9.1789771931288311E-5</v>
      </c>
      <c r="M252" s="12">
        <f>_xlfn.VAR.S(INDEX($J:$J,INT((ROW()-243)/5)*5+243):INDEX($J:$J,INT((ROW()-243)/5)*5+247))</f>
        <v>8.8116794789577639E-5</v>
      </c>
      <c r="N252" s="13" t="s">
        <v>15527</v>
      </c>
    </row>
    <row r="253" spans="1:14" s="16" customFormat="1" ht="17.399999999999999">
      <c r="A253" s="16" t="s">
        <v>15392</v>
      </c>
      <c r="B253" s="16" t="s">
        <v>15442</v>
      </c>
      <c r="C253" s="16" t="s">
        <v>15451</v>
      </c>
      <c r="D253" s="16" t="s">
        <v>3435</v>
      </c>
      <c r="E253" s="16" t="s">
        <v>3478</v>
      </c>
      <c r="F253" s="16" t="s">
        <v>11612</v>
      </c>
      <c r="G253" s="16" t="s">
        <v>3366</v>
      </c>
      <c r="H253" s="16" t="s">
        <v>11898</v>
      </c>
      <c r="I253" s="21">
        <v>7.2479309693004998E-3</v>
      </c>
      <c r="J253" s="21">
        <v>-8.4382004527623292E-3</v>
      </c>
      <c r="K253" s="21">
        <v>-0.12710000000001301</v>
      </c>
      <c r="L253" s="22">
        <f>_xlfn.VAR.S(INDEX($I:$I,INT((ROW()-243)/5)*5+243):INDEX($I:$I,INT((ROW()-243)/5)*5+247))</f>
        <v>1.970094508542892E-5</v>
      </c>
      <c r="M253" s="22">
        <f>_xlfn.VAR.S(INDEX($J:$J,INT((ROW()-243)/5)*5+243):INDEX($J:$J,INT((ROW()-243)/5)*5+247))</f>
        <v>1.1346652651673844E-5</v>
      </c>
      <c r="N253" s="22">
        <f>_xlfn.VAR.S(K253:K257)</f>
        <v>5.8059999999999956E-5</v>
      </c>
    </row>
    <row r="254" spans="1:14" ht="17.399999999999999">
      <c r="A254" t="s">
        <v>15392</v>
      </c>
      <c r="B254" t="s">
        <v>15442</v>
      </c>
      <c r="C254" t="s">
        <v>15451</v>
      </c>
      <c r="D254" t="s">
        <v>3431</v>
      </c>
      <c r="E254" t="s">
        <v>3511</v>
      </c>
      <c r="F254" t="s">
        <v>11511</v>
      </c>
      <c r="G254" t="s">
        <v>3366</v>
      </c>
      <c r="H254" t="s">
        <v>11899</v>
      </c>
      <c r="I254" s="11">
        <v>4.2891428479393196E-3</v>
      </c>
      <c r="J254" s="11">
        <v>-6.0753580302103901E-3</v>
      </c>
      <c r="K254" s="11">
        <v>-0.14590000000001199</v>
      </c>
      <c r="L254" s="12">
        <f>_xlfn.VAR.S(INDEX($I:$I,INT((ROW()-243)/5)*5+243):INDEX($I:$I,INT((ROW()-243)/5)*5+247))</f>
        <v>1.970094508542892E-5</v>
      </c>
      <c r="M254" s="12">
        <f>_xlfn.VAR.S(INDEX($J:$J,INT((ROW()-243)/5)*5+243):INDEX($J:$J,INT((ROW()-243)/5)*5+247))</f>
        <v>1.1346652651673844E-5</v>
      </c>
      <c r="N254" s="13" t="s">
        <v>15527</v>
      </c>
    </row>
    <row r="255" spans="1:14" ht="17.399999999999999">
      <c r="A255" t="s">
        <v>15392</v>
      </c>
      <c r="B255" t="s">
        <v>15442</v>
      </c>
      <c r="C255" t="s">
        <v>15451</v>
      </c>
      <c r="D255" t="s">
        <v>3435</v>
      </c>
      <c r="E255" t="s">
        <v>3477</v>
      </c>
      <c r="F255" t="s">
        <v>11613</v>
      </c>
      <c r="G255" t="s">
        <v>3366</v>
      </c>
      <c r="H255" t="s">
        <v>11908</v>
      </c>
      <c r="I255" s="11">
        <v>-1.6468973510182601E-3</v>
      </c>
      <c r="J255" s="11">
        <v>-2.1092875188922001E-3</v>
      </c>
      <c r="K255" s="11">
        <v>-0.13140000000001401</v>
      </c>
      <c r="L255" s="12">
        <f>_xlfn.VAR.S(INDEX($I:$I,INT((ROW()-243)/5)*5+243):INDEX($I:$I,INT((ROW()-243)/5)*5+247))</f>
        <v>1.970094508542892E-5</v>
      </c>
      <c r="M255" s="12">
        <f>_xlfn.VAR.S(INDEX($J:$J,INT((ROW()-243)/5)*5+243):INDEX($J:$J,INT((ROW()-243)/5)*5+247))</f>
        <v>1.1346652651673844E-5</v>
      </c>
      <c r="N255" s="13" t="s">
        <v>15527</v>
      </c>
    </row>
    <row r="256" spans="1:14" ht="17.399999999999999">
      <c r="A256" t="s">
        <v>15392</v>
      </c>
      <c r="B256" t="s">
        <v>15442</v>
      </c>
      <c r="C256" t="s">
        <v>15451</v>
      </c>
      <c r="D256" t="s">
        <v>3434</v>
      </c>
      <c r="E256" t="s">
        <v>3466</v>
      </c>
      <c r="F256" t="s">
        <v>11372</v>
      </c>
      <c r="G256" t="s">
        <v>3366</v>
      </c>
      <c r="H256" t="s">
        <v>11889</v>
      </c>
      <c r="I256" s="11">
        <v>3.1672137299504602E-3</v>
      </c>
      <c r="J256" s="11">
        <v>-6.27646819991169E-3</v>
      </c>
      <c r="K256" s="11">
        <v>-0.129500000000007</v>
      </c>
      <c r="L256" s="12">
        <f>_xlfn.VAR.S(INDEX($I:$I,INT((ROW()-243)/5)*5+243):INDEX($I:$I,INT((ROW()-243)/5)*5+247))</f>
        <v>1.970094508542892E-5</v>
      </c>
      <c r="M256" s="12">
        <f>_xlfn.VAR.S(INDEX($J:$J,INT((ROW()-243)/5)*5+243):INDEX($J:$J,INT((ROW()-243)/5)*5+247))</f>
        <v>1.1346652651673844E-5</v>
      </c>
      <c r="N256" s="13" t="s">
        <v>15527</v>
      </c>
    </row>
    <row r="257" spans="1:14" ht="17.399999999999999">
      <c r="A257" t="s">
        <v>15392</v>
      </c>
      <c r="B257" t="s">
        <v>15442</v>
      </c>
      <c r="C257" t="s">
        <v>15451</v>
      </c>
      <c r="D257" t="s">
        <v>3436</v>
      </c>
      <c r="E257" t="s">
        <v>3511</v>
      </c>
      <c r="F257" t="s">
        <v>11614</v>
      </c>
      <c r="G257" t="s">
        <v>3366</v>
      </c>
      <c r="H257" t="s">
        <v>11888</v>
      </c>
      <c r="I257" s="11">
        <v>1.01341070630049E-2</v>
      </c>
      <c r="J257" s="11">
        <v>-1.1261626966103701E-2</v>
      </c>
      <c r="K257" s="11">
        <v>-0.13810000000000899</v>
      </c>
      <c r="L257" s="12">
        <f>_xlfn.VAR.S(INDEX($I:$I,INT((ROW()-243)/5)*5+243):INDEX($I:$I,INT((ROW()-243)/5)*5+247))</f>
        <v>1.970094508542892E-5</v>
      </c>
      <c r="M257" s="12">
        <f>_xlfn.VAR.S(INDEX($J:$J,INT((ROW()-243)/5)*5+243):INDEX($J:$J,INT((ROW()-243)/5)*5+247))</f>
        <v>1.1346652651673844E-5</v>
      </c>
      <c r="N257" s="13" t="s">
        <v>15527</v>
      </c>
    </row>
    <row r="258" spans="1:14" s="16" customFormat="1" ht="17.399999999999999" hidden="1">
      <c r="A258" s="16" t="s">
        <v>15392</v>
      </c>
      <c r="B258" s="16" t="s">
        <v>15443</v>
      </c>
      <c r="C258" s="16" t="s">
        <v>15452</v>
      </c>
      <c r="D258" s="16" t="s">
        <v>3425</v>
      </c>
      <c r="E258" s="16" t="s">
        <v>3450</v>
      </c>
      <c r="F258" s="16" t="s">
        <v>11615</v>
      </c>
      <c r="G258" s="16" t="s">
        <v>3366</v>
      </c>
      <c r="H258" s="16" t="s">
        <v>11900</v>
      </c>
      <c r="I258" s="21">
        <v>-3.4472117989126701E-2</v>
      </c>
      <c r="J258" s="21">
        <v>-6.1925768130077297E-3</v>
      </c>
      <c r="K258" s="21">
        <v>0.110399999999998</v>
      </c>
      <c r="L258" s="22">
        <f>_xlfn.VAR.S(INDEX($I:$I,INT((ROW()-243)/5)*5+243):INDEX($I:$I,INT((ROW()-243)/5)*5+247))</f>
        <v>2.2613617384454075E-5</v>
      </c>
      <c r="M258" s="22">
        <f>_xlfn.VAR.S(INDEX($J:$J,INT((ROW()-243)/5)*5+243):INDEX($J:$J,INT((ROW()-243)/5)*5+247))</f>
        <v>2.0795690244313979E-6</v>
      </c>
      <c r="N258" s="22">
        <f>_xlfn.VAR.S(K258:K262)</f>
        <v>1.5477500000001497E-4</v>
      </c>
    </row>
    <row r="259" spans="1:14" ht="17.399999999999999" hidden="1">
      <c r="A259" t="s">
        <v>15392</v>
      </c>
      <c r="B259" t="s">
        <v>15443</v>
      </c>
      <c r="C259" t="s">
        <v>15452</v>
      </c>
      <c r="D259" t="s">
        <v>3428</v>
      </c>
      <c r="E259" t="s">
        <v>3461</v>
      </c>
      <c r="F259" t="s">
        <v>11616</v>
      </c>
      <c r="G259" t="s">
        <v>3406</v>
      </c>
      <c r="H259" t="s">
        <v>11892</v>
      </c>
      <c r="I259" s="11">
        <v>-3.4860652004039198E-2</v>
      </c>
      <c r="J259" s="11">
        <v>-7.7849178841059496E-3</v>
      </c>
      <c r="K259" s="11">
        <v>0.110099999999989</v>
      </c>
      <c r="L259" s="12">
        <f>_xlfn.VAR.S(INDEX($I:$I,INT((ROW()-243)/5)*5+243):INDEX($I:$I,INT((ROW()-243)/5)*5+247))</f>
        <v>2.2613617384454075E-5</v>
      </c>
      <c r="M259" s="12">
        <f>_xlfn.VAR.S(INDEX($J:$J,INT((ROW()-243)/5)*5+243):INDEX($J:$J,INT((ROW()-243)/5)*5+247))</f>
        <v>2.0795690244313979E-6</v>
      </c>
      <c r="N259" s="13" t="s">
        <v>15527</v>
      </c>
    </row>
    <row r="260" spans="1:14" ht="17.399999999999999" hidden="1">
      <c r="A260" t="s">
        <v>15392</v>
      </c>
      <c r="B260" t="s">
        <v>15443</v>
      </c>
      <c r="C260" t="s">
        <v>15452</v>
      </c>
      <c r="D260" t="s">
        <v>3436</v>
      </c>
      <c r="E260" t="s">
        <v>3465</v>
      </c>
      <c r="F260" t="s">
        <v>11617</v>
      </c>
      <c r="G260" t="s">
        <v>3370</v>
      </c>
      <c r="H260" t="s">
        <v>11886</v>
      </c>
      <c r="I260" s="11">
        <v>-2.4197049336348898E-2</v>
      </c>
      <c r="J260" s="11">
        <v>-9.0593968370137595E-3</v>
      </c>
      <c r="K260" s="11">
        <v>8.5499999999996107E-2</v>
      </c>
      <c r="L260" s="12">
        <f>_xlfn.VAR.S(INDEX($I:$I,INT((ROW()-243)/5)*5+243):INDEX($I:$I,INT((ROW()-243)/5)*5+247))</f>
        <v>2.2613617384454075E-5</v>
      </c>
      <c r="M260" s="12">
        <f>_xlfn.VAR.S(INDEX($J:$J,INT((ROW()-243)/5)*5+243):INDEX($J:$J,INT((ROW()-243)/5)*5+247))</f>
        <v>2.0795690244313979E-6</v>
      </c>
      <c r="N260" s="13" t="s">
        <v>15527</v>
      </c>
    </row>
    <row r="261" spans="1:14" ht="17.399999999999999" hidden="1">
      <c r="A261" t="s">
        <v>15392</v>
      </c>
      <c r="B261" t="s">
        <v>15443</v>
      </c>
      <c r="C261" t="s">
        <v>15452</v>
      </c>
      <c r="D261" t="s">
        <v>3425</v>
      </c>
      <c r="E261" t="s">
        <v>3450</v>
      </c>
      <c r="F261" t="s">
        <v>11618</v>
      </c>
      <c r="G261" t="s">
        <v>3366</v>
      </c>
      <c r="H261" t="s">
        <v>11885</v>
      </c>
      <c r="I261" s="11">
        <v>-2.6923355850937698E-2</v>
      </c>
      <c r="J261" s="11">
        <v>-6.5500149673929503E-3</v>
      </c>
      <c r="K261" s="11">
        <v>8.8699999999988705E-2</v>
      </c>
      <c r="L261" s="12">
        <f>_xlfn.VAR.S(INDEX($I:$I,INT((ROW()-243)/5)*5+243):INDEX($I:$I,INT((ROW()-243)/5)*5+247))</f>
        <v>2.2613617384454075E-5</v>
      </c>
      <c r="M261" s="12">
        <f>_xlfn.VAR.S(INDEX($J:$J,INT((ROW()-243)/5)*5+243):INDEX($J:$J,INT((ROW()-243)/5)*5+247))</f>
        <v>2.0795690244313979E-6</v>
      </c>
      <c r="N261" s="13" t="s">
        <v>15527</v>
      </c>
    </row>
    <row r="262" spans="1:14" ht="17.399999999999999" hidden="1">
      <c r="A262" t="s">
        <v>15392</v>
      </c>
      <c r="B262" t="s">
        <v>15443</v>
      </c>
      <c r="C262" t="s">
        <v>15452</v>
      </c>
      <c r="D262" t="s">
        <v>3452</v>
      </c>
      <c r="E262" t="s">
        <v>3462</v>
      </c>
      <c r="F262" t="s">
        <v>11619</v>
      </c>
      <c r="G262" t="s">
        <v>3366</v>
      </c>
      <c r="H262" t="s">
        <v>11890</v>
      </c>
      <c r="I262" s="11">
        <v>-2.79511020147396E-2</v>
      </c>
      <c r="J262" s="11">
        <v>-5.3854415855011297E-3</v>
      </c>
      <c r="K262" s="11">
        <v>8.8799999999991996E-2</v>
      </c>
      <c r="L262" s="12">
        <f>_xlfn.VAR.S(INDEX($I:$I,INT((ROW()-243)/5)*5+243):INDEX($I:$I,INT((ROW()-243)/5)*5+247))</f>
        <v>2.2613617384454075E-5</v>
      </c>
      <c r="M262" s="12">
        <f>_xlfn.VAR.S(INDEX($J:$J,INT((ROW()-243)/5)*5+243):INDEX($J:$J,INT((ROW()-243)/5)*5+247))</f>
        <v>2.0795690244313979E-6</v>
      </c>
      <c r="N262" s="13" t="s">
        <v>15527</v>
      </c>
    </row>
    <row r="263" spans="1:14" s="16" customFormat="1" ht="17.399999999999999" hidden="1">
      <c r="A263" s="16" t="s">
        <v>15392</v>
      </c>
      <c r="B263" s="16" t="s">
        <v>15443</v>
      </c>
      <c r="C263" s="16" t="s">
        <v>15489</v>
      </c>
      <c r="D263" s="16" t="s">
        <v>3555</v>
      </c>
      <c r="E263" s="16" t="s">
        <v>3708</v>
      </c>
      <c r="F263" s="16" t="s">
        <v>11620</v>
      </c>
      <c r="G263" s="16" t="s">
        <v>3367</v>
      </c>
      <c r="H263" s="16" t="s">
        <v>11885</v>
      </c>
      <c r="I263" s="21">
        <v>1.50265105156167E-2</v>
      </c>
      <c r="J263" s="21">
        <v>-7.9068312694154694E-2</v>
      </c>
      <c r="K263" s="21">
        <v>0.31029999999998398</v>
      </c>
      <c r="L263" s="22">
        <f>_xlfn.VAR.S(INDEX($I:$I,INT((ROW()-243)/5)*5+243):INDEX($I:$I,INT((ROW()-243)/5)*5+247))</f>
        <v>2.9412284972559085E-4</v>
      </c>
      <c r="M263" s="22">
        <f>_xlfn.VAR.S(INDEX($J:$J,INT((ROW()-243)/5)*5+243):INDEX($J:$J,INT((ROW()-243)/5)*5+247))</f>
        <v>1.0203435944354366E-3</v>
      </c>
      <c r="N263" s="22">
        <f>_xlfn.VAR.S(K263:K267)</f>
        <v>3.923831999999669E-3</v>
      </c>
    </row>
    <row r="264" spans="1:14" ht="17.399999999999999" hidden="1">
      <c r="A264" t="s">
        <v>15392</v>
      </c>
      <c r="B264" t="s">
        <v>15443</v>
      </c>
      <c r="C264" t="s">
        <v>15489</v>
      </c>
      <c r="D264" t="s">
        <v>3556</v>
      </c>
      <c r="E264" t="s">
        <v>3709</v>
      </c>
      <c r="F264" t="s">
        <v>11621</v>
      </c>
      <c r="G264" t="s">
        <v>3367</v>
      </c>
      <c r="H264" t="s">
        <v>11902</v>
      </c>
      <c r="I264" s="11">
        <v>7.6670893925974001E-3</v>
      </c>
      <c r="J264" s="11">
        <v>-4.1505513647887397E-2</v>
      </c>
      <c r="K264" s="11">
        <v>0.183399999999978</v>
      </c>
      <c r="L264" s="12">
        <f>_xlfn.VAR.S(INDEX($I:$I,INT((ROW()-243)/5)*5+243):INDEX($I:$I,INT((ROW()-243)/5)*5+247))</f>
        <v>2.9412284972559085E-4</v>
      </c>
      <c r="M264" s="12">
        <f>_xlfn.VAR.S(INDEX($J:$J,INT((ROW()-243)/5)*5+243):INDEX($J:$J,INT((ROW()-243)/5)*5+247))</f>
        <v>1.0203435944354366E-3</v>
      </c>
      <c r="N264" s="13" t="s">
        <v>15527</v>
      </c>
    </row>
    <row r="265" spans="1:14" ht="17.399999999999999" hidden="1">
      <c r="A265" t="s">
        <v>15392</v>
      </c>
      <c r="B265" t="s">
        <v>15443</v>
      </c>
      <c r="C265" t="s">
        <v>15489</v>
      </c>
      <c r="D265" t="s">
        <v>3557</v>
      </c>
      <c r="E265" t="s">
        <v>3710</v>
      </c>
      <c r="F265" t="s">
        <v>11622</v>
      </c>
      <c r="G265" t="s">
        <v>3367</v>
      </c>
      <c r="H265" t="s">
        <v>11902</v>
      </c>
      <c r="I265" s="11">
        <v>1.53235257749874E-2</v>
      </c>
      <c r="J265" s="11">
        <v>-4.8737693402472797E-2</v>
      </c>
      <c r="K265" s="11">
        <v>0.18899999999999301</v>
      </c>
      <c r="L265" s="12">
        <f>_xlfn.VAR.S(INDEX($I:$I,INT((ROW()-243)/5)*5+243):INDEX($I:$I,INT((ROW()-243)/5)*5+247))</f>
        <v>2.9412284972559085E-4</v>
      </c>
      <c r="M265" s="12">
        <f>_xlfn.VAR.S(INDEX($J:$J,INT((ROW()-243)/5)*5+243):INDEX($J:$J,INT((ROW()-243)/5)*5+247))</f>
        <v>1.0203435944354366E-3</v>
      </c>
      <c r="N265" s="13" t="s">
        <v>15527</v>
      </c>
    </row>
    <row r="266" spans="1:14" ht="17.399999999999999" hidden="1">
      <c r="A266" t="s">
        <v>15392</v>
      </c>
      <c r="B266" t="s">
        <v>15443</v>
      </c>
      <c r="C266" t="s">
        <v>15489</v>
      </c>
      <c r="D266" t="s">
        <v>3558</v>
      </c>
      <c r="E266" t="s">
        <v>3711</v>
      </c>
      <c r="F266" t="s">
        <v>11623</v>
      </c>
      <c r="G266" t="s">
        <v>3366</v>
      </c>
      <c r="H266" t="s">
        <v>11886</v>
      </c>
      <c r="I266" s="11">
        <v>2.3541859564334799E-2</v>
      </c>
      <c r="J266" s="11">
        <v>-6.0220568287820603E-2</v>
      </c>
      <c r="K266" s="11">
        <v>0.19440000000000199</v>
      </c>
      <c r="L266" s="12">
        <f>_xlfn.VAR.S(INDEX($I:$I,INT((ROW()-243)/5)*5+243):INDEX($I:$I,INT((ROW()-243)/5)*5+247))</f>
        <v>2.9412284972559085E-4</v>
      </c>
      <c r="M266" s="12">
        <f>_xlfn.VAR.S(INDEX($J:$J,INT((ROW()-243)/5)*5+243):INDEX($J:$J,INT((ROW()-243)/5)*5+247))</f>
        <v>1.0203435944354366E-3</v>
      </c>
      <c r="N266" s="13" t="s">
        <v>15527</v>
      </c>
    </row>
    <row r="267" spans="1:14" ht="17.399999999999999" hidden="1">
      <c r="A267" t="s">
        <v>15392</v>
      </c>
      <c r="B267" t="s">
        <v>15443</v>
      </c>
      <c r="C267" t="s">
        <v>15489</v>
      </c>
      <c r="D267" t="s">
        <v>3559</v>
      </c>
      <c r="E267" t="s">
        <v>3712</v>
      </c>
      <c r="F267" t="s">
        <v>11624</v>
      </c>
      <c r="G267" t="s">
        <v>3366</v>
      </c>
      <c r="H267" t="s">
        <v>11886</v>
      </c>
      <c r="I267" s="11">
        <v>5.1622650782913199E-2</v>
      </c>
      <c r="J267" s="11">
        <v>-0.121377493432239</v>
      </c>
      <c r="K267" s="11">
        <v>0.29499999999998699</v>
      </c>
      <c r="L267" s="12">
        <f>_xlfn.VAR.S(INDEX($I:$I,INT((ROW()-243)/5)*5+243):INDEX($I:$I,INT((ROW()-243)/5)*5+247))</f>
        <v>2.9412284972559085E-4</v>
      </c>
      <c r="M267" s="12">
        <f>_xlfn.VAR.S(INDEX($J:$J,INT((ROW()-243)/5)*5+243):INDEX($J:$J,INT((ROW()-243)/5)*5+247))</f>
        <v>1.0203435944354366E-3</v>
      </c>
      <c r="N267" s="13" t="s">
        <v>15527</v>
      </c>
    </row>
    <row r="268" spans="1:14" s="16" customFormat="1" hidden="1">
      <c r="A268" s="16" t="s">
        <v>15370</v>
      </c>
      <c r="B268" s="16" t="s">
        <v>15441</v>
      </c>
      <c r="C268" s="16" t="s">
        <v>15445</v>
      </c>
      <c r="D268" s="16" t="s">
        <v>3437</v>
      </c>
      <c r="E268" s="16" t="s">
        <v>3434</v>
      </c>
      <c r="F268" s="16" t="s">
        <v>10807</v>
      </c>
      <c r="G268" s="16" t="s">
        <v>3366</v>
      </c>
      <c r="H268" s="16" t="s">
        <v>11890</v>
      </c>
      <c r="I268" s="21">
        <v>0.14494828958288999</v>
      </c>
      <c r="J268" s="21">
        <v>-1.9080207980438E-3</v>
      </c>
      <c r="K268" s="21">
        <v>-2.9699999999991199E-2</v>
      </c>
      <c r="L268" s="23" t="s">
        <v>15528</v>
      </c>
      <c r="M268" s="23" t="s">
        <v>15528</v>
      </c>
      <c r="N268" s="23" t="s">
        <v>15528</v>
      </c>
    </row>
    <row r="269" spans="1:14" s="16" customFormat="1" hidden="1">
      <c r="A269" s="16" t="s">
        <v>15370</v>
      </c>
      <c r="B269" s="16" t="s">
        <v>15441</v>
      </c>
      <c r="C269" s="16" t="s">
        <v>15446</v>
      </c>
      <c r="D269" s="16" t="s">
        <v>3427</v>
      </c>
      <c r="E269" s="16" t="s">
        <v>3453</v>
      </c>
      <c r="F269" s="16" t="s">
        <v>3644</v>
      </c>
      <c r="G269" s="16" t="s">
        <v>3366</v>
      </c>
      <c r="H269" s="16" t="s">
        <v>11890</v>
      </c>
      <c r="I269" s="21">
        <v>0.144266066465918</v>
      </c>
      <c r="J269" s="21">
        <v>-3.4255826666070902E-3</v>
      </c>
      <c r="K269" s="21">
        <v>-2.5599999999997201E-2</v>
      </c>
      <c r="L269" s="22"/>
      <c r="M269" s="22"/>
      <c r="N269" s="22"/>
    </row>
    <row r="270" spans="1:14" s="16" customFormat="1" hidden="1">
      <c r="A270" s="16" t="s">
        <v>15370</v>
      </c>
      <c r="B270" s="16" t="s">
        <v>15441</v>
      </c>
      <c r="C270" s="16" t="s">
        <v>15447</v>
      </c>
      <c r="D270" s="16" t="s">
        <v>3438</v>
      </c>
      <c r="E270" s="16" t="s">
        <v>3430</v>
      </c>
      <c r="F270" s="16" t="s">
        <v>10808</v>
      </c>
      <c r="G270" s="16" t="s">
        <v>3366</v>
      </c>
      <c r="H270" s="16" t="s">
        <v>11892</v>
      </c>
      <c r="I270" s="21">
        <v>0.14436997826717299</v>
      </c>
      <c r="J270" s="21">
        <v>-8.8233997682204898E-3</v>
      </c>
      <c r="K270" s="21">
        <v>-1.5599999999977901E-2</v>
      </c>
      <c r="L270" s="22"/>
      <c r="M270" s="22"/>
      <c r="N270" s="22"/>
    </row>
    <row r="271" spans="1:14" s="16" customFormat="1" hidden="1">
      <c r="A271" s="16" t="s">
        <v>15370</v>
      </c>
      <c r="B271" s="16" t="s">
        <v>15441</v>
      </c>
      <c r="C271" s="16" t="s">
        <v>15448</v>
      </c>
      <c r="D271" s="16" t="s">
        <v>3429</v>
      </c>
      <c r="E271" s="16" t="s">
        <v>3478</v>
      </c>
      <c r="F271" s="16" t="s">
        <v>10809</v>
      </c>
      <c r="G271" s="16" t="s">
        <v>3366</v>
      </c>
      <c r="H271" s="16" t="s">
        <v>11914</v>
      </c>
      <c r="I271" s="21">
        <v>0.14603074509047401</v>
      </c>
      <c r="J271" s="21">
        <v>-2.22497307580297E-2</v>
      </c>
      <c r="K271" s="21">
        <v>-1.2299999999982001E-2</v>
      </c>
      <c r="L271" s="22"/>
      <c r="M271" s="22"/>
      <c r="N271" s="22"/>
    </row>
    <row r="272" spans="1:14" s="16" customFormat="1" hidden="1">
      <c r="A272" s="16" t="s">
        <v>15370</v>
      </c>
      <c r="B272" s="16" t="s">
        <v>15441</v>
      </c>
      <c r="C272" s="16" t="s">
        <v>15449</v>
      </c>
      <c r="D272" s="16" t="s">
        <v>3425</v>
      </c>
      <c r="E272" s="16" t="s">
        <v>3461</v>
      </c>
      <c r="F272" s="16" t="s">
        <v>10810</v>
      </c>
      <c r="G272" s="16" t="s">
        <v>3366</v>
      </c>
      <c r="H272" s="16" t="s">
        <v>11891</v>
      </c>
      <c r="I272" s="21">
        <v>0.14491709916262799</v>
      </c>
      <c r="J272" s="21">
        <v>-9.1041271918945905E-3</v>
      </c>
      <c r="K272" s="21">
        <v>-1.12000000000023E-2</v>
      </c>
      <c r="L272" s="22"/>
      <c r="M272" s="22"/>
      <c r="N272" s="22"/>
    </row>
    <row r="273" spans="1:14" s="16" customFormat="1">
      <c r="A273" s="16" t="s">
        <v>15370</v>
      </c>
      <c r="B273" s="16" t="s">
        <v>15442</v>
      </c>
      <c r="C273" s="16" t="s">
        <v>15450</v>
      </c>
      <c r="D273" s="16" t="s">
        <v>3442</v>
      </c>
      <c r="E273" s="16" t="s">
        <v>3540</v>
      </c>
      <c r="F273" s="16" t="s">
        <v>10539</v>
      </c>
      <c r="G273" s="16" t="s">
        <v>3366</v>
      </c>
      <c r="H273" s="16" t="s">
        <v>11885</v>
      </c>
      <c r="I273" s="21">
        <v>0.13738725031250301</v>
      </c>
      <c r="J273" s="21">
        <v>-7.8853223576683899E-3</v>
      </c>
      <c r="K273" s="21">
        <v>-9.5599999999990401E-2</v>
      </c>
      <c r="L273" s="22"/>
      <c r="M273" s="22"/>
      <c r="N273" s="22"/>
    </row>
    <row r="274" spans="1:14" s="16" customFormat="1">
      <c r="A274" s="16" t="s">
        <v>15370</v>
      </c>
      <c r="B274" s="16" t="s">
        <v>15442</v>
      </c>
      <c r="C274" s="16" t="s">
        <v>15445</v>
      </c>
      <c r="D274" s="16" t="s">
        <v>3440</v>
      </c>
      <c r="E274" s="16" t="s">
        <v>3434</v>
      </c>
      <c r="F274" s="16" t="s">
        <v>10538</v>
      </c>
      <c r="G274" s="16" t="s">
        <v>3366</v>
      </c>
      <c r="H274" s="16" t="s">
        <v>11885</v>
      </c>
      <c r="I274" s="21">
        <v>0.133244219032081</v>
      </c>
      <c r="J274" s="21">
        <v>-4.0750656886925198E-3</v>
      </c>
      <c r="K274" s="21">
        <v>-1.0999999999995701E-2</v>
      </c>
      <c r="L274" s="22"/>
      <c r="M274" s="22"/>
      <c r="N274" s="22"/>
    </row>
    <row r="275" spans="1:14" s="16" customFormat="1">
      <c r="A275" s="16" t="s">
        <v>15370</v>
      </c>
      <c r="B275" s="16" t="s">
        <v>15442</v>
      </c>
      <c r="C275" s="16" t="s">
        <v>15451</v>
      </c>
      <c r="D275" s="16" t="s">
        <v>3439</v>
      </c>
      <c r="E275" s="16" t="s">
        <v>3436</v>
      </c>
      <c r="F275" s="16" t="s">
        <v>10811</v>
      </c>
      <c r="G275" s="16" t="s">
        <v>3366</v>
      </c>
      <c r="H275" s="16" t="s">
        <v>11896</v>
      </c>
      <c r="I275" s="21">
        <v>0.138207023878642</v>
      </c>
      <c r="J275" s="21">
        <v>-1.07055334510329E-2</v>
      </c>
      <c r="K275" s="21">
        <v>-1.7799999999994001E-2</v>
      </c>
      <c r="L275" s="22"/>
      <c r="M275" s="22"/>
      <c r="N275" s="22"/>
    </row>
    <row r="276" spans="1:14" s="16" customFormat="1" hidden="1">
      <c r="A276" s="16" t="s">
        <v>15370</v>
      </c>
      <c r="B276" s="16" t="s">
        <v>15443</v>
      </c>
      <c r="C276" s="16" t="s">
        <v>15452</v>
      </c>
      <c r="D276" s="16" t="s">
        <v>3430</v>
      </c>
      <c r="E276" s="16" t="s">
        <v>3452</v>
      </c>
      <c r="F276" s="16" t="s">
        <v>10504</v>
      </c>
      <c r="G276" s="16" t="s">
        <v>3366</v>
      </c>
      <c r="H276" s="16" t="s">
        <v>11903</v>
      </c>
      <c r="I276" s="21">
        <v>0.12510414042038701</v>
      </c>
      <c r="J276" s="21">
        <v>-5.6021571564553903E-3</v>
      </c>
      <c r="K276" s="21">
        <v>0.17190000000002201</v>
      </c>
      <c r="L276" s="23" t="s">
        <v>15528</v>
      </c>
      <c r="M276" s="23" t="s">
        <v>15528</v>
      </c>
      <c r="N276" s="23" t="s">
        <v>15528</v>
      </c>
    </row>
    <row r="277" spans="1:14" s="16" customFormat="1" ht="17.399999999999999" hidden="1">
      <c r="A277" s="16" t="s">
        <v>15391</v>
      </c>
      <c r="B277" s="16" t="s">
        <v>15441</v>
      </c>
      <c r="C277" s="16" t="s">
        <v>15445</v>
      </c>
      <c r="D277" s="16" t="s">
        <v>3566</v>
      </c>
      <c r="E277" s="16" t="s">
        <v>3473</v>
      </c>
      <c r="F277" s="16" t="s">
        <v>11781</v>
      </c>
      <c r="G277" s="16" t="s">
        <v>3366</v>
      </c>
      <c r="H277" s="16" t="s">
        <v>11900</v>
      </c>
      <c r="I277" s="21">
        <v>1.9782406445205201E-2</v>
      </c>
      <c r="J277" s="21">
        <v>-6.6091508649150602E-2</v>
      </c>
      <c r="K277" s="21">
        <v>0.191599999999994</v>
      </c>
      <c r="L277" s="22">
        <f>_xlfn.VAR.S(INDEX($I:$I,INT((ROW()-277)/8)*8+277):INDEX($I:$I,INT((ROW()-277)/8)*8+284))</f>
        <v>1.1579549920713944E-2</v>
      </c>
      <c r="M277" s="22">
        <f>_xlfn.VAR.S(J277:J284)</f>
        <v>2.4015478105801863E-3</v>
      </c>
      <c r="N277" s="22">
        <f>_xlfn.VAR.S(K277:K284)</f>
        <v>3.4766124999998971E-4</v>
      </c>
    </row>
    <row r="278" spans="1:14" ht="17.399999999999999" hidden="1">
      <c r="A278" t="s">
        <v>15391</v>
      </c>
      <c r="B278" t="s">
        <v>15441</v>
      </c>
      <c r="C278" t="s">
        <v>15445</v>
      </c>
      <c r="D278" t="s">
        <v>3567</v>
      </c>
      <c r="E278" t="s">
        <v>3722</v>
      </c>
      <c r="F278" t="s">
        <v>11531</v>
      </c>
      <c r="G278" t="s">
        <v>3366</v>
      </c>
      <c r="H278" t="s">
        <v>11900</v>
      </c>
      <c r="I278" s="11">
        <v>8.1858167450104494E-3</v>
      </c>
      <c r="J278" s="11">
        <v>-5.8582090569817898E-2</v>
      </c>
      <c r="K278" s="11">
        <v>0.19049999999998601</v>
      </c>
      <c r="L278" s="12">
        <f>_xlfn.VAR.S(INDEX($I:$I,INT((ROW()-277)/8)*8+277):INDEX($I:$I,INT((ROW()-277)/8)*8+284))</f>
        <v>1.1579549920713944E-2</v>
      </c>
      <c r="M278" s="13" t="s">
        <v>15527</v>
      </c>
      <c r="N278" s="13" t="s">
        <v>15527</v>
      </c>
    </row>
    <row r="279" spans="1:14" ht="17.399999999999999" hidden="1">
      <c r="A279" t="s">
        <v>15391</v>
      </c>
      <c r="B279" t="s">
        <v>15441</v>
      </c>
      <c r="C279" t="s">
        <v>15445</v>
      </c>
      <c r="D279" t="s">
        <v>3568</v>
      </c>
      <c r="E279" t="s">
        <v>3455</v>
      </c>
      <c r="F279" t="s">
        <v>11782</v>
      </c>
      <c r="G279" t="s">
        <v>3366</v>
      </c>
      <c r="H279" t="s">
        <v>11900</v>
      </c>
      <c r="I279" s="11">
        <v>0.100187329400275</v>
      </c>
      <c r="J279" s="11">
        <v>-9.8361342604625202E-2</v>
      </c>
      <c r="K279" s="11">
        <v>0.198399999999992</v>
      </c>
      <c r="L279" s="12">
        <f>_xlfn.VAR.S(INDEX($I:$I,INT((ROW()-277)/8)*8+277):INDEX($I:$I,INT((ROW()-277)/8)*8+284))</f>
        <v>1.1579549920713944E-2</v>
      </c>
      <c r="M279" s="13" t="s">
        <v>15527</v>
      </c>
      <c r="N279" s="13" t="s">
        <v>15527</v>
      </c>
    </row>
    <row r="280" spans="1:14" ht="17.399999999999999" hidden="1">
      <c r="A280" t="s">
        <v>15391</v>
      </c>
      <c r="B280" t="s">
        <v>15441</v>
      </c>
      <c r="C280" t="s">
        <v>15445</v>
      </c>
      <c r="D280" t="s">
        <v>3569</v>
      </c>
      <c r="E280" t="s">
        <v>3723</v>
      </c>
      <c r="F280" t="s">
        <v>11783</v>
      </c>
      <c r="G280" t="s">
        <v>3366</v>
      </c>
      <c r="H280" t="s">
        <v>11900</v>
      </c>
      <c r="I280" s="11">
        <v>0.23741852676404299</v>
      </c>
      <c r="J280" s="11">
        <v>-0.17042270245606</v>
      </c>
      <c r="K280" s="11">
        <v>0.213999999999999</v>
      </c>
      <c r="L280" s="12">
        <f>_xlfn.VAR.S(INDEX($I:$I,INT((ROW()-277)/8)*8+277):INDEX($I:$I,INT((ROW()-277)/8)*8+284))</f>
        <v>1.1579549920713944E-2</v>
      </c>
      <c r="M280" s="13" t="s">
        <v>15527</v>
      </c>
      <c r="N280" s="13" t="s">
        <v>15527</v>
      </c>
    </row>
    <row r="281" spans="1:14" ht="17.399999999999999" hidden="1">
      <c r="A281" t="s">
        <v>15391</v>
      </c>
      <c r="B281" t="s">
        <v>15441</v>
      </c>
      <c r="C281" t="s">
        <v>15445</v>
      </c>
      <c r="D281" t="s">
        <v>3570</v>
      </c>
      <c r="E281" t="s">
        <v>3724</v>
      </c>
      <c r="F281" t="s">
        <v>11784</v>
      </c>
      <c r="G281" t="s">
        <v>3366</v>
      </c>
      <c r="H281" t="s">
        <v>11900</v>
      </c>
      <c r="I281" s="11">
        <v>0.21570494365509299</v>
      </c>
      <c r="J281" s="11">
        <v>-0.169699896144787</v>
      </c>
      <c r="K281" s="11">
        <v>0.176799999999986</v>
      </c>
      <c r="L281" s="12">
        <f>_xlfn.VAR.S(INDEX($I:$I,INT((ROW()-277)/8)*8+277):INDEX($I:$I,INT((ROW()-277)/8)*8+284))</f>
        <v>1.1579549920713944E-2</v>
      </c>
      <c r="M281" s="13" t="s">
        <v>15527</v>
      </c>
      <c r="N281" s="13" t="s">
        <v>15527</v>
      </c>
    </row>
    <row r="282" spans="1:14" ht="17.399999999999999" hidden="1">
      <c r="A282" t="s">
        <v>15391</v>
      </c>
      <c r="B282" t="s">
        <v>15441</v>
      </c>
      <c r="C282" t="s">
        <v>15445</v>
      </c>
      <c r="D282" t="s">
        <v>3471</v>
      </c>
      <c r="E282" t="s">
        <v>3725</v>
      </c>
      <c r="F282" t="s">
        <v>11785</v>
      </c>
      <c r="G282" t="s">
        <v>3366</v>
      </c>
      <c r="H282" t="s">
        <v>11900</v>
      </c>
      <c r="I282" s="11">
        <v>0.26359886697685098</v>
      </c>
      <c r="J282" s="11">
        <v>-0.18410658865718399</v>
      </c>
      <c r="K282" s="11">
        <v>0.15819999999999401</v>
      </c>
      <c r="L282" s="12">
        <f>_xlfn.VAR.S(INDEX($I:$I,INT((ROW()-277)/8)*8+277):INDEX($I:$I,INT((ROW()-277)/8)*8+284))</f>
        <v>1.1579549920713944E-2</v>
      </c>
      <c r="M282" s="13" t="s">
        <v>15527</v>
      </c>
      <c r="N282" s="13" t="s">
        <v>15527</v>
      </c>
    </row>
    <row r="283" spans="1:14" ht="17.399999999999999" hidden="1">
      <c r="A283" t="s">
        <v>15391</v>
      </c>
      <c r="B283" t="s">
        <v>15441</v>
      </c>
      <c r="C283" t="s">
        <v>15445</v>
      </c>
      <c r="D283" t="s">
        <v>3571</v>
      </c>
      <c r="E283" t="s">
        <v>3726</v>
      </c>
      <c r="F283" t="s">
        <v>11172</v>
      </c>
      <c r="G283" t="s">
        <v>3366</v>
      </c>
      <c r="H283" t="s">
        <v>11900</v>
      </c>
      <c r="I283" s="11">
        <v>0.22530136686827501</v>
      </c>
      <c r="J283" s="11">
        <v>-0.14620782603900301</v>
      </c>
      <c r="K283" s="11">
        <v>0.161799999999999</v>
      </c>
      <c r="L283" s="12">
        <f>_xlfn.VAR.S(INDEX($I:$I,INT((ROW()-277)/8)*8+277):INDEX($I:$I,INT((ROW()-277)/8)*8+284))</f>
        <v>1.1579549920713944E-2</v>
      </c>
      <c r="M283" s="13" t="s">
        <v>15527</v>
      </c>
      <c r="N283" s="13" t="s">
        <v>15527</v>
      </c>
    </row>
    <row r="284" spans="1:14" ht="17.399999999999999" hidden="1">
      <c r="A284" t="s">
        <v>15391</v>
      </c>
      <c r="B284" t="s">
        <v>15441</v>
      </c>
      <c r="C284" t="s">
        <v>15445</v>
      </c>
      <c r="D284" t="s">
        <v>3572</v>
      </c>
      <c r="E284" t="s">
        <v>3727</v>
      </c>
      <c r="F284" t="s">
        <v>10649</v>
      </c>
      <c r="G284" t="s">
        <v>3366</v>
      </c>
      <c r="H284" t="s">
        <v>11902</v>
      </c>
      <c r="I284" s="11">
        <v>0.26516656458810001</v>
      </c>
      <c r="J284" s="11">
        <v>-0.145000515248497</v>
      </c>
      <c r="K284" s="11">
        <v>0.18000000000000699</v>
      </c>
      <c r="L284" s="12">
        <f>_xlfn.VAR.S(INDEX($I:$I,INT((ROW()-277)/8)*8+277):INDEX($I:$I,INT((ROW()-277)/8)*8+284))</f>
        <v>1.1579549920713944E-2</v>
      </c>
      <c r="M284" s="13" t="s">
        <v>15527</v>
      </c>
      <c r="N284" s="13" t="s">
        <v>15527</v>
      </c>
    </row>
    <row r="285" spans="1:14" s="16" customFormat="1" ht="17.399999999999999" hidden="1">
      <c r="A285" s="39" t="s">
        <v>15391</v>
      </c>
      <c r="B285" s="40" t="s">
        <v>15441</v>
      </c>
      <c r="C285" s="40" t="s">
        <v>15446</v>
      </c>
      <c r="D285" s="40" t="s">
        <v>3573</v>
      </c>
      <c r="E285" s="40" t="s">
        <v>3728</v>
      </c>
      <c r="F285" s="40" t="s">
        <v>10960</v>
      </c>
      <c r="G285" s="40" t="s">
        <v>3366</v>
      </c>
      <c r="H285" s="40" t="s">
        <v>11900</v>
      </c>
      <c r="I285" s="41">
        <v>0.97511564844209397</v>
      </c>
      <c r="J285" s="41">
        <v>0.31969258481855301</v>
      </c>
      <c r="K285" s="41">
        <v>-0.46860000000000901</v>
      </c>
      <c r="L285" s="56">
        <f>_xlfn.VAR.S(INDEX($I:$I,INT((ROW()-285)/5)*5+285):INDEX($I:$I,INT((ROW()-285)/5)*5+289))</f>
        <v>5.1704317685981493E-2</v>
      </c>
      <c r="M285" s="42">
        <f>_xlfn.VAR.S(K285:K289)</f>
        <v>3.1878560000001818E-2</v>
      </c>
      <c r="N285" s="44">
        <f>_xlfn.VAR.S(K285:K289)</f>
        <v>3.1878560000001818E-2</v>
      </c>
    </row>
    <row r="286" spans="1:14" ht="17.399999999999999" hidden="1">
      <c r="A286" s="45" t="s">
        <v>15391</v>
      </c>
      <c r="B286" s="9" t="s">
        <v>15441</v>
      </c>
      <c r="C286" s="9" t="s">
        <v>15446</v>
      </c>
      <c r="D286" s="9" t="s">
        <v>3574</v>
      </c>
      <c r="E286" s="9" t="s">
        <v>3729</v>
      </c>
      <c r="F286" s="9" t="s">
        <v>10571</v>
      </c>
      <c r="G286" s="9" t="s">
        <v>3366</v>
      </c>
      <c r="H286" s="9" t="s">
        <v>11902</v>
      </c>
      <c r="I286" s="46">
        <v>0.92029856486469896</v>
      </c>
      <c r="J286" s="46">
        <v>0.34945876478364202</v>
      </c>
      <c r="K286" s="46">
        <v>-0.37900000000001899</v>
      </c>
      <c r="L286" s="47"/>
      <c r="M286" s="57" t="s">
        <v>15527</v>
      </c>
      <c r="N286" s="58" t="s">
        <v>15527</v>
      </c>
    </row>
    <row r="287" spans="1:14" ht="17.399999999999999" hidden="1">
      <c r="A287" s="45" t="s">
        <v>15391</v>
      </c>
      <c r="B287" s="9" t="s">
        <v>15441</v>
      </c>
      <c r="C287" s="9" t="s">
        <v>15446</v>
      </c>
      <c r="D287" s="9" t="s">
        <v>3472</v>
      </c>
      <c r="E287" s="9" t="s">
        <v>3730</v>
      </c>
      <c r="F287" s="9" t="s">
        <v>11273</v>
      </c>
      <c r="G287" s="9" t="s">
        <v>3366</v>
      </c>
      <c r="H287" s="9" t="s">
        <v>11902</v>
      </c>
      <c r="I287" s="46">
        <v>0.79084313338037104</v>
      </c>
      <c r="J287" s="46">
        <v>0.31758197272713801</v>
      </c>
      <c r="K287" s="46">
        <v>-0.31820000000001902</v>
      </c>
      <c r="L287" s="47"/>
      <c r="M287" s="57" t="s">
        <v>15527</v>
      </c>
      <c r="N287" s="58" t="s">
        <v>15527</v>
      </c>
    </row>
    <row r="288" spans="1:14" ht="17.399999999999999" hidden="1">
      <c r="A288" s="45" t="s">
        <v>15391</v>
      </c>
      <c r="B288" s="9" t="s">
        <v>15441</v>
      </c>
      <c r="C288" s="9" t="s">
        <v>15446</v>
      </c>
      <c r="D288" s="9" t="s">
        <v>3447</v>
      </c>
      <c r="E288" s="9" t="s">
        <v>3731</v>
      </c>
      <c r="F288" s="9" t="s">
        <v>10570</v>
      </c>
      <c r="G288" s="9" t="s">
        <v>3366</v>
      </c>
      <c r="H288" s="9" t="s">
        <v>11902</v>
      </c>
      <c r="I288" s="46">
        <v>0.64913642376234604</v>
      </c>
      <c r="J288" s="46">
        <v>0.10843268436889</v>
      </c>
      <c r="K288" s="46">
        <v>-7.6999999999998195E-2</v>
      </c>
      <c r="L288" s="47"/>
      <c r="M288" s="57" t="s">
        <v>15527</v>
      </c>
      <c r="N288" s="58" t="s">
        <v>15527</v>
      </c>
    </row>
    <row r="289" spans="1:14" ht="18" hidden="1" thickBot="1">
      <c r="A289" s="49" t="s">
        <v>15391</v>
      </c>
      <c r="B289" s="50" t="s">
        <v>15441</v>
      </c>
      <c r="C289" s="50" t="s">
        <v>15446</v>
      </c>
      <c r="D289" s="50" t="s">
        <v>3575</v>
      </c>
      <c r="E289" s="50" t="s">
        <v>3732</v>
      </c>
      <c r="F289" s="50" t="s">
        <v>11786</v>
      </c>
      <c r="G289" s="50" t="s">
        <v>3366</v>
      </c>
      <c r="H289" s="50" t="s">
        <v>11900</v>
      </c>
      <c r="I289" s="51">
        <v>0.41044078276528401</v>
      </c>
      <c r="J289" s="51">
        <v>8.5375702376395204E-2</v>
      </c>
      <c r="K289" s="51">
        <v>-7.8200000000009595E-2</v>
      </c>
      <c r="L289" s="52"/>
      <c r="M289" s="59" t="s">
        <v>15527</v>
      </c>
      <c r="N289" s="60" t="s">
        <v>15527</v>
      </c>
    </row>
    <row r="290" spans="1:14" s="16" customFormat="1" ht="17.399999999999999" hidden="1">
      <c r="A290" s="39" t="s">
        <v>15391</v>
      </c>
      <c r="B290" s="40" t="s">
        <v>15441</v>
      </c>
      <c r="C290" s="40" t="s">
        <v>15447</v>
      </c>
      <c r="D290" s="40" t="s">
        <v>3561</v>
      </c>
      <c r="E290" s="40" t="s">
        <v>3733</v>
      </c>
      <c r="F290" s="40" t="s">
        <v>11221</v>
      </c>
      <c r="G290" s="40" t="s">
        <v>3366</v>
      </c>
      <c r="H290" s="40" t="s">
        <v>11909</v>
      </c>
      <c r="I290" s="41">
        <v>0.18595209194004</v>
      </c>
      <c r="J290" s="41">
        <v>-0.28949276049192602</v>
      </c>
      <c r="K290" s="41">
        <v>0.72200000000000797</v>
      </c>
      <c r="L290" s="42">
        <f>_xlfn.VAR.S(INDEX($I:$I,INT((ROW()-285)/5)*5+285):INDEX($I:$I,INT((ROW()-285)/5)*5+289))</f>
        <v>4.1018625381841201E-3</v>
      </c>
      <c r="M290" s="42">
        <f>_xlfn.VAR.S(J290:J294)</f>
        <v>2.4024380193789566E-3</v>
      </c>
      <c r="N290" s="55">
        <f>_xlfn.VAR.S(K290:K294)</f>
        <v>5.5720613000003527E-2</v>
      </c>
    </row>
    <row r="291" spans="1:14" ht="17.399999999999999" hidden="1">
      <c r="A291" s="45" t="s">
        <v>15391</v>
      </c>
      <c r="B291" s="9" t="s">
        <v>15441</v>
      </c>
      <c r="C291" s="9" t="s">
        <v>15447</v>
      </c>
      <c r="D291" s="9" t="s">
        <v>3446</v>
      </c>
      <c r="E291" s="9" t="s">
        <v>3734</v>
      </c>
      <c r="F291" s="9" t="s">
        <v>10971</v>
      </c>
      <c r="G291" s="9" t="s">
        <v>3366</v>
      </c>
      <c r="H291" s="9" t="s">
        <v>11909</v>
      </c>
      <c r="I291" s="46">
        <v>0.140207554866601</v>
      </c>
      <c r="J291" s="46">
        <v>-0.17216439852089799</v>
      </c>
      <c r="K291" s="46">
        <v>0.35249999999999199</v>
      </c>
      <c r="L291" s="47"/>
      <c r="M291" s="57" t="s">
        <v>15527</v>
      </c>
      <c r="N291" s="58" t="s">
        <v>15527</v>
      </c>
    </row>
    <row r="292" spans="1:14" ht="17.399999999999999" hidden="1">
      <c r="A292" s="45" t="s">
        <v>15391</v>
      </c>
      <c r="B292" s="9" t="s">
        <v>15441</v>
      </c>
      <c r="C292" s="9" t="s">
        <v>15447</v>
      </c>
      <c r="D292" s="9" t="s">
        <v>3576</v>
      </c>
      <c r="E292" s="9" t="s">
        <v>3735</v>
      </c>
      <c r="F292" s="9" t="s">
        <v>11787</v>
      </c>
      <c r="G292" s="9" t="s">
        <v>3366</v>
      </c>
      <c r="H292" s="9" t="s">
        <v>11909</v>
      </c>
      <c r="I292" s="46">
        <v>0.25127351354093802</v>
      </c>
      <c r="J292" s="46">
        <v>-0.232585890325998</v>
      </c>
      <c r="K292" s="46">
        <v>0.41859999999999797</v>
      </c>
      <c r="L292" s="47"/>
      <c r="M292" s="57" t="s">
        <v>15527</v>
      </c>
      <c r="N292" s="58" t="s">
        <v>15527</v>
      </c>
    </row>
    <row r="293" spans="1:14" ht="17.399999999999999" hidden="1">
      <c r="A293" s="45" t="s">
        <v>15391</v>
      </c>
      <c r="B293" s="9" t="s">
        <v>15441</v>
      </c>
      <c r="C293" s="9" t="s">
        <v>15447</v>
      </c>
      <c r="D293" s="9" t="s">
        <v>3577</v>
      </c>
      <c r="E293" s="9" t="s">
        <v>3736</v>
      </c>
      <c r="F293" s="9" t="s">
        <v>11503</v>
      </c>
      <c r="G293" s="9" t="s">
        <v>3366</v>
      </c>
      <c r="H293" s="9" t="s">
        <v>11909</v>
      </c>
      <c r="I293" s="46">
        <v>0.26472033634907</v>
      </c>
      <c r="J293" s="46">
        <v>-0.171784785642183</v>
      </c>
      <c r="K293" s="46">
        <v>0.28510000000000002</v>
      </c>
      <c r="L293" s="47"/>
      <c r="M293" s="57" t="s">
        <v>15527</v>
      </c>
      <c r="N293" s="58" t="s">
        <v>15527</v>
      </c>
    </row>
    <row r="294" spans="1:14" ht="18" hidden="1" thickBot="1">
      <c r="A294" s="49" t="s">
        <v>15391</v>
      </c>
      <c r="B294" s="50" t="s">
        <v>15441</v>
      </c>
      <c r="C294" s="50" t="s">
        <v>15447</v>
      </c>
      <c r="D294" s="50" t="s">
        <v>3578</v>
      </c>
      <c r="E294" s="50" t="s">
        <v>3560</v>
      </c>
      <c r="F294" s="50" t="s">
        <v>11503</v>
      </c>
      <c r="G294" s="50" t="s">
        <v>3366</v>
      </c>
      <c r="H294" s="50" t="s">
        <v>11909</v>
      </c>
      <c r="I294" s="51">
        <v>0.29900803090610401</v>
      </c>
      <c r="J294" s="51">
        <v>-0.225018521896445</v>
      </c>
      <c r="K294" s="51">
        <v>7.1499999999986102E-2</v>
      </c>
      <c r="L294" s="52"/>
      <c r="M294" s="59" t="s">
        <v>15527</v>
      </c>
      <c r="N294" s="60" t="s">
        <v>15527</v>
      </c>
    </row>
    <row r="295" spans="1:14" s="16" customFormat="1" ht="17.399999999999999" hidden="1">
      <c r="A295" s="16" t="s">
        <v>15391</v>
      </c>
      <c r="B295" s="16" t="s">
        <v>15441</v>
      </c>
      <c r="C295" s="16" t="s">
        <v>15448</v>
      </c>
      <c r="D295" s="16" t="s">
        <v>3465</v>
      </c>
      <c r="E295" s="16" t="s">
        <v>3590</v>
      </c>
      <c r="F295" s="16" t="s">
        <v>10758</v>
      </c>
      <c r="G295" s="16" t="s">
        <v>3366</v>
      </c>
      <c r="H295" s="16" t="s">
        <v>11896</v>
      </c>
      <c r="I295" s="21">
        <v>-2.77862722451802E-2</v>
      </c>
      <c r="J295" s="21">
        <v>-9.3811811165821699E-3</v>
      </c>
      <c r="K295" s="21">
        <v>-1.08999999999924E-2</v>
      </c>
      <c r="L295" s="22">
        <f>_xlfn.VAR.S(INDEX($I:$I,INT((ROW()-285)/5)*5+285):INDEX($I:$I,INT((ROW()-285)/5)*5+289))</f>
        <v>1.8705537501548503E-5</v>
      </c>
      <c r="M295" s="22">
        <f>_xlfn.VAR.S(J295:J299)</f>
        <v>6.5782054535359235E-5</v>
      </c>
      <c r="N295" s="22">
        <f>_xlfn.VAR.S(K295:K299)</f>
        <v>1.3914999999973171E-5</v>
      </c>
    </row>
    <row r="296" spans="1:14" ht="17.399999999999999" hidden="1">
      <c r="A296" t="s">
        <v>15391</v>
      </c>
      <c r="B296" t="s">
        <v>15441</v>
      </c>
      <c r="C296" t="s">
        <v>15448</v>
      </c>
      <c r="D296" t="s">
        <v>3476</v>
      </c>
      <c r="E296" t="s">
        <v>3614</v>
      </c>
      <c r="F296" t="s">
        <v>11359</v>
      </c>
      <c r="G296" t="s">
        <v>3366</v>
      </c>
      <c r="H296" t="s">
        <v>11888</v>
      </c>
      <c r="I296" s="11">
        <v>-2.97246955577023E-2</v>
      </c>
      <c r="J296" s="11">
        <v>6.7737883192669603E-3</v>
      </c>
      <c r="K296" s="11">
        <v>-1.6099999999994501E-2</v>
      </c>
      <c r="L296" s="12">
        <f>_xlfn.VAR.S(INDEX($I:$I,INT((ROW()-285)/5)*5+285):INDEX($I:$I,INT((ROW()-285)/5)*5+289))</f>
        <v>1.8705537501548503E-5</v>
      </c>
      <c r="M296" s="13" t="s">
        <v>15527</v>
      </c>
      <c r="N296" s="13" t="s">
        <v>15527</v>
      </c>
    </row>
    <row r="297" spans="1:14" ht="17.399999999999999" hidden="1">
      <c r="A297" t="s">
        <v>15391</v>
      </c>
      <c r="B297" t="s">
        <v>15441</v>
      </c>
      <c r="C297" t="s">
        <v>15448</v>
      </c>
      <c r="D297" t="s">
        <v>3464</v>
      </c>
      <c r="E297" t="s">
        <v>3694</v>
      </c>
      <c r="F297" t="s">
        <v>10745</v>
      </c>
      <c r="G297" t="s">
        <v>3366</v>
      </c>
      <c r="H297" t="s">
        <v>11888</v>
      </c>
      <c r="I297" s="11">
        <v>-2.5880462026614402E-2</v>
      </c>
      <c r="J297" s="11">
        <v>1.0847353994140399E-3</v>
      </c>
      <c r="K297" s="11">
        <v>-1.7200000000002501E-2</v>
      </c>
      <c r="L297" s="12">
        <f>_xlfn.VAR.S(INDEX($I:$I,INT((ROW()-285)/5)*5+285):INDEX($I:$I,INT((ROW()-285)/5)*5+289))</f>
        <v>1.8705537501548503E-5</v>
      </c>
      <c r="M297" s="13" t="s">
        <v>15527</v>
      </c>
      <c r="N297" s="13" t="s">
        <v>15527</v>
      </c>
    </row>
    <row r="298" spans="1:14" ht="17.399999999999999" hidden="1">
      <c r="A298" t="s">
        <v>15391</v>
      </c>
      <c r="B298" t="s">
        <v>15441</v>
      </c>
      <c r="C298" t="s">
        <v>15448</v>
      </c>
      <c r="D298" t="s">
        <v>3579</v>
      </c>
      <c r="E298" t="s">
        <v>3694</v>
      </c>
      <c r="F298" t="s">
        <v>11788</v>
      </c>
      <c r="G298" t="s">
        <v>3366</v>
      </c>
      <c r="H298" t="s">
        <v>11888</v>
      </c>
      <c r="I298" s="11">
        <v>-2.0983112785539298E-2</v>
      </c>
      <c r="J298" s="11">
        <v>-7.8220443461794794E-3</v>
      </c>
      <c r="K298" s="11">
        <v>-1.32000000000119E-2</v>
      </c>
      <c r="L298" s="12">
        <f>_xlfn.VAR.S(INDEX($I:$I,INT((ROW()-285)/5)*5+285):INDEX($I:$I,INT((ROW()-285)/5)*5+289))</f>
        <v>1.8705537501548503E-5</v>
      </c>
      <c r="M298" s="13" t="s">
        <v>15527</v>
      </c>
      <c r="N298" s="13" t="s">
        <v>15527</v>
      </c>
    </row>
    <row r="299" spans="1:14" ht="17.399999999999999" hidden="1">
      <c r="A299" t="s">
        <v>15391</v>
      </c>
      <c r="B299" t="s">
        <v>15441</v>
      </c>
      <c r="C299" t="s">
        <v>15448</v>
      </c>
      <c r="D299" t="s">
        <v>3484</v>
      </c>
      <c r="E299" t="s">
        <v>3694</v>
      </c>
      <c r="F299" t="s">
        <v>11064</v>
      </c>
      <c r="G299" t="s">
        <v>3366</v>
      </c>
      <c r="H299" t="s">
        <v>11888</v>
      </c>
      <c r="I299" s="11">
        <v>-1.9709118408143999E-2</v>
      </c>
      <c r="J299" s="11">
        <v>-1.2866327668787101E-2</v>
      </c>
      <c r="K299" s="11">
        <v>-8.1000000000131002E-3</v>
      </c>
      <c r="L299" s="12">
        <f>_xlfn.VAR.S(INDEX($I:$I,INT((ROW()-285)/5)*5+285):INDEX($I:$I,INT((ROW()-285)/5)*5+289))</f>
        <v>1.8705537501548503E-5</v>
      </c>
      <c r="M299" s="13" t="s">
        <v>15527</v>
      </c>
      <c r="N299" s="13" t="s">
        <v>15527</v>
      </c>
    </row>
    <row r="300" spans="1:14" s="16" customFormat="1" ht="17.399999999999999" hidden="1">
      <c r="A300" s="16" t="s">
        <v>15391</v>
      </c>
      <c r="B300" s="16" t="s">
        <v>15441</v>
      </c>
      <c r="C300" s="16" t="s">
        <v>15449</v>
      </c>
      <c r="D300" s="16" t="s">
        <v>3441</v>
      </c>
      <c r="E300" s="16" t="s">
        <v>3579</v>
      </c>
      <c r="F300" s="16" t="s">
        <v>10544</v>
      </c>
      <c r="G300" s="16" t="s">
        <v>3366</v>
      </c>
      <c r="H300" s="16" t="s">
        <v>11898</v>
      </c>
      <c r="I300" s="21">
        <v>7.7671973870697998E-3</v>
      </c>
      <c r="J300" s="21">
        <v>-2.6290117773306601E-2</v>
      </c>
      <c r="K300" s="21">
        <v>-6.4000000000135103E-3</v>
      </c>
      <c r="L300" s="22">
        <f>_xlfn.VAR.S(INDEX($I:$I,INT((ROW()-285)/5)*5+285):INDEX($I:$I,INT((ROW()-285)/5)*5+289))</f>
        <v>1.6184886178863619E-6</v>
      </c>
      <c r="M300" s="22">
        <f>_xlfn.VAR.S(J300:J304)</f>
        <v>4.9232663666913069E-6</v>
      </c>
      <c r="N300" s="22">
        <f>_xlfn.VAR.S(K300:K304)</f>
        <v>1.0595300000003531E-4</v>
      </c>
    </row>
    <row r="301" spans="1:14" ht="17.399999999999999" hidden="1">
      <c r="A301" t="s">
        <v>15391</v>
      </c>
      <c r="B301" t="s">
        <v>15441</v>
      </c>
      <c r="C301" t="s">
        <v>15449</v>
      </c>
      <c r="D301" t="s">
        <v>3461</v>
      </c>
      <c r="E301" t="s">
        <v>3564</v>
      </c>
      <c r="F301" t="s">
        <v>11085</v>
      </c>
      <c r="G301" t="s">
        <v>3366</v>
      </c>
      <c r="H301" t="s">
        <v>11898</v>
      </c>
      <c r="I301" s="11">
        <v>9.6054564459491995E-3</v>
      </c>
      <c r="J301" s="11">
        <v>-3.1956366354318998E-2</v>
      </c>
      <c r="K301" s="11">
        <v>-2.19000000000165E-2</v>
      </c>
      <c r="L301" s="12">
        <f>_xlfn.VAR.S(INDEX($I:$I,INT((ROW()-285)/5)*5+285):INDEX($I:$I,INT((ROW()-285)/5)*5+289))</f>
        <v>1.6184886178863619E-6</v>
      </c>
      <c r="M301" s="13" t="s">
        <v>15527</v>
      </c>
      <c r="N301" s="13" t="s">
        <v>15527</v>
      </c>
    </row>
    <row r="302" spans="1:14" ht="17.399999999999999" hidden="1">
      <c r="A302" t="s">
        <v>15391</v>
      </c>
      <c r="B302" t="s">
        <v>15441</v>
      </c>
      <c r="C302" t="s">
        <v>15449</v>
      </c>
      <c r="D302" t="s">
        <v>3452</v>
      </c>
      <c r="E302" t="s">
        <v>3590</v>
      </c>
      <c r="F302" t="s">
        <v>10746</v>
      </c>
      <c r="G302" t="s">
        <v>3366</v>
      </c>
      <c r="H302" t="s">
        <v>11899</v>
      </c>
      <c r="I302" s="11">
        <v>7.9174888448129803E-3</v>
      </c>
      <c r="J302" s="11">
        <v>-3.01559322232571E-2</v>
      </c>
      <c r="K302" s="11">
        <v>-2.3099999999999499E-2</v>
      </c>
      <c r="L302" s="12">
        <f>_xlfn.VAR.S(INDEX($I:$I,INT((ROW()-285)/5)*5+285):INDEX($I:$I,INT((ROW()-285)/5)*5+289))</f>
        <v>1.6184886178863619E-6</v>
      </c>
      <c r="M302" s="13" t="s">
        <v>15527</v>
      </c>
      <c r="N302" s="13" t="s">
        <v>15527</v>
      </c>
    </row>
    <row r="303" spans="1:14" ht="17.399999999999999" hidden="1">
      <c r="A303" t="s">
        <v>15391</v>
      </c>
      <c r="B303" t="s">
        <v>15441</v>
      </c>
      <c r="C303" t="s">
        <v>15449</v>
      </c>
      <c r="D303" t="s">
        <v>3452</v>
      </c>
      <c r="E303" t="s">
        <v>3590</v>
      </c>
      <c r="F303" t="s">
        <v>10746</v>
      </c>
      <c r="G303" t="s">
        <v>3366</v>
      </c>
      <c r="H303" t="s">
        <v>11899</v>
      </c>
      <c r="I303" s="11">
        <v>7.5646340625688101E-3</v>
      </c>
      <c r="J303" s="11">
        <v>-2.7750577147208699E-2</v>
      </c>
      <c r="K303" s="11">
        <v>-9.8000000000126892E-3</v>
      </c>
      <c r="L303" s="12">
        <f>_xlfn.VAR.S(INDEX($I:$I,INT((ROW()-285)/5)*5+285):INDEX($I:$I,INT((ROW()-285)/5)*5+289))</f>
        <v>1.6184886178863619E-6</v>
      </c>
      <c r="M303" s="13" t="s">
        <v>15527</v>
      </c>
      <c r="N303" s="13" t="s">
        <v>15527</v>
      </c>
    </row>
    <row r="304" spans="1:14" ht="17.399999999999999" hidden="1">
      <c r="A304" t="s">
        <v>15391</v>
      </c>
      <c r="B304" t="s">
        <v>15441</v>
      </c>
      <c r="C304" t="s">
        <v>15449</v>
      </c>
      <c r="D304" t="s">
        <v>3433</v>
      </c>
      <c r="E304" t="s">
        <v>3611</v>
      </c>
      <c r="F304" t="s">
        <v>11487</v>
      </c>
      <c r="G304" t="s">
        <v>3366</v>
      </c>
      <c r="H304" t="s">
        <v>11899</v>
      </c>
      <c r="I304" s="11">
        <v>6.02606526207206E-3</v>
      </c>
      <c r="J304" s="11">
        <v>-2.8090806591324301E-2</v>
      </c>
      <c r="K304" s="11">
        <v>9.0000000000145497E-4</v>
      </c>
      <c r="L304" s="12">
        <f>_xlfn.VAR.S(INDEX($I:$I,INT((ROW()-285)/5)*5+285):INDEX($I:$I,INT((ROW()-285)/5)*5+289))</f>
        <v>1.6184886178863619E-6</v>
      </c>
      <c r="M304" s="13" t="s">
        <v>15527</v>
      </c>
      <c r="N304" s="13" t="s">
        <v>15527</v>
      </c>
    </row>
    <row r="305" spans="1:14" s="16" customFormat="1" ht="17.399999999999999">
      <c r="A305" s="16" t="s">
        <v>15391</v>
      </c>
      <c r="B305" s="16" t="s">
        <v>15442</v>
      </c>
      <c r="C305" s="16" t="s">
        <v>15450</v>
      </c>
      <c r="D305" s="16" t="s">
        <v>3485</v>
      </c>
      <c r="E305" s="16" t="s">
        <v>3737</v>
      </c>
      <c r="F305" s="16" t="s">
        <v>11723</v>
      </c>
      <c r="G305" s="16" t="s">
        <v>3366</v>
      </c>
      <c r="H305" s="16" t="s">
        <v>11900</v>
      </c>
      <c r="I305" s="21">
        <v>3.9720366326870003E-2</v>
      </c>
      <c r="J305" s="21">
        <v>-5.1260259289656399E-2</v>
      </c>
      <c r="K305" s="21">
        <v>1.2299999999982001E-2</v>
      </c>
      <c r="L305" s="22">
        <f>_xlfn.VAR.S(INDEX($I:$I,INT((ROW()-285)/5)*5+285):INDEX($I:$I,INT((ROW()-285)/5)*5+289))</f>
        <v>8.1999789450971187E-6</v>
      </c>
      <c r="M305" s="22">
        <f>_xlfn.VAR.S(J305:J309)</f>
        <v>4.0978690083288594E-5</v>
      </c>
      <c r="N305" s="22">
        <f>_xlfn.VAR.S(K305:K309)</f>
        <v>3.4221499999998633E-4</v>
      </c>
    </row>
    <row r="306" spans="1:14" ht="17.399999999999999">
      <c r="A306" t="s">
        <v>15391</v>
      </c>
      <c r="B306" t="s">
        <v>15442</v>
      </c>
      <c r="C306" t="s">
        <v>15450</v>
      </c>
      <c r="D306" t="s">
        <v>3580</v>
      </c>
      <c r="E306" t="s">
        <v>3684</v>
      </c>
      <c r="F306" t="s">
        <v>11710</v>
      </c>
      <c r="G306" t="s">
        <v>3366</v>
      </c>
      <c r="H306" t="s">
        <v>11900</v>
      </c>
      <c r="I306" s="11">
        <v>3.6558253610604198E-2</v>
      </c>
      <c r="J306" s="11">
        <v>-4.74457252303042E-2</v>
      </c>
      <c r="K306" s="11">
        <v>3.7399999999991003E-2</v>
      </c>
      <c r="L306" s="12">
        <f>_xlfn.VAR.S(INDEX($I:$I,INT((ROW()-285)/5)*5+285):INDEX($I:$I,INT((ROW()-285)/5)*5+289))</f>
        <v>8.1999789450971187E-6</v>
      </c>
      <c r="M306" s="13" t="s">
        <v>15527</v>
      </c>
      <c r="N306" s="13" t="s">
        <v>15527</v>
      </c>
    </row>
    <row r="307" spans="1:14" ht="17.399999999999999">
      <c r="A307" t="s">
        <v>15391</v>
      </c>
      <c r="B307" t="s">
        <v>15442</v>
      </c>
      <c r="C307" t="s">
        <v>15450</v>
      </c>
      <c r="D307" t="s">
        <v>3581</v>
      </c>
      <c r="E307" t="s">
        <v>3738</v>
      </c>
      <c r="F307" t="s">
        <v>11710</v>
      </c>
      <c r="G307" t="s">
        <v>3366</v>
      </c>
      <c r="H307" t="s">
        <v>11900</v>
      </c>
      <c r="I307" s="11">
        <v>3.6307081741883303E-2</v>
      </c>
      <c r="J307" s="11">
        <v>-4.84184953552695E-2</v>
      </c>
      <c r="K307" s="11">
        <v>4.77999999999952E-2</v>
      </c>
      <c r="L307" s="12">
        <f>_xlfn.VAR.S(INDEX($I:$I,INT((ROW()-285)/5)*5+285):INDEX($I:$I,INT((ROW()-285)/5)*5+289))</f>
        <v>8.1999789450971187E-6</v>
      </c>
      <c r="M307" s="13" t="s">
        <v>15527</v>
      </c>
      <c r="N307" s="13" t="s">
        <v>15527</v>
      </c>
    </row>
    <row r="308" spans="1:14" ht="17.399999999999999">
      <c r="A308" t="s">
        <v>15391</v>
      </c>
      <c r="B308" t="s">
        <v>15442</v>
      </c>
      <c r="C308" t="s">
        <v>15450</v>
      </c>
      <c r="D308" t="s">
        <v>3491</v>
      </c>
      <c r="E308" t="s">
        <v>3739</v>
      </c>
      <c r="F308" t="s">
        <v>11789</v>
      </c>
      <c r="G308" t="s">
        <v>3366</v>
      </c>
      <c r="H308" t="s">
        <v>11900</v>
      </c>
      <c r="I308" s="11">
        <v>3.2933381356826399E-2</v>
      </c>
      <c r="J308" s="11">
        <v>-4.0365058842044797E-2</v>
      </c>
      <c r="K308" s="11">
        <v>1.08999999999924E-2</v>
      </c>
      <c r="L308" s="12">
        <f>_xlfn.VAR.S(INDEX($I:$I,INT((ROW()-285)/5)*5+285):INDEX($I:$I,INT((ROW()-285)/5)*5+289))</f>
        <v>8.1999789450971187E-6</v>
      </c>
      <c r="M308" s="13" t="s">
        <v>15527</v>
      </c>
      <c r="N308" s="13" t="s">
        <v>15527</v>
      </c>
    </row>
    <row r="309" spans="1:14" ht="17.399999999999999">
      <c r="A309" t="s">
        <v>15391</v>
      </c>
      <c r="B309" t="s">
        <v>15442</v>
      </c>
      <c r="C309" t="s">
        <v>15450</v>
      </c>
      <c r="D309" t="s">
        <v>3495</v>
      </c>
      <c r="E309" t="s">
        <v>3608</v>
      </c>
      <c r="F309" t="s">
        <v>11789</v>
      </c>
      <c r="G309" t="s">
        <v>3366</v>
      </c>
      <c r="H309" t="s">
        <v>11900</v>
      </c>
      <c r="I309" s="11">
        <v>3.2893082269344197E-2</v>
      </c>
      <c r="J309" s="11">
        <v>-3.5714604345905503E-2</v>
      </c>
      <c r="K309" s="11">
        <v>6.1000000000035496E-3</v>
      </c>
      <c r="L309" s="12">
        <f>_xlfn.VAR.S(INDEX($I:$I,INT((ROW()-285)/5)*5+285):INDEX($I:$I,INT((ROW()-285)/5)*5+289))</f>
        <v>8.1999789450971187E-6</v>
      </c>
      <c r="M309" s="13" t="s">
        <v>15527</v>
      </c>
      <c r="N309" s="13" t="s">
        <v>15527</v>
      </c>
    </row>
    <row r="310" spans="1:14" s="16" customFormat="1" ht="17.399999999999999">
      <c r="A310" s="16" t="s">
        <v>15391</v>
      </c>
      <c r="B310" s="16" t="s">
        <v>15442</v>
      </c>
      <c r="C310" s="16" t="s">
        <v>15445</v>
      </c>
      <c r="D310" s="16" t="s">
        <v>3481</v>
      </c>
      <c r="E310" s="16" t="s">
        <v>3740</v>
      </c>
      <c r="F310" s="16" t="s">
        <v>11711</v>
      </c>
      <c r="G310" s="16" t="s">
        <v>3368</v>
      </c>
      <c r="H310" s="16" t="s">
        <v>11900</v>
      </c>
      <c r="I310" s="21">
        <v>0.66600823601063197</v>
      </c>
      <c r="J310" s="21">
        <v>0.61073783971891604</v>
      </c>
      <c r="K310" s="21">
        <v>-0.42060000000000702</v>
      </c>
      <c r="L310" s="22">
        <f>_xlfn.VAR.S(INDEX($I:$I,INT((ROW()-310)/4)*4+310):INDEX($I:$I,INT((ROW()-310)/4)*4+313))</f>
        <v>9.9021884547233121E-3</v>
      </c>
      <c r="M310" s="22">
        <f>_xlfn.VAR.S(K310:K313)</f>
        <v>2.6752870000001112E-2</v>
      </c>
      <c r="N310" s="22">
        <f>_xlfn.VAR.S(K310:K313)</f>
        <v>2.6752870000001112E-2</v>
      </c>
    </row>
    <row r="311" spans="1:14" ht="17.399999999999999">
      <c r="A311" t="s">
        <v>15391</v>
      </c>
      <c r="B311" t="s">
        <v>15442</v>
      </c>
      <c r="C311" t="s">
        <v>15445</v>
      </c>
      <c r="D311" t="s">
        <v>3582</v>
      </c>
      <c r="E311" t="s">
        <v>3741</v>
      </c>
      <c r="F311" t="s">
        <v>11790</v>
      </c>
      <c r="G311" t="s">
        <v>3368</v>
      </c>
      <c r="H311" t="s">
        <v>11892</v>
      </c>
      <c r="I311" s="11">
        <v>0.77698385727816099</v>
      </c>
      <c r="J311" s="11">
        <v>0.75883039811729702</v>
      </c>
      <c r="K311" s="11">
        <v>-9.6800000000001801E-2</v>
      </c>
      <c r="L311" s="12">
        <f>_xlfn.VAR.S(INDEX($I:$I,INT((ROW()-310)/4)*4+310):INDEX($I:$I,INT((ROW()-310)/4)*4+313))</f>
        <v>9.9021884547233121E-3</v>
      </c>
      <c r="M311" s="13" t="s">
        <v>15527</v>
      </c>
      <c r="N311" s="13" t="s">
        <v>15527</v>
      </c>
    </row>
    <row r="312" spans="1:14" ht="17.399999999999999">
      <c r="A312" t="s">
        <v>15391</v>
      </c>
      <c r="B312" t="s">
        <v>15442</v>
      </c>
      <c r="C312" t="s">
        <v>15445</v>
      </c>
      <c r="D312" t="s">
        <v>3583</v>
      </c>
      <c r="E312" t="s">
        <v>3736</v>
      </c>
      <c r="F312" t="s">
        <v>11246</v>
      </c>
      <c r="G312" t="s">
        <v>3372</v>
      </c>
      <c r="H312" t="s">
        <v>11892</v>
      </c>
      <c r="I312" s="11">
        <v>0.78668151771120498</v>
      </c>
      <c r="J312" s="11">
        <v>0.66410507609421199</v>
      </c>
      <c r="K312" s="11">
        <v>-0.37489999999999701</v>
      </c>
      <c r="L312" s="12">
        <f>_xlfn.VAR.S(INDEX($I:$I,INT((ROW()-310)/4)*4+310):INDEX($I:$I,INT((ROW()-310)/4)*4+313))</f>
        <v>9.9021884547233121E-3</v>
      </c>
      <c r="M312" s="13" t="s">
        <v>15527</v>
      </c>
      <c r="N312" s="13" t="s">
        <v>15527</v>
      </c>
    </row>
    <row r="313" spans="1:14" ht="17.399999999999999">
      <c r="A313" t="s">
        <v>15391</v>
      </c>
      <c r="B313" t="s">
        <v>15442</v>
      </c>
      <c r="C313" t="s">
        <v>15445</v>
      </c>
      <c r="D313" t="s">
        <v>3584</v>
      </c>
      <c r="E313" t="s">
        <v>3742</v>
      </c>
      <c r="F313" t="s">
        <v>11791</v>
      </c>
      <c r="G313" t="s">
        <v>3366</v>
      </c>
      <c r="H313" t="s">
        <v>11900</v>
      </c>
      <c r="I313" s="11">
        <v>0.57702783688228898</v>
      </c>
      <c r="J313" s="11">
        <v>0.38185286547237501</v>
      </c>
      <c r="K313" s="11">
        <v>-0.45590000000001402</v>
      </c>
      <c r="L313" s="12">
        <f>_xlfn.VAR.S(INDEX($I:$I,INT((ROW()-310)/4)*4+310):INDEX($I:$I,INT((ROW()-310)/4)*4+313))</f>
        <v>9.9021884547233121E-3</v>
      </c>
      <c r="M313" s="13" t="s">
        <v>15527</v>
      </c>
      <c r="N313" s="13" t="s">
        <v>15527</v>
      </c>
    </row>
    <row r="314" spans="1:14" s="16" customFormat="1" ht="17.399999999999999">
      <c r="A314" s="16" t="s">
        <v>15391</v>
      </c>
      <c r="B314" s="16" t="s">
        <v>15442</v>
      </c>
      <c r="C314" s="16" t="s">
        <v>15451</v>
      </c>
      <c r="D314" s="16" t="s">
        <v>3431</v>
      </c>
      <c r="E314" s="16" t="s">
        <v>3450</v>
      </c>
      <c r="F314" s="16" t="s">
        <v>10662</v>
      </c>
      <c r="G314" s="16" t="s">
        <v>3366</v>
      </c>
      <c r="H314" s="16" t="s">
        <v>11901</v>
      </c>
      <c r="I314" s="21">
        <v>-1.3677880052131001E-2</v>
      </c>
      <c r="J314" s="21">
        <v>-3.6607197755612698E-2</v>
      </c>
      <c r="K314" s="21">
        <v>-3.7399999999991003E-2</v>
      </c>
      <c r="L314" s="22">
        <f>_xlfn.VAR.S(I314:I318)</f>
        <v>1.6286530970731914E-5</v>
      </c>
      <c r="M314" s="22">
        <f>_xlfn.VAR.S(J314:J318)</f>
        <v>6.3952092448445777E-6</v>
      </c>
      <c r="N314" s="22">
        <f>_xlfn.VAR.S(K314:K318)</f>
        <v>7.9467000000045269E-5</v>
      </c>
    </row>
    <row r="315" spans="1:14" ht="17.399999999999999">
      <c r="A315" t="s">
        <v>15391</v>
      </c>
      <c r="B315" t="s">
        <v>15442</v>
      </c>
      <c r="C315" t="s">
        <v>15451</v>
      </c>
      <c r="D315" t="s">
        <v>3434</v>
      </c>
      <c r="E315" t="s">
        <v>3449</v>
      </c>
      <c r="F315" t="s">
        <v>11262</v>
      </c>
      <c r="G315" t="s">
        <v>3366</v>
      </c>
      <c r="H315" t="s">
        <v>11903</v>
      </c>
      <c r="I315" s="11">
        <v>-1.1843820164008201E-2</v>
      </c>
      <c r="J315" s="11">
        <v>-3.7424007997173603E-2</v>
      </c>
      <c r="K315" s="11">
        <v>-5.5200000000013502E-2</v>
      </c>
      <c r="L315" s="13" t="s">
        <v>15527</v>
      </c>
      <c r="M315" s="13" t="s">
        <v>15527</v>
      </c>
      <c r="N315" s="13" t="s">
        <v>15527</v>
      </c>
    </row>
    <row r="316" spans="1:14" ht="17.399999999999999">
      <c r="A316" t="s">
        <v>15391</v>
      </c>
      <c r="B316" t="s">
        <v>15442</v>
      </c>
      <c r="C316" t="s">
        <v>15451</v>
      </c>
      <c r="D316" t="s">
        <v>3434</v>
      </c>
      <c r="E316" t="s">
        <v>3463</v>
      </c>
      <c r="F316" t="s">
        <v>11092</v>
      </c>
      <c r="G316" t="s">
        <v>3366</v>
      </c>
      <c r="H316" t="s">
        <v>11901</v>
      </c>
      <c r="I316" s="11">
        <v>-1.3757494145651099E-2</v>
      </c>
      <c r="J316" s="11">
        <v>-3.7429922569478899E-2</v>
      </c>
      <c r="K316" s="11">
        <v>-5.42000000000087E-2</v>
      </c>
      <c r="L316" s="13" t="s">
        <v>15527</v>
      </c>
      <c r="M316" s="13" t="s">
        <v>15527</v>
      </c>
      <c r="N316" s="13" t="s">
        <v>15527</v>
      </c>
    </row>
    <row r="317" spans="1:14" ht="17.399999999999999">
      <c r="A317" t="s">
        <v>15391</v>
      </c>
      <c r="B317" t="s">
        <v>15442</v>
      </c>
      <c r="C317" t="s">
        <v>15451</v>
      </c>
      <c r="D317" t="s">
        <v>3431</v>
      </c>
      <c r="E317" t="s">
        <v>3449</v>
      </c>
      <c r="F317" t="s">
        <v>11525</v>
      </c>
      <c r="G317" t="s">
        <v>3366</v>
      </c>
      <c r="H317" t="s">
        <v>11903</v>
      </c>
      <c r="I317" s="11">
        <v>-2.1546751464246498E-2</v>
      </c>
      <c r="J317" s="11">
        <v>-3.38205542287719E-2</v>
      </c>
      <c r="K317" s="11">
        <v>-3.8900000000012397E-2</v>
      </c>
      <c r="L317" s="13" t="s">
        <v>15527</v>
      </c>
      <c r="M317" s="13" t="s">
        <v>15527</v>
      </c>
      <c r="N317" s="13" t="s">
        <v>15527</v>
      </c>
    </row>
    <row r="318" spans="1:14" ht="17.399999999999999">
      <c r="A318" t="s">
        <v>15391</v>
      </c>
      <c r="B318" t="s">
        <v>15442</v>
      </c>
      <c r="C318" t="s">
        <v>15451</v>
      </c>
      <c r="D318" t="s">
        <v>3434</v>
      </c>
      <c r="E318" t="s">
        <v>3449</v>
      </c>
      <c r="F318" t="s">
        <v>11647</v>
      </c>
      <c r="G318" t="s">
        <v>3366</v>
      </c>
      <c r="H318" t="s">
        <v>11903</v>
      </c>
      <c r="I318" s="11">
        <v>-1.8598282194653599E-2</v>
      </c>
      <c r="J318" s="11">
        <v>-3.1737795270554099E-2</v>
      </c>
      <c r="K318" s="11">
        <v>-5.3699999999992101E-2</v>
      </c>
      <c r="L318" s="13" t="s">
        <v>15527</v>
      </c>
      <c r="M318" s="13" t="s">
        <v>15527</v>
      </c>
      <c r="N318" s="13" t="s">
        <v>15527</v>
      </c>
    </row>
    <row r="319" spans="1:14" s="16" customFormat="1" ht="17.399999999999999" hidden="1">
      <c r="A319" s="16" t="s">
        <v>15391</v>
      </c>
      <c r="B319" s="16" t="s">
        <v>15443</v>
      </c>
      <c r="C319" s="16" t="s">
        <v>15452</v>
      </c>
      <c r="D319" s="16" t="s">
        <v>3529</v>
      </c>
      <c r="E319" s="16" t="s">
        <v>3743</v>
      </c>
      <c r="F319" s="16" t="s">
        <v>11657</v>
      </c>
      <c r="G319" s="16" t="s">
        <v>3366</v>
      </c>
      <c r="H319" s="16" t="s">
        <v>11886</v>
      </c>
      <c r="I319" s="21">
        <v>-5.1591251905053599E-2</v>
      </c>
      <c r="J319" s="21">
        <v>-4.1601742213932796E-3</v>
      </c>
      <c r="K319" s="21">
        <v>0.25119999999998299</v>
      </c>
      <c r="L319" s="22">
        <f>_xlfn.VAR.S(I319:I321)</f>
        <v>1.8747188579580285E-4</v>
      </c>
      <c r="M319" s="22">
        <f>_xlfn.VAR.S(J319:J321)</f>
        <v>2.8453417958745481E-5</v>
      </c>
      <c r="N319" s="22">
        <f>_xlfn.VAR.S(K319:K321)</f>
        <v>2.5821233333339216E-3</v>
      </c>
    </row>
    <row r="320" spans="1:14" ht="17.399999999999999" hidden="1">
      <c r="A320" t="s">
        <v>15391</v>
      </c>
      <c r="B320" t="s">
        <v>15443</v>
      </c>
      <c r="C320" t="s">
        <v>15452</v>
      </c>
      <c r="D320" t="s">
        <v>3565</v>
      </c>
      <c r="E320" t="s">
        <v>3744</v>
      </c>
      <c r="F320" t="s">
        <v>11707</v>
      </c>
      <c r="G320" t="s">
        <v>3366</v>
      </c>
      <c r="H320" t="s">
        <v>11886</v>
      </c>
      <c r="I320" s="11">
        <v>-7.4926949154667202E-2</v>
      </c>
      <c r="J320" s="11">
        <v>-1.1131389087571501E-2</v>
      </c>
      <c r="K320" s="11">
        <v>0.31850000000000001</v>
      </c>
      <c r="L320" s="13" t="s">
        <v>15527</v>
      </c>
      <c r="M320" s="13" t="s">
        <v>15527</v>
      </c>
      <c r="N320" s="13" t="s">
        <v>15527</v>
      </c>
    </row>
    <row r="321" spans="1:14" ht="17.399999999999999" hidden="1">
      <c r="A321" t="s">
        <v>15391</v>
      </c>
      <c r="B321" t="s">
        <v>15443</v>
      </c>
      <c r="C321" t="s">
        <v>15452</v>
      </c>
      <c r="D321" t="s">
        <v>3529</v>
      </c>
      <c r="E321" t="s">
        <v>3691</v>
      </c>
      <c r="F321" t="s">
        <v>11633</v>
      </c>
      <c r="G321" t="s">
        <v>3366</v>
      </c>
      <c r="H321" t="s">
        <v>11886</v>
      </c>
      <c r="I321" s="11">
        <v>-5.0849443693622202E-2</v>
      </c>
      <c r="J321" s="11">
        <v>-6.5207903402316196E-4</v>
      </c>
      <c r="K321" s="11">
        <v>0.21889999999999099</v>
      </c>
      <c r="L321" s="13" t="s">
        <v>15527</v>
      </c>
      <c r="M321" s="13" t="s">
        <v>15527</v>
      </c>
      <c r="N321" s="13" t="s">
        <v>15527</v>
      </c>
    </row>
    <row r="322" spans="1:14" s="16" customFormat="1" ht="17.399999999999999" hidden="1">
      <c r="A322" s="16" t="s">
        <v>15391</v>
      </c>
      <c r="B322" s="16" t="s">
        <v>15443</v>
      </c>
      <c r="C322" s="16" t="s">
        <v>15495</v>
      </c>
      <c r="D322" s="16" t="s">
        <v>3464</v>
      </c>
      <c r="E322" s="16" t="s">
        <v>3627</v>
      </c>
      <c r="F322" s="16" t="s">
        <v>10969</v>
      </c>
      <c r="G322" s="16" t="s">
        <v>3366</v>
      </c>
      <c r="H322" s="16" t="s">
        <v>11902</v>
      </c>
      <c r="I322" s="21">
        <v>-8.1371904238354293E-3</v>
      </c>
      <c r="J322" s="21">
        <v>1.6586133950713199E-2</v>
      </c>
      <c r="K322" s="21">
        <v>0.13210000000000799</v>
      </c>
      <c r="L322" s="22">
        <f>_xlfn.VAR.S(I322:I325)</f>
        <v>2.4347292405220721E-6</v>
      </c>
      <c r="M322" s="22">
        <f>_xlfn.VAR.S(J322:J325)</f>
        <v>2.1229968482182192E-6</v>
      </c>
      <c r="N322" s="22">
        <f>_xlfn.VAR.S(K322:K325)</f>
        <v>1.1815333333326807E-4</v>
      </c>
    </row>
    <row r="323" spans="1:14" ht="17.399999999999999" hidden="1">
      <c r="A323" t="s">
        <v>15391</v>
      </c>
      <c r="B323" t="s">
        <v>15443</v>
      </c>
      <c r="C323" t="s">
        <v>15495</v>
      </c>
      <c r="D323" t="s">
        <v>3476</v>
      </c>
      <c r="E323" t="s">
        <v>3451</v>
      </c>
      <c r="F323" t="s">
        <v>11134</v>
      </c>
      <c r="G323" t="s">
        <v>3366</v>
      </c>
      <c r="H323" t="s">
        <v>11886</v>
      </c>
      <c r="I323" s="11">
        <v>-7.9692959711725707E-3</v>
      </c>
      <c r="J323" s="11">
        <v>1.77162635545823E-2</v>
      </c>
      <c r="K323" s="11">
        <v>0.13759999999999201</v>
      </c>
      <c r="L323" s="13" t="s">
        <v>15527</v>
      </c>
      <c r="M323" s="13" t="s">
        <v>15527</v>
      </c>
      <c r="N323" s="13" t="s">
        <v>15527</v>
      </c>
    </row>
    <row r="324" spans="1:14" ht="17.399999999999999" hidden="1">
      <c r="A324" t="s">
        <v>15391</v>
      </c>
      <c r="B324" t="s">
        <v>15443</v>
      </c>
      <c r="C324" t="s">
        <v>15495</v>
      </c>
      <c r="D324" t="s">
        <v>3476</v>
      </c>
      <c r="E324" t="s">
        <v>3451</v>
      </c>
      <c r="F324" t="s">
        <v>11213</v>
      </c>
      <c r="G324" t="s">
        <v>3366</v>
      </c>
      <c r="H324" t="s">
        <v>11886</v>
      </c>
      <c r="I324" s="11">
        <v>-5.8787933471348497E-3</v>
      </c>
      <c r="J324" s="11">
        <v>1.60954933294075E-2</v>
      </c>
      <c r="K324" s="11">
        <v>0.141699999999986</v>
      </c>
      <c r="L324" s="13" t="s">
        <v>15527</v>
      </c>
      <c r="M324" s="13" t="s">
        <v>15527</v>
      </c>
      <c r="N324" s="13" t="s">
        <v>15527</v>
      </c>
    </row>
    <row r="325" spans="1:14" ht="17.399999999999999" hidden="1">
      <c r="A325" t="s">
        <v>15391</v>
      </c>
      <c r="B325" t="s">
        <v>15443</v>
      </c>
      <c r="C325" t="s">
        <v>15495</v>
      </c>
      <c r="D325" t="s">
        <v>3466</v>
      </c>
      <c r="E325" t="s">
        <v>3550</v>
      </c>
      <c r="F325" t="s">
        <v>11578</v>
      </c>
      <c r="G325" t="s">
        <v>3399</v>
      </c>
      <c r="H325" t="s">
        <v>11902</v>
      </c>
      <c r="I325" s="11">
        <v>-4.9795435326531303E-3</v>
      </c>
      <c r="J325" s="11">
        <v>1.9378026552055502E-2</v>
      </c>
      <c r="K325" s="11">
        <v>0.15739999999999599</v>
      </c>
      <c r="L325" s="13" t="s">
        <v>15527</v>
      </c>
      <c r="M325" s="13" t="s">
        <v>15527</v>
      </c>
      <c r="N325" s="13" t="s">
        <v>15527</v>
      </c>
    </row>
    <row r="326" spans="1:14" s="16" customFormat="1" ht="17.399999999999999" hidden="1">
      <c r="A326" s="16" t="s">
        <v>15391</v>
      </c>
      <c r="B326" s="16" t="s">
        <v>15443</v>
      </c>
      <c r="C326" s="16" t="s">
        <v>15496</v>
      </c>
      <c r="D326" s="16" t="s">
        <v>3585</v>
      </c>
      <c r="E326" s="16" t="s">
        <v>3745</v>
      </c>
      <c r="F326" s="16" t="s">
        <v>11490</v>
      </c>
      <c r="G326" s="16" t="s">
        <v>3366</v>
      </c>
      <c r="H326" s="16" t="s">
        <v>11890</v>
      </c>
      <c r="I326" s="21">
        <v>0.59231416948507198</v>
      </c>
      <c r="J326" s="21">
        <v>0.33629458347994201</v>
      </c>
      <c r="K326" s="21">
        <v>0.323599999999999</v>
      </c>
      <c r="L326" s="22">
        <f>_xlfn.VAR.S(I326:I330)</f>
        <v>9.8911385681191843E-3</v>
      </c>
      <c r="M326" s="22">
        <f>_xlfn.VAR.S(J326:J330)</f>
        <v>1.0780620045122986E-3</v>
      </c>
      <c r="N326" s="22">
        <f>_xlfn.VAR.S(K326:K330)</f>
        <v>9.7180570000008626E-3</v>
      </c>
    </row>
    <row r="327" spans="1:14" ht="17.399999999999999" hidden="1">
      <c r="A327" t="s">
        <v>15391</v>
      </c>
      <c r="B327" t="s">
        <v>15443</v>
      </c>
      <c r="C327" t="s">
        <v>15496</v>
      </c>
      <c r="D327" t="s">
        <v>3586</v>
      </c>
      <c r="E327" t="s">
        <v>3746</v>
      </c>
      <c r="F327" t="s">
        <v>11050</v>
      </c>
      <c r="G327" t="s">
        <v>3366</v>
      </c>
      <c r="H327" t="s">
        <v>11890</v>
      </c>
      <c r="I327" s="11">
        <v>0.52266144990857299</v>
      </c>
      <c r="J327" s="11">
        <v>0.33770425133603998</v>
      </c>
      <c r="K327" s="11">
        <v>0.376000000000005</v>
      </c>
      <c r="L327" s="13" t="s">
        <v>15527</v>
      </c>
      <c r="M327" s="13" t="s">
        <v>15527</v>
      </c>
      <c r="N327" s="13" t="s">
        <v>15527</v>
      </c>
    </row>
    <row r="328" spans="1:14" ht="17.399999999999999" hidden="1">
      <c r="A328" t="s">
        <v>15391</v>
      </c>
      <c r="B328" t="s">
        <v>15443</v>
      </c>
      <c r="C328" t="s">
        <v>15496</v>
      </c>
      <c r="D328" t="s">
        <v>3587</v>
      </c>
      <c r="E328" t="s">
        <v>3747</v>
      </c>
      <c r="F328" t="s">
        <v>11373</v>
      </c>
      <c r="G328" t="s">
        <v>3366</v>
      </c>
      <c r="H328" t="s">
        <v>11895</v>
      </c>
      <c r="I328" s="11">
        <v>0.39191048980528298</v>
      </c>
      <c r="J328" s="11">
        <v>0.33093919018465501</v>
      </c>
      <c r="K328" s="11">
        <v>0.42029999999999701</v>
      </c>
      <c r="L328" s="13" t="s">
        <v>15527</v>
      </c>
      <c r="M328" s="13" t="s">
        <v>15527</v>
      </c>
      <c r="N328" s="13" t="s">
        <v>15527</v>
      </c>
    </row>
    <row r="329" spans="1:14" ht="17.399999999999999" hidden="1">
      <c r="A329" t="s">
        <v>15391</v>
      </c>
      <c r="B329" t="s">
        <v>15443</v>
      </c>
      <c r="C329" t="s">
        <v>15496</v>
      </c>
      <c r="D329" t="s">
        <v>3588</v>
      </c>
      <c r="E329" t="s">
        <v>3748</v>
      </c>
      <c r="F329" t="s">
        <v>11092</v>
      </c>
      <c r="G329" t="s">
        <v>3366</v>
      </c>
      <c r="H329" t="s">
        <v>11895</v>
      </c>
      <c r="I329" s="11">
        <v>0.40485648880563602</v>
      </c>
      <c r="J329" s="11">
        <v>0.28000241013787602</v>
      </c>
      <c r="K329" s="11">
        <v>0.21719999999999101</v>
      </c>
      <c r="L329" s="13" t="s">
        <v>15527</v>
      </c>
      <c r="M329" s="13" t="s">
        <v>15527</v>
      </c>
      <c r="N329" s="13" t="s">
        <v>15527</v>
      </c>
    </row>
    <row r="330" spans="1:14" ht="17.399999999999999" hidden="1">
      <c r="A330" t="s">
        <v>15391</v>
      </c>
      <c r="B330" t="s">
        <v>15443</v>
      </c>
      <c r="C330" t="s">
        <v>15496</v>
      </c>
      <c r="D330" t="s">
        <v>3589</v>
      </c>
      <c r="E330" t="s">
        <v>3749</v>
      </c>
      <c r="F330" t="s">
        <v>10573</v>
      </c>
      <c r="G330" t="s">
        <v>3366</v>
      </c>
      <c r="H330" t="s">
        <v>11894</v>
      </c>
      <c r="I330" s="11">
        <v>0.356791007708677</v>
      </c>
      <c r="J330" s="11">
        <v>0.27098668903261702</v>
      </c>
      <c r="K330" s="11">
        <v>0.475300000000004</v>
      </c>
      <c r="L330" s="13" t="s">
        <v>15527</v>
      </c>
      <c r="M330" s="13" t="s">
        <v>15527</v>
      </c>
      <c r="N330" s="13" t="s">
        <v>15527</v>
      </c>
    </row>
    <row r="331" spans="1:14" s="16" customFormat="1" ht="17.399999999999999" hidden="1">
      <c r="A331" s="16" t="s">
        <v>15391</v>
      </c>
      <c r="B331" s="16" t="s">
        <v>15443</v>
      </c>
      <c r="C331" s="16" t="s">
        <v>15452</v>
      </c>
      <c r="D331" s="16" t="s">
        <v>3544</v>
      </c>
      <c r="E331" s="16" t="s">
        <v>3744</v>
      </c>
      <c r="F331" s="16" t="s">
        <v>11792</v>
      </c>
      <c r="G331" s="16" t="s">
        <v>3366</v>
      </c>
      <c r="H331" s="16" t="s">
        <v>11886</v>
      </c>
      <c r="I331" s="21">
        <v>4.20208490750427E-2</v>
      </c>
      <c r="J331" s="21">
        <v>3.6415635316718299E-2</v>
      </c>
      <c r="K331" s="21">
        <v>0.26130000000000603</v>
      </c>
      <c r="L331" s="22">
        <f>_xlfn.VAR.S(I331:I335)</f>
        <v>1.9406542346295057E-4</v>
      </c>
      <c r="M331" s="22">
        <f>_xlfn.VAR.S(J331:J335)</f>
        <v>4.8512644405603478E-4</v>
      </c>
      <c r="N331" s="22">
        <f>_xlfn.VAR.S(K331:K335)</f>
        <v>4.2598879999999548E-3</v>
      </c>
    </row>
    <row r="332" spans="1:14" ht="17.399999999999999" hidden="1">
      <c r="A332" t="s">
        <v>15391</v>
      </c>
      <c r="B332" t="s">
        <v>15443</v>
      </c>
      <c r="C332" t="s">
        <v>15452</v>
      </c>
      <c r="D332" t="s">
        <v>3544</v>
      </c>
      <c r="E332" t="s">
        <v>3750</v>
      </c>
      <c r="F332" t="s">
        <v>11062</v>
      </c>
      <c r="G332" t="s">
        <v>3366</v>
      </c>
      <c r="H332" t="s">
        <v>11886</v>
      </c>
      <c r="I332" s="11">
        <v>2.9916823809545901E-2</v>
      </c>
      <c r="J332" s="11">
        <v>2.4441453187078601E-2</v>
      </c>
      <c r="K332" s="11">
        <v>0.20609999999999201</v>
      </c>
      <c r="L332" s="13" t="s">
        <v>15527</v>
      </c>
      <c r="M332" s="13" t="s">
        <v>15527</v>
      </c>
      <c r="N332" s="13" t="s">
        <v>15527</v>
      </c>
    </row>
    <row r="333" spans="1:14" ht="17.399999999999999" hidden="1">
      <c r="A333" t="s">
        <v>15391</v>
      </c>
      <c r="B333" t="s">
        <v>15443</v>
      </c>
      <c r="C333" t="s">
        <v>15452</v>
      </c>
      <c r="D333" t="s">
        <v>3450</v>
      </c>
      <c r="E333" t="s">
        <v>3445</v>
      </c>
      <c r="F333" t="s">
        <v>11793</v>
      </c>
      <c r="G333" t="s">
        <v>3366</v>
      </c>
      <c r="H333" t="s">
        <v>11885</v>
      </c>
      <c r="I333" s="11">
        <v>9.6591580878119497E-3</v>
      </c>
      <c r="J333" s="11">
        <v>-1.38342492795402E-2</v>
      </c>
      <c r="K333" s="11">
        <v>0.110399999999998</v>
      </c>
      <c r="L333" s="13" t="s">
        <v>15527</v>
      </c>
      <c r="M333" s="13" t="s">
        <v>15527</v>
      </c>
      <c r="N333" s="13" t="s">
        <v>15527</v>
      </c>
    </row>
    <row r="334" spans="1:14" ht="17.399999999999999" hidden="1">
      <c r="A334" t="s">
        <v>15391</v>
      </c>
      <c r="B334" t="s">
        <v>15443</v>
      </c>
      <c r="C334" t="s">
        <v>15452</v>
      </c>
      <c r="D334" t="s">
        <v>3465</v>
      </c>
      <c r="E334" t="s">
        <v>3491</v>
      </c>
      <c r="F334" t="s">
        <v>11794</v>
      </c>
      <c r="G334" t="s">
        <v>3366</v>
      </c>
      <c r="H334" t="s">
        <v>11886</v>
      </c>
      <c r="I334" s="11">
        <v>9.3616124920866805E-3</v>
      </c>
      <c r="J334" s="11">
        <v>-9.8010219182243993E-3</v>
      </c>
      <c r="K334" s="11">
        <v>0.109700000000004</v>
      </c>
      <c r="L334" s="13" t="s">
        <v>15527</v>
      </c>
      <c r="M334" s="13" t="s">
        <v>15527</v>
      </c>
      <c r="N334" s="13" t="s">
        <v>15527</v>
      </c>
    </row>
    <row r="335" spans="1:14" ht="17.399999999999999" hidden="1">
      <c r="A335" t="s">
        <v>15391</v>
      </c>
      <c r="B335" t="s">
        <v>15443</v>
      </c>
      <c r="C335" t="s">
        <v>15452</v>
      </c>
      <c r="D335" t="s">
        <v>3590</v>
      </c>
      <c r="E335" t="s">
        <v>3695</v>
      </c>
      <c r="F335" t="s">
        <v>11795</v>
      </c>
      <c r="G335" t="s">
        <v>3366</v>
      </c>
      <c r="H335" t="s">
        <v>11885</v>
      </c>
      <c r="I335" s="11">
        <v>2.0831052520761301E-2</v>
      </c>
      <c r="J335" s="11">
        <v>-4.37625520792584E-4</v>
      </c>
      <c r="K335" s="11">
        <v>0.18869999999998299</v>
      </c>
      <c r="L335" s="13" t="s">
        <v>15527</v>
      </c>
      <c r="M335" s="13" t="s">
        <v>15527</v>
      </c>
      <c r="N335" s="13" t="s">
        <v>15527</v>
      </c>
    </row>
    <row r="336" spans="1:14" s="16" customFormat="1" ht="17.399999999999999" hidden="1">
      <c r="A336" s="16" t="s">
        <v>15393</v>
      </c>
      <c r="B336" s="16" t="s">
        <v>15441</v>
      </c>
      <c r="C336" s="16" t="s">
        <v>15445</v>
      </c>
      <c r="D336" s="16" t="s">
        <v>3434</v>
      </c>
      <c r="E336" s="16" t="s">
        <v>3450</v>
      </c>
      <c r="F336" s="16" t="s">
        <v>11625</v>
      </c>
      <c r="G336" s="16" t="s">
        <v>3366</v>
      </c>
      <c r="H336" s="16" t="s">
        <v>11886</v>
      </c>
      <c r="I336" s="21">
        <v>-1.7855303264904698E-2</v>
      </c>
      <c r="J336" s="21">
        <v>3.6917243512846901E-3</v>
      </c>
      <c r="K336" s="21">
        <v>-0.15460000000000201</v>
      </c>
      <c r="L336" s="22">
        <f>_xlfn.VAR.S(INDEX($I:$I,INT((ROW()-336)/3)*3+336):INDEX($I:$I,INT((ROW()-336)/3)*3+338))</f>
        <v>1.0141245527495809E-5</v>
      </c>
      <c r="M336" s="22">
        <f>_xlfn.VAR.S(INDEX($J:$J,INT((ROW()-336)/3)*3+336):INDEX($J:$J,INT((ROW()-336)/3)*3+338))</f>
        <v>4.4241751899864608E-5</v>
      </c>
      <c r="N336" s="22">
        <f>_xlfn.VAR.S(INDEX($K:$K,INT((ROW()-336)/3)*3+336):INDEX($K:$K,INT((ROW()-336)/3)*3+338))</f>
        <v>1.5584333333331702E-4</v>
      </c>
    </row>
    <row r="337" spans="1:14" ht="17.399999999999999" hidden="1">
      <c r="A337" t="s">
        <v>15393</v>
      </c>
      <c r="B337" t="s">
        <v>15441</v>
      </c>
      <c r="C337" t="s">
        <v>15445</v>
      </c>
      <c r="D337" t="s">
        <v>3431</v>
      </c>
      <c r="E337" t="s">
        <v>3462</v>
      </c>
      <c r="F337" t="s">
        <v>11563</v>
      </c>
      <c r="G337" t="s">
        <v>3366</v>
      </c>
      <c r="H337" t="s">
        <v>11885</v>
      </c>
      <c r="I337" s="11">
        <v>-2.41661990612996E-2</v>
      </c>
      <c r="J337" s="11">
        <v>-5.1430680446570599E-3</v>
      </c>
      <c r="K337" s="11">
        <v>-0.13970000000000499</v>
      </c>
      <c r="L337" s="12">
        <f>_xlfn.VAR.S(INDEX($I:$I,INT((ROW()-336)/3)*3+336):INDEX($I:$I,INT((ROW()-336)/3)*3+338))</f>
        <v>1.0141245527495809E-5</v>
      </c>
      <c r="M337" s="12">
        <f>_xlfn.VAR.S(INDEX($J:$J,INT((ROW()-336)/3)*3+336):INDEX($J:$J,INT((ROW()-336)/3)*3+338))</f>
        <v>4.4241751899864608E-5</v>
      </c>
      <c r="N337" s="12">
        <f>_xlfn.VAR.S(INDEX($K:$K,INT((ROW()-336)/3)*3+336):INDEX($K:$K,INT((ROW()-336)/3)*3+338))</f>
        <v>1.5584333333331702E-4</v>
      </c>
    </row>
    <row r="338" spans="1:14" ht="17.399999999999999" hidden="1">
      <c r="A338" t="s">
        <v>15393</v>
      </c>
      <c r="B338" t="s">
        <v>15441</v>
      </c>
      <c r="C338" t="s">
        <v>15445</v>
      </c>
      <c r="D338" t="s">
        <v>3434</v>
      </c>
      <c r="E338" t="s">
        <v>3426</v>
      </c>
      <c r="F338" t="s">
        <v>10708</v>
      </c>
      <c r="G338" t="s">
        <v>3366</v>
      </c>
      <c r="H338" t="s">
        <v>11885</v>
      </c>
      <c r="I338" s="11">
        <v>-2.0266988924365001E-2</v>
      </c>
      <c r="J338" s="11">
        <v>-9.3387484276792505E-3</v>
      </c>
      <c r="K338" s="11">
        <v>-0.129800000000003</v>
      </c>
      <c r="L338" s="12">
        <f>_xlfn.VAR.S(INDEX($I:$I,INT((ROW()-336)/3)*3+336):INDEX($I:$I,INT((ROW()-336)/3)*3+338))</f>
        <v>1.0141245527495809E-5</v>
      </c>
      <c r="M338" s="12">
        <f>_xlfn.VAR.S(INDEX($J:$J,INT((ROW()-336)/3)*3+336):INDEX($J:$J,INT((ROW()-336)/3)*3+338))</f>
        <v>4.4241751899864608E-5</v>
      </c>
      <c r="N338" s="12">
        <f>_xlfn.VAR.S(INDEX($K:$K,INT((ROW()-336)/3)*3+336):INDEX($K:$K,INT((ROW()-336)/3)*3+338))</f>
        <v>1.5584333333331702E-4</v>
      </c>
    </row>
    <row r="339" spans="1:14" s="16" customFormat="1" ht="17.399999999999999" hidden="1">
      <c r="A339" s="16" t="s">
        <v>15393</v>
      </c>
      <c r="B339" s="16" t="s">
        <v>15441</v>
      </c>
      <c r="C339" s="16" t="s">
        <v>15446</v>
      </c>
      <c r="D339" s="16" t="s">
        <v>3430</v>
      </c>
      <c r="E339" s="16" t="s">
        <v>3484</v>
      </c>
      <c r="F339" s="16" t="s">
        <v>11386</v>
      </c>
      <c r="G339" s="16" t="s">
        <v>3366</v>
      </c>
      <c r="H339" s="16" t="s">
        <v>11886</v>
      </c>
      <c r="I339" s="21">
        <v>-1.5671653318631101E-2</v>
      </c>
      <c r="J339" s="21">
        <v>1.3193877230099601E-2</v>
      </c>
      <c r="K339" s="21">
        <v>-0.12970000000000001</v>
      </c>
      <c r="L339" s="22">
        <f>_xlfn.VAR.S(INDEX($I:$I,INT((ROW()-336)/3)*3+336):INDEX($I:$I,INT((ROW()-336)/3)*3+338))</f>
        <v>3.5736268366456597E-6</v>
      </c>
      <c r="M339" s="22">
        <f>_xlfn.VAR.S(INDEX($J:$J,INT((ROW()-336)/3)*3+336):INDEX($J:$J,INT((ROW()-336)/3)*3+338))</f>
        <v>2.1865319672351397E-5</v>
      </c>
      <c r="N339" s="22">
        <f>_xlfn.VAR.S(INDEX($K:$K,INT((ROW()-336)/3)*3+336):INDEX($K:$K,INT((ROW()-336)/3)*3+338))</f>
        <v>1.4182333333339871E-4</v>
      </c>
    </row>
    <row r="340" spans="1:14" ht="17.399999999999999" hidden="1">
      <c r="A340" t="s">
        <v>15393</v>
      </c>
      <c r="B340" t="s">
        <v>15441</v>
      </c>
      <c r="C340" t="s">
        <v>15446</v>
      </c>
      <c r="D340" t="s">
        <v>3441</v>
      </c>
      <c r="E340" t="s">
        <v>3579</v>
      </c>
      <c r="F340" t="s">
        <v>10707</v>
      </c>
      <c r="G340" t="s">
        <v>3366</v>
      </c>
      <c r="H340" t="s">
        <v>11885</v>
      </c>
      <c r="I340" s="11">
        <v>-1.26574264830861E-2</v>
      </c>
      <c r="J340" s="11">
        <v>1.34143443916665E-2</v>
      </c>
      <c r="K340" s="11">
        <v>-0.13949999999999799</v>
      </c>
      <c r="L340" s="12">
        <f>_xlfn.VAR.S(INDEX($I:$I,INT((ROW()-336)/3)*3+336):INDEX($I:$I,INT((ROW()-336)/3)*3+338))</f>
        <v>3.5736268366456597E-6</v>
      </c>
      <c r="M340" s="12">
        <f>_xlfn.VAR.S(INDEX($J:$J,INT((ROW()-336)/3)*3+336):INDEX($J:$J,INT((ROW()-336)/3)*3+338))</f>
        <v>2.1865319672351397E-5</v>
      </c>
      <c r="N340" s="12">
        <f>_xlfn.VAR.S(INDEX($K:$K,INT((ROW()-336)/3)*3+336):INDEX($K:$K,INT((ROW()-336)/3)*3+338))</f>
        <v>1.4182333333339871E-4</v>
      </c>
    </row>
    <row r="341" spans="1:14" ht="17.399999999999999" hidden="1">
      <c r="A341" t="s">
        <v>15393</v>
      </c>
      <c r="B341" t="s">
        <v>15441</v>
      </c>
      <c r="C341" t="s">
        <v>15446</v>
      </c>
      <c r="D341" t="s">
        <v>3453</v>
      </c>
      <c r="E341" t="s">
        <v>3464</v>
      </c>
      <c r="F341" t="s">
        <v>11271</v>
      </c>
      <c r="G341" t="s">
        <v>3366</v>
      </c>
      <c r="H341" t="s">
        <v>11885</v>
      </c>
      <c r="I341" s="11">
        <v>-1.2188000513988899E-2</v>
      </c>
      <c r="J341" s="11">
        <v>5.2072284052866197E-3</v>
      </c>
      <c r="K341" s="11">
        <v>-0.153400000000005</v>
      </c>
      <c r="L341" s="12">
        <f>_xlfn.VAR.S(INDEX($I:$I,INT((ROW()-336)/3)*3+336):INDEX($I:$I,INT((ROW()-336)/3)*3+338))</f>
        <v>3.5736268366456597E-6</v>
      </c>
      <c r="M341" s="12">
        <f>_xlfn.VAR.S(INDEX($J:$J,INT((ROW()-336)/3)*3+336):INDEX($J:$J,INT((ROW()-336)/3)*3+338))</f>
        <v>2.1865319672351397E-5</v>
      </c>
      <c r="N341" s="12">
        <f>_xlfn.VAR.S(INDEX($K:$K,INT((ROW()-336)/3)*3+336):INDEX($K:$K,INT((ROW()-336)/3)*3+338))</f>
        <v>1.4182333333339871E-4</v>
      </c>
    </row>
    <row r="342" spans="1:14" s="16" customFormat="1" ht="17.399999999999999" hidden="1">
      <c r="A342" s="16" t="s">
        <v>15393</v>
      </c>
      <c r="B342" s="16" t="s">
        <v>15441</v>
      </c>
      <c r="C342" s="16" t="s">
        <v>15447</v>
      </c>
      <c r="D342" s="16" t="s">
        <v>3434</v>
      </c>
      <c r="E342" s="16" t="s">
        <v>3465</v>
      </c>
      <c r="F342" s="16" t="s">
        <v>11398</v>
      </c>
      <c r="G342" s="16" t="s">
        <v>3366</v>
      </c>
      <c r="H342" s="16" t="s">
        <v>11887</v>
      </c>
      <c r="I342" s="21">
        <v>-3.8051133759800602E-3</v>
      </c>
      <c r="J342" s="21">
        <v>4.9649202576970202E-3</v>
      </c>
      <c r="K342" s="21">
        <v>-0.17700000000000701</v>
      </c>
      <c r="L342" s="22">
        <f>_xlfn.VAR.S(INDEX($I:$I,INT((ROW()-336)/3)*3+336):INDEX($I:$I,INT((ROW()-336)/3)*3+338))</f>
        <v>1.4146812343085564E-6</v>
      </c>
      <c r="M342" s="22">
        <f>_xlfn.VAR.S(INDEX($J:$J,INT((ROW()-336)/3)*3+336):INDEX($J:$J,INT((ROW()-336)/3)*3+338))</f>
        <v>6.578313887791495E-6</v>
      </c>
      <c r="N342" s="22">
        <f>_xlfn.VAR.S(INDEX($K:$K,INT((ROW()-336)/3)*3+336):INDEX($K:$K,INT((ROW()-336)/3)*3+338))</f>
        <v>1.1223333333316686E-5</v>
      </c>
    </row>
    <row r="343" spans="1:14" ht="17.399999999999999" hidden="1">
      <c r="A343" t="s">
        <v>15393</v>
      </c>
      <c r="B343" t="s">
        <v>15441</v>
      </c>
      <c r="C343" t="s">
        <v>15447</v>
      </c>
      <c r="D343" t="s">
        <v>3435</v>
      </c>
      <c r="E343" t="s">
        <v>3460</v>
      </c>
      <c r="F343" t="s">
        <v>11626</v>
      </c>
      <c r="G343" t="s">
        <v>3366</v>
      </c>
      <c r="H343" t="s">
        <v>11887</v>
      </c>
      <c r="I343" s="11">
        <v>-3.3743313082269101E-3</v>
      </c>
      <c r="J343" s="11">
        <v>8.9680446475130203E-3</v>
      </c>
      <c r="K343" s="11">
        <v>-0.18030000000000301</v>
      </c>
      <c r="L343" s="12">
        <f>_xlfn.VAR.S(INDEX($I:$I,INT((ROW()-336)/3)*3+336):INDEX($I:$I,INT((ROW()-336)/3)*3+338))</f>
        <v>1.4146812343085564E-6</v>
      </c>
      <c r="M343" s="12">
        <f>_xlfn.VAR.S(INDEX($J:$J,INT((ROW()-336)/3)*3+336):INDEX($J:$J,INT((ROW()-336)/3)*3+338))</f>
        <v>6.578313887791495E-6</v>
      </c>
      <c r="N343" s="12">
        <f>_xlfn.VAR.S(INDEX($K:$K,INT((ROW()-336)/3)*3+336):INDEX($K:$K,INT((ROW()-336)/3)*3+338))</f>
        <v>1.1223333333316686E-5</v>
      </c>
    </row>
    <row r="344" spans="1:14" ht="17.399999999999999" hidden="1">
      <c r="A344" t="s">
        <v>15393</v>
      </c>
      <c r="B344" t="s">
        <v>15441</v>
      </c>
      <c r="C344" t="s">
        <v>15447</v>
      </c>
      <c r="D344" t="s">
        <v>3429</v>
      </c>
      <c r="E344" t="s">
        <v>3449</v>
      </c>
      <c r="F344" t="s">
        <v>10720</v>
      </c>
      <c r="G344" t="s">
        <v>3366</v>
      </c>
      <c r="H344" t="s">
        <v>11887</v>
      </c>
      <c r="I344" s="11">
        <v>-5.6157686916479396E-3</v>
      </c>
      <c r="J344" s="11">
        <v>9.7442851819433893E-3</v>
      </c>
      <c r="K344" s="11">
        <v>-0.173600000000008</v>
      </c>
      <c r="L344" s="12">
        <f>_xlfn.VAR.S(INDEX($I:$I,INT((ROW()-336)/3)*3+336):INDEX($I:$I,INT((ROW()-336)/3)*3+338))</f>
        <v>1.4146812343085564E-6</v>
      </c>
      <c r="M344" s="12">
        <f>_xlfn.VAR.S(INDEX($J:$J,INT((ROW()-336)/3)*3+336):INDEX($J:$J,INT((ROW()-336)/3)*3+338))</f>
        <v>6.578313887791495E-6</v>
      </c>
      <c r="N344" s="12">
        <f>_xlfn.VAR.S(INDEX($K:$K,INT((ROW()-336)/3)*3+336):INDEX($K:$K,INT((ROW()-336)/3)*3+338))</f>
        <v>1.1223333333316686E-5</v>
      </c>
    </row>
    <row r="345" spans="1:14" s="16" customFormat="1" ht="17.399999999999999" hidden="1">
      <c r="A345" s="16" t="s">
        <v>15393</v>
      </c>
      <c r="B345" s="16" t="s">
        <v>15441</v>
      </c>
      <c r="C345" s="16" t="s">
        <v>15448</v>
      </c>
      <c r="D345" s="16" t="s">
        <v>3441</v>
      </c>
      <c r="E345" s="16" t="s">
        <v>3466</v>
      </c>
      <c r="F345" s="16" t="s">
        <v>11627</v>
      </c>
      <c r="G345" s="16" t="s">
        <v>3366</v>
      </c>
      <c r="H345" s="16" t="s">
        <v>11914</v>
      </c>
      <c r="I345" s="21">
        <v>-3.1154880290276302E-3</v>
      </c>
      <c r="J345" s="21">
        <v>9.6763453482108398E-3</v>
      </c>
      <c r="K345" s="21">
        <v>-0.20579999999999599</v>
      </c>
      <c r="L345" s="22">
        <f>_xlfn.VAR.S(INDEX($I:$I,INT((ROW()-336)/3)*3+336):INDEX($I:$I,INT((ROW()-336)/3)*3+338))</f>
        <v>6.3838335412958239E-6</v>
      </c>
      <c r="M345" s="22">
        <f>_xlfn.VAR.S(INDEX($J:$J,INT((ROW()-336)/3)*3+336):INDEX($J:$J,INT((ROW()-336)/3)*3+338))</f>
        <v>1.274989634898541E-6</v>
      </c>
      <c r="N345" s="22">
        <f>_xlfn.VAR.S(INDEX($K:$K,INT((ROW()-336)/3)*3+336):INDEX($K:$K,INT((ROW()-336)/3)*3+338))</f>
        <v>1.6210000000029964E-5</v>
      </c>
    </row>
    <row r="346" spans="1:14" ht="17.399999999999999" hidden="1">
      <c r="A346" t="s">
        <v>15393</v>
      </c>
      <c r="B346" t="s">
        <v>15441</v>
      </c>
      <c r="C346" t="s">
        <v>15448</v>
      </c>
      <c r="D346" t="s">
        <v>3441</v>
      </c>
      <c r="E346" t="s">
        <v>3466</v>
      </c>
      <c r="F346" t="s">
        <v>10819</v>
      </c>
      <c r="G346" t="s">
        <v>3366</v>
      </c>
      <c r="H346" t="s">
        <v>11912</v>
      </c>
      <c r="I346" s="11">
        <v>-7.8504402289495592E-3</v>
      </c>
      <c r="J346" s="11">
        <v>1.0372715435921401E-2</v>
      </c>
      <c r="K346" s="11">
        <v>-0.203199999999995</v>
      </c>
      <c r="L346" s="12">
        <f>_xlfn.VAR.S(INDEX($I:$I,INT((ROW()-336)/3)*3+336):INDEX($I:$I,INT((ROW()-336)/3)*3+338))</f>
        <v>6.3838335412958239E-6</v>
      </c>
      <c r="M346" s="12">
        <f>_xlfn.VAR.S(INDEX($J:$J,INT((ROW()-336)/3)*3+336):INDEX($J:$J,INT((ROW()-336)/3)*3+338))</f>
        <v>1.274989634898541E-6</v>
      </c>
      <c r="N346" s="12">
        <f>_xlfn.VAR.S(INDEX($K:$K,INT((ROW()-336)/3)*3+336):INDEX($K:$K,INT((ROW()-336)/3)*3+338))</f>
        <v>1.6210000000029964E-5</v>
      </c>
    </row>
    <row r="347" spans="1:14" ht="17.399999999999999" hidden="1">
      <c r="A347" t="s">
        <v>15393</v>
      </c>
      <c r="B347" t="s">
        <v>15441</v>
      </c>
      <c r="C347" t="s">
        <v>15448</v>
      </c>
      <c r="D347" t="s">
        <v>3441</v>
      </c>
      <c r="E347" t="s">
        <v>3466</v>
      </c>
      <c r="F347" t="s">
        <v>10944</v>
      </c>
      <c r="G347" t="s">
        <v>3366</v>
      </c>
      <c r="H347" t="s">
        <v>11914</v>
      </c>
      <c r="I347" s="11">
        <v>-7.0115815998518403E-3</v>
      </c>
      <c r="J347" s="11">
        <v>1.18849793783063E-2</v>
      </c>
      <c r="K347" s="11">
        <v>-0.21110000000000201</v>
      </c>
      <c r="L347" s="12">
        <f>_xlfn.VAR.S(INDEX($I:$I,INT((ROW()-336)/3)*3+336):INDEX($I:$I,INT((ROW()-336)/3)*3+338))</f>
        <v>6.3838335412958239E-6</v>
      </c>
      <c r="M347" s="12">
        <f>_xlfn.VAR.S(INDEX($J:$J,INT((ROW()-336)/3)*3+336):INDEX($J:$J,INT((ROW()-336)/3)*3+338))</f>
        <v>1.274989634898541E-6</v>
      </c>
      <c r="N347" s="12">
        <f>_xlfn.VAR.S(INDEX($K:$K,INT((ROW()-336)/3)*3+336):INDEX($K:$K,INT((ROW()-336)/3)*3+338))</f>
        <v>1.6210000000029964E-5</v>
      </c>
    </row>
    <row r="348" spans="1:14" s="16" customFormat="1" ht="17.399999999999999" hidden="1">
      <c r="A348" s="16" t="s">
        <v>15393</v>
      </c>
      <c r="B348" s="16" t="s">
        <v>15441</v>
      </c>
      <c r="C348" s="16" t="s">
        <v>15449</v>
      </c>
      <c r="D348" s="16" t="s">
        <v>3434</v>
      </c>
      <c r="E348" s="16" t="s">
        <v>3460</v>
      </c>
      <c r="F348" s="16" t="s">
        <v>10704</v>
      </c>
      <c r="G348" s="16" t="s">
        <v>3366</v>
      </c>
      <c r="H348" s="16" t="s">
        <v>11893</v>
      </c>
      <c r="I348" s="21">
        <v>-4.4730126002711403E-3</v>
      </c>
      <c r="J348" s="21">
        <v>5.5858601684650403E-3</v>
      </c>
      <c r="K348" s="21">
        <v>-0.194000000000003</v>
      </c>
      <c r="L348" s="22">
        <f>_xlfn.VAR.S(INDEX($I:$I,INT((ROW()-336)/3)*3+336):INDEX($I:$I,INT((ROW()-336)/3)*3+338))</f>
        <v>1.9915545135529494E-7</v>
      </c>
      <c r="M348" s="22">
        <f>_xlfn.VAR.S(INDEX($J:$J,INT((ROW()-336)/3)*3+336):INDEX($J:$J,INT((ROW()-336)/3)*3+338))</f>
        <v>5.4082422358214061E-7</v>
      </c>
      <c r="N348" s="22">
        <f>_xlfn.VAR.S(INDEX($K:$K,INT((ROW()-336)/3)*3+336):INDEX($K:$K,INT((ROW()-336)/3)*3+338))</f>
        <v>5.8633333333606166E-6</v>
      </c>
    </row>
    <row r="349" spans="1:14" ht="17.399999999999999" hidden="1">
      <c r="A349" t="s">
        <v>15393</v>
      </c>
      <c r="B349" t="s">
        <v>15441</v>
      </c>
      <c r="C349" t="s">
        <v>15449</v>
      </c>
      <c r="D349" t="s">
        <v>3434</v>
      </c>
      <c r="E349" t="s">
        <v>3460</v>
      </c>
      <c r="F349" t="s">
        <v>10704</v>
      </c>
      <c r="G349" t="s">
        <v>3366</v>
      </c>
      <c r="H349" t="s">
        <v>11893</v>
      </c>
      <c r="I349" s="11">
        <v>-5.2711787204191597E-3</v>
      </c>
      <c r="J349" s="11">
        <v>5.3161636546567902E-3</v>
      </c>
      <c r="K349" s="11">
        <v>-0.19330000000000799</v>
      </c>
      <c r="L349" s="12">
        <f>_xlfn.VAR.S(INDEX($I:$I,INT((ROW()-336)/3)*3+336):INDEX($I:$I,INT((ROW()-336)/3)*3+338))</f>
        <v>1.9915545135529494E-7</v>
      </c>
      <c r="M349" s="12">
        <f>_xlfn.VAR.S(INDEX($J:$J,INT((ROW()-336)/3)*3+336):INDEX($J:$J,INT((ROW()-336)/3)*3+338))</f>
        <v>5.4082422358214061E-7</v>
      </c>
      <c r="N349" s="12">
        <f>_xlfn.VAR.S(INDEX($K:$K,INT((ROW()-336)/3)*3+336):INDEX($K:$K,INT((ROW()-336)/3)*3+338))</f>
        <v>5.8633333333606166E-6</v>
      </c>
    </row>
    <row r="350" spans="1:14" ht="17.399999999999999" hidden="1">
      <c r="A350" t="s">
        <v>15393</v>
      </c>
      <c r="B350" t="s">
        <v>15441</v>
      </c>
      <c r="C350" t="s">
        <v>15449</v>
      </c>
      <c r="D350" t="s">
        <v>3434</v>
      </c>
      <c r="E350" t="s">
        <v>3460</v>
      </c>
      <c r="F350" t="s">
        <v>10703</v>
      </c>
      <c r="G350" t="s">
        <v>3366</v>
      </c>
      <c r="H350" t="s">
        <v>11912</v>
      </c>
      <c r="I350" s="11">
        <v>-5.2180212123816797E-3</v>
      </c>
      <c r="J350" s="11">
        <v>4.1988455833216597E-3</v>
      </c>
      <c r="K350" s="11">
        <v>-0.18949999999999501</v>
      </c>
      <c r="L350" s="12">
        <f>_xlfn.VAR.S(INDEX($I:$I,INT((ROW()-336)/3)*3+336):INDEX($I:$I,INT((ROW()-336)/3)*3+338))</f>
        <v>1.9915545135529494E-7</v>
      </c>
      <c r="M350" s="12">
        <f>_xlfn.VAR.S(INDEX($J:$J,INT((ROW()-336)/3)*3+336):INDEX($J:$J,INT((ROW()-336)/3)*3+338))</f>
        <v>5.4082422358214061E-7</v>
      </c>
      <c r="N350" s="12">
        <f>_xlfn.VAR.S(INDEX($K:$K,INT((ROW()-336)/3)*3+336):INDEX($K:$K,INT((ROW()-336)/3)*3+338))</f>
        <v>5.8633333333606166E-6</v>
      </c>
    </row>
    <row r="351" spans="1:14" s="16" customFormat="1" ht="17.399999999999999">
      <c r="A351" s="16" t="s">
        <v>15393</v>
      </c>
      <c r="B351" s="16" t="s">
        <v>15442</v>
      </c>
      <c r="C351" s="16" t="s">
        <v>15450</v>
      </c>
      <c r="D351" s="16" t="s">
        <v>3434</v>
      </c>
      <c r="E351" s="16" t="s">
        <v>3511</v>
      </c>
      <c r="F351" s="16" t="s">
        <v>10900</v>
      </c>
      <c r="G351" s="16" t="s">
        <v>3366</v>
      </c>
      <c r="H351" s="16" t="s">
        <v>11886</v>
      </c>
      <c r="I351" s="21">
        <v>8.8327001250879599E-4</v>
      </c>
      <c r="J351" s="21">
        <v>2.4169874007903401E-2</v>
      </c>
      <c r="K351" s="21">
        <v>-0.25379999999999803</v>
      </c>
      <c r="L351" s="22">
        <f>_xlfn.VAR.S(INDEX($I:$I,INT((ROW()-336)/3)*3+336):INDEX($I:$I,INT((ROW()-336)/3)*3+338))</f>
        <v>3.8107644955433901E-5</v>
      </c>
      <c r="M351" s="22">
        <f>_xlfn.VAR.S(INDEX($J:$J,INT((ROW()-336)/3)*3+336):INDEX($J:$J,INT((ROW()-336)/3)*3+338))</f>
        <v>1.7812570288019202E-5</v>
      </c>
      <c r="N351" s="22">
        <f>_xlfn.VAR.S(INDEX($K:$K,INT((ROW()-336)/3)*3+336):INDEX($K:$K,INT((ROW()-336)/3)*3+338))</f>
        <v>7.6954333333348844E-4</v>
      </c>
    </row>
    <row r="352" spans="1:14" ht="17.399999999999999">
      <c r="A352" t="s">
        <v>15393</v>
      </c>
      <c r="B352" t="s">
        <v>15442</v>
      </c>
      <c r="C352" t="s">
        <v>15450</v>
      </c>
      <c r="D352" t="s">
        <v>3453</v>
      </c>
      <c r="E352" t="s">
        <v>3563</v>
      </c>
      <c r="F352" t="s">
        <v>10900</v>
      </c>
      <c r="G352" t="s">
        <v>3367</v>
      </c>
      <c r="H352" t="s">
        <v>11886</v>
      </c>
      <c r="I352" s="11">
        <v>1.32226207453473E-2</v>
      </c>
      <c r="J352" s="11">
        <v>2.12377354338181E-2</v>
      </c>
      <c r="K352" s="11">
        <v>-0.27890000000000698</v>
      </c>
      <c r="L352" s="12">
        <f>_xlfn.VAR.S(INDEX($I:$I,INT((ROW()-336)/3)*3+336):INDEX($I:$I,INT((ROW()-336)/3)*3+338))</f>
        <v>3.8107644955433901E-5</v>
      </c>
      <c r="M352" s="12">
        <f>_xlfn.VAR.S(INDEX($J:$J,INT((ROW()-336)/3)*3+336):INDEX($J:$J,INT((ROW()-336)/3)*3+338))</f>
        <v>1.7812570288019202E-5</v>
      </c>
      <c r="N352" s="12">
        <f>_xlfn.VAR.S(INDEX($K:$K,INT((ROW()-336)/3)*3+336):INDEX($K:$K,INT((ROW()-336)/3)*3+338))</f>
        <v>7.6954333333348844E-4</v>
      </c>
    </row>
    <row r="353" spans="1:14" ht="17.399999999999999">
      <c r="A353" t="s">
        <v>15393</v>
      </c>
      <c r="B353" t="s">
        <v>15442</v>
      </c>
      <c r="C353" t="s">
        <v>15450</v>
      </c>
      <c r="D353" t="s">
        <v>3433</v>
      </c>
      <c r="E353" t="s">
        <v>3613</v>
      </c>
      <c r="F353" t="s">
        <v>11628</v>
      </c>
      <c r="G353" t="s">
        <v>3398</v>
      </c>
      <c r="H353" t="s">
        <v>11886</v>
      </c>
      <c r="I353" s="11">
        <v>7.4110689404261604E-3</v>
      </c>
      <c r="J353" s="11">
        <v>2.9558703217616802E-2</v>
      </c>
      <c r="K353" s="11">
        <v>-0.223500000000001</v>
      </c>
      <c r="L353" s="12">
        <f>_xlfn.VAR.S(INDEX($I:$I,INT((ROW()-336)/3)*3+336):INDEX($I:$I,INT((ROW()-336)/3)*3+338))</f>
        <v>3.8107644955433901E-5</v>
      </c>
      <c r="M353" s="12">
        <f>_xlfn.VAR.S(INDEX($J:$J,INT((ROW()-336)/3)*3+336):INDEX($J:$J,INT((ROW()-336)/3)*3+338))</f>
        <v>1.7812570288019202E-5</v>
      </c>
      <c r="N353" s="12">
        <f>_xlfn.VAR.S(INDEX($K:$K,INT((ROW()-336)/3)*3+336):INDEX($K:$K,INT((ROW()-336)/3)*3+338))</f>
        <v>7.6954333333348844E-4</v>
      </c>
    </row>
    <row r="354" spans="1:14" s="16" customFormat="1" ht="17.399999999999999">
      <c r="A354" s="16" t="s">
        <v>15393</v>
      </c>
      <c r="B354" s="16" t="s">
        <v>15442</v>
      </c>
      <c r="C354" s="16" t="s">
        <v>15445</v>
      </c>
      <c r="D354" s="16" t="s">
        <v>3427</v>
      </c>
      <c r="E354" s="16" t="s">
        <v>3432</v>
      </c>
      <c r="F354" s="16" t="s">
        <v>11629</v>
      </c>
      <c r="G354" s="16" t="s">
        <v>3366</v>
      </c>
      <c r="H354" s="16" t="s">
        <v>11902</v>
      </c>
      <c r="I354" s="21">
        <v>-1.29566142989735E-3</v>
      </c>
      <c r="J354" s="21">
        <v>2.3174076287278699E-2</v>
      </c>
      <c r="K354" s="21">
        <v>-0.16590000000000801</v>
      </c>
      <c r="L354" s="22">
        <f>_xlfn.VAR.S(INDEX($I:$I,INT((ROW()-336)/3)*3+336):INDEX($I:$I,INT((ROW()-336)/3)*3+338))</f>
        <v>5.7797346446900784E-6</v>
      </c>
      <c r="M354" s="22">
        <f>_xlfn.VAR.S(INDEX($J:$J,INT((ROW()-336)/3)*3+336):INDEX($J:$J,INT((ROW()-336)/3)*3+338))</f>
        <v>4.2845139679376369E-5</v>
      </c>
      <c r="N354" s="22">
        <f>_xlfn.VAR.S(INDEX($K:$K,INT((ROW()-336)/3)*3+336):INDEX($K:$K,INT((ROW()-336)/3)*3+338))</f>
        <v>1.8924333333338308E-4</v>
      </c>
    </row>
    <row r="355" spans="1:14" ht="17.399999999999999">
      <c r="A355" t="s">
        <v>15393</v>
      </c>
      <c r="B355" t="s">
        <v>15442</v>
      </c>
      <c r="C355" t="s">
        <v>15445</v>
      </c>
      <c r="D355" t="s">
        <v>3438</v>
      </c>
      <c r="E355" t="s">
        <v>3430</v>
      </c>
      <c r="F355" t="s">
        <v>11630</v>
      </c>
      <c r="G355" t="s">
        <v>3366</v>
      </c>
      <c r="H355" t="s">
        <v>11902</v>
      </c>
      <c r="I355" s="11">
        <v>-2.4654859671665E-3</v>
      </c>
      <c r="J355" s="11">
        <v>1.6274514480218098E-2</v>
      </c>
      <c r="K355" s="11">
        <v>-0.13920000000000199</v>
      </c>
      <c r="L355" s="12">
        <f>_xlfn.VAR.S(INDEX($I:$I,INT((ROW()-336)/3)*3+336):INDEX($I:$I,INT((ROW()-336)/3)*3+338))</f>
        <v>5.7797346446900784E-6</v>
      </c>
      <c r="M355" s="12">
        <f>_xlfn.VAR.S(INDEX($J:$J,INT((ROW()-336)/3)*3+336):INDEX($J:$J,INT((ROW()-336)/3)*3+338))</f>
        <v>4.2845139679376369E-5</v>
      </c>
      <c r="N355" s="12">
        <f>_xlfn.VAR.S(INDEX($K:$K,INT((ROW()-336)/3)*3+336):INDEX($K:$K,INT((ROW()-336)/3)*3+338))</f>
        <v>1.8924333333338308E-4</v>
      </c>
    </row>
    <row r="356" spans="1:14" ht="17.399999999999999">
      <c r="A356" t="s">
        <v>15393</v>
      </c>
      <c r="B356" t="s">
        <v>15442</v>
      </c>
      <c r="C356" t="s">
        <v>15445</v>
      </c>
      <c r="D356" t="s">
        <v>3428</v>
      </c>
      <c r="E356" t="s">
        <v>3453</v>
      </c>
      <c r="F356" t="s">
        <v>11321</v>
      </c>
      <c r="G356" t="s">
        <v>3366</v>
      </c>
      <c r="H356" t="s">
        <v>11902</v>
      </c>
      <c r="I356" s="11">
        <v>2.1583416073481698E-3</v>
      </c>
      <c r="J356" s="11">
        <v>1.0089335384296299E-2</v>
      </c>
      <c r="K356" s="11">
        <v>-0.158299999999997</v>
      </c>
      <c r="L356" s="12">
        <f>_xlfn.VAR.S(INDEX($I:$I,INT((ROW()-336)/3)*3+336):INDEX($I:$I,INT((ROW()-336)/3)*3+338))</f>
        <v>5.7797346446900784E-6</v>
      </c>
      <c r="M356" s="12">
        <f>_xlfn.VAR.S(INDEX($J:$J,INT((ROW()-336)/3)*3+336):INDEX($J:$J,INT((ROW()-336)/3)*3+338))</f>
        <v>4.2845139679376369E-5</v>
      </c>
      <c r="N356" s="12">
        <f>_xlfn.VAR.S(INDEX($K:$K,INT((ROW()-336)/3)*3+336):INDEX($K:$K,INT((ROW()-336)/3)*3+338))</f>
        <v>1.8924333333338308E-4</v>
      </c>
    </row>
    <row r="357" spans="1:14" s="16" customFormat="1" ht="17.399999999999999">
      <c r="A357" s="16" t="s">
        <v>15393</v>
      </c>
      <c r="B357" s="16" t="s">
        <v>15442</v>
      </c>
      <c r="C357" s="16" t="s">
        <v>15451</v>
      </c>
      <c r="D357" s="16" t="s">
        <v>3438</v>
      </c>
      <c r="E357" s="16" t="s">
        <v>3429</v>
      </c>
      <c r="F357" s="16" t="s">
        <v>11040</v>
      </c>
      <c r="G357" s="16" t="s">
        <v>3367</v>
      </c>
      <c r="H357" s="16" t="s">
        <v>11888</v>
      </c>
      <c r="I357" s="21">
        <v>2.93709720206664E-3</v>
      </c>
      <c r="J357" s="21">
        <v>-9.4758053856393906E-3</v>
      </c>
      <c r="K357" s="21">
        <v>-0.16379999999999501</v>
      </c>
      <c r="L357" s="22">
        <f>_xlfn.VAR.S(INDEX($I:$I,INT((ROW()-336)/3)*3+336):INDEX($I:$I,INT((ROW()-336)/3)*3+338))</f>
        <v>1.6618227517086692E-6</v>
      </c>
      <c r="M357" s="22">
        <f>_xlfn.VAR.S(INDEX($J:$J,INT((ROW()-336)/3)*3+336):INDEX($J:$J,INT((ROW()-336)/3)*3+338))</f>
        <v>1.9447855259660116E-5</v>
      </c>
      <c r="N357" s="22">
        <f>_xlfn.VAR.S(INDEX($K:$K,INT((ROW()-336)/3)*3+336):INDEX($K:$K,INT((ROW()-336)/3)*3+338))</f>
        <v>1.1449333333333355E-4</v>
      </c>
    </row>
    <row r="358" spans="1:14" ht="17.399999999999999">
      <c r="A358" t="s">
        <v>15393</v>
      </c>
      <c r="B358" t="s">
        <v>15442</v>
      </c>
      <c r="C358" t="s">
        <v>15451</v>
      </c>
      <c r="D358" t="s">
        <v>3428</v>
      </c>
      <c r="E358" t="s">
        <v>3453</v>
      </c>
      <c r="F358" t="s">
        <v>11259</v>
      </c>
      <c r="G358" t="s">
        <v>3366</v>
      </c>
      <c r="H358" t="s">
        <v>11889</v>
      </c>
      <c r="I358" s="11">
        <v>3.75645546562365E-4</v>
      </c>
      <c r="J358" s="11">
        <v>-5.79408208951121E-3</v>
      </c>
      <c r="K358" s="11">
        <v>-0.17459999999999801</v>
      </c>
      <c r="L358" s="12">
        <f>_xlfn.VAR.S(INDEX($I:$I,INT((ROW()-336)/3)*3+336):INDEX($I:$I,INT((ROW()-336)/3)*3+338))</f>
        <v>1.6618227517086692E-6</v>
      </c>
      <c r="M358" s="12">
        <f>_xlfn.VAR.S(INDEX($J:$J,INT((ROW()-336)/3)*3+336):INDEX($J:$J,INT((ROW()-336)/3)*3+338))</f>
        <v>1.9447855259660116E-5</v>
      </c>
      <c r="N358" s="12">
        <f>_xlfn.VAR.S(INDEX($K:$K,INT((ROW()-336)/3)*3+336):INDEX($K:$K,INT((ROW()-336)/3)*3+338))</f>
        <v>1.1449333333333355E-4</v>
      </c>
    </row>
    <row r="359" spans="1:14" ht="17.399999999999999">
      <c r="A359" t="s">
        <v>15393</v>
      </c>
      <c r="B359" t="s">
        <v>15442</v>
      </c>
      <c r="C359" t="s">
        <v>15451</v>
      </c>
      <c r="D359" t="s">
        <v>3436</v>
      </c>
      <c r="E359" t="s">
        <v>3452</v>
      </c>
      <c r="F359" t="s">
        <v>11631</v>
      </c>
      <c r="G359" t="s">
        <v>3366</v>
      </c>
      <c r="H359" t="s">
        <v>11889</v>
      </c>
      <c r="I359" s="11">
        <v>1.9107182192169201E-3</v>
      </c>
      <c r="J359" s="11">
        <v>-6.9396030890752801E-4</v>
      </c>
      <c r="K359" s="11">
        <v>-0.18519999999999501</v>
      </c>
      <c r="L359" s="12">
        <f>_xlfn.VAR.S(INDEX($I:$I,INT((ROW()-336)/3)*3+336):INDEX($I:$I,INT((ROW()-336)/3)*3+338))</f>
        <v>1.6618227517086692E-6</v>
      </c>
      <c r="M359" s="12">
        <f>_xlfn.VAR.S(INDEX($J:$J,INT((ROW()-336)/3)*3+336):INDEX($J:$J,INT((ROW()-336)/3)*3+338))</f>
        <v>1.9447855259660116E-5</v>
      </c>
      <c r="N359" s="12">
        <f>_xlfn.VAR.S(INDEX($K:$K,INT((ROW()-336)/3)*3+336):INDEX($K:$K,INT((ROW()-336)/3)*3+338))</f>
        <v>1.1449333333333355E-4</v>
      </c>
    </row>
    <row r="360" spans="1:14" s="16" customFormat="1" ht="17.399999999999999" hidden="1">
      <c r="A360" s="16" t="s">
        <v>15393</v>
      </c>
      <c r="B360" s="16" t="s">
        <v>15443</v>
      </c>
      <c r="C360" s="16" t="s">
        <v>15452</v>
      </c>
      <c r="D360" s="16" t="s">
        <v>3543</v>
      </c>
      <c r="E360" s="16" t="s">
        <v>3536</v>
      </c>
      <c r="F360" s="16" t="s">
        <v>10612</v>
      </c>
      <c r="G360" s="16" t="s">
        <v>3366</v>
      </c>
      <c r="H360" s="16" t="s">
        <v>11895</v>
      </c>
      <c r="I360" s="21">
        <v>8.9871373007718094E-2</v>
      </c>
      <c r="J360" s="21">
        <v>7.9689555601593202E-4</v>
      </c>
      <c r="K360" s="21">
        <v>8.4500000000005598E-2</v>
      </c>
      <c r="L360" s="22">
        <f>_xlfn.VAR.S(I360:I364)</f>
        <v>8.2806095803748852E-5</v>
      </c>
      <c r="M360" s="22">
        <f>_xlfn.VAR.S(J360:J364)</f>
        <v>4.9011414008340647E-6</v>
      </c>
      <c r="N360" s="22">
        <f>_xlfn.VAR.S(K360:K364)</f>
        <v>2.4442999999976808E-5</v>
      </c>
    </row>
    <row r="361" spans="1:14" ht="17.399999999999999" hidden="1">
      <c r="A361" t="s">
        <v>15393</v>
      </c>
      <c r="B361" t="s">
        <v>15443</v>
      </c>
      <c r="C361" t="s">
        <v>15452</v>
      </c>
      <c r="D361" t="s">
        <v>3543</v>
      </c>
      <c r="E361" t="s">
        <v>3533</v>
      </c>
      <c r="F361" t="s">
        <v>11632</v>
      </c>
      <c r="G361" t="s">
        <v>3366</v>
      </c>
      <c r="H361" t="s">
        <v>11903</v>
      </c>
      <c r="I361" s="11">
        <v>9.0820375613122201E-2</v>
      </c>
      <c r="J361" s="11">
        <v>1.03688302984337E-4</v>
      </c>
      <c r="K361" s="11">
        <v>8.4900000000004597E-2</v>
      </c>
      <c r="L361" s="13" t="s">
        <v>15527</v>
      </c>
      <c r="M361" s="13" t="s">
        <v>15527</v>
      </c>
      <c r="N361" s="13" t="s">
        <v>15527</v>
      </c>
    </row>
    <row r="362" spans="1:14" ht="17.399999999999999" hidden="1">
      <c r="A362" t="s">
        <v>15393</v>
      </c>
      <c r="B362" t="s">
        <v>15443</v>
      </c>
      <c r="C362" t="s">
        <v>15452</v>
      </c>
      <c r="D362" t="s">
        <v>3458</v>
      </c>
      <c r="E362" t="s">
        <v>3536</v>
      </c>
      <c r="F362" t="s">
        <v>10576</v>
      </c>
      <c r="G362" t="s">
        <v>3366</v>
      </c>
      <c r="H362" t="s">
        <v>11903</v>
      </c>
      <c r="I362" s="11">
        <v>8.6520746835305903E-2</v>
      </c>
      <c r="J362" s="11">
        <v>-2.5991940406406501E-3</v>
      </c>
      <c r="K362" s="11">
        <v>9.2500000000001095E-2</v>
      </c>
      <c r="L362" s="13" t="s">
        <v>15527</v>
      </c>
      <c r="M362" s="13" t="s">
        <v>15527</v>
      </c>
      <c r="N362" s="13" t="s">
        <v>15527</v>
      </c>
    </row>
    <row r="363" spans="1:14" ht="17.399999999999999" hidden="1">
      <c r="A363" t="s">
        <v>15393</v>
      </c>
      <c r="B363" t="s">
        <v>15443</v>
      </c>
      <c r="C363" t="s">
        <v>15452</v>
      </c>
      <c r="D363" t="s">
        <v>3466</v>
      </c>
      <c r="E363" t="s">
        <v>3539</v>
      </c>
      <c r="F363" t="s">
        <v>10743</v>
      </c>
      <c r="G363" t="s">
        <v>3367</v>
      </c>
      <c r="H363" t="s">
        <v>11894</v>
      </c>
      <c r="I363" s="11">
        <v>7.48854464813557E-2</v>
      </c>
      <c r="J363" s="11">
        <v>8.3290818622943697E-4</v>
      </c>
      <c r="K363" s="11">
        <v>9.42000000000007E-2</v>
      </c>
      <c r="L363" s="13" t="s">
        <v>15527</v>
      </c>
      <c r="M363" s="13" t="s">
        <v>15527</v>
      </c>
      <c r="N363" s="13" t="s">
        <v>15527</v>
      </c>
    </row>
    <row r="364" spans="1:14" ht="17.399999999999999" hidden="1">
      <c r="A364" t="s">
        <v>15393</v>
      </c>
      <c r="B364" t="s">
        <v>15443</v>
      </c>
      <c r="C364" t="s">
        <v>15452</v>
      </c>
      <c r="D364" t="s">
        <v>3476</v>
      </c>
      <c r="E364" t="s">
        <v>3445</v>
      </c>
      <c r="F364" t="s">
        <v>11633</v>
      </c>
      <c r="G364" t="s">
        <v>3366</v>
      </c>
      <c r="H364" t="s">
        <v>11895</v>
      </c>
      <c r="I364" s="11">
        <v>7.0942784099098405E-2</v>
      </c>
      <c r="J364" s="11">
        <v>3.60728116003653E-3</v>
      </c>
      <c r="K364" s="11">
        <v>9.42000000000007E-2</v>
      </c>
      <c r="L364" s="13" t="s">
        <v>15527</v>
      </c>
      <c r="M364" s="13" t="s">
        <v>15527</v>
      </c>
      <c r="N364" s="13" t="s">
        <v>15527</v>
      </c>
    </row>
    <row r="365" spans="1:14" s="16" customFormat="1" ht="17.399999999999999" hidden="1">
      <c r="A365" s="16" t="s">
        <v>15393</v>
      </c>
      <c r="B365" s="16" t="s">
        <v>15443</v>
      </c>
      <c r="C365" s="16" t="s">
        <v>15490</v>
      </c>
      <c r="D365" s="16" t="s">
        <v>3465</v>
      </c>
      <c r="E365" s="16" t="s">
        <v>3449</v>
      </c>
      <c r="F365" s="16" t="s">
        <v>11119</v>
      </c>
      <c r="G365" s="16" t="s">
        <v>3366</v>
      </c>
      <c r="H365" s="16" t="s">
        <v>11901</v>
      </c>
      <c r="I365" s="21">
        <v>0.143020153900871</v>
      </c>
      <c r="J365" s="21">
        <v>7.05473153305234E-3</v>
      </c>
      <c r="K365" s="21">
        <v>8.0899999999999694E-2</v>
      </c>
      <c r="L365" s="22">
        <f>_xlfn.VAR.S(I365:I369)</f>
        <v>3.2036864805722235E-5</v>
      </c>
      <c r="M365" s="22">
        <f>_xlfn.VAR.S(J365:J369)</f>
        <v>1.8779014899280182E-5</v>
      </c>
      <c r="N365" s="22">
        <f>_xlfn.VAR.S(K365:K369)</f>
        <v>9.5587000000047981E-5</v>
      </c>
    </row>
    <row r="366" spans="1:14" ht="17.399999999999999" hidden="1">
      <c r="A366" t="s">
        <v>15393</v>
      </c>
      <c r="B366" t="s">
        <v>15443</v>
      </c>
      <c r="C366" t="s">
        <v>15490</v>
      </c>
      <c r="D366" t="s">
        <v>3450</v>
      </c>
      <c r="E366" t="s">
        <v>3463</v>
      </c>
      <c r="F366" t="s">
        <v>11634</v>
      </c>
      <c r="G366" t="s">
        <v>3366</v>
      </c>
      <c r="H366" t="s">
        <v>11895</v>
      </c>
      <c r="I366" s="11">
        <v>0.14158347133420199</v>
      </c>
      <c r="J366" s="11">
        <v>9.2976796778044997E-3</v>
      </c>
      <c r="K366" s="11">
        <v>7.2199999999995199E-2</v>
      </c>
      <c r="L366" s="13" t="s">
        <v>15527</v>
      </c>
      <c r="M366" s="13" t="s">
        <v>15527</v>
      </c>
      <c r="N366" s="13" t="s">
        <v>15527</v>
      </c>
    </row>
    <row r="367" spans="1:14" ht="17.399999999999999" hidden="1">
      <c r="A367" t="s">
        <v>15393</v>
      </c>
      <c r="B367" t="s">
        <v>15443</v>
      </c>
      <c r="C367" t="s">
        <v>15490</v>
      </c>
      <c r="D367" t="s">
        <v>3477</v>
      </c>
      <c r="E367" t="s">
        <v>3611</v>
      </c>
      <c r="F367" t="s">
        <v>10966</v>
      </c>
      <c r="G367" t="s">
        <v>3366</v>
      </c>
      <c r="H367" t="s">
        <v>11903</v>
      </c>
      <c r="I367" s="11">
        <v>0.135225474012476</v>
      </c>
      <c r="J367" s="11">
        <v>4.7287942651517197E-3</v>
      </c>
      <c r="K367" s="11">
        <v>7.7100000000001501E-2</v>
      </c>
      <c r="L367" s="13" t="s">
        <v>15527</v>
      </c>
      <c r="M367" s="13" t="s">
        <v>15527</v>
      </c>
      <c r="N367" s="13" t="s">
        <v>15527</v>
      </c>
    </row>
    <row r="368" spans="1:14" ht="17.399999999999999" hidden="1">
      <c r="A368" t="s">
        <v>15393</v>
      </c>
      <c r="B368" t="s">
        <v>15443</v>
      </c>
      <c r="C368" t="s">
        <v>15490</v>
      </c>
      <c r="D368" t="s">
        <v>3477</v>
      </c>
      <c r="E368" t="s">
        <v>3563</v>
      </c>
      <c r="F368" t="s">
        <v>11193</v>
      </c>
      <c r="G368" t="s">
        <v>3366</v>
      </c>
      <c r="H368" t="s">
        <v>11903</v>
      </c>
      <c r="I368" s="11">
        <v>0.13956953441936201</v>
      </c>
      <c r="J368" s="11">
        <v>-1.00547310868518E-3</v>
      </c>
      <c r="K368" s="11">
        <v>7.4200000000004707E-2</v>
      </c>
      <c r="L368" s="13" t="s">
        <v>15527</v>
      </c>
      <c r="M368" s="13" t="s">
        <v>15527</v>
      </c>
      <c r="N368" s="13" t="s">
        <v>15527</v>
      </c>
    </row>
    <row r="369" spans="1:14" ht="17.399999999999999" hidden="1">
      <c r="A369" t="s">
        <v>15393</v>
      </c>
      <c r="B369" t="s">
        <v>15443</v>
      </c>
      <c r="C369" t="s">
        <v>15490</v>
      </c>
      <c r="D369" t="s">
        <v>3511</v>
      </c>
      <c r="E369" t="s">
        <v>3477</v>
      </c>
      <c r="F369" t="s">
        <v>10648</v>
      </c>
      <c r="G369" t="s">
        <v>3366</v>
      </c>
      <c r="H369" t="s">
        <v>11903</v>
      </c>
      <c r="I369" s="11">
        <v>0.15066791610435301</v>
      </c>
      <c r="J369" s="11">
        <v>5.0696825524122703E-4</v>
      </c>
      <c r="K369" s="11">
        <v>5.5499999999994998E-2</v>
      </c>
      <c r="L369" s="13" t="s">
        <v>15527</v>
      </c>
      <c r="M369" s="13" t="s">
        <v>15527</v>
      </c>
      <c r="N369" s="13" t="s">
        <v>15527</v>
      </c>
    </row>
    <row r="370" spans="1:14" s="16" customFormat="1" ht="17.399999999999999" hidden="1">
      <c r="A370" s="16" t="s">
        <v>15393</v>
      </c>
      <c r="B370" s="16" t="s">
        <v>15443</v>
      </c>
      <c r="C370" s="16" t="s">
        <v>15487</v>
      </c>
      <c r="D370" s="16" t="s">
        <v>3428</v>
      </c>
      <c r="E370" s="16" t="s">
        <v>3432</v>
      </c>
      <c r="F370" s="16" t="s">
        <v>10988</v>
      </c>
      <c r="G370" s="16" t="s">
        <v>3366</v>
      </c>
      <c r="H370" s="16" t="s">
        <v>11903</v>
      </c>
      <c r="I370" s="21">
        <v>-4.3635810180858298E-3</v>
      </c>
      <c r="J370" s="21">
        <v>2.29272395534111E-3</v>
      </c>
      <c r="K370" s="21">
        <v>-4.8100000000005097E-2</v>
      </c>
      <c r="L370" s="22">
        <f>_xlfn.VAR.S(I370:I374)</f>
        <v>7.3120083401754745E-6</v>
      </c>
      <c r="M370" s="22">
        <f>_xlfn.VAR.S(J370:J374)</f>
        <v>2.5148335282669965E-5</v>
      </c>
      <c r="N370" s="22">
        <f>_xlfn.VAR.S(K370:K374)</f>
        <v>1.0782199999996209E-4</v>
      </c>
    </row>
    <row r="371" spans="1:14" ht="17.399999999999999" hidden="1">
      <c r="A371" t="s">
        <v>15393</v>
      </c>
      <c r="B371" t="s">
        <v>15443</v>
      </c>
      <c r="C371" t="s">
        <v>15487</v>
      </c>
      <c r="D371" t="s">
        <v>3428</v>
      </c>
      <c r="E371" t="s">
        <v>3452</v>
      </c>
      <c r="F371" t="s">
        <v>11236</v>
      </c>
      <c r="G371" t="s">
        <v>3366</v>
      </c>
      <c r="H371" t="s">
        <v>11895</v>
      </c>
      <c r="I371" s="11">
        <v>-7.9372548794837908E-3</v>
      </c>
      <c r="J371" s="11">
        <v>1.36237664708731E-4</v>
      </c>
      <c r="K371" s="11">
        <v>-3.1900000000007402E-2</v>
      </c>
      <c r="L371" s="13" t="s">
        <v>15527</v>
      </c>
      <c r="M371" s="13" t="s">
        <v>15527</v>
      </c>
      <c r="N371" s="13" t="s">
        <v>15527</v>
      </c>
    </row>
    <row r="372" spans="1:14" ht="17.399999999999999" hidden="1">
      <c r="A372" t="s">
        <v>15393</v>
      </c>
      <c r="B372" t="s">
        <v>15443</v>
      </c>
      <c r="C372" t="s">
        <v>15487</v>
      </c>
      <c r="D372" t="s">
        <v>3436</v>
      </c>
      <c r="E372" t="s">
        <v>3461</v>
      </c>
      <c r="F372" t="s">
        <v>10560</v>
      </c>
      <c r="G372" t="s">
        <v>3366</v>
      </c>
      <c r="H372" t="s">
        <v>11895</v>
      </c>
      <c r="I372" s="11">
        <v>-1.06813312353576E-2</v>
      </c>
      <c r="J372" s="11">
        <v>-6.78831613495064E-3</v>
      </c>
      <c r="K372" s="11">
        <v>-1.9500000000007799E-2</v>
      </c>
      <c r="L372" s="13" t="s">
        <v>15527</v>
      </c>
      <c r="M372" s="13" t="s">
        <v>15527</v>
      </c>
      <c r="N372" s="13" t="s">
        <v>15527</v>
      </c>
    </row>
    <row r="373" spans="1:14" ht="17.399999999999999" hidden="1">
      <c r="A373" t="s">
        <v>15393</v>
      </c>
      <c r="B373" t="s">
        <v>15443</v>
      </c>
      <c r="C373" t="s">
        <v>15487</v>
      </c>
      <c r="D373" t="s">
        <v>3435</v>
      </c>
      <c r="E373" t="s">
        <v>3464</v>
      </c>
      <c r="F373" t="s">
        <v>11635</v>
      </c>
      <c r="G373" t="s">
        <v>3410</v>
      </c>
      <c r="H373" t="s">
        <v>11894</v>
      </c>
      <c r="I373" s="11">
        <v>-7.9627213876190504E-3</v>
      </c>
      <c r="J373" s="11">
        <v>-6.1998593485315303E-3</v>
      </c>
      <c r="K373" s="11">
        <v>-3.6100000000004698E-2</v>
      </c>
      <c r="L373" s="13" t="s">
        <v>15527</v>
      </c>
      <c r="M373" s="13" t="s">
        <v>15527</v>
      </c>
      <c r="N373" s="13" t="s">
        <v>15527</v>
      </c>
    </row>
    <row r="374" spans="1:14" ht="17.399999999999999" hidden="1">
      <c r="A374" t="s">
        <v>15393</v>
      </c>
      <c r="B374" t="s">
        <v>15443</v>
      </c>
      <c r="C374" t="s">
        <v>15487</v>
      </c>
      <c r="D374" t="s">
        <v>3441</v>
      </c>
      <c r="E374" t="s">
        <v>3458</v>
      </c>
      <c r="F374" t="s">
        <v>10829</v>
      </c>
      <c r="G374" t="s">
        <v>3366</v>
      </c>
      <c r="H374" t="s">
        <v>11903</v>
      </c>
      <c r="I374" s="11">
        <v>-4.36206638973256E-3</v>
      </c>
      <c r="J374" s="11">
        <v>-9.5925866098425794E-3</v>
      </c>
      <c r="K374" s="11">
        <v>-3.7999999999996703E-2</v>
      </c>
      <c r="L374" s="13" t="s">
        <v>15527</v>
      </c>
      <c r="M374" s="13" t="s">
        <v>15527</v>
      </c>
      <c r="N374" s="13" t="s">
        <v>15527</v>
      </c>
    </row>
    <row r="375" spans="1:14" s="16" customFormat="1" ht="17.399999999999999" hidden="1">
      <c r="A375" s="39" t="s">
        <v>15340</v>
      </c>
      <c r="B375" s="40" t="s">
        <v>15441</v>
      </c>
      <c r="C375" s="40" t="s">
        <v>15445</v>
      </c>
      <c r="D375" s="40" t="s">
        <v>3497</v>
      </c>
      <c r="E375" s="40" t="s">
        <v>3651</v>
      </c>
      <c r="F375" s="40" t="s">
        <v>11439</v>
      </c>
      <c r="G375" s="40" t="s">
        <v>3372</v>
      </c>
      <c r="H375" s="40" t="s">
        <v>11915</v>
      </c>
      <c r="I375" s="41">
        <v>-0.80058798786686303</v>
      </c>
      <c r="J375" s="41">
        <v>-0.172417029833588</v>
      </c>
      <c r="K375" s="41">
        <v>-1.1034999999999999</v>
      </c>
      <c r="L375" s="43">
        <f>_xlfn.VAR.S(I375:I378)</f>
        <v>0.12400050626560867</v>
      </c>
      <c r="M375" s="42">
        <f>_xlfn.VAR.S(J375:J378)</f>
        <v>6.5032916481412061E-3</v>
      </c>
      <c r="N375" s="54">
        <f>_xlfn.VAR.S(K375:K378)</f>
        <v>0.37128034249999226</v>
      </c>
    </row>
    <row r="376" spans="1:14" ht="17.399999999999999" hidden="1">
      <c r="A376" s="45" t="s">
        <v>15340</v>
      </c>
      <c r="B376" s="9" t="s">
        <v>15441</v>
      </c>
      <c r="C376" s="9" t="s">
        <v>15445</v>
      </c>
      <c r="D376" s="9" t="s">
        <v>3498</v>
      </c>
      <c r="E376" s="9" t="s">
        <v>3652</v>
      </c>
      <c r="F376" s="9" t="s">
        <v>11440</v>
      </c>
      <c r="G376" s="9" t="s">
        <v>3366</v>
      </c>
      <c r="H376" s="9" t="s">
        <v>11892</v>
      </c>
      <c r="I376" s="46">
        <v>-0.116053002484134</v>
      </c>
      <c r="J376" s="46">
        <v>-0.21491277440223699</v>
      </c>
      <c r="K376" s="46">
        <v>0.20609999999999201</v>
      </c>
      <c r="L376" s="57" t="s">
        <v>15527</v>
      </c>
      <c r="M376" s="57" t="s">
        <v>15527</v>
      </c>
      <c r="N376" s="58" t="s">
        <v>15527</v>
      </c>
    </row>
    <row r="377" spans="1:14" ht="17.399999999999999" hidden="1">
      <c r="A377" s="45" t="s">
        <v>15340</v>
      </c>
      <c r="B377" s="9" t="s">
        <v>15441</v>
      </c>
      <c r="C377" s="9" t="s">
        <v>15445</v>
      </c>
      <c r="D377" s="9" t="s">
        <v>3499</v>
      </c>
      <c r="E377" s="9" t="s">
        <v>3653</v>
      </c>
      <c r="F377" s="9" t="s">
        <v>11441</v>
      </c>
      <c r="G377" s="9" t="s">
        <v>3366</v>
      </c>
      <c r="H377" s="9" t="s">
        <v>11887</v>
      </c>
      <c r="I377" s="46">
        <v>-9.1219591471800907E-2</v>
      </c>
      <c r="J377" s="46">
        <v>-4.4005208132345E-2</v>
      </c>
      <c r="K377" s="46">
        <v>1.0499999999979101E-2</v>
      </c>
      <c r="L377" s="57"/>
      <c r="M377" s="57" t="s">
        <v>15527</v>
      </c>
      <c r="N377" s="58" t="s">
        <v>15527</v>
      </c>
    </row>
    <row r="378" spans="1:14" ht="18" hidden="1" thickBot="1">
      <c r="A378" s="49" t="s">
        <v>15340</v>
      </c>
      <c r="B378" s="50" t="s">
        <v>15441</v>
      </c>
      <c r="C378" s="50" t="s">
        <v>15445</v>
      </c>
      <c r="D378" s="50" t="s">
        <v>3500</v>
      </c>
      <c r="E378" s="50" t="s">
        <v>3654</v>
      </c>
      <c r="F378" s="50" t="s">
        <v>11442</v>
      </c>
      <c r="G378" s="50" t="s">
        <v>3366</v>
      </c>
      <c r="H378" s="50" t="s">
        <v>11892</v>
      </c>
      <c r="I378" s="51">
        <v>-8.3326274349297499E-2</v>
      </c>
      <c r="J378" s="51">
        <v>-7.3779148997593705E-2</v>
      </c>
      <c r="K378" s="51">
        <v>9.7199999999986603E-2</v>
      </c>
      <c r="L378" s="59" t="s">
        <v>15527</v>
      </c>
      <c r="M378" s="59" t="s">
        <v>15527</v>
      </c>
      <c r="N378" s="53"/>
    </row>
    <row r="379" spans="1:14" s="16" customFormat="1" ht="17.399999999999999" hidden="1">
      <c r="A379" s="39" t="s">
        <v>15340</v>
      </c>
      <c r="B379" s="40" t="s">
        <v>15441</v>
      </c>
      <c r="C379" s="40" t="s">
        <v>15446</v>
      </c>
      <c r="D379" s="40" t="s">
        <v>3501</v>
      </c>
      <c r="E379" s="40" t="s">
        <v>3655</v>
      </c>
      <c r="F379" s="40" t="s">
        <v>11443</v>
      </c>
      <c r="G379" s="40" t="s">
        <v>3377</v>
      </c>
      <c r="H379" s="40" t="s">
        <v>11909</v>
      </c>
      <c r="I379" s="41">
        <v>-9.5426010709742798E-2</v>
      </c>
      <c r="J379" s="41">
        <v>-8.8097595666900105E-2</v>
      </c>
      <c r="K379" s="41">
        <v>0.85259999999999503</v>
      </c>
      <c r="L379" s="43">
        <f>_xlfn.VAR.S(INDEX($I:$I,INT((ROW()-379)/3)*3+379):INDEX($I:$I,INT((ROW()-379)/3)*3+381))</f>
        <v>8.0432700673390728E-2</v>
      </c>
      <c r="M379" s="42">
        <f>_xlfn.VAR.S(INDEX($J:$J,INT((ROW()-379)/3)*3+379):INDEX($J:$J,INT((ROW()-379)/3)*3+381))</f>
        <v>3.5341377407519289E-2</v>
      </c>
      <c r="N379" s="54">
        <f>_xlfn.VAR.S(INDEX($K:$K,INT((ROW()-379)/3)*3+379):INDEX($K:$K,INT((ROW()-379)/3)*3+381))</f>
        <v>0.85263771000000743</v>
      </c>
    </row>
    <row r="380" spans="1:14" ht="17.399999999999999" hidden="1">
      <c r="A380" s="45" t="s">
        <v>15340</v>
      </c>
      <c r="B380" s="9" t="s">
        <v>15441</v>
      </c>
      <c r="C380" s="9" t="s">
        <v>15446</v>
      </c>
      <c r="D380" s="9" t="s">
        <v>3502</v>
      </c>
      <c r="E380" s="9" t="s">
        <v>3656</v>
      </c>
      <c r="F380" s="9" t="s">
        <v>11444</v>
      </c>
      <c r="G380" s="9" t="s">
        <v>3366</v>
      </c>
      <c r="H380" s="9" t="s">
        <v>11915</v>
      </c>
      <c r="I380" s="46">
        <v>-0.27251999634216001</v>
      </c>
      <c r="J380" s="46">
        <v>0.10693644419063</v>
      </c>
      <c r="K380" s="46">
        <v>-0.133800000000008</v>
      </c>
      <c r="L380" s="47"/>
      <c r="M380" s="47"/>
      <c r="N380" s="48"/>
    </row>
    <row r="381" spans="1:14" ht="18" hidden="1" thickBot="1">
      <c r="A381" s="49" t="s">
        <v>15340</v>
      </c>
      <c r="B381" s="50" t="s">
        <v>15441</v>
      </c>
      <c r="C381" s="50" t="s">
        <v>15446</v>
      </c>
      <c r="D381" s="50" t="s">
        <v>3503</v>
      </c>
      <c r="E381" s="50" t="s">
        <v>3657</v>
      </c>
      <c r="F381" s="50" t="s">
        <v>11445</v>
      </c>
      <c r="G381" s="50" t="s">
        <v>3366</v>
      </c>
      <c r="H381" s="50" t="s">
        <v>11915</v>
      </c>
      <c r="I381" s="51">
        <v>-0.65063818565312803</v>
      </c>
      <c r="J381" s="51">
        <v>0.28779942479206899</v>
      </c>
      <c r="K381" s="51">
        <v>-0.99270000000001302</v>
      </c>
      <c r="L381" s="52"/>
      <c r="M381" s="52"/>
      <c r="N381" s="53"/>
    </row>
    <row r="382" spans="1:14" s="16" customFormat="1" ht="17.399999999999999" hidden="1">
      <c r="A382" s="39" t="s">
        <v>15340</v>
      </c>
      <c r="B382" s="40" t="s">
        <v>15441</v>
      </c>
      <c r="C382" s="40" t="s">
        <v>15447</v>
      </c>
      <c r="D382" s="40" t="s">
        <v>3504</v>
      </c>
      <c r="E382" s="40" t="s">
        <v>3658</v>
      </c>
      <c r="F382" s="40" t="s">
        <v>11446</v>
      </c>
      <c r="G382" s="40" t="s">
        <v>3378</v>
      </c>
      <c r="H382" s="40" t="s">
        <v>11892</v>
      </c>
      <c r="I382" s="41">
        <v>-0.82917075137978802</v>
      </c>
      <c r="J382" s="41">
        <v>-0.30335717010486701</v>
      </c>
      <c r="K382" s="41">
        <v>0.67509999999998604</v>
      </c>
      <c r="L382" s="43">
        <f>_xlfn.VAR.S(INDEX($I:$I,INT((ROW()-379)/3)*3+379):INDEX($I:$I,INT((ROW()-379)/3)*3+381))</f>
        <v>0.1824936873134449</v>
      </c>
      <c r="M382" s="42">
        <f>_xlfn.VAR.S(INDEX($J:$J,INT((ROW()-379)/3)*3+379):INDEX($J:$J,INT((ROW()-379)/3)*3+381))</f>
        <v>6.13794787613961E-3</v>
      </c>
      <c r="N382" s="61">
        <f>_xlfn.VAR.S(INDEX($K:$K,INT((ROW()-379)/3)*3+379):INDEX($K:$K,INT((ROW()-379)/3)*3+381))</f>
        <v>1.4942754700000211</v>
      </c>
    </row>
    <row r="383" spans="1:14" ht="17.399999999999999" hidden="1">
      <c r="A383" s="45" t="s">
        <v>15340</v>
      </c>
      <c r="B383" s="9" t="s">
        <v>15441</v>
      </c>
      <c r="C383" s="9" t="s">
        <v>15447</v>
      </c>
      <c r="D383" s="9" t="s">
        <v>3505</v>
      </c>
      <c r="E383" s="9" t="s">
        <v>3659</v>
      </c>
      <c r="F383" s="9" t="s">
        <v>11447</v>
      </c>
      <c r="G383" s="9" t="s">
        <v>3366</v>
      </c>
      <c r="H383" s="9" t="s">
        <v>11909</v>
      </c>
      <c r="I383" s="46">
        <v>-0.66506535985000403</v>
      </c>
      <c r="J383" s="46">
        <v>-0.440956052253895</v>
      </c>
      <c r="K383" s="46">
        <v>2.4821999999999802</v>
      </c>
      <c r="L383" s="47"/>
      <c r="M383" s="47"/>
      <c r="N383" s="48"/>
    </row>
    <row r="384" spans="1:14" ht="18" hidden="1" thickBot="1">
      <c r="A384" s="49" t="s">
        <v>15340</v>
      </c>
      <c r="B384" s="50" t="s">
        <v>15441</v>
      </c>
      <c r="C384" s="50" t="s">
        <v>15447</v>
      </c>
      <c r="D384" s="50" t="s">
        <v>3506</v>
      </c>
      <c r="E384" s="50" t="s">
        <v>3660</v>
      </c>
      <c r="F384" s="50" t="s">
        <v>11448</v>
      </c>
      <c r="G384" s="50" t="s">
        <v>3366</v>
      </c>
      <c r="H384" s="50" t="s">
        <v>11909</v>
      </c>
      <c r="I384" s="51">
        <v>-2.0975419975398101E-2</v>
      </c>
      <c r="J384" s="51">
        <v>-0.30724317380373301</v>
      </c>
      <c r="K384" s="51">
        <v>3.0047000000000099</v>
      </c>
      <c r="L384" s="52"/>
      <c r="M384" s="52"/>
      <c r="N384" s="53"/>
    </row>
    <row r="385" spans="1:14" s="16" customFormat="1" ht="17.399999999999999" hidden="1">
      <c r="A385" s="16" t="s">
        <v>15340</v>
      </c>
      <c r="B385" s="16" t="s">
        <v>15441</v>
      </c>
      <c r="C385" s="16" t="s">
        <v>15448</v>
      </c>
      <c r="D385" s="16" t="s">
        <v>3507</v>
      </c>
      <c r="E385" s="16" t="s">
        <v>3661</v>
      </c>
      <c r="F385" s="16" t="s">
        <v>11449</v>
      </c>
      <c r="G385" s="16" t="s">
        <v>3366</v>
      </c>
      <c r="H385" s="16" t="s">
        <v>11894</v>
      </c>
      <c r="I385" s="21">
        <v>8.7711258679077406E-2</v>
      </c>
      <c r="J385" s="21">
        <v>-1.7758511329513199E-2</v>
      </c>
      <c r="K385" s="21">
        <v>-2.7100000000018599E-2</v>
      </c>
      <c r="L385" s="22">
        <f>_xlfn.VAR.S(I385:I388)</f>
        <v>6.2050952249740289E-3</v>
      </c>
      <c r="M385" s="22">
        <f>_xlfn.VAR.S(J385:J388)</f>
        <v>2.3348649566808932E-3</v>
      </c>
      <c r="N385" s="22">
        <f>_xlfn.VAR.S(K385:K388)</f>
        <v>3.4664302499996545E-2</v>
      </c>
    </row>
    <row r="386" spans="1:14" ht="17.399999999999999" hidden="1">
      <c r="A386" t="s">
        <v>15340</v>
      </c>
      <c r="B386" t="s">
        <v>15441</v>
      </c>
      <c r="C386" t="s">
        <v>15448</v>
      </c>
      <c r="D386" t="s">
        <v>3508</v>
      </c>
      <c r="E386" t="s">
        <v>3482</v>
      </c>
      <c r="F386" t="s">
        <v>11450</v>
      </c>
      <c r="G386" t="s">
        <v>3366</v>
      </c>
      <c r="H386" t="s">
        <v>11894</v>
      </c>
      <c r="I386" s="11">
        <v>0.13468505772827799</v>
      </c>
      <c r="J386" s="11">
        <v>-5.3114147187747401E-2</v>
      </c>
      <c r="K386" s="11">
        <v>8.6299999999994298E-2</v>
      </c>
      <c r="L386" s="13" t="s">
        <v>15527</v>
      </c>
      <c r="M386" s="13" t="s">
        <v>15527</v>
      </c>
      <c r="N386" s="13" t="s">
        <v>15527</v>
      </c>
    </row>
    <row r="387" spans="1:14" ht="17.399999999999999" hidden="1">
      <c r="A387" t="s">
        <v>15340</v>
      </c>
      <c r="B387" t="s">
        <v>15441</v>
      </c>
      <c r="C387" t="s">
        <v>15448</v>
      </c>
      <c r="D387" t="s">
        <v>3509</v>
      </c>
      <c r="E387" t="s">
        <v>3662</v>
      </c>
      <c r="F387" t="s">
        <v>11451</v>
      </c>
      <c r="G387" t="s">
        <v>3366</v>
      </c>
      <c r="H387" t="s">
        <v>11894</v>
      </c>
      <c r="I387" s="11">
        <v>0.242476871038249</v>
      </c>
      <c r="J387" s="11">
        <v>-0.115058483586338</v>
      </c>
      <c r="K387" s="11">
        <v>0.34249999999997299</v>
      </c>
      <c r="L387" s="13" t="s">
        <v>15527</v>
      </c>
      <c r="M387" s="13" t="s">
        <v>15527</v>
      </c>
      <c r="N387" s="13" t="s">
        <v>15527</v>
      </c>
    </row>
    <row r="388" spans="1:14" ht="17.399999999999999" hidden="1">
      <c r="A388" t="s">
        <v>15340</v>
      </c>
      <c r="B388" t="s">
        <v>15441</v>
      </c>
      <c r="C388" t="s">
        <v>15448</v>
      </c>
      <c r="D388" t="s">
        <v>3510</v>
      </c>
      <c r="E388" t="s">
        <v>3663</v>
      </c>
      <c r="F388" t="s">
        <v>11452</v>
      </c>
      <c r="G388" t="s">
        <v>3366</v>
      </c>
      <c r="H388" t="s">
        <v>11894</v>
      </c>
      <c r="I388" s="11">
        <v>6.53465953112944E-2</v>
      </c>
      <c r="J388" s="11">
        <v>-8.3968760349421908E-3</v>
      </c>
      <c r="K388" s="11">
        <v>-7.3599999999999E-2</v>
      </c>
      <c r="L388" s="13" t="s">
        <v>15527</v>
      </c>
      <c r="M388" s="13" t="s">
        <v>15527</v>
      </c>
      <c r="N388" s="13" t="s">
        <v>15527</v>
      </c>
    </row>
    <row r="389" spans="1:14" s="16" customFormat="1" ht="17.399999999999999" hidden="1">
      <c r="A389" s="16" t="s">
        <v>15340</v>
      </c>
      <c r="B389" s="16" t="s">
        <v>15441</v>
      </c>
      <c r="C389" s="16" t="s">
        <v>15449</v>
      </c>
      <c r="D389" s="16" t="s">
        <v>3435</v>
      </c>
      <c r="E389" s="16" t="s">
        <v>3461</v>
      </c>
      <c r="F389" s="16" t="s">
        <v>10953</v>
      </c>
      <c r="G389" s="16" t="s">
        <v>3377</v>
      </c>
      <c r="H389" s="16" t="s">
        <v>11898</v>
      </c>
      <c r="I389" s="21">
        <v>3.9108836587228898E-2</v>
      </c>
      <c r="J389" s="21">
        <v>8.68154733265291E-3</v>
      </c>
      <c r="K389" s="21">
        <v>-7.9999999999813606E-3</v>
      </c>
      <c r="L389" s="22">
        <f>_xlfn.VAR.S(INDEX($I:$I,INT((ROW()-389)/3)*3+389):INDEX($I:$I,INT((ROW()-389)/3)*3+391))</f>
        <v>3.5718251763146334E-5</v>
      </c>
      <c r="M389" s="22">
        <f>_xlfn.VAR.S(INDEX($J:$J,INT((ROW()-389)/3)*3+389):INDEX($J:$J,INT((ROW()-389)/3)*3+391))</f>
        <v>7.5619709847506982E-5</v>
      </c>
      <c r="N389" s="22">
        <f>_xlfn.VAR.S(INDEX($K:$K,INT((ROW()-389)/3)*3+389):INDEX($K:$K,INT((ROW()-389)/3)*3+391))</f>
        <v>1.0012333333322396E-4</v>
      </c>
    </row>
    <row r="390" spans="1:14" ht="17.399999999999999" hidden="1">
      <c r="A390" t="s">
        <v>15340</v>
      </c>
      <c r="B390" t="s">
        <v>15441</v>
      </c>
      <c r="C390" t="s">
        <v>15449</v>
      </c>
      <c r="D390" t="s">
        <v>3432</v>
      </c>
      <c r="E390" t="s">
        <v>3477</v>
      </c>
      <c r="F390" t="s">
        <v>11453</v>
      </c>
      <c r="G390" t="s">
        <v>3366</v>
      </c>
      <c r="H390" t="s">
        <v>11899</v>
      </c>
      <c r="I390" s="11">
        <v>5.0669067848901898E-2</v>
      </c>
      <c r="J390" s="11">
        <v>-8.1684814079682408E-3</v>
      </c>
      <c r="K390" s="11">
        <v>1.17000000000189E-2</v>
      </c>
      <c r="L390" s="12">
        <f>_xlfn.VAR.S(INDEX($I:$I,INT((ROW()-389)/3)*3+389):INDEX($I:$I,INT((ROW()-389)/3)*3+391))</f>
        <v>3.5718251763146334E-5</v>
      </c>
      <c r="M390" s="12">
        <f>_xlfn.VAR.S(INDEX($J:$J,INT((ROW()-389)/3)*3+389):INDEX($J:$J,INT((ROW()-389)/3)*3+391))</f>
        <v>7.5619709847506982E-5</v>
      </c>
      <c r="N390" s="12">
        <f>_xlfn.VAR.S(INDEX($K:$K,INT((ROW()-389)/3)*3+389):INDEX($K:$K,INT((ROW()-389)/3)*3+391))</f>
        <v>1.0012333333322396E-4</v>
      </c>
    </row>
    <row r="391" spans="1:14" ht="17.399999999999999" hidden="1">
      <c r="A391" t="s">
        <v>15340</v>
      </c>
      <c r="B391" t="s">
        <v>15441</v>
      </c>
      <c r="C391" t="s">
        <v>15449</v>
      </c>
      <c r="D391" t="s">
        <v>3435</v>
      </c>
      <c r="E391" t="s">
        <v>3465</v>
      </c>
      <c r="F391" t="s">
        <v>10759</v>
      </c>
      <c r="G391" t="s">
        <v>3366</v>
      </c>
      <c r="H391" t="s">
        <v>11889</v>
      </c>
      <c r="I391" s="11">
        <v>4.7520595273633101E-2</v>
      </c>
      <c r="J391" s="11">
        <v>3.9870192741657496E-3</v>
      </c>
      <c r="K391" s="11">
        <v>4.8999999999637103E-3</v>
      </c>
      <c r="L391" s="12">
        <f>_xlfn.VAR.S(INDEX($I:$I,INT((ROW()-389)/3)*3+389):INDEX($I:$I,INT((ROW()-389)/3)*3+391))</f>
        <v>3.5718251763146334E-5</v>
      </c>
      <c r="M391" s="12">
        <f>_xlfn.VAR.S(INDEX($J:$J,INT((ROW()-389)/3)*3+389):INDEX($J:$J,INT((ROW()-389)/3)*3+391))</f>
        <v>7.5619709847506982E-5</v>
      </c>
      <c r="N391" s="12">
        <f>_xlfn.VAR.S(INDEX($K:$K,INT((ROW()-389)/3)*3+389):INDEX($K:$K,INT((ROW()-389)/3)*3+391))</f>
        <v>1.0012333333322396E-4</v>
      </c>
    </row>
    <row r="392" spans="1:14" s="16" customFormat="1" ht="17.399999999999999">
      <c r="A392" s="16" t="s">
        <v>15340</v>
      </c>
      <c r="B392" s="16" t="s">
        <v>15442</v>
      </c>
      <c r="C392" s="16" t="s">
        <v>15450</v>
      </c>
      <c r="D392" s="16" t="s">
        <v>3462</v>
      </c>
      <c r="E392" s="16" t="s">
        <v>3664</v>
      </c>
      <c r="F392" s="16" t="s">
        <v>11454</v>
      </c>
      <c r="G392" s="16" t="s">
        <v>3374</v>
      </c>
      <c r="H392" s="16" t="s">
        <v>11900</v>
      </c>
      <c r="I392" s="21">
        <v>7.6642499711048695E-2</v>
      </c>
      <c r="J392" s="21">
        <v>-6.0593741244027798E-2</v>
      </c>
      <c r="K392" s="21">
        <v>2.0699999999976602E-2</v>
      </c>
      <c r="L392" s="22">
        <f>_xlfn.VAR.S(INDEX($I:$I,INT((ROW()-389)/3)*3+389):INDEX($I:$I,INT((ROW()-389)/3)*3+391))</f>
        <v>3.8839977806370661E-5</v>
      </c>
      <c r="M392" s="22">
        <f>_xlfn.VAR.S(INDEX($J:$J,INT((ROW()-389)/3)*3+389):INDEX($J:$J,INT((ROW()-389)/3)*3+391))</f>
        <v>2.0829488664610993E-5</v>
      </c>
      <c r="N392" s="22">
        <f>_xlfn.VAR.S(INDEX($K:$K,INT((ROW()-389)/3)*3+389):INDEX($K:$K,INT((ROW()-389)/3)*3+391))</f>
        <v>2.2906333333315172E-4</v>
      </c>
    </row>
    <row r="393" spans="1:14" ht="17.399999999999999">
      <c r="A393" t="s">
        <v>15340</v>
      </c>
      <c r="B393" t="s">
        <v>15442</v>
      </c>
      <c r="C393" t="s">
        <v>15450</v>
      </c>
      <c r="D393" t="s">
        <v>3465</v>
      </c>
      <c r="E393" t="s">
        <v>3529</v>
      </c>
      <c r="F393" t="s">
        <v>11455</v>
      </c>
      <c r="G393" t="s">
        <v>3366</v>
      </c>
      <c r="H393" t="s">
        <v>11892</v>
      </c>
      <c r="I393" s="11">
        <v>8.4664217554709403E-2</v>
      </c>
      <c r="J393" s="11">
        <v>-5.1765585512236201E-2</v>
      </c>
      <c r="K393" s="11">
        <v>-6.00000000002865E-3</v>
      </c>
      <c r="L393" s="12">
        <f>_xlfn.VAR.S(INDEX($I:$I,INT((ROW()-389)/3)*3+389):INDEX($I:$I,INT((ROW()-389)/3)*3+391))</f>
        <v>3.8839977806370661E-5</v>
      </c>
      <c r="M393" s="12">
        <f>_xlfn.VAR.S(INDEX($J:$J,INT((ROW()-389)/3)*3+389):INDEX($J:$J,INT((ROW()-389)/3)*3+391))</f>
        <v>2.0829488664610993E-5</v>
      </c>
      <c r="N393" s="12">
        <f>_xlfn.VAR.S(INDEX($K:$K,INT((ROW()-389)/3)*3+389):INDEX($K:$K,INT((ROW()-389)/3)*3+391))</f>
        <v>2.2906333333315172E-4</v>
      </c>
    </row>
    <row r="394" spans="1:14" ht="17.399999999999999">
      <c r="A394" t="s">
        <v>15340</v>
      </c>
      <c r="B394" t="s">
        <v>15442</v>
      </c>
      <c r="C394" t="s">
        <v>15450</v>
      </c>
      <c r="D394" t="s">
        <v>3511</v>
      </c>
      <c r="E394" t="s">
        <v>3665</v>
      </c>
      <c r="F394" t="s">
        <v>11456</v>
      </c>
      <c r="G394" t="s">
        <v>3366</v>
      </c>
      <c r="H394" t="s">
        <v>11892</v>
      </c>
      <c r="I394" s="11">
        <v>8.8915257055556099E-2</v>
      </c>
      <c r="J394" s="11">
        <v>-5.41706298355401E-2</v>
      </c>
      <c r="K394" s="11">
        <v>-4.9999999999954499E-3</v>
      </c>
      <c r="L394" s="12">
        <f>_xlfn.VAR.S(INDEX($I:$I,INT((ROW()-389)/3)*3+389):INDEX($I:$I,INT((ROW()-389)/3)*3+391))</f>
        <v>3.8839977806370661E-5</v>
      </c>
      <c r="M394" s="12">
        <f>_xlfn.VAR.S(INDEX($J:$J,INT((ROW()-389)/3)*3+389):INDEX($J:$J,INT((ROW()-389)/3)*3+391))</f>
        <v>2.0829488664610993E-5</v>
      </c>
      <c r="N394" s="12">
        <f>_xlfn.VAR.S(INDEX($K:$K,INT((ROW()-389)/3)*3+389):INDEX($K:$K,INT((ROW()-389)/3)*3+391))</f>
        <v>2.2906333333315172E-4</v>
      </c>
    </row>
    <row r="395" spans="1:14" s="16" customFormat="1" ht="17.399999999999999">
      <c r="A395" s="16" t="s">
        <v>15340</v>
      </c>
      <c r="B395" s="16" t="s">
        <v>15442</v>
      </c>
      <c r="C395" s="16" t="s">
        <v>15445</v>
      </c>
      <c r="D395" s="16" t="s">
        <v>3512</v>
      </c>
      <c r="E395" s="16" t="s">
        <v>3666</v>
      </c>
      <c r="F395" s="16" t="s">
        <v>10482</v>
      </c>
      <c r="G395" s="16" t="s">
        <v>3376</v>
      </c>
      <c r="H395" s="16" t="s">
        <v>11902</v>
      </c>
      <c r="I395" s="21">
        <v>-0.12597806829944899</v>
      </c>
      <c r="J395" s="21">
        <v>0.119415983189509</v>
      </c>
      <c r="K395" s="21">
        <v>0.17419999999998501</v>
      </c>
      <c r="L395" s="22">
        <f>_xlfn.VAR.S(INDEX($I:$I,INT((ROW()-389)/3)*3+389):INDEX($I:$I,INT((ROW()-389)/3)*3+391))</f>
        <v>7.4366079346938931E-3</v>
      </c>
      <c r="M395" s="22">
        <f>_xlfn.VAR.S(INDEX($J:$J,INT((ROW()-389)/3)*3+389):INDEX($J:$J,INT((ROW()-389)/3)*3+391))</f>
        <v>8.7904696609563959E-3</v>
      </c>
      <c r="N395" s="22">
        <f>_xlfn.VAR.S(INDEX($K:$K,INT((ROW()-389)/3)*3+389):INDEX($K:$K,INT((ROW()-389)/3)*3+391))</f>
        <v>2.08726933333305E-2</v>
      </c>
    </row>
    <row r="396" spans="1:14" ht="17.399999999999999">
      <c r="A396" t="s">
        <v>15340</v>
      </c>
      <c r="B396" t="s">
        <v>15442</v>
      </c>
      <c r="C396" t="s">
        <v>15445</v>
      </c>
      <c r="D396" t="s">
        <v>3513</v>
      </c>
      <c r="E396" t="s">
        <v>3667</v>
      </c>
      <c r="F396" t="s">
        <v>11457</v>
      </c>
      <c r="G396" t="s">
        <v>3366</v>
      </c>
      <c r="H396" t="s">
        <v>11902</v>
      </c>
      <c r="I396" s="11">
        <v>-0.100042003774646</v>
      </c>
      <c r="J396" s="11">
        <v>0.28152663156129198</v>
      </c>
      <c r="K396" s="11">
        <v>0.462999999999965</v>
      </c>
      <c r="L396" s="12">
        <f>_xlfn.VAR.S(INDEX($I:$I,INT((ROW()-389)/3)*3+389):INDEX($I:$I,INT((ROW()-389)/3)*3+391))</f>
        <v>7.4366079346938931E-3</v>
      </c>
      <c r="M396" s="12">
        <f>_xlfn.VAR.S(INDEX($J:$J,INT((ROW()-389)/3)*3+389):INDEX($J:$J,INT((ROW()-389)/3)*3+391))</f>
        <v>8.7904696609563959E-3</v>
      </c>
      <c r="N396" s="12">
        <f>_xlfn.VAR.S(INDEX($K:$K,INT((ROW()-389)/3)*3+389):INDEX($K:$K,INT((ROW()-389)/3)*3+391))</f>
        <v>2.08726933333305E-2</v>
      </c>
    </row>
    <row r="397" spans="1:14" ht="17.399999999999999">
      <c r="A397" t="s">
        <v>15340</v>
      </c>
      <c r="B397" t="s">
        <v>15442</v>
      </c>
      <c r="C397" t="s">
        <v>15445</v>
      </c>
      <c r="D397" t="s">
        <v>3514</v>
      </c>
      <c r="E397" t="s">
        <v>3668</v>
      </c>
      <c r="F397" t="s">
        <v>11458</v>
      </c>
      <c r="G397" t="s">
        <v>3366</v>
      </c>
      <c r="H397" t="s">
        <v>11902</v>
      </c>
      <c r="I397" s="11">
        <v>3.4656189694517898E-2</v>
      </c>
      <c r="J397" s="11">
        <v>0.11885321963604401</v>
      </c>
      <c r="K397" s="11">
        <v>0.31059999999996502</v>
      </c>
      <c r="L397" s="12">
        <f>_xlfn.VAR.S(INDEX($I:$I,INT((ROW()-389)/3)*3+389):INDEX($I:$I,INT((ROW()-389)/3)*3+391))</f>
        <v>7.4366079346938931E-3</v>
      </c>
      <c r="M397" s="12">
        <f>_xlfn.VAR.S(INDEX($J:$J,INT((ROW()-389)/3)*3+389):INDEX($J:$J,INT((ROW()-389)/3)*3+391))</f>
        <v>8.7904696609563959E-3</v>
      </c>
      <c r="N397" s="12">
        <f>_xlfn.VAR.S(INDEX($K:$K,INT((ROW()-389)/3)*3+389):INDEX($K:$K,INT((ROW()-389)/3)*3+391))</f>
        <v>2.08726933333305E-2</v>
      </c>
    </row>
    <row r="398" spans="1:14" s="16" customFormat="1" ht="17.399999999999999">
      <c r="A398" s="16" t="s">
        <v>15340</v>
      </c>
      <c r="B398" s="16" t="s">
        <v>15442</v>
      </c>
      <c r="C398" s="16" t="s">
        <v>15451</v>
      </c>
      <c r="D398" s="16" t="s">
        <v>3431</v>
      </c>
      <c r="E398" s="16" t="s">
        <v>3452</v>
      </c>
      <c r="F398" s="16" t="s">
        <v>11459</v>
      </c>
      <c r="G398" s="16" t="s">
        <v>3382</v>
      </c>
      <c r="H398" s="16" t="s">
        <v>11889</v>
      </c>
      <c r="I398" s="21">
        <v>3.8525607654553803E-2</v>
      </c>
      <c r="J398" s="21">
        <v>-8.2771191786894308E-3</v>
      </c>
      <c r="K398" s="21">
        <v>-2.87000000000148E-2</v>
      </c>
      <c r="L398" s="22">
        <f>_xlfn.VAR.S(INDEX($I:$I,INT((ROW()-389)/3)*3+389):INDEX($I:$I,INT((ROW()-389)/3)*3+391))</f>
        <v>4.5178174796478368E-6</v>
      </c>
      <c r="M398" s="22">
        <f>_xlfn.VAR.S(INDEX($J:$J,INT((ROW()-389)/3)*3+389):INDEX($J:$J,INT((ROW()-389)/3)*3+391))</f>
        <v>4.6838289537884084E-6</v>
      </c>
      <c r="N398" s="22">
        <f>_xlfn.VAR.S(INDEX($K:$K,INT((ROW()-389)/3)*3+389):INDEX($K:$K,INT((ROW()-389)/3)*3+391))</f>
        <v>8.1899999999299296E-6</v>
      </c>
    </row>
    <row r="399" spans="1:14" ht="17.399999999999999">
      <c r="A399" t="s">
        <v>15340</v>
      </c>
      <c r="B399" t="s">
        <v>15442</v>
      </c>
      <c r="C399" t="s">
        <v>15451</v>
      </c>
      <c r="D399" t="s">
        <v>3435</v>
      </c>
      <c r="E399" t="s">
        <v>3426</v>
      </c>
      <c r="F399" t="s">
        <v>11460</v>
      </c>
      <c r="G399" t="s">
        <v>3366</v>
      </c>
      <c r="H399" t="s">
        <v>11888</v>
      </c>
      <c r="I399" s="11">
        <v>3.9839996678605799E-2</v>
      </c>
      <c r="J399" s="11">
        <v>-1.0031868886117999E-2</v>
      </c>
      <c r="K399" s="11">
        <v>-3.3500000000003603E-2</v>
      </c>
      <c r="L399" s="12">
        <f>_xlfn.VAR.S(INDEX($I:$I,INT((ROW()-389)/3)*3+389):INDEX($I:$I,INT((ROW()-389)/3)*3+391))</f>
        <v>4.5178174796478368E-6</v>
      </c>
      <c r="M399" s="12">
        <f>_xlfn.VAR.S(INDEX($J:$J,INT((ROW()-389)/3)*3+389):INDEX($J:$J,INT((ROW()-389)/3)*3+391))</f>
        <v>4.6838289537884084E-6</v>
      </c>
      <c r="N399" s="12">
        <f>_xlfn.VAR.S(INDEX($K:$K,INT((ROW()-389)/3)*3+389):INDEX($K:$K,INT((ROW()-389)/3)*3+391))</f>
        <v>8.1899999999299296E-6</v>
      </c>
    </row>
    <row r="400" spans="1:14" ht="17.399999999999999">
      <c r="A400" t="s">
        <v>15340</v>
      </c>
      <c r="B400" t="s">
        <v>15442</v>
      </c>
      <c r="C400" t="s">
        <v>15451</v>
      </c>
      <c r="D400" t="s">
        <v>3429</v>
      </c>
      <c r="E400" t="s">
        <v>3465</v>
      </c>
      <c r="F400" t="s">
        <v>11042</v>
      </c>
      <c r="G400" t="s">
        <v>3366</v>
      </c>
      <c r="H400" t="s">
        <v>11896</v>
      </c>
      <c r="I400" s="11">
        <v>3.5681696832684198E-2</v>
      </c>
      <c r="J400" s="11">
        <v>-1.25811727391947E-2</v>
      </c>
      <c r="K400" s="11">
        <v>-3.3799999999985203E-2</v>
      </c>
      <c r="L400" s="12">
        <f>_xlfn.VAR.S(INDEX($I:$I,INT((ROW()-389)/3)*3+389):INDEX($I:$I,INT((ROW()-389)/3)*3+391))</f>
        <v>4.5178174796478368E-6</v>
      </c>
      <c r="M400" s="12">
        <f>_xlfn.VAR.S(INDEX($J:$J,INT((ROW()-389)/3)*3+389):INDEX($J:$J,INT((ROW()-389)/3)*3+391))</f>
        <v>4.6838289537884084E-6</v>
      </c>
      <c r="N400" s="12">
        <f>_xlfn.VAR.S(INDEX($K:$K,INT((ROW()-389)/3)*3+389):INDEX($K:$K,INT((ROW()-389)/3)*3+391))</f>
        <v>8.1899999999299296E-6</v>
      </c>
    </row>
    <row r="401" spans="1:14" s="16" customFormat="1" ht="17.399999999999999" hidden="1">
      <c r="A401" s="16" t="s">
        <v>15340</v>
      </c>
      <c r="B401" s="16" t="s">
        <v>15443</v>
      </c>
      <c r="C401" s="16" t="s">
        <v>15452</v>
      </c>
      <c r="D401" s="16" t="s">
        <v>3425</v>
      </c>
      <c r="E401" s="16" t="s">
        <v>3453</v>
      </c>
      <c r="F401" s="16" t="s">
        <v>10575</v>
      </c>
      <c r="G401" s="16" t="s">
        <v>3372</v>
      </c>
      <c r="H401" s="16" t="s">
        <v>11901</v>
      </c>
      <c r="I401" s="21">
        <v>9.3842619131591695E-3</v>
      </c>
      <c r="J401" s="21">
        <v>-1.26429372014007E-2</v>
      </c>
      <c r="K401" s="21">
        <v>4.9300000000016601E-2</v>
      </c>
      <c r="L401" s="22">
        <f>_xlfn.VAR.S(I401:I406)</f>
        <v>1.7770960176168626E-4</v>
      </c>
      <c r="M401" s="22">
        <f>_xlfn.VAR.S(J401:J406)</f>
        <v>7.2283957239328153E-5</v>
      </c>
      <c r="N401" s="22">
        <f>_xlfn.VAR.S(K401:K406)</f>
        <v>9.2150300000032781E-4</v>
      </c>
    </row>
    <row r="402" spans="1:14" ht="17.399999999999999" hidden="1">
      <c r="A402" t="s">
        <v>15340</v>
      </c>
      <c r="B402" t="s">
        <v>15443</v>
      </c>
      <c r="C402" t="s">
        <v>15452</v>
      </c>
      <c r="D402" t="s">
        <v>3434</v>
      </c>
      <c r="E402" t="s">
        <v>3452</v>
      </c>
      <c r="F402" t="s">
        <v>10912</v>
      </c>
      <c r="G402" t="s">
        <v>3366</v>
      </c>
      <c r="H402" t="s">
        <v>11903</v>
      </c>
      <c r="I402" s="11">
        <v>9.3762857323807999E-3</v>
      </c>
      <c r="J402" s="11">
        <v>-2.4527154904667101E-2</v>
      </c>
      <c r="K402" s="11">
        <v>4.6899999999993697E-2</v>
      </c>
      <c r="L402" s="13" t="s">
        <v>15527</v>
      </c>
      <c r="M402" s="13" t="s">
        <v>15527</v>
      </c>
      <c r="N402" s="13" t="s">
        <v>15527</v>
      </c>
    </row>
    <row r="403" spans="1:14" ht="17.399999999999999" hidden="1">
      <c r="A403" t="s">
        <v>15340</v>
      </c>
      <c r="B403" t="s">
        <v>15443</v>
      </c>
      <c r="C403" t="s">
        <v>15452</v>
      </c>
      <c r="D403" t="s">
        <v>3450</v>
      </c>
      <c r="E403" t="s">
        <v>3564</v>
      </c>
      <c r="F403" t="s">
        <v>11036</v>
      </c>
      <c r="G403" t="s">
        <v>3366</v>
      </c>
      <c r="H403" t="s">
        <v>11895</v>
      </c>
      <c r="I403" s="11">
        <v>1.58158827878675E-2</v>
      </c>
      <c r="J403" s="11">
        <v>-2.9290194412659599E-2</v>
      </c>
      <c r="K403" s="11">
        <v>2.7899999999988299E-2</v>
      </c>
      <c r="L403" s="13" t="s">
        <v>15527</v>
      </c>
      <c r="M403" s="13" t="s">
        <v>15527</v>
      </c>
      <c r="N403" s="13" t="s">
        <v>15527</v>
      </c>
    </row>
    <row r="404" spans="1:14" ht="17.399999999999999" hidden="1">
      <c r="A404" t="s">
        <v>15340</v>
      </c>
      <c r="B404" t="s">
        <v>15443</v>
      </c>
      <c r="C404" t="s">
        <v>15452</v>
      </c>
      <c r="D404" t="s">
        <v>3478</v>
      </c>
      <c r="E404" t="s">
        <v>3495</v>
      </c>
      <c r="F404" t="s">
        <v>11214</v>
      </c>
      <c r="G404" t="s">
        <v>3366</v>
      </c>
      <c r="H404" t="s">
        <v>11894</v>
      </c>
      <c r="I404" s="11">
        <v>3.1917739160711202E-2</v>
      </c>
      <c r="J404" s="11">
        <v>-2.47784421376064E-2</v>
      </c>
      <c r="K404" s="11">
        <v>-1.03000000000293E-2</v>
      </c>
      <c r="L404" s="13" t="s">
        <v>15527</v>
      </c>
      <c r="M404" s="13" t="s">
        <v>15527</v>
      </c>
      <c r="N404" s="13" t="s">
        <v>15527</v>
      </c>
    </row>
    <row r="405" spans="1:14" ht="17.399999999999999" hidden="1">
      <c r="A405" t="s">
        <v>15340</v>
      </c>
      <c r="B405" t="s">
        <v>15443</v>
      </c>
      <c r="C405" t="s">
        <v>15452</v>
      </c>
      <c r="D405" t="s">
        <v>3511</v>
      </c>
      <c r="E405" t="s">
        <v>3542</v>
      </c>
      <c r="F405" t="s">
        <v>11273</v>
      </c>
      <c r="G405" t="s">
        <v>3366</v>
      </c>
      <c r="H405" t="s">
        <v>11895</v>
      </c>
      <c r="I405" s="11">
        <v>3.9162685994176098E-2</v>
      </c>
      <c r="J405" s="11">
        <v>-3.6445406376752497E-2</v>
      </c>
      <c r="K405" s="11">
        <v>-1.5699999999981201E-2</v>
      </c>
      <c r="L405" s="13" t="s">
        <v>15527</v>
      </c>
      <c r="M405" s="13" t="s">
        <v>15527</v>
      </c>
      <c r="N405" s="13" t="s">
        <v>15527</v>
      </c>
    </row>
    <row r="406" spans="1:14" ht="17.399999999999999" hidden="1">
      <c r="A406" t="s">
        <v>15340</v>
      </c>
      <c r="B406" t="s">
        <v>15443</v>
      </c>
      <c r="C406" t="s">
        <v>15452</v>
      </c>
      <c r="D406" t="s">
        <v>3461</v>
      </c>
      <c r="E406" t="s">
        <v>3590</v>
      </c>
      <c r="F406" t="s">
        <v>10904</v>
      </c>
      <c r="G406" t="s">
        <v>3366</v>
      </c>
      <c r="H406" t="s">
        <v>11895</v>
      </c>
      <c r="I406" s="11">
        <v>3.42146245575509E-2</v>
      </c>
      <c r="J406" s="11">
        <v>-3.4056540788097701E-2</v>
      </c>
      <c r="K406" s="11">
        <v>-1.08000000000175E-2</v>
      </c>
      <c r="L406" s="13" t="s">
        <v>15527</v>
      </c>
      <c r="M406" s="13" t="s">
        <v>15527</v>
      </c>
      <c r="N406" s="13" t="s">
        <v>15527</v>
      </c>
    </row>
    <row r="407" spans="1:14" s="16" customFormat="1" ht="17.399999999999999" hidden="1">
      <c r="A407" s="16" t="s">
        <v>15340</v>
      </c>
      <c r="B407" s="16" t="s">
        <v>15443</v>
      </c>
      <c r="C407" s="16" t="s">
        <v>15476</v>
      </c>
      <c r="D407" s="16" t="s">
        <v>3511</v>
      </c>
      <c r="E407" s="16" t="s">
        <v>3534</v>
      </c>
      <c r="F407" s="16" t="s">
        <v>10888</v>
      </c>
      <c r="G407" s="16" t="s">
        <v>3382</v>
      </c>
      <c r="H407" s="16" t="s">
        <v>11895</v>
      </c>
      <c r="I407" s="21">
        <v>2.4424588453995501E-2</v>
      </c>
      <c r="J407" s="21">
        <v>-3.2563254382100101E-2</v>
      </c>
      <c r="K407" s="21">
        <v>-8.3999999999946305E-3</v>
      </c>
      <c r="L407" s="22">
        <f>_xlfn.VAR.S(INDEX($I:$I,INT((ROW()-407)/3)*3+407):INDEX($I:$I,INT((ROW()-407)/3)*3+409))</f>
        <v>6.7912822320624947E-5</v>
      </c>
      <c r="M407" s="22">
        <f>_xlfn.VAR.S(INDEX($J:$J,INT((ROW()-407)/3)*3+180):INDEX($J:$J,INT((ROW()-407)/3)*3+409))</f>
        <v>1.746229907035252E-2</v>
      </c>
      <c r="N407" s="22">
        <f>_xlfn.VAR.S(INDEX($K:$K,INT((ROW()-407)/3)*3+407):INDEX($K:$K,INT((ROW()-407)/3)*3+409))</f>
        <v>9.6693333333598805E-5</v>
      </c>
    </row>
    <row r="408" spans="1:14" ht="17.399999999999999" hidden="1">
      <c r="A408" t="s">
        <v>15340</v>
      </c>
      <c r="B408" t="s">
        <v>15443</v>
      </c>
      <c r="C408" t="s">
        <v>15476</v>
      </c>
      <c r="D408" t="s">
        <v>3464</v>
      </c>
      <c r="E408" t="s">
        <v>3535</v>
      </c>
      <c r="F408" t="s">
        <v>11461</v>
      </c>
      <c r="G408" t="s">
        <v>3366</v>
      </c>
      <c r="H408" t="s">
        <v>11903</v>
      </c>
      <c r="I408" s="11">
        <v>1.5850380024401301E-2</v>
      </c>
      <c r="J408" s="11">
        <v>-1.9791790896756801E-2</v>
      </c>
      <c r="K408" s="11">
        <v>-2.8000000000019998E-2</v>
      </c>
      <c r="L408" s="12">
        <f>_xlfn.VAR.S(INDEX($I:$I,INT((ROW()-407)/3)*3+407):INDEX($I:$I,INT((ROW()-407)/3)*3+409))</f>
        <v>6.7912822320624947E-5</v>
      </c>
      <c r="M408" s="12">
        <f>_xlfn.VAR.S(INDEX($J:$J,INT((ROW()-407)/3)*3+180):INDEX($J:$J,INT((ROW()-407)/3)*3+409))</f>
        <v>1.746229907035252E-2</v>
      </c>
      <c r="N408" s="12">
        <f>_xlfn.VAR.S(INDEX($K:$K,INT((ROW()-407)/3)*3+407):INDEX($K:$K,INT((ROW()-407)/3)*3+409))</f>
        <v>9.6693333333598805E-5</v>
      </c>
    </row>
    <row r="409" spans="1:14" ht="17.399999999999999" hidden="1">
      <c r="A409" t="s">
        <v>15340</v>
      </c>
      <c r="B409" t="s">
        <v>15443</v>
      </c>
      <c r="C409" t="s">
        <v>15476</v>
      </c>
      <c r="D409" t="s">
        <v>3515</v>
      </c>
      <c r="E409" t="s">
        <v>3535</v>
      </c>
      <c r="F409" t="s">
        <v>11095</v>
      </c>
      <c r="G409" t="s">
        <v>3366</v>
      </c>
      <c r="H409" t="s">
        <v>11903</v>
      </c>
      <c r="I409" s="11">
        <v>7.9472964097889696E-3</v>
      </c>
      <c r="J409" s="11">
        <v>-1.7755038093676699E-2</v>
      </c>
      <c r="K409" s="11">
        <v>-1.6799999999989299E-2</v>
      </c>
      <c r="L409" s="12">
        <f>_xlfn.VAR.S(INDEX($I:$I,INT((ROW()-407)/3)*3+407):INDEX($I:$I,INT((ROW()-407)/3)*3+409))</f>
        <v>6.7912822320624947E-5</v>
      </c>
      <c r="M409" s="12">
        <f>_xlfn.VAR.S(INDEX($J:$J,INT((ROW()-407)/3)*3+180):INDEX($J:$J,INT((ROW()-407)/3)*3+409))</f>
        <v>1.746229907035252E-2</v>
      </c>
      <c r="N409" s="12">
        <f>_xlfn.VAR.S(INDEX($K:$K,INT((ROW()-407)/3)*3+407):INDEX($K:$K,INT((ROW()-407)/3)*3+409))</f>
        <v>9.6693333333598805E-5</v>
      </c>
    </row>
    <row r="410" spans="1:14" s="16" customFormat="1" ht="17.399999999999999" hidden="1">
      <c r="A410" s="16" t="s">
        <v>15341</v>
      </c>
      <c r="B410" s="16" t="s">
        <v>15441</v>
      </c>
      <c r="C410" s="16" t="s">
        <v>15445</v>
      </c>
      <c r="D410" s="16" t="s">
        <v>3516</v>
      </c>
      <c r="E410" s="16" t="s">
        <v>3669</v>
      </c>
      <c r="F410" s="16" t="s">
        <v>11462</v>
      </c>
      <c r="G410" s="16" t="s">
        <v>3366</v>
      </c>
      <c r="H410" s="16" t="s">
        <v>11915</v>
      </c>
      <c r="I410" s="21">
        <v>-0.95164565011817503</v>
      </c>
      <c r="J410" s="21">
        <v>0.78369211933118299</v>
      </c>
      <c r="K410" s="21">
        <v>1.1578000000000701</v>
      </c>
      <c r="L410" s="22">
        <f>_xlfn.VAR.S(INDEX($I:$I,INT((ROW()-407)/3)*3+407):INDEX($I:$I,INT((ROW()-407)/3)*3+409))</f>
        <v>1.0394800636253195E-2</v>
      </c>
      <c r="M410" s="22">
        <f>_xlfn.VAR.S(INDEX($J:$J,INT((ROW()-407)/3)*3+180):INDEX($J:$J,INT((ROW()-407)/3)*3+409))</f>
        <v>2.0258209016804567E-2</v>
      </c>
      <c r="N410" s="22">
        <f>_xlfn.VAR.S(INDEX($K:$K,INT((ROW()-407)/3)*3+407):INDEX($K:$K,INT((ROW()-407)/3)*3+409))</f>
        <v>1.3096823333329491E-2</v>
      </c>
    </row>
    <row r="411" spans="1:14" ht="17.399999999999999" hidden="1">
      <c r="A411" t="s">
        <v>15341</v>
      </c>
      <c r="B411" t="s">
        <v>15441</v>
      </c>
      <c r="C411" t="s">
        <v>15445</v>
      </c>
      <c r="D411" t="s">
        <v>3517</v>
      </c>
      <c r="E411" t="s">
        <v>3670</v>
      </c>
      <c r="F411" t="s">
        <v>11463</v>
      </c>
      <c r="G411" t="s">
        <v>3366</v>
      </c>
      <c r="H411" t="s">
        <v>11915</v>
      </c>
      <c r="I411" s="11">
        <v>-0.79850653574766794</v>
      </c>
      <c r="J411" s="11">
        <v>0.147043668743332</v>
      </c>
      <c r="K411" s="11">
        <v>1.3196000000000401</v>
      </c>
      <c r="L411" s="12">
        <f>_xlfn.VAR.S(INDEX($I:$I,INT((ROW()-407)/3)*3+407):INDEX($I:$I,INT((ROW()-407)/3)*3+409))</f>
        <v>1.0394800636253195E-2</v>
      </c>
      <c r="M411" s="12">
        <f>_xlfn.VAR.S(INDEX($J:$J,INT((ROW()-407)/3)*3+180):INDEX($J:$J,INT((ROW()-407)/3)*3+409))</f>
        <v>2.0258209016804567E-2</v>
      </c>
      <c r="N411" s="12">
        <f>_xlfn.VAR.S(INDEX($K:$K,INT((ROW()-407)/3)*3+407):INDEX($K:$K,INT((ROW()-407)/3)*3+409))</f>
        <v>1.3096823333329491E-2</v>
      </c>
    </row>
    <row r="412" spans="1:14" ht="17.399999999999999" hidden="1">
      <c r="A412" t="s">
        <v>15341</v>
      </c>
      <c r="B412" t="s">
        <v>15441</v>
      </c>
      <c r="C412" t="s">
        <v>15445</v>
      </c>
      <c r="D412" t="s">
        <v>3518</v>
      </c>
      <c r="E412" t="s">
        <v>3671</v>
      </c>
      <c r="F412" t="s">
        <v>11464</v>
      </c>
      <c r="G412" t="s">
        <v>3366</v>
      </c>
      <c r="H412" t="s">
        <v>11915</v>
      </c>
      <c r="I412" s="11">
        <v>-0.758475446939333</v>
      </c>
      <c r="J412" s="11">
        <v>3.5947395664275898E-2</v>
      </c>
      <c r="K412" s="11">
        <v>1.37890000000004</v>
      </c>
      <c r="L412" s="12">
        <f>_xlfn.VAR.S(INDEX($I:$I,INT((ROW()-407)/3)*3+407):INDEX($I:$I,INT((ROW()-407)/3)*3+409))</f>
        <v>1.0394800636253195E-2</v>
      </c>
      <c r="M412" s="12">
        <f>_xlfn.VAR.S(INDEX($J:$J,INT((ROW()-407)/3)*3+180):INDEX($J:$J,INT((ROW()-407)/3)*3+409))</f>
        <v>2.0258209016804567E-2</v>
      </c>
      <c r="N412" s="12">
        <f>_xlfn.VAR.S(INDEX($K:$K,INT((ROW()-407)/3)*3+407):INDEX($K:$K,INT((ROW()-407)/3)*3+409))</f>
        <v>1.3096823333329491E-2</v>
      </c>
    </row>
    <row r="413" spans="1:14" s="16" customFormat="1" ht="17.399999999999999" hidden="1">
      <c r="A413" s="39" t="s">
        <v>15341</v>
      </c>
      <c r="B413" s="40" t="s">
        <v>15441</v>
      </c>
      <c r="C413" s="40" t="s">
        <v>15446</v>
      </c>
      <c r="D413" s="40" t="s">
        <v>3519</v>
      </c>
      <c r="E413" s="40" t="s">
        <v>3672</v>
      </c>
      <c r="F413" s="40" t="s">
        <v>11465</v>
      </c>
      <c r="G413" s="40" t="s">
        <v>3370</v>
      </c>
      <c r="H413" s="40" t="s">
        <v>11915</v>
      </c>
      <c r="I413" s="41">
        <v>-0.59361242845162399</v>
      </c>
      <c r="J413" s="41">
        <v>0.29751844596321397</v>
      </c>
      <c r="K413" s="41">
        <v>2.399</v>
      </c>
      <c r="L413" s="42">
        <f>_xlfn.VAR.S(INDEX($I:$I,INT((ROW()-407)/3)*3+407):INDEX($I:$I,INT((ROW()-407)/3)*3+409))</f>
        <v>1.2045801318465337E-3</v>
      </c>
      <c r="M413" s="42">
        <f>_xlfn.VAR.S(INDEX($J:$J,INT((ROW()-407)/3)*3+180):INDEX($J:$J,INT((ROW()-407)/3)*3+409))</f>
        <v>2.0634304629382375E-2</v>
      </c>
      <c r="N413" s="54">
        <f>_xlfn.VAR.S(INDEX($K:$K,INT((ROW()-407)/3)*3+407):INDEX($K:$K,INT((ROW()-407)/3)*3+409))</f>
        <v>0.44830604333331481</v>
      </c>
    </row>
    <row r="414" spans="1:14" ht="17.399999999999999" hidden="1">
      <c r="A414" s="45" t="s">
        <v>15341</v>
      </c>
      <c r="B414" s="9" t="s">
        <v>15441</v>
      </c>
      <c r="C414" s="9" t="s">
        <v>15446</v>
      </c>
      <c r="D414" s="9" t="s">
        <v>3490</v>
      </c>
      <c r="E414" s="9" t="s">
        <v>3483</v>
      </c>
      <c r="F414" s="9" t="s">
        <v>11466</v>
      </c>
      <c r="G414" s="9" t="s">
        <v>3366</v>
      </c>
      <c r="H414" s="9" t="s">
        <v>11915</v>
      </c>
      <c r="I414" s="46">
        <v>-0.649806027193921</v>
      </c>
      <c r="J414" s="46">
        <v>3.2648137602462601E-3</v>
      </c>
      <c r="K414" s="46">
        <v>1.2993000000000201</v>
      </c>
      <c r="L414" s="47"/>
      <c r="M414" s="47"/>
      <c r="N414" s="48"/>
    </row>
    <row r="415" spans="1:14" ht="18" hidden="1" thickBot="1">
      <c r="A415" s="49" t="s">
        <v>15341</v>
      </c>
      <c r="B415" s="50" t="s">
        <v>15441</v>
      </c>
      <c r="C415" s="50" t="s">
        <v>15446</v>
      </c>
      <c r="D415" s="50" t="s">
        <v>3520</v>
      </c>
      <c r="E415" s="50" t="s">
        <v>3673</v>
      </c>
      <c r="F415" s="50" t="s">
        <v>11467</v>
      </c>
      <c r="G415" s="50" t="s">
        <v>3366</v>
      </c>
      <c r="H415" s="50" t="s">
        <v>11915</v>
      </c>
      <c r="I415" s="51">
        <v>-0.58641829427275305</v>
      </c>
      <c r="J415" s="51">
        <v>1.65451041431167E-2</v>
      </c>
      <c r="K415" s="51">
        <v>1.18740000000003</v>
      </c>
      <c r="L415" s="52"/>
      <c r="M415" s="52"/>
      <c r="N415" s="53"/>
    </row>
    <row r="416" spans="1:14" s="16" customFormat="1" ht="17.399999999999999" hidden="1">
      <c r="A416" s="39" t="s">
        <v>15518</v>
      </c>
      <c r="B416" s="40" t="s">
        <v>15441</v>
      </c>
      <c r="C416" s="40" t="s">
        <v>15447</v>
      </c>
      <c r="D416" s="40" t="s">
        <v>3521</v>
      </c>
      <c r="E416" s="40" t="s">
        <v>3674</v>
      </c>
      <c r="F416" s="40" t="s">
        <v>11468</v>
      </c>
      <c r="G416" s="40" t="s">
        <v>3379</v>
      </c>
      <c r="H416" s="40" t="s">
        <v>11915</v>
      </c>
      <c r="I416" s="41">
        <v>-3.9487772187841497E-2</v>
      </c>
      <c r="J416" s="41">
        <v>-0.185475556179721</v>
      </c>
      <c r="K416" s="41">
        <v>0.879099999999994</v>
      </c>
      <c r="L416" s="42">
        <f>_xlfn.VAR.S(INDEX($I:$I,INT((ROW()-407)/3)*3+407):INDEX($I:$I,INT((ROW()-407)/3)*3+409))</f>
        <v>7.4562692688215034E-4</v>
      </c>
      <c r="M416" s="42">
        <f>_xlfn.VAR.S(INDEX($J:$J,INT((ROW()-407)/3)*3+180):INDEX($J:$J,INT((ROW()-407)/3)*3+409))</f>
        <v>2.0800008090849881E-2</v>
      </c>
      <c r="N416" s="54">
        <f>_xlfn.VAR.S(INDEX($K:$K,INT((ROW()-407)/3)*3+407):INDEX($K:$K,INT((ROW()-407)/3)*3+409))</f>
        <v>0.13248916333330824</v>
      </c>
    </row>
    <row r="417" spans="1:14" ht="17.399999999999999" hidden="1">
      <c r="A417" s="45" t="s">
        <v>15341</v>
      </c>
      <c r="B417" s="9" t="s">
        <v>15441</v>
      </c>
      <c r="C417" s="9" t="s">
        <v>15447</v>
      </c>
      <c r="D417" s="9" t="s">
        <v>3522</v>
      </c>
      <c r="E417" s="9" t="s">
        <v>3675</v>
      </c>
      <c r="F417" s="9" t="s">
        <v>11469</v>
      </c>
      <c r="G417" s="9" t="s">
        <v>3366</v>
      </c>
      <c r="H417" s="9" t="s">
        <v>11915</v>
      </c>
      <c r="I417" s="46">
        <v>-5.6474580481844602E-2</v>
      </c>
      <c r="J417" s="46">
        <v>4.6833654917055802E-2</v>
      </c>
      <c r="K417" s="46">
        <v>0.41240000000004801</v>
      </c>
      <c r="L417" s="47"/>
      <c r="M417" s="47"/>
      <c r="N417" s="48"/>
    </row>
    <row r="418" spans="1:14" ht="18" hidden="1" thickBot="1">
      <c r="A418" s="49" t="s">
        <v>15341</v>
      </c>
      <c r="B418" s="50" t="s">
        <v>15441</v>
      </c>
      <c r="C418" s="50" t="s">
        <v>15447</v>
      </c>
      <c r="D418" s="50" t="s">
        <v>3523</v>
      </c>
      <c r="E418" s="50" t="s">
        <v>3676</v>
      </c>
      <c r="F418" s="50" t="s">
        <v>11470</v>
      </c>
      <c r="G418" s="50" t="s">
        <v>3366</v>
      </c>
      <c r="H418" s="50" t="s">
        <v>11915</v>
      </c>
      <c r="I418" s="51">
        <v>-3.0315707900382999E-3</v>
      </c>
      <c r="J418" s="51">
        <v>3.4829692034020497E-2</v>
      </c>
      <c r="K418" s="51">
        <v>0.16190000000006</v>
      </c>
      <c r="L418" s="52"/>
      <c r="M418" s="52"/>
      <c r="N418" s="53"/>
    </row>
    <row r="419" spans="1:14" s="16" customFormat="1" ht="17.399999999999999" hidden="1">
      <c r="A419" s="16" t="s">
        <v>15341</v>
      </c>
      <c r="B419" s="16" t="s">
        <v>15441</v>
      </c>
      <c r="C419" s="16" t="s">
        <v>15448</v>
      </c>
      <c r="D419" s="16" t="s">
        <v>3476</v>
      </c>
      <c r="E419" s="16" t="s">
        <v>3536</v>
      </c>
      <c r="F419" s="16" t="s">
        <v>10578</v>
      </c>
      <c r="G419" s="16" t="s">
        <v>3372</v>
      </c>
      <c r="H419" s="16" t="s">
        <v>11899</v>
      </c>
      <c r="I419" s="21">
        <v>3.3114600100129198E-2</v>
      </c>
      <c r="J419" s="21">
        <v>-8.8587249212452E-3</v>
      </c>
      <c r="K419" s="21">
        <v>-7.2900000000004198E-2</v>
      </c>
      <c r="L419" s="22">
        <f>_xlfn.VAR.S(INDEX($I:$I,INT((ROW()-407)/3)*3+407):INDEX($I:$I,INT((ROW()-407)/3)*3+409))</f>
        <v>2.7750690251499835E-5</v>
      </c>
      <c r="M419" s="22">
        <f>_xlfn.VAR.S(INDEX($J:$J,INT((ROW()-407)/3)*3+180):INDEX($J:$J,INT((ROW()-407)/3)*3+409))</f>
        <v>2.0800102192607823E-2</v>
      </c>
      <c r="N419" s="22">
        <f>_xlfn.VAR.S(INDEX($K:$K,INT((ROW()-407)/3)*3+407):INDEX($K:$K,INT((ROW()-407)/3)*3+409))</f>
        <v>8.3633333332385437E-6</v>
      </c>
    </row>
    <row r="420" spans="1:14" ht="17.399999999999999" hidden="1">
      <c r="A420" t="s">
        <v>15341</v>
      </c>
      <c r="B420" t="s">
        <v>15441</v>
      </c>
      <c r="C420" t="s">
        <v>15448</v>
      </c>
      <c r="D420" t="s">
        <v>3467</v>
      </c>
      <c r="E420" t="s">
        <v>3445</v>
      </c>
      <c r="F420" t="s">
        <v>10610</v>
      </c>
      <c r="G420" t="s">
        <v>3366</v>
      </c>
      <c r="H420" t="s">
        <v>11908</v>
      </c>
      <c r="I420" s="11">
        <v>2.5093295868413398E-2</v>
      </c>
      <c r="J420" s="11">
        <v>-9.2730223933991194E-3</v>
      </c>
      <c r="K420" s="11">
        <v>-6.7400000000020596E-2</v>
      </c>
      <c r="L420" s="12">
        <f>_xlfn.VAR.S(INDEX($I:$I,INT((ROW()-407)/3)*3+407):INDEX($I:$I,INT((ROW()-407)/3)*3+409))</f>
        <v>2.7750690251499835E-5</v>
      </c>
      <c r="M420" s="12">
        <f>_xlfn.VAR.S(INDEX($J:$J,INT((ROW()-407)/3)*3+180):INDEX($J:$J,INT((ROW()-407)/3)*3+409))</f>
        <v>2.0800102192607823E-2</v>
      </c>
      <c r="N420" s="12">
        <f>_xlfn.VAR.S(INDEX($K:$K,INT((ROW()-407)/3)*3+407):INDEX($K:$K,INT((ROW()-407)/3)*3+409))</f>
        <v>8.3633333332385437E-6</v>
      </c>
    </row>
    <row r="421" spans="1:14" ht="17.399999999999999" hidden="1">
      <c r="A421" t="s">
        <v>15341</v>
      </c>
      <c r="B421" t="s">
        <v>15441</v>
      </c>
      <c r="C421" t="s">
        <v>15448</v>
      </c>
      <c r="D421" t="s">
        <v>3466</v>
      </c>
      <c r="E421" t="s">
        <v>3535</v>
      </c>
      <c r="F421" t="s">
        <v>11099</v>
      </c>
      <c r="G421" t="s">
        <v>3366</v>
      </c>
      <c r="H421" t="s">
        <v>11899</v>
      </c>
      <c r="I421" s="11">
        <v>2.31881995471593E-2</v>
      </c>
      <c r="J421" s="11">
        <v>-1.8001596013351599E-2</v>
      </c>
      <c r="K421" s="11">
        <v>-7.1699999999964306E-2</v>
      </c>
      <c r="L421" s="12">
        <f>_xlfn.VAR.S(INDEX($I:$I,INT((ROW()-407)/3)*3+407):INDEX($I:$I,INT((ROW()-407)/3)*3+409))</f>
        <v>2.7750690251499835E-5</v>
      </c>
      <c r="M421" s="12">
        <f>_xlfn.VAR.S(INDEX($J:$J,INT((ROW()-407)/3)*3+180):INDEX($J:$J,INT((ROW()-407)/3)*3+409))</f>
        <v>2.0800102192607823E-2</v>
      </c>
      <c r="N421" s="12">
        <f>_xlfn.VAR.S(INDEX($K:$K,INT((ROW()-407)/3)*3+407):INDEX($K:$K,INT((ROW()-407)/3)*3+409))</f>
        <v>8.3633333332385437E-6</v>
      </c>
    </row>
    <row r="422" spans="1:14" s="16" customFormat="1" ht="17.399999999999999" hidden="1">
      <c r="A422" s="16" t="s">
        <v>15341</v>
      </c>
      <c r="B422" s="16" t="s">
        <v>15441</v>
      </c>
      <c r="C422" s="16" t="s">
        <v>15449</v>
      </c>
      <c r="D422" s="16" t="s">
        <v>3430</v>
      </c>
      <c r="E422" s="16" t="s">
        <v>3511</v>
      </c>
      <c r="F422" s="16" t="s">
        <v>11383</v>
      </c>
      <c r="G422" s="16" t="s">
        <v>3375</v>
      </c>
      <c r="H422" s="16" t="s">
        <v>11901</v>
      </c>
      <c r="I422" s="21">
        <v>1.7858743570570199E-2</v>
      </c>
      <c r="J422" s="21">
        <v>-2.5229981769092899E-2</v>
      </c>
      <c r="K422" s="21">
        <v>5.2599999999984E-2</v>
      </c>
      <c r="L422" s="22">
        <f>_xlfn.VAR.S(INDEX($I:$I,INT((ROW()-407)/3)*3+407):INDEX($I:$I,INT((ROW()-407)/3)*3+409))</f>
        <v>9.5713727027397848E-6</v>
      </c>
      <c r="M422" s="22">
        <f>_xlfn.VAR.S(INDEX($J:$J,INT((ROW()-407)/3)*3+180):INDEX($J:$J,INT((ROW()-407)/3)*3+409))</f>
        <v>2.0748310120534148E-2</v>
      </c>
      <c r="N422" s="22">
        <f>_xlfn.VAR.S(INDEX($K:$K,INT((ROW()-407)/3)*3+407):INDEX($K:$K,INT((ROW()-407)/3)*3+409))</f>
        <v>1.7300999999911174E-4</v>
      </c>
    </row>
    <row r="423" spans="1:14" ht="17.399999999999999" hidden="1">
      <c r="A423" t="s">
        <v>15341</v>
      </c>
      <c r="B423" t="s">
        <v>15441</v>
      </c>
      <c r="C423" t="s">
        <v>15449</v>
      </c>
      <c r="D423" t="s">
        <v>3453</v>
      </c>
      <c r="E423" t="s">
        <v>3466</v>
      </c>
      <c r="F423" t="s">
        <v>10851</v>
      </c>
      <c r="G423" t="s">
        <v>3366</v>
      </c>
      <c r="H423" t="s">
        <v>11901</v>
      </c>
      <c r="I423" s="11">
        <v>2.20577327872249E-2</v>
      </c>
      <c r="J423" s="11">
        <v>-1.9507009735521399E-2</v>
      </c>
      <c r="K423" s="11">
        <v>3.6699999999996201E-2</v>
      </c>
      <c r="L423" s="12">
        <f>_xlfn.VAR.S(INDEX($I:$I,INT((ROW()-407)/3)*3+407):INDEX($I:$I,INT((ROW()-407)/3)*3+409))</f>
        <v>9.5713727027397848E-6</v>
      </c>
      <c r="M423" s="12">
        <f>_xlfn.VAR.S(INDEX($J:$J,INT((ROW()-407)/3)*3+180):INDEX($J:$J,INT((ROW()-407)/3)*3+409))</f>
        <v>2.0748310120534148E-2</v>
      </c>
      <c r="N423" s="12">
        <f>_xlfn.VAR.S(INDEX($K:$K,INT((ROW()-407)/3)*3+407):INDEX($K:$K,INT((ROW()-407)/3)*3+409))</f>
        <v>1.7300999999911174E-4</v>
      </c>
    </row>
    <row r="424" spans="1:14" ht="17.399999999999999" hidden="1">
      <c r="A424" t="s">
        <v>15341</v>
      </c>
      <c r="B424" t="s">
        <v>15441</v>
      </c>
      <c r="C424" t="s">
        <v>15449</v>
      </c>
      <c r="D424" t="s">
        <v>3441</v>
      </c>
      <c r="E424" t="s">
        <v>3579</v>
      </c>
      <c r="F424" t="s">
        <v>11471</v>
      </c>
      <c r="G424" t="s">
        <v>3366</v>
      </c>
      <c r="H424" t="s">
        <v>11901</v>
      </c>
      <c r="I424" s="11">
        <v>2.38940335593807E-2</v>
      </c>
      <c r="J424" s="11">
        <v>-1.56499205093238E-2</v>
      </c>
      <c r="K424" s="11">
        <v>2.65000000000555E-2</v>
      </c>
      <c r="L424" s="12">
        <f>_xlfn.VAR.S(INDEX($I:$I,INT((ROW()-407)/3)*3+407):INDEX($I:$I,INT((ROW()-407)/3)*3+409))</f>
        <v>9.5713727027397848E-6</v>
      </c>
      <c r="M424" s="12">
        <f>_xlfn.VAR.S(INDEX($J:$J,INT((ROW()-407)/3)*3+180):INDEX($J:$J,INT((ROW()-407)/3)*3+409))</f>
        <v>2.0748310120534148E-2</v>
      </c>
      <c r="N424" s="12">
        <f>_xlfn.VAR.S(INDEX($K:$K,INT((ROW()-407)/3)*3+407):INDEX($K:$K,INT((ROW()-407)/3)*3+409))</f>
        <v>1.7300999999911174E-4</v>
      </c>
    </row>
    <row r="425" spans="1:14" s="16" customFormat="1" ht="17.399999999999999">
      <c r="A425" s="16" t="s">
        <v>15341</v>
      </c>
      <c r="B425" s="16" t="s">
        <v>15442</v>
      </c>
      <c r="C425" s="16" t="s">
        <v>15450</v>
      </c>
      <c r="D425" s="16" t="s">
        <v>3524</v>
      </c>
      <c r="E425" s="16" t="s">
        <v>3677</v>
      </c>
      <c r="F425" s="16" t="s">
        <v>11472</v>
      </c>
      <c r="G425" s="16" t="s">
        <v>3377</v>
      </c>
      <c r="H425" s="16" t="s">
        <v>11915</v>
      </c>
      <c r="I425" s="21">
        <v>-0.70650823208672398</v>
      </c>
      <c r="J425" s="21">
        <v>1.0923365367332599E-2</v>
      </c>
      <c r="K425" s="21">
        <v>1.1648999999999901</v>
      </c>
      <c r="L425" s="22">
        <f>_xlfn.VAR.S(INDEX($I:$I,INT((ROW()-407)/3)*3+407):INDEX($I:$I,INT((ROW()-407)/3)*3+409))</f>
        <v>2.5405083725195945E-3</v>
      </c>
      <c r="M425" s="22">
        <f>_xlfn.VAR.S(INDEX($J:$J,INT((ROW()-407)/3)*3+180):INDEX($J:$J,INT((ROW()-407)/3)*3+409))</f>
        <v>2.0751039647968723E-2</v>
      </c>
      <c r="N425" s="22">
        <f>_xlfn.VAR.S(INDEX($K:$K,INT((ROW()-407)/3)*3+407):INDEX($K:$K,INT((ROW()-407)/3)*3+409))</f>
        <v>3.6553299999965323E-3</v>
      </c>
    </row>
    <row r="426" spans="1:14" ht="17.399999999999999">
      <c r="A426" t="s">
        <v>15341</v>
      </c>
      <c r="B426" t="s">
        <v>15442</v>
      </c>
      <c r="C426" t="s">
        <v>15450</v>
      </c>
      <c r="D426" t="s">
        <v>3523</v>
      </c>
      <c r="E426" t="s">
        <v>3678</v>
      </c>
      <c r="F426" t="s">
        <v>11472</v>
      </c>
      <c r="G426" t="s">
        <v>3366</v>
      </c>
      <c r="H426" t="s">
        <v>11915</v>
      </c>
      <c r="I426" s="11">
        <v>-0.61559459104735104</v>
      </c>
      <c r="J426" s="11">
        <v>-2.0286303582619899E-2</v>
      </c>
      <c r="K426" s="11">
        <v>1.0726000000000799</v>
      </c>
      <c r="L426" s="12">
        <f>_xlfn.VAR.S(INDEX($I:$I,INT((ROW()-407)/3)*3+407):INDEX($I:$I,INT((ROW()-407)/3)*3+409))</f>
        <v>2.5405083725195945E-3</v>
      </c>
      <c r="M426" s="12">
        <f>_xlfn.VAR.S(INDEX($J:$J,INT((ROW()-407)/3)*3+180):INDEX($J:$J,INT((ROW()-407)/3)*3+409))</f>
        <v>2.0751039647968723E-2</v>
      </c>
      <c r="N426" s="12">
        <f>_xlfn.VAR.S(INDEX($K:$K,INT((ROW()-407)/3)*3+407):INDEX($K:$K,INT((ROW()-407)/3)*3+409))</f>
        <v>3.6553299999965323E-3</v>
      </c>
    </row>
    <row r="427" spans="1:14" ht="18" thickBot="1">
      <c r="A427" t="s">
        <v>15341</v>
      </c>
      <c r="B427" t="s">
        <v>15442</v>
      </c>
      <c r="C427" t="s">
        <v>15450</v>
      </c>
      <c r="D427" t="s">
        <v>3525</v>
      </c>
      <c r="E427" t="s">
        <v>3679</v>
      </c>
      <c r="F427" t="s">
        <v>11472</v>
      </c>
      <c r="G427" t="s">
        <v>3366</v>
      </c>
      <c r="H427" t="s">
        <v>11915</v>
      </c>
      <c r="I427" s="11">
        <v>-0.62333460467300394</v>
      </c>
      <c r="J427" s="11">
        <v>-1.47879464617142E-2</v>
      </c>
      <c r="K427" s="11">
        <v>1.0511000000000199</v>
      </c>
      <c r="L427" s="12">
        <f>_xlfn.VAR.S(INDEX($I:$I,INT((ROW()-407)/3)*3+407):INDEX($I:$I,INT((ROW()-407)/3)*3+409))</f>
        <v>2.5405083725195945E-3</v>
      </c>
      <c r="M427" s="12">
        <f>_xlfn.VAR.S(INDEX($J:$J,INT((ROW()-407)/3)*3+180):INDEX($J:$J,INT((ROW()-407)/3)*3+409))</f>
        <v>2.0751039647968723E-2</v>
      </c>
      <c r="N427" s="12">
        <f>_xlfn.VAR.S(INDEX($K:$K,INT((ROW()-407)/3)*3+407):INDEX($K:$K,INT((ROW()-407)/3)*3+409))</f>
        <v>3.6553299999965323E-3</v>
      </c>
    </row>
    <row r="428" spans="1:14" s="16" customFormat="1" ht="17.399999999999999">
      <c r="A428" s="39" t="s">
        <v>15341</v>
      </c>
      <c r="B428" s="40" t="s">
        <v>15442</v>
      </c>
      <c r="C428" s="40" t="s">
        <v>15445</v>
      </c>
      <c r="D428" s="40" t="s">
        <v>3526</v>
      </c>
      <c r="E428" s="40" t="s">
        <v>3680</v>
      </c>
      <c r="F428" s="40" t="s">
        <v>11473</v>
      </c>
      <c r="G428" s="40" t="s">
        <v>3375</v>
      </c>
      <c r="H428" s="40" t="s">
        <v>11915</v>
      </c>
      <c r="I428" s="41">
        <v>-0.48593067192643502</v>
      </c>
      <c r="J428" s="41">
        <v>4.0083260916712202E-2</v>
      </c>
      <c r="K428" s="41">
        <v>0.73099999999999499</v>
      </c>
      <c r="L428" s="43">
        <f>_xlfn.VAR.S(INDEX($I:$I,INT((ROW()-407)/3)*3+407):INDEX($I:$I,INT((ROW()-407)/3)*3+409))</f>
        <v>0.17006333559107348</v>
      </c>
      <c r="M428" s="42">
        <f>_xlfn.VAR.S(INDEX($J:$J,INT((ROW()-407)/3)*3+180):INDEX($J:$J,INT((ROW()-407)/3)*3+409))</f>
        <v>2.2325255226756772E-2</v>
      </c>
      <c r="N428" s="61">
        <f>_xlfn.VAR.S(INDEX($K:$K,INT((ROW()-407)/3)*3+407):INDEX($K:$K,INT((ROW()-407)/3)*3+409))</f>
        <v>1.2425773333332897</v>
      </c>
    </row>
    <row r="429" spans="1:14" ht="17.399999999999999">
      <c r="A429" s="45" t="s">
        <v>15341</v>
      </c>
      <c r="B429" s="9" t="s">
        <v>15442</v>
      </c>
      <c r="C429" s="9" t="s">
        <v>15445</v>
      </c>
      <c r="D429" s="9" t="s">
        <v>3527</v>
      </c>
      <c r="E429" s="9" t="s">
        <v>3681</v>
      </c>
      <c r="F429" s="9" t="s">
        <v>11474</v>
      </c>
      <c r="G429" s="9" t="s">
        <v>3366</v>
      </c>
      <c r="H429" s="9" t="s">
        <v>11915</v>
      </c>
      <c r="I429" s="46">
        <v>0.14856286640323399</v>
      </c>
      <c r="J429" s="46">
        <v>0.414662007284616</v>
      </c>
      <c r="K429" s="46">
        <v>-0.69099999999991701</v>
      </c>
      <c r="L429" s="47"/>
      <c r="M429" s="47"/>
      <c r="N429" s="48"/>
    </row>
    <row r="430" spans="1:14" ht="18" thickBot="1">
      <c r="A430" s="49" t="s">
        <v>15341</v>
      </c>
      <c r="B430" s="50" t="s">
        <v>15442</v>
      </c>
      <c r="C430" s="50" t="s">
        <v>15445</v>
      </c>
      <c r="D430" s="50" t="s">
        <v>3528</v>
      </c>
      <c r="E430" s="50" t="s">
        <v>3682</v>
      </c>
      <c r="F430" s="50" t="s">
        <v>11474</v>
      </c>
      <c r="G430" s="50" t="s">
        <v>3366</v>
      </c>
      <c r="H430" s="50" t="s">
        <v>11915</v>
      </c>
      <c r="I430" s="51">
        <v>0.287664066595822</v>
      </c>
      <c r="J430" s="51">
        <v>0.43407031311544803</v>
      </c>
      <c r="K430" s="51">
        <v>-1.4669999999999801</v>
      </c>
      <c r="L430" s="52"/>
      <c r="M430" s="52"/>
      <c r="N430" s="53"/>
    </row>
    <row r="431" spans="1:14" s="16" customFormat="1" ht="17.399999999999999">
      <c r="A431" s="16" t="s">
        <v>15341</v>
      </c>
      <c r="B431" s="16" t="s">
        <v>15442</v>
      </c>
      <c r="C431" s="16" t="s">
        <v>15451</v>
      </c>
      <c r="D431" s="16" t="s">
        <v>3427</v>
      </c>
      <c r="E431" s="16" t="s">
        <v>3441</v>
      </c>
      <c r="F431" s="16" t="s">
        <v>10574</v>
      </c>
      <c r="G431" s="16" t="s">
        <v>3380</v>
      </c>
      <c r="H431" s="16" t="s">
        <v>11903</v>
      </c>
      <c r="I431" s="21">
        <v>3.7722235031584998E-2</v>
      </c>
      <c r="J431" s="21">
        <v>2.17275002780596E-2</v>
      </c>
      <c r="K431" s="21">
        <v>-0.14919999999995101</v>
      </c>
      <c r="L431" s="22">
        <f>_xlfn.VAR.S(INDEX($I:$I,INT((ROW()-407)/3)*3+407):INDEX($I:$I,INT((ROW()-407)/3)*3+409))</f>
        <v>6.5355520625479366E-7</v>
      </c>
      <c r="M431" s="22">
        <f>_xlfn.VAR.S(INDEX($J:$J,INT((ROW()-407)/3)*3+180):INDEX($J:$J,INT((ROW()-407)/3)*3+409))</f>
        <v>2.205252862535817E-2</v>
      </c>
      <c r="N431" s="22">
        <f>_xlfn.VAR.S(INDEX($K:$K,INT((ROW()-407)/3)*3+407):INDEX($K:$K,INT((ROW()-407)/3)*3+409))</f>
        <v>2.4674333333303078E-4</v>
      </c>
    </row>
    <row r="432" spans="1:14" ht="17.399999999999999">
      <c r="A432" t="s">
        <v>15341</v>
      </c>
      <c r="B432" t="s">
        <v>15442</v>
      </c>
      <c r="C432" t="s">
        <v>15451</v>
      </c>
      <c r="D432" t="s">
        <v>3431</v>
      </c>
      <c r="E432" t="s">
        <v>3462</v>
      </c>
      <c r="F432" t="s">
        <v>11184</v>
      </c>
      <c r="G432" t="s">
        <v>3366</v>
      </c>
      <c r="H432" t="s">
        <v>11903</v>
      </c>
      <c r="I432" s="11">
        <v>3.6215367199950402E-2</v>
      </c>
      <c r="J432" s="11">
        <v>2.5038676575978001E-2</v>
      </c>
      <c r="K432" s="11">
        <v>-0.12590000000000101</v>
      </c>
      <c r="L432" s="12">
        <f>_xlfn.VAR.S(INDEX($I:$I,INT((ROW()-407)/3)*3+407):INDEX($I:$I,INT((ROW()-407)/3)*3+409))</f>
        <v>6.5355520625479366E-7</v>
      </c>
      <c r="M432" s="12">
        <f>_xlfn.VAR.S(INDEX($J:$J,INT((ROW()-407)/3)*3+180):INDEX($J:$J,INT((ROW()-407)/3)*3+409))</f>
        <v>2.205252862535817E-2</v>
      </c>
      <c r="N432" s="12">
        <f>_xlfn.VAR.S(INDEX($K:$K,INT((ROW()-407)/3)*3+407):INDEX($K:$K,INT((ROW()-407)/3)*3+409))</f>
        <v>2.4674333333303078E-4</v>
      </c>
    </row>
    <row r="433" spans="1:14" ht="17.399999999999999">
      <c r="A433" t="s">
        <v>15341</v>
      </c>
      <c r="B433" t="s">
        <v>15442</v>
      </c>
      <c r="C433" t="s">
        <v>15451</v>
      </c>
      <c r="D433" t="s">
        <v>3431</v>
      </c>
      <c r="E433" t="s">
        <v>3426</v>
      </c>
      <c r="F433" t="s">
        <v>10842</v>
      </c>
      <c r="G433" t="s">
        <v>3366</v>
      </c>
      <c r="H433" t="s">
        <v>11903</v>
      </c>
      <c r="I433" s="11">
        <v>3.6461181551277699E-2</v>
      </c>
      <c r="J433" s="11">
        <v>2.5507302313468101E-2</v>
      </c>
      <c r="K433" s="11">
        <v>-0.119299999999953</v>
      </c>
      <c r="L433" s="12">
        <f>_xlfn.VAR.S(INDEX($I:$I,INT((ROW()-407)/3)*3+407):INDEX($I:$I,INT((ROW()-407)/3)*3+409))</f>
        <v>6.5355520625479366E-7</v>
      </c>
      <c r="M433" s="12">
        <f>_xlfn.VAR.S(INDEX($J:$J,INT((ROW()-407)/3)*3+180):INDEX($J:$J,INT((ROW()-407)/3)*3+409))</f>
        <v>2.205252862535817E-2</v>
      </c>
      <c r="N433" s="12">
        <f>_xlfn.VAR.S(INDEX($K:$K,INT((ROW()-407)/3)*3+407):INDEX($K:$K,INT((ROW()-407)/3)*3+409))</f>
        <v>2.4674333333303078E-4</v>
      </c>
    </row>
    <row r="434" spans="1:14" s="16" customFormat="1" ht="17.399999999999999" hidden="1">
      <c r="A434" s="16" t="s">
        <v>15341</v>
      </c>
      <c r="B434" s="16" t="s">
        <v>15443</v>
      </c>
      <c r="C434" s="16" t="s">
        <v>15452</v>
      </c>
      <c r="D434" s="16" t="s">
        <v>3445</v>
      </c>
      <c r="E434" s="16" t="s">
        <v>3683</v>
      </c>
      <c r="F434" s="16" t="s">
        <v>11475</v>
      </c>
      <c r="G434" s="16" t="s">
        <v>3380</v>
      </c>
      <c r="H434" s="16" t="s">
        <v>11890</v>
      </c>
      <c r="I434" s="21">
        <v>-7.4344323274004604E-3</v>
      </c>
      <c r="J434" s="21">
        <v>-1.23034357667601E-2</v>
      </c>
      <c r="K434" s="21">
        <v>4.4100000000071297E-2</v>
      </c>
      <c r="L434" s="22">
        <f>_xlfn.VAR.S(INDEX($I:$I,INT((ROW()-407)/3)*3+407):INDEX($I:$I,INT((ROW()-407)/3)*3+409))</f>
        <v>4.5443187251474785E-6</v>
      </c>
      <c r="M434" s="22">
        <f>_xlfn.VAR.S(INDEX($J:$J,INT((ROW()-407)/3)*3+180):INDEX($J:$J,INT((ROW()-407)/3)*3+409))</f>
        <v>2.1734202249063698E-2</v>
      </c>
      <c r="N434" s="22">
        <f>_xlfn.VAR.S(INDEX($K:$K,INT((ROW()-407)/3)*3+407):INDEX($K:$K,INT((ROW()-407)/3)*3+409))</f>
        <v>2.59903333333242E-4</v>
      </c>
    </row>
    <row r="435" spans="1:14" ht="17.399999999999999" hidden="1">
      <c r="A435" t="s">
        <v>15341</v>
      </c>
      <c r="B435" t="s">
        <v>15443</v>
      </c>
      <c r="C435" t="s">
        <v>15452</v>
      </c>
      <c r="D435" t="s">
        <v>3529</v>
      </c>
      <c r="E435" t="s">
        <v>3684</v>
      </c>
      <c r="F435" t="s">
        <v>11476</v>
      </c>
      <c r="G435" t="s">
        <v>3366</v>
      </c>
      <c r="H435" t="s">
        <v>11885</v>
      </c>
      <c r="I435" s="11">
        <v>-8.4939465778643593E-3</v>
      </c>
      <c r="J435" s="11">
        <v>-9.6450320463375705E-3</v>
      </c>
      <c r="K435" s="11">
        <v>1.4200000000073499E-2</v>
      </c>
      <c r="L435" s="12">
        <f>_xlfn.VAR.S(INDEX($I:$I,INT((ROW()-407)/3)*3+407):INDEX($I:$I,INT((ROW()-407)/3)*3+409))</f>
        <v>4.5443187251474785E-6</v>
      </c>
      <c r="M435" s="12">
        <f>_xlfn.VAR.S(INDEX($J:$J,INT((ROW()-407)/3)*3+180):INDEX($J:$J,INT((ROW()-407)/3)*3+409))</f>
        <v>2.1734202249063698E-2</v>
      </c>
      <c r="N435" s="12">
        <f>_xlfn.VAR.S(INDEX($K:$K,INT((ROW()-407)/3)*3+407):INDEX($K:$K,INT((ROW()-407)/3)*3+409))</f>
        <v>2.59903333333242E-4</v>
      </c>
    </row>
    <row r="436" spans="1:14" ht="17.399999999999999" hidden="1">
      <c r="A436" t="s">
        <v>15341</v>
      </c>
      <c r="B436" t="s">
        <v>15443</v>
      </c>
      <c r="C436" t="s">
        <v>15452</v>
      </c>
      <c r="D436" t="s">
        <v>3529</v>
      </c>
      <c r="E436" t="s">
        <v>3684</v>
      </c>
      <c r="F436" t="s">
        <v>11355</v>
      </c>
      <c r="G436" t="s">
        <v>3366</v>
      </c>
      <c r="H436" t="s">
        <v>11885</v>
      </c>
      <c r="I436" s="11">
        <v>-4.3877347359834798E-3</v>
      </c>
      <c r="J436" s="11">
        <v>-7.8233017464820302E-3</v>
      </c>
      <c r="K436" s="11">
        <v>1.8700000000080801E-2</v>
      </c>
      <c r="L436" s="12">
        <f>_xlfn.VAR.S(INDEX($I:$I,INT((ROW()-407)/3)*3+407):INDEX($I:$I,INT((ROW()-407)/3)*3+409))</f>
        <v>4.5443187251474785E-6</v>
      </c>
      <c r="M436" s="12">
        <f>_xlfn.VAR.S(INDEX($J:$J,INT((ROW()-407)/3)*3+180):INDEX($J:$J,INT((ROW()-407)/3)*3+409))</f>
        <v>2.1734202249063698E-2</v>
      </c>
      <c r="N436" s="12">
        <f>_xlfn.VAR.S(INDEX($K:$K,INT((ROW()-407)/3)*3+407):INDEX($K:$K,INT((ROW()-407)/3)*3+409))</f>
        <v>2.59903333333242E-4</v>
      </c>
    </row>
    <row r="437" spans="1:14" s="16" customFormat="1" ht="17.399999999999999" hidden="1">
      <c r="A437" s="16" t="s">
        <v>15341</v>
      </c>
      <c r="B437" s="16" t="s">
        <v>15443</v>
      </c>
      <c r="C437" s="16" t="s">
        <v>15477</v>
      </c>
      <c r="D437" s="16" t="s">
        <v>3434</v>
      </c>
      <c r="E437" s="16" t="s">
        <v>3426</v>
      </c>
      <c r="F437" s="16" t="s">
        <v>11477</v>
      </c>
      <c r="G437" s="16" t="s">
        <v>3388</v>
      </c>
      <c r="H437" s="16" t="s">
        <v>11890</v>
      </c>
      <c r="I437" s="21">
        <v>6.8902503701416904E-3</v>
      </c>
      <c r="J437" s="21">
        <v>1.13083576661897E-2</v>
      </c>
      <c r="K437" s="21">
        <v>-4.3400000000019603E-2</v>
      </c>
      <c r="L437" s="22">
        <f>_xlfn.VAR.S(INDEX($I:$I,INT((ROW()-407)/3)*3+407):INDEX($I:$I,INT((ROW()-407)/3)*3+409))</f>
        <v>1.7029908225817683E-6</v>
      </c>
      <c r="M437" s="22">
        <f>_xlfn.VAR.S(INDEX($J:$J,INT((ROW()-407)/3)*3+180):INDEX($J:$J,INT((ROW()-407)/3)*3+409))</f>
        <v>2.1429501192018027E-2</v>
      </c>
      <c r="N437" s="22">
        <f>_xlfn.VAR.S(INDEX($K:$K,INT((ROW()-407)/3)*3+407):INDEX($K:$K,INT((ROW()-407)/3)*3+409))</f>
        <v>2.456233333330564E-4</v>
      </c>
    </row>
    <row r="438" spans="1:14" ht="17.399999999999999" hidden="1">
      <c r="A438" t="s">
        <v>15341</v>
      </c>
      <c r="B438" t="s">
        <v>15443</v>
      </c>
      <c r="C438" t="s">
        <v>15477</v>
      </c>
      <c r="D438" t="s">
        <v>3435</v>
      </c>
      <c r="E438" t="s">
        <v>3465</v>
      </c>
      <c r="F438" t="s">
        <v>11478</v>
      </c>
      <c r="G438" t="s">
        <v>3366</v>
      </c>
      <c r="H438" t="s">
        <v>11890</v>
      </c>
      <c r="I438" s="11">
        <v>5.2528851596878598E-3</v>
      </c>
      <c r="J438" s="11">
        <v>9.1171037016491707E-3</v>
      </c>
      <c r="K438" s="11">
        <v>-3.5199999999917998E-2</v>
      </c>
      <c r="L438" s="12">
        <f>_xlfn.VAR.S(INDEX($I:$I,INT((ROW()-407)/3)*3+407):INDEX($I:$I,INT((ROW()-407)/3)*3+409))</f>
        <v>1.7029908225817683E-6</v>
      </c>
      <c r="M438" s="12">
        <f>_xlfn.VAR.S(INDEX($J:$J,INT((ROW()-407)/3)*3+180):INDEX($J:$J,INT((ROW()-407)/3)*3+409))</f>
        <v>2.1429501192018027E-2</v>
      </c>
      <c r="N438" s="12">
        <f>_xlfn.VAR.S(INDEX($K:$K,INT((ROW()-407)/3)*3+407):INDEX($K:$K,INT((ROW()-407)/3)*3+409))</f>
        <v>2.456233333330564E-4</v>
      </c>
    </row>
    <row r="439" spans="1:14" ht="17.399999999999999" hidden="1">
      <c r="A439" t="s">
        <v>15341</v>
      </c>
      <c r="B439" t="s">
        <v>15443</v>
      </c>
      <c r="C439" t="s">
        <v>15477</v>
      </c>
      <c r="D439" t="s">
        <v>3435</v>
      </c>
      <c r="E439" t="s">
        <v>3465</v>
      </c>
      <c r="F439" t="s">
        <v>11478</v>
      </c>
      <c r="G439" t="s">
        <v>3366</v>
      </c>
      <c r="H439" t="s">
        <v>11890</v>
      </c>
      <c r="I439" s="11">
        <v>7.8317520857862904E-3</v>
      </c>
      <c r="J439" s="11">
        <v>1.08662633288674E-2</v>
      </c>
      <c r="K439" s="11">
        <v>-1.3100000000008501E-2</v>
      </c>
      <c r="L439" s="12">
        <f>_xlfn.VAR.S(INDEX($I:$I,INT((ROW()-407)/3)*3+407):INDEX($I:$I,INT((ROW()-407)/3)*3+409))</f>
        <v>1.7029908225817683E-6</v>
      </c>
      <c r="M439" s="12">
        <f>_xlfn.VAR.S(INDEX($J:$J,INT((ROW()-407)/3)*3+180):INDEX($J:$J,INT((ROW()-407)/3)*3+409))</f>
        <v>2.1429501192018027E-2</v>
      </c>
      <c r="N439" s="12">
        <f>_xlfn.VAR.S(INDEX($K:$K,INT((ROW()-407)/3)*3+407):INDEX($K:$K,INT((ROW()-407)/3)*3+409))</f>
        <v>2.456233333330564E-4</v>
      </c>
    </row>
    <row r="440" spans="1:14" s="16" customFormat="1" ht="17.399999999999999" hidden="1">
      <c r="A440" s="16" t="s">
        <v>15344</v>
      </c>
      <c r="B440" s="16" t="s">
        <v>15441</v>
      </c>
      <c r="C440" s="16" t="s">
        <v>15445</v>
      </c>
      <c r="D440" s="16" t="s">
        <v>3425</v>
      </c>
      <c r="E440" s="16" t="s">
        <v>3452</v>
      </c>
      <c r="F440" s="16" t="s">
        <v>10480</v>
      </c>
      <c r="G440" s="16" t="s">
        <v>3366</v>
      </c>
      <c r="H440" s="16" t="s">
        <v>11885</v>
      </c>
      <c r="I440" s="21">
        <v>1.3116918254239799E-2</v>
      </c>
      <c r="J440" s="21">
        <v>-1.36657518405501E-2</v>
      </c>
      <c r="K440" s="21">
        <v>-0.13729999999999601</v>
      </c>
      <c r="L440" s="22">
        <f>_xlfn.VAR.S(INDEX($I:$I,INT((ROW()-407)/3)*3+407):INDEX($I:$I,INT((ROW()-407)/3)*3+409))</f>
        <v>4.7436112576432305E-5</v>
      </c>
      <c r="M440" s="22">
        <f>_xlfn.VAR.S(INDEX($J:$J,INT((ROW()-407)/3)*3+180):INDEX($J:$J,INT((ROW()-407)/3)*3+409))</f>
        <v>2.132257010629789E-2</v>
      </c>
      <c r="N440" s="22">
        <f>_xlfn.VAR.S(INDEX($K:$K,INT((ROW()-407)/3)*3+407):INDEX($K:$K,INT((ROW()-407)/3)*3+409))</f>
        <v>6.6333333333331675E-7</v>
      </c>
    </row>
    <row r="441" spans="1:14" ht="17.399999999999999" hidden="1">
      <c r="A441" t="s">
        <v>15344</v>
      </c>
      <c r="B441" s="6" t="s">
        <v>15517</v>
      </c>
      <c r="C441" t="s">
        <v>15445</v>
      </c>
      <c r="D441">
        <v>1.2E-2</v>
      </c>
      <c r="E441" t="s">
        <v>3461</v>
      </c>
      <c r="F441" t="s">
        <v>10481</v>
      </c>
      <c r="G441" t="s">
        <v>3366</v>
      </c>
      <c r="H441" t="s">
        <v>11886</v>
      </c>
      <c r="I441" s="11">
        <v>1.2378202482535801E-2</v>
      </c>
      <c r="J441" s="11">
        <v>-1.3517253008961901E-2</v>
      </c>
      <c r="K441" s="11">
        <v>-0.13599999999999601</v>
      </c>
      <c r="L441" s="12">
        <f>_xlfn.VAR.S(INDEX($I:$I,INT((ROW()-407)/3)*3+407):INDEX($I:$I,INT((ROW()-407)/3)*3+409))</f>
        <v>4.7436112576432305E-5</v>
      </c>
      <c r="M441" s="12">
        <f>_xlfn.VAR.S(INDEX($J:$J,INT((ROW()-407)/3)*3+180):INDEX($J:$J,INT((ROW()-407)/3)*3+409))</f>
        <v>2.132257010629789E-2</v>
      </c>
      <c r="N441" s="12">
        <f>_xlfn.VAR.S(INDEX($K:$K,INT((ROW()-407)/3)*3+407):INDEX($K:$K,INT((ROW()-407)/3)*3+409))</f>
        <v>6.6333333333331675E-7</v>
      </c>
    </row>
    <row r="442" spans="1:14" ht="17.399999999999999" hidden="1">
      <c r="A442" t="s">
        <v>15344</v>
      </c>
      <c r="B442" t="s">
        <v>15441</v>
      </c>
      <c r="C442" t="s">
        <v>15445</v>
      </c>
      <c r="D442" t="s">
        <v>3426</v>
      </c>
      <c r="E442" t="s">
        <v>3464</v>
      </c>
      <c r="F442" t="s">
        <v>10482</v>
      </c>
      <c r="G442" t="s">
        <v>3366</v>
      </c>
      <c r="H442" t="s">
        <v>11886</v>
      </c>
      <c r="I442" s="11">
        <v>8.3542109847604398E-4</v>
      </c>
      <c r="J442" s="11">
        <v>-8.4213231763595603E-3</v>
      </c>
      <c r="K442" s="11">
        <v>-0.13749999999999599</v>
      </c>
      <c r="L442" s="12">
        <f>_xlfn.VAR.S(INDEX($I:$I,INT((ROW()-407)/3)*3+407):INDEX($I:$I,INT((ROW()-407)/3)*3+409))</f>
        <v>4.7436112576432305E-5</v>
      </c>
      <c r="M442" s="12">
        <f>_xlfn.VAR.S(INDEX($J:$J,INT((ROW()-407)/3)*3+180):INDEX($J:$J,INT((ROW()-407)/3)*3+409))</f>
        <v>2.132257010629789E-2</v>
      </c>
      <c r="N442" s="12">
        <f>_xlfn.VAR.S(INDEX($K:$K,INT((ROW()-407)/3)*3+407):INDEX($K:$K,INT((ROW()-407)/3)*3+409))</f>
        <v>6.6333333333331675E-7</v>
      </c>
    </row>
    <row r="443" spans="1:14" s="16" customFormat="1" ht="17.399999999999999" hidden="1">
      <c r="A443" s="16" t="s">
        <v>15344</v>
      </c>
      <c r="B443" s="16" t="s">
        <v>15441</v>
      </c>
      <c r="C443" s="16" t="s">
        <v>15446</v>
      </c>
      <c r="D443" s="16" t="s">
        <v>3427</v>
      </c>
      <c r="E443" s="16" t="s">
        <v>3442</v>
      </c>
      <c r="F443" s="16" t="s">
        <v>10483</v>
      </c>
      <c r="G443" s="16" t="s">
        <v>3380</v>
      </c>
      <c r="H443" s="16" t="s">
        <v>11886</v>
      </c>
      <c r="I443" s="21">
        <v>1.6207485663779001E-2</v>
      </c>
      <c r="J443" s="21">
        <v>-1.7139912079982701E-2</v>
      </c>
      <c r="K443" s="21">
        <v>-0.131799999999998</v>
      </c>
      <c r="L443" s="22">
        <f>_xlfn.VAR.S(INDEX($I:$I,INT((ROW()-407)/3)*3+407):INDEX($I:$I,INT((ROW()-407)/3)*3+409))</f>
        <v>1.4364435544597241E-5</v>
      </c>
      <c r="M443" s="22">
        <f>_xlfn.VAR.S(INDEX($J:$J,INT((ROW()-407)/3)*3+180):INDEX($J:$J,INT((ROW()-407)/3)*3+409))</f>
        <v>2.1330761508698753E-2</v>
      </c>
      <c r="N443" s="22">
        <f>_xlfn.VAR.S(INDEX($K:$K,INT((ROW()-407)/3)*3+407):INDEX($K:$K,INT((ROW()-407)/3)*3+409))</f>
        <v>3.2373333333319012E-5</v>
      </c>
    </row>
    <row r="444" spans="1:14" ht="17.399999999999999" hidden="1">
      <c r="A444" t="s">
        <v>15344</v>
      </c>
      <c r="B444" t="s">
        <v>15441</v>
      </c>
      <c r="C444" t="s">
        <v>15446</v>
      </c>
      <c r="D444" t="s">
        <v>3428</v>
      </c>
      <c r="E444" t="s">
        <v>3441</v>
      </c>
      <c r="F444" t="s">
        <v>10484</v>
      </c>
      <c r="G444" t="s">
        <v>3366</v>
      </c>
      <c r="H444" t="s">
        <v>11885</v>
      </c>
      <c r="I444" s="11">
        <v>1.61960498487295E-2</v>
      </c>
      <c r="J444" s="11">
        <v>-1.9907639877002201E-2</v>
      </c>
      <c r="K444" s="11">
        <v>-0.142199999999995</v>
      </c>
      <c r="L444" s="12">
        <f>_xlfn.VAR.S(INDEX($I:$I,INT((ROW()-407)/3)*3+407):INDEX($I:$I,INT((ROW()-407)/3)*3+409))</f>
        <v>1.4364435544597241E-5</v>
      </c>
      <c r="M444" s="12">
        <f>_xlfn.VAR.S(INDEX($J:$J,INT((ROW()-407)/3)*3+180):INDEX($J:$J,INT((ROW()-407)/3)*3+409))</f>
        <v>2.1330761508698753E-2</v>
      </c>
      <c r="N444" s="12">
        <f>_xlfn.VAR.S(INDEX($K:$K,INT((ROW()-407)/3)*3+407):INDEX($K:$K,INT((ROW()-407)/3)*3+409))</f>
        <v>3.2373333333319012E-5</v>
      </c>
    </row>
    <row r="445" spans="1:14" ht="17.399999999999999" hidden="1">
      <c r="A445" t="s">
        <v>15344</v>
      </c>
      <c r="B445" t="s">
        <v>15441</v>
      </c>
      <c r="C445" t="s">
        <v>15446</v>
      </c>
      <c r="D445" t="s">
        <v>3428</v>
      </c>
      <c r="E445" t="s">
        <v>3453</v>
      </c>
      <c r="F445" t="s">
        <v>10485</v>
      </c>
      <c r="G445" t="s">
        <v>3366</v>
      </c>
      <c r="H445" t="s">
        <v>11886</v>
      </c>
      <c r="I445" s="11">
        <v>9.6372259938467299E-3</v>
      </c>
      <c r="J445" s="11">
        <v>-2.1377171144568701E-2</v>
      </c>
      <c r="K445" s="11">
        <v>-0.13299999999999601</v>
      </c>
      <c r="L445" s="12">
        <f>_xlfn.VAR.S(INDEX($I:$I,INT((ROW()-407)/3)*3+407):INDEX($I:$I,INT((ROW()-407)/3)*3+409))</f>
        <v>1.4364435544597241E-5</v>
      </c>
      <c r="M445" s="12">
        <f>_xlfn.VAR.S(INDEX($J:$J,INT((ROW()-407)/3)*3+180):INDEX($J:$J,INT((ROW()-407)/3)*3+409))</f>
        <v>2.1330761508698753E-2</v>
      </c>
      <c r="N445" s="12">
        <f>_xlfn.VAR.S(INDEX($K:$K,INT((ROW()-407)/3)*3+407):INDEX($K:$K,INT((ROW()-407)/3)*3+409))</f>
        <v>3.2373333333319012E-5</v>
      </c>
    </row>
    <row r="446" spans="1:14" s="16" customFormat="1" ht="17.399999999999999" hidden="1">
      <c r="A446" s="16" t="s">
        <v>15344</v>
      </c>
      <c r="B446" s="16" t="s">
        <v>15441</v>
      </c>
      <c r="C446" s="16" t="s">
        <v>15447</v>
      </c>
      <c r="D446" s="16" t="s">
        <v>3429</v>
      </c>
      <c r="E446" s="16" t="s">
        <v>3478</v>
      </c>
      <c r="F446" s="16" t="s">
        <v>10486</v>
      </c>
      <c r="G446" s="16" t="s">
        <v>3376</v>
      </c>
      <c r="H446" s="16" t="s">
        <v>11887</v>
      </c>
      <c r="I446" s="21">
        <v>1.08770009269601E-2</v>
      </c>
      <c r="J446" s="21">
        <v>-2.1545177157459499E-2</v>
      </c>
      <c r="K446" s="21">
        <v>-0.17789999999999401</v>
      </c>
      <c r="L446" s="22">
        <f>_xlfn.VAR.S(INDEX($I:$I,INT((ROW()-407)/3)*3+407):INDEX($I:$I,INT((ROW()-407)/3)*3+409))</f>
        <v>1.0402458329944946E-6</v>
      </c>
      <c r="M446" s="22">
        <f>_xlfn.VAR.S(INDEX($J:$J,INT((ROW()-407)/3)*3+180):INDEX($J:$J,INT((ROW()-407)/3)*3+409))</f>
        <v>2.1342370631705847E-2</v>
      </c>
      <c r="N446" s="22">
        <f>_xlfn.VAR.S(INDEX($K:$K,INT((ROW()-407)/3)*3+407):INDEX($K:$K,INT((ROW()-407)/3)*3+409))</f>
        <v>2.4963333333330926E-5</v>
      </c>
    </row>
    <row r="447" spans="1:14" ht="17.399999999999999" hidden="1">
      <c r="A447" t="s">
        <v>15344</v>
      </c>
      <c r="B447" t="s">
        <v>15441</v>
      </c>
      <c r="C447" t="s">
        <v>15447</v>
      </c>
      <c r="D447" t="s">
        <v>3429</v>
      </c>
      <c r="E447" t="s">
        <v>3450</v>
      </c>
      <c r="F447" t="s">
        <v>10487</v>
      </c>
      <c r="G447" t="s">
        <v>3366</v>
      </c>
      <c r="H447" t="s">
        <v>11887</v>
      </c>
      <c r="I447" s="11">
        <v>1.2509501917680599E-2</v>
      </c>
      <c r="J447" s="11">
        <v>-2.2279149242702599E-2</v>
      </c>
      <c r="K447" s="11">
        <v>-0.178199999999997</v>
      </c>
      <c r="L447" s="12">
        <f>_xlfn.VAR.S(INDEX($I:$I,INT((ROW()-407)/3)*3+407):INDEX($I:$I,INT((ROW()-407)/3)*3+409))</f>
        <v>1.0402458329944946E-6</v>
      </c>
      <c r="M447" s="12">
        <f>_xlfn.VAR.S(INDEX($J:$J,INT((ROW()-407)/3)*3+180):INDEX($J:$J,INT((ROW()-407)/3)*3+409))</f>
        <v>2.1342370631705847E-2</v>
      </c>
      <c r="N447" s="12">
        <f>_xlfn.VAR.S(INDEX($K:$K,INT((ROW()-407)/3)*3+407):INDEX($K:$K,INT((ROW()-407)/3)*3+409))</f>
        <v>2.4963333333330926E-5</v>
      </c>
    </row>
    <row r="448" spans="1:14" ht="17.399999999999999" hidden="1">
      <c r="A448" t="s">
        <v>15344</v>
      </c>
      <c r="B448" t="s">
        <v>15441</v>
      </c>
      <c r="C448" t="s">
        <v>15447</v>
      </c>
      <c r="D448" t="s">
        <v>3430</v>
      </c>
      <c r="E448" t="s">
        <v>3463</v>
      </c>
      <c r="F448" t="s">
        <v>10488</v>
      </c>
      <c r="G448" t="s">
        <v>3366</v>
      </c>
      <c r="H448" t="s">
        <v>11887</v>
      </c>
      <c r="I448" s="11">
        <v>1.06340333685392E-2</v>
      </c>
      <c r="J448" s="11">
        <v>-2.4893096557194301E-2</v>
      </c>
      <c r="K448" s="11">
        <v>-0.169399999999996</v>
      </c>
      <c r="L448" s="12">
        <f>_xlfn.VAR.S(INDEX($I:$I,INT((ROW()-407)/3)*3+407):INDEX($I:$I,INT((ROW()-407)/3)*3+409))</f>
        <v>1.0402458329944946E-6</v>
      </c>
      <c r="M448" s="12">
        <f>_xlfn.VAR.S(INDEX($J:$J,INT((ROW()-407)/3)*3+180):INDEX($J:$J,INT((ROW()-407)/3)*3+409))</f>
        <v>2.1342370631705847E-2</v>
      </c>
      <c r="N448" s="12">
        <f>_xlfn.VAR.S(INDEX($K:$K,INT((ROW()-407)/3)*3+407):INDEX($K:$K,INT((ROW()-407)/3)*3+409))</f>
        <v>2.4963333333330926E-5</v>
      </c>
    </row>
    <row r="449" spans="1:14" s="16" customFormat="1" ht="17.399999999999999" hidden="1">
      <c r="A449" s="16" t="s">
        <v>15344</v>
      </c>
      <c r="B449" s="16" t="s">
        <v>15441</v>
      </c>
      <c r="C449" s="16" t="s">
        <v>15448</v>
      </c>
      <c r="D449" s="16" t="s">
        <v>3431</v>
      </c>
      <c r="E449" s="16" t="s">
        <v>3462</v>
      </c>
      <c r="F449" s="16" t="s">
        <v>10489</v>
      </c>
      <c r="G449" s="16" t="s">
        <v>3372</v>
      </c>
      <c r="H449" s="16" t="s">
        <v>11886</v>
      </c>
      <c r="I449" s="21">
        <v>3.7541671785408701E-3</v>
      </c>
      <c r="J449" s="21">
        <v>-2.5851276656458699E-2</v>
      </c>
      <c r="K449" s="21">
        <v>-0.16219999999999901</v>
      </c>
      <c r="L449" s="22">
        <f>_xlfn.VAR.S(INDEX($I:$I,INT((ROW()-407)/3)*3+407):INDEX($I:$I,INT((ROW()-407)/3)*3+409))</f>
        <v>3.9183852888078186E-7</v>
      </c>
      <c r="M449" s="22">
        <f>_xlfn.VAR.S(INDEX($J:$J,INT((ROW()-407)/3)*3+180):INDEX($J:$J,INT((ROW()-407)/3)*3+409))</f>
        <v>2.1357274254980067E-2</v>
      </c>
      <c r="N449" s="22">
        <f>_xlfn.VAR.S(INDEX($K:$K,INT((ROW()-407)/3)*3+407):INDEX($K:$K,INT((ROW()-407)/3)*3+409))</f>
        <v>5.983000000000072E-5</v>
      </c>
    </row>
    <row r="450" spans="1:14" ht="17.399999999999999" hidden="1">
      <c r="A450" t="s">
        <v>15344</v>
      </c>
      <c r="B450" t="s">
        <v>15441</v>
      </c>
      <c r="C450" t="s">
        <v>15448</v>
      </c>
      <c r="D450" t="s">
        <v>3431</v>
      </c>
      <c r="E450" t="s">
        <v>3462</v>
      </c>
      <c r="F450" t="s">
        <v>10490</v>
      </c>
      <c r="G450" t="s">
        <v>3366</v>
      </c>
      <c r="H450" t="s">
        <v>11886</v>
      </c>
      <c r="I450" s="11">
        <v>5.0060997037503002E-3</v>
      </c>
      <c r="J450" s="11">
        <v>-3.0065555532966699E-2</v>
      </c>
      <c r="K450" s="11">
        <v>-0.17349999999999699</v>
      </c>
      <c r="L450" s="12">
        <f>_xlfn.VAR.S(INDEX($I:$I,INT((ROW()-407)/3)*3+407):INDEX($I:$I,INT((ROW()-407)/3)*3+409))</f>
        <v>3.9183852888078186E-7</v>
      </c>
      <c r="M450" s="12">
        <f>_xlfn.VAR.S(INDEX($J:$J,INT((ROW()-407)/3)*3+180):INDEX($J:$J,INT((ROW()-407)/3)*3+409))</f>
        <v>2.1357274254980067E-2</v>
      </c>
      <c r="N450" s="12">
        <f>_xlfn.VAR.S(INDEX($K:$K,INT((ROW()-407)/3)*3+407):INDEX($K:$K,INT((ROW()-407)/3)*3+409))</f>
        <v>5.983000000000072E-5</v>
      </c>
    </row>
    <row r="451" spans="1:14" ht="17.399999999999999" hidden="1">
      <c r="A451" t="s">
        <v>15344</v>
      </c>
      <c r="B451" t="s">
        <v>15441</v>
      </c>
      <c r="C451" t="s">
        <v>15448</v>
      </c>
      <c r="D451" t="s">
        <v>3431</v>
      </c>
      <c r="E451" t="s">
        <v>3462</v>
      </c>
      <c r="F451" t="s">
        <v>10491</v>
      </c>
      <c r="G451" t="s">
        <v>3366</v>
      </c>
      <c r="H451" t="s">
        <v>11886</v>
      </c>
      <c r="I451" s="11">
        <v>4.3763517901304304E-3</v>
      </c>
      <c r="J451" s="11">
        <v>-2.8201647592044202E-2</v>
      </c>
      <c r="K451" s="11">
        <v>-0.17699999999999999</v>
      </c>
      <c r="L451" s="12">
        <f>_xlfn.VAR.S(INDEX($I:$I,INT((ROW()-407)/3)*3+407):INDEX($I:$I,INT((ROW()-407)/3)*3+409))</f>
        <v>3.9183852888078186E-7</v>
      </c>
      <c r="M451" s="12">
        <f>_xlfn.VAR.S(INDEX($J:$J,INT((ROW()-407)/3)*3+180):INDEX($J:$J,INT((ROW()-407)/3)*3+409))</f>
        <v>2.1357274254980067E-2</v>
      </c>
      <c r="N451" s="12">
        <f>_xlfn.VAR.S(INDEX($K:$K,INT((ROW()-407)/3)*3+407):INDEX($K:$K,INT((ROW()-407)/3)*3+409))</f>
        <v>5.983000000000072E-5</v>
      </c>
    </row>
    <row r="452" spans="1:14" s="16" customFormat="1" ht="17.399999999999999" hidden="1">
      <c r="A452" s="16" t="s">
        <v>15344</v>
      </c>
      <c r="B452" s="16" t="s">
        <v>15441</v>
      </c>
      <c r="C452" s="16" t="s">
        <v>15449</v>
      </c>
      <c r="D452" s="16" t="s">
        <v>3431</v>
      </c>
      <c r="E452" s="16" t="s">
        <v>3452</v>
      </c>
      <c r="F452" s="16" t="s">
        <v>10492</v>
      </c>
      <c r="G452" s="16" t="s">
        <v>3378</v>
      </c>
      <c r="H452" s="16" t="s">
        <v>11887</v>
      </c>
      <c r="I452" s="21">
        <v>1.73361350861478E-2</v>
      </c>
      <c r="J452" s="21">
        <v>-1.89086485973253E-2</v>
      </c>
      <c r="K452" s="21">
        <v>-0.150499999999994</v>
      </c>
      <c r="L452" s="22">
        <f>_xlfn.VAR.S(INDEX($I:$I,INT((ROW()-407)/3)*3+407):INDEX($I:$I,INT((ROW()-407)/3)*3+409))</f>
        <v>4.6673267654315199E-6</v>
      </c>
      <c r="M452" s="22">
        <f>_xlfn.VAR.S(INDEX($J:$J,INT((ROW()-407)/3)*3+180):INDEX($J:$J,INT((ROW()-407)/3)*3+409))</f>
        <v>2.1361609092141031E-2</v>
      </c>
      <c r="N452" s="22">
        <f>_xlfn.VAR.S(INDEX($K:$K,INT((ROW()-407)/3)*3+407):INDEX($K:$K,INT((ROW()-407)/3)*3+409))</f>
        <v>8.6403333333340997E-5</v>
      </c>
    </row>
    <row r="453" spans="1:14" ht="17.399999999999999" hidden="1">
      <c r="A453" t="s">
        <v>15344</v>
      </c>
      <c r="B453" t="s">
        <v>15441</v>
      </c>
      <c r="C453" t="s">
        <v>15449</v>
      </c>
      <c r="D453" t="s">
        <v>3432</v>
      </c>
      <c r="E453" t="s">
        <v>3464</v>
      </c>
      <c r="F453" t="s">
        <v>10493</v>
      </c>
      <c r="G453" t="s">
        <v>3366</v>
      </c>
      <c r="H453" t="s">
        <v>11887</v>
      </c>
      <c r="I453" s="11">
        <v>1.3868690000108401E-2</v>
      </c>
      <c r="J453" s="11">
        <v>-1.45438288716245E-2</v>
      </c>
      <c r="K453" s="11">
        <v>-0.16199999999999901</v>
      </c>
      <c r="L453" s="12">
        <f>_xlfn.VAR.S(INDEX($I:$I,INT((ROW()-407)/3)*3+407):INDEX($I:$I,INT((ROW()-407)/3)*3+409))</f>
        <v>4.6673267654315199E-6</v>
      </c>
      <c r="M453" s="12">
        <f>_xlfn.VAR.S(INDEX($J:$J,INT((ROW()-407)/3)*3+180):INDEX($J:$J,INT((ROW()-407)/3)*3+409))</f>
        <v>2.1361609092141031E-2</v>
      </c>
      <c r="N453" s="12">
        <f>_xlfn.VAR.S(INDEX($K:$K,INT((ROW()-407)/3)*3+407):INDEX($K:$K,INT((ROW()-407)/3)*3+409))</f>
        <v>8.6403333333340997E-5</v>
      </c>
    </row>
    <row r="454" spans="1:14" ht="17.399999999999999" hidden="1">
      <c r="A454" t="s">
        <v>15344</v>
      </c>
      <c r="B454" t="s">
        <v>15441</v>
      </c>
      <c r="C454" t="s">
        <v>15449</v>
      </c>
      <c r="D454" t="s">
        <v>3433</v>
      </c>
      <c r="E454" t="s">
        <v>3466</v>
      </c>
      <c r="F454" t="s">
        <v>10494</v>
      </c>
      <c r="G454" t="s">
        <v>3366</v>
      </c>
      <c r="H454" t="s">
        <v>11887</v>
      </c>
      <c r="I454" s="11">
        <v>1.78350340354036E-2</v>
      </c>
      <c r="J454" s="11">
        <v>-1.7281342692333401E-2</v>
      </c>
      <c r="K454" s="11">
        <v>-0.14359999999999901</v>
      </c>
      <c r="L454" s="12">
        <f>_xlfn.VAR.S(INDEX($I:$I,INT((ROW()-407)/3)*3+407):INDEX($I:$I,INT((ROW()-407)/3)*3+409))</f>
        <v>4.6673267654315199E-6</v>
      </c>
      <c r="M454" s="12">
        <f>_xlfn.VAR.S(INDEX($J:$J,INT((ROW()-407)/3)*3+180):INDEX($J:$J,INT((ROW()-407)/3)*3+409))</f>
        <v>2.1361609092141031E-2</v>
      </c>
      <c r="N454" s="12">
        <f>_xlfn.VAR.S(INDEX($K:$K,INT((ROW()-407)/3)*3+407):INDEX($K:$K,INT((ROW()-407)/3)*3+409))</f>
        <v>8.6403333333340997E-5</v>
      </c>
    </row>
    <row r="455" spans="1:14" s="16" customFormat="1" ht="17.399999999999999">
      <c r="A455" s="16" t="s">
        <v>15344</v>
      </c>
      <c r="B455" s="16" t="s">
        <v>15442</v>
      </c>
      <c r="C455" s="16" t="s">
        <v>15450</v>
      </c>
      <c r="D455" s="16" t="s">
        <v>3434</v>
      </c>
      <c r="E455" s="16" t="s">
        <v>3465</v>
      </c>
      <c r="F455" s="16" t="s">
        <v>10495</v>
      </c>
      <c r="G455" s="16" t="s">
        <v>3375</v>
      </c>
      <c r="H455" s="16" t="s">
        <v>11886</v>
      </c>
      <c r="I455" s="21">
        <v>2.60324837479303E-2</v>
      </c>
      <c r="J455" s="21">
        <v>-3.7569889022315103E-2</v>
      </c>
      <c r="K455" s="21">
        <v>-4.4399999999995998E-2</v>
      </c>
      <c r="L455" s="22">
        <f>_xlfn.VAR.S(INDEX($I:$I,INT((ROW()-407)/3)*3+407):INDEX($I:$I,INT((ROW()-407)/3)*3+409))</f>
        <v>2.8387420787056943E-5</v>
      </c>
      <c r="M455" s="22">
        <f>_xlfn.VAR.S(INDEX($J:$J,INT((ROW()-407)/3)*3+180):INDEX($J:$J,INT((ROW()-407)/3)*3+409))</f>
        <v>2.1392488968683669E-2</v>
      </c>
      <c r="N455" s="22">
        <f>_xlfn.VAR.S(INDEX($K:$K,INT((ROW()-407)/3)*3+407):INDEX($K:$K,INT((ROW()-407)/3)*3+409))</f>
        <v>4.0017333333340187E-4</v>
      </c>
    </row>
    <row r="456" spans="1:14" ht="17.399999999999999">
      <c r="A456" t="s">
        <v>15344</v>
      </c>
      <c r="B456" t="s">
        <v>15442</v>
      </c>
      <c r="C456" t="s">
        <v>15450</v>
      </c>
      <c r="D456" t="s">
        <v>3435</v>
      </c>
      <c r="E456" t="s">
        <v>3449</v>
      </c>
      <c r="F456" t="s">
        <v>10496</v>
      </c>
      <c r="G456" t="s">
        <v>3366</v>
      </c>
      <c r="H456" t="s">
        <v>11886</v>
      </c>
      <c r="I456" s="11">
        <v>1.53905159508653E-2</v>
      </c>
      <c r="J456" s="11">
        <v>-4.4385200043283397E-2</v>
      </c>
      <c r="K456" s="11">
        <v>-7.3799999999998506E-2</v>
      </c>
      <c r="L456" s="12">
        <f>_xlfn.VAR.S(INDEX($I:$I,INT((ROW()-407)/3)*3+407):INDEX($I:$I,INT((ROW()-407)/3)*3+409))</f>
        <v>2.8387420787056943E-5</v>
      </c>
      <c r="M456" s="12">
        <f>_xlfn.VAR.S(INDEX($J:$J,INT((ROW()-407)/3)*3+180):INDEX($J:$J,INT((ROW()-407)/3)*3+409))</f>
        <v>2.1392488968683669E-2</v>
      </c>
      <c r="N456" s="12">
        <f>_xlfn.VAR.S(INDEX($K:$K,INT((ROW()-407)/3)*3+407):INDEX($K:$K,INT((ROW()-407)/3)*3+409))</f>
        <v>4.0017333333340187E-4</v>
      </c>
    </row>
    <row r="457" spans="1:14" ht="17.399999999999999">
      <c r="A457" t="s">
        <v>15344</v>
      </c>
      <c r="B457" t="s">
        <v>15442</v>
      </c>
      <c r="C457" t="s">
        <v>15450</v>
      </c>
      <c r="D457" t="s">
        <v>3429</v>
      </c>
      <c r="E457" t="s">
        <v>3511</v>
      </c>
      <c r="F457" t="s">
        <v>10497</v>
      </c>
      <c r="G457" t="s">
        <v>3366</v>
      </c>
      <c r="H457" t="s">
        <v>11886</v>
      </c>
      <c r="I457" s="11">
        <v>2.1184419943964101E-2</v>
      </c>
      <c r="J457" s="11">
        <v>-4.0947845791432499E-2</v>
      </c>
      <c r="K457" s="11">
        <v>-8.2599999999999299E-2</v>
      </c>
      <c r="L457" s="12">
        <f>_xlfn.VAR.S(INDEX($I:$I,INT((ROW()-407)/3)*3+407):INDEX($I:$I,INT((ROW()-407)/3)*3+409))</f>
        <v>2.8387420787056943E-5</v>
      </c>
      <c r="M457" s="12">
        <f>_xlfn.VAR.S(INDEX($J:$J,INT((ROW()-407)/3)*3+180):INDEX($J:$J,INT((ROW()-407)/3)*3+409))</f>
        <v>2.1392488968683669E-2</v>
      </c>
      <c r="N457" s="12">
        <f>_xlfn.VAR.S(INDEX($K:$K,INT((ROW()-407)/3)*3+407):INDEX($K:$K,INT((ROW()-407)/3)*3+409))</f>
        <v>4.0017333333340187E-4</v>
      </c>
    </row>
    <row r="458" spans="1:14" s="16" customFormat="1" ht="17.399999999999999">
      <c r="A458" s="16" t="s">
        <v>15344</v>
      </c>
      <c r="B458" s="16" t="s">
        <v>15442</v>
      </c>
      <c r="C458" s="16" t="s">
        <v>15445</v>
      </c>
      <c r="D458" s="16" t="s">
        <v>3427</v>
      </c>
      <c r="E458" s="16" t="s">
        <v>3441</v>
      </c>
      <c r="F458" s="16" t="s">
        <v>10498</v>
      </c>
      <c r="G458" s="16" t="s">
        <v>3376</v>
      </c>
      <c r="H458" s="16" t="s">
        <v>11886</v>
      </c>
      <c r="I458" s="21">
        <v>1.3058203483148199E-2</v>
      </c>
      <c r="J458" s="21">
        <v>-4.15659976341516E-2</v>
      </c>
      <c r="K458" s="21">
        <v>-1.5499999999995901E-2</v>
      </c>
      <c r="L458" s="22">
        <f>_xlfn.VAR.S(INDEX($I:$I,INT((ROW()-407)/3)*3+407):INDEX($I:$I,INT((ROW()-407)/3)*3+409))</f>
        <v>1.7964706220837919E-5</v>
      </c>
      <c r="M458" s="22">
        <f>_xlfn.VAR.S(INDEX($J:$J,INT((ROW()-407)/3)*3+180):INDEX($J:$J,INT((ROW()-407)/3)*3+409))</f>
        <v>2.1428114603802534E-2</v>
      </c>
      <c r="N458" s="22">
        <f>_xlfn.VAR.S(INDEX($K:$K,INT((ROW()-407)/3)*3+407):INDEX($K:$K,INT((ROW()-407)/3)*3+409))</f>
        <v>2.6217333333339071E-4</v>
      </c>
    </row>
    <row r="459" spans="1:14" ht="17.399999999999999">
      <c r="A459" t="s">
        <v>15344</v>
      </c>
      <c r="B459" t="s">
        <v>15442</v>
      </c>
      <c r="C459" t="s">
        <v>15445</v>
      </c>
      <c r="D459" t="s">
        <v>3428</v>
      </c>
      <c r="E459" t="s">
        <v>3441</v>
      </c>
      <c r="F459" t="s">
        <v>10499</v>
      </c>
      <c r="G459" t="s">
        <v>3366</v>
      </c>
      <c r="H459" t="s">
        <v>11886</v>
      </c>
      <c r="I459" s="11">
        <v>2.1072751820688101E-2</v>
      </c>
      <c r="J459" s="11">
        <v>-4.1700360027264599E-2</v>
      </c>
      <c r="K459" s="11">
        <v>-2.6099999999999599E-2</v>
      </c>
      <c r="L459" s="12">
        <f>_xlfn.VAR.S(INDEX($I:$I,INT((ROW()-407)/3)*3+407):INDEX($I:$I,INT((ROW()-407)/3)*3+409))</f>
        <v>1.7964706220837919E-5</v>
      </c>
      <c r="M459" s="12">
        <f>_xlfn.VAR.S(INDEX($J:$J,INT((ROW()-407)/3)*3+180):INDEX($J:$J,INT((ROW()-407)/3)*3+409))</f>
        <v>2.1428114603802534E-2</v>
      </c>
      <c r="N459" s="12">
        <f>_xlfn.VAR.S(INDEX($K:$K,INT((ROW()-407)/3)*3+407):INDEX($K:$K,INT((ROW()-407)/3)*3+409))</f>
        <v>2.6217333333339071E-4</v>
      </c>
    </row>
    <row r="460" spans="1:14" ht="17.399999999999999">
      <c r="A460" t="s">
        <v>15344</v>
      </c>
      <c r="B460" t="s">
        <v>15442</v>
      </c>
      <c r="C460" t="s">
        <v>15445</v>
      </c>
      <c r="D460" t="s">
        <v>3436</v>
      </c>
      <c r="E460" t="s">
        <v>3452</v>
      </c>
      <c r="F460" t="s">
        <v>10500</v>
      </c>
      <c r="G460" t="s">
        <v>3366</v>
      </c>
      <c r="H460" t="s">
        <v>11886</v>
      </c>
      <c r="I460" s="11">
        <v>1.9457000152636302E-2</v>
      </c>
      <c r="J460" s="11">
        <v>-5.3820440150004499E-2</v>
      </c>
      <c r="K460" s="11">
        <v>-4.7299999999999898E-2</v>
      </c>
      <c r="L460" s="12">
        <f>_xlfn.VAR.S(INDEX($I:$I,INT((ROW()-407)/3)*3+407):INDEX($I:$I,INT((ROW()-407)/3)*3+409))</f>
        <v>1.7964706220837919E-5</v>
      </c>
      <c r="M460" s="12">
        <f>_xlfn.VAR.S(INDEX($J:$J,INT((ROW()-407)/3)*3+180):INDEX($J:$J,INT((ROW()-407)/3)*3+409))</f>
        <v>2.1428114603802534E-2</v>
      </c>
      <c r="N460" s="12">
        <f>_xlfn.VAR.S(INDEX($K:$K,INT((ROW()-407)/3)*3+407):INDEX($K:$K,INT((ROW()-407)/3)*3+409))</f>
        <v>2.6217333333339071E-4</v>
      </c>
    </row>
    <row r="461" spans="1:14" s="16" customFormat="1" ht="17.399999999999999">
      <c r="A461" s="16" t="s">
        <v>15344</v>
      </c>
      <c r="B461" s="16" t="s">
        <v>15442</v>
      </c>
      <c r="C461" s="16" t="s">
        <v>15451</v>
      </c>
      <c r="D461" s="16" t="s">
        <v>3437</v>
      </c>
      <c r="E461" s="16" t="s">
        <v>3431</v>
      </c>
      <c r="F461" s="16" t="s">
        <v>10501</v>
      </c>
      <c r="G461" s="16" t="s">
        <v>3379</v>
      </c>
      <c r="H461" s="16" t="s">
        <v>11888</v>
      </c>
      <c r="I461" s="21">
        <v>2.3231799404837501E-2</v>
      </c>
      <c r="J461" s="21">
        <v>-3.9224769260783603E-2</v>
      </c>
      <c r="K461" s="21">
        <v>-5.06999999999991E-2</v>
      </c>
      <c r="L461" s="22">
        <f>_xlfn.VAR.S(INDEX($I:$I,INT((ROW()-407)/3)*3+407):INDEX($I:$I,INT((ROW()-407)/3)*3+409))</f>
        <v>6.3339251113072682E-7</v>
      </c>
      <c r="M461" s="22">
        <f>_xlfn.VAR.S(INDEX($J:$J,INT((ROW()-407)/3)*3+180):INDEX($J:$J,INT((ROW()-407)/3)*3+409))</f>
        <v>2.145295866475767E-2</v>
      </c>
      <c r="N461" s="22">
        <f>_xlfn.VAR.S(INDEX($K:$K,INT((ROW()-407)/3)*3+407):INDEX($K:$K,INT((ROW()-407)/3)*3+409))</f>
        <v>1.2233333333353654E-6</v>
      </c>
    </row>
    <row r="462" spans="1:14" ht="17.399999999999999">
      <c r="A462" t="s">
        <v>15344</v>
      </c>
      <c r="B462" t="s">
        <v>15442</v>
      </c>
      <c r="C462" t="s">
        <v>15451</v>
      </c>
      <c r="D462" t="s">
        <v>3437</v>
      </c>
      <c r="E462" t="s">
        <v>3431</v>
      </c>
      <c r="F462" t="s">
        <v>10502</v>
      </c>
      <c r="G462" t="s">
        <v>3366</v>
      </c>
      <c r="H462" t="s">
        <v>11888</v>
      </c>
      <c r="I462" s="11">
        <v>2.1717810621869799E-2</v>
      </c>
      <c r="J462" s="11">
        <v>-4.0216681283289903E-2</v>
      </c>
      <c r="K462" s="11">
        <v>-5.16000000000005E-2</v>
      </c>
      <c r="L462" s="12">
        <f>_xlfn.VAR.S(INDEX($I:$I,INT((ROW()-407)/3)*3+407):INDEX($I:$I,INT((ROW()-407)/3)*3+409))</f>
        <v>6.3339251113072682E-7</v>
      </c>
      <c r="M462" s="12">
        <f>_xlfn.VAR.S(INDEX($J:$J,INT((ROW()-407)/3)*3+180):INDEX($J:$J,INT((ROW()-407)/3)*3+409))</f>
        <v>2.145295866475767E-2</v>
      </c>
      <c r="N462" s="12">
        <f>_xlfn.VAR.S(INDEX($K:$K,INT((ROW()-407)/3)*3+407):INDEX($K:$K,INT((ROW()-407)/3)*3+409))</f>
        <v>1.2233333333353654E-6</v>
      </c>
    </row>
    <row r="463" spans="1:14" ht="17.399999999999999">
      <c r="A463" t="s">
        <v>15344</v>
      </c>
      <c r="B463" t="s">
        <v>15442</v>
      </c>
      <c r="C463" t="s">
        <v>15451</v>
      </c>
      <c r="D463" t="s">
        <v>3437</v>
      </c>
      <c r="E463" t="s">
        <v>3431</v>
      </c>
      <c r="F463" t="s">
        <v>3658</v>
      </c>
      <c r="G463" t="s">
        <v>3366</v>
      </c>
      <c r="H463" t="s">
        <v>11889</v>
      </c>
      <c r="I463" s="11">
        <v>2.2900311778491601E-2</v>
      </c>
      <c r="J463" s="11">
        <v>-3.5293816779010397E-2</v>
      </c>
      <c r="K463" s="11">
        <v>-4.9399999999998598E-2</v>
      </c>
      <c r="L463" s="12">
        <f>_xlfn.VAR.S(INDEX($I:$I,INT((ROW()-407)/3)*3+407):INDEX($I:$I,INT((ROW()-407)/3)*3+409))</f>
        <v>6.3339251113072682E-7</v>
      </c>
      <c r="M463" s="12">
        <f>_xlfn.VAR.S(INDEX($J:$J,INT((ROW()-407)/3)*3+180):INDEX($J:$J,INT((ROW()-407)/3)*3+409))</f>
        <v>2.145295866475767E-2</v>
      </c>
      <c r="N463" s="12">
        <f>_xlfn.VAR.S(INDEX($K:$K,INT((ROW()-407)/3)*3+407):INDEX($K:$K,INT((ROW()-407)/3)*3+409))</f>
        <v>1.2233333333353654E-6</v>
      </c>
    </row>
    <row r="464" spans="1:14" s="16" customFormat="1" ht="17.399999999999999" hidden="1">
      <c r="A464" s="16" t="s">
        <v>15344</v>
      </c>
      <c r="B464" s="16" t="s">
        <v>15443</v>
      </c>
      <c r="C464" s="16" t="s">
        <v>15452</v>
      </c>
      <c r="D464" s="16" t="s">
        <v>3425</v>
      </c>
      <c r="E464" s="16" t="s">
        <v>3461</v>
      </c>
      <c r="F464" s="16" t="s">
        <v>3616</v>
      </c>
      <c r="G464" s="16" t="s">
        <v>3379</v>
      </c>
      <c r="H464" s="16" t="s">
        <v>11890</v>
      </c>
      <c r="I464" s="21">
        <v>2.6006279657850399E-2</v>
      </c>
      <c r="J464" s="21">
        <v>-3.0089656859667802E-2</v>
      </c>
      <c r="K464" s="21">
        <v>-0.23019999999999599</v>
      </c>
      <c r="L464" s="22">
        <f>_xlfn.VAR.S(INDEX($I:$I,INT((ROW()-407)/3)*3+407):INDEX($I:$I,INT((ROW()-407)/3)*3+409))</f>
        <v>6.3491815505757797E-7</v>
      </c>
      <c r="M464" s="22">
        <f>_xlfn.VAR.S(INDEX($J:$J,INT((ROW()-407)/3)*3+180):INDEX($J:$J,INT((ROW()-407)/3)*3+409))</f>
        <v>2.1468664982772862E-2</v>
      </c>
      <c r="N464" s="22">
        <f>_xlfn.VAR.S(INDEX($K:$K,INT((ROW()-407)/3)*3+407):INDEX($K:$K,INT((ROW()-407)/3)*3+409))</f>
        <v>1.290333333334753E-5</v>
      </c>
    </row>
    <row r="465" spans="1:14" ht="17.399999999999999" hidden="1">
      <c r="A465" t="s">
        <v>15344</v>
      </c>
      <c r="B465" t="s">
        <v>15443</v>
      </c>
      <c r="C465" t="s">
        <v>15452</v>
      </c>
      <c r="D465" t="s">
        <v>3425</v>
      </c>
      <c r="E465" t="s">
        <v>3452</v>
      </c>
      <c r="F465" t="s">
        <v>3616</v>
      </c>
      <c r="G465" t="s">
        <v>3366</v>
      </c>
      <c r="H465" t="s">
        <v>11890</v>
      </c>
      <c r="I465" s="11">
        <v>2.45147120342009E-2</v>
      </c>
      <c r="J465" s="11">
        <v>-2.7155975316871299E-2</v>
      </c>
      <c r="K465" s="11">
        <v>-0.23669999999999899</v>
      </c>
      <c r="L465" s="12">
        <f>_xlfn.VAR.S(INDEX($I:$I,INT((ROW()-407)/3)*3+407):INDEX($I:$I,INT((ROW()-407)/3)*3+409))</f>
        <v>6.3491815505757797E-7</v>
      </c>
      <c r="M465" s="12">
        <f>_xlfn.VAR.S(INDEX($J:$J,INT((ROW()-407)/3)*3+180):INDEX($J:$J,INT((ROW()-407)/3)*3+409))</f>
        <v>2.1468664982772862E-2</v>
      </c>
      <c r="N465" s="12">
        <f>_xlfn.VAR.S(INDEX($K:$K,INT((ROW()-407)/3)*3+407):INDEX($K:$K,INT((ROW()-407)/3)*3+409))</f>
        <v>1.290333333334753E-5</v>
      </c>
    </row>
    <row r="466" spans="1:14" ht="17.399999999999999" hidden="1">
      <c r="A466" t="s">
        <v>15344</v>
      </c>
      <c r="B466" t="s">
        <v>15443</v>
      </c>
      <c r="C466" t="s">
        <v>15452</v>
      </c>
      <c r="D466" t="s">
        <v>3425</v>
      </c>
      <c r="E466" t="s">
        <v>3452</v>
      </c>
      <c r="F466" t="s">
        <v>10503</v>
      </c>
      <c r="G466" t="s">
        <v>3366</v>
      </c>
      <c r="H466" t="s">
        <v>11890</v>
      </c>
      <c r="I466" s="11">
        <v>2.4774518497548199E-2</v>
      </c>
      <c r="J466" s="11">
        <v>-2.9889261609242001E-2</v>
      </c>
      <c r="K466" s="11">
        <v>-0.2361</v>
      </c>
      <c r="L466" s="12">
        <f>_xlfn.VAR.S(INDEX($I:$I,INT((ROW()-407)/3)*3+407):INDEX($I:$I,INT((ROW()-407)/3)*3+409))</f>
        <v>6.3491815505757797E-7</v>
      </c>
      <c r="M466" s="12">
        <f>_xlfn.VAR.S(INDEX($J:$J,INT((ROW()-407)/3)*3+180):INDEX($J:$J,INT((ROW()-407)/3)*3+409))</f>
        <v>2.1468664982772862E-2</v>
      </c>
      <c r="N466" s="12">
        <f>_xlfn.VAR.S(INDEX($K:$K,INT((ROW()-407)/3)*3+407):INDEX($K:$K,INT((ROW()-407)/3)*3+409))</f>
        <v>1.290333333334753E-5</v>
      </c>
    </row>
    <row r="467" spans="1:14" s="16" customFormat="1" ht="17.399999999999999" hidden="1">
      <c r="A467" s="16" t="s">
        <v>15344</v>
      </c>
      <c r="B467" s="16" t="s">
        <v>15443</v>
      </c>
      <c r="C467" s="16" t="s">
        <v>15453</v>
      </c>
      <c r="D467" s="16" t="s">
        <v>3425</v>
      </c>
      <c r="E467" s="16" t="s">
        <v>3461</v>
      </c>
      <c r="F467" s="16" t="s">
        <v>10504</v>
      </c>
      <c r="G467" s="16" t="s">
        <v>3382</v>
      </c>
      <c r="H467" s="16" t="s">
        <v>11890</v>
      </c>
      <c r="I467" s="21">
        <v>2.3690266042021301E-2</v>
      </c>
      <c r="J467" s="21">
        <v>-3.6775043525011999E-2</v>
      </c>
      <c r="K467" s="21">
        <v>-0.2301</v>
      </c>
      <c r="L467" s="22">
        <f>_xlfn.VAR.S(INDEX($I:$I,INT((ROW()-407)/3)*3+407):INDEX($I:$I,INT((ROW()-407)/3)*3+409))</f>
        <v>1.0723395518569236E-5</v>
      </c>
      <c r="M467" s="22">
        <f>_xlfn.VAR.S(INDEX($J:$J,INT((ROW()-407)/3)*3+180):INDEX($J:$J,INT((ROW()-407)/3)*3+409))</f>
        <v>2.1492170469525361E-2</v>
      </c>
      <c r="N467" s="22">
        <f>_xlfn.VAR.S(INDEX($K:$K,INT((ROW()-407)/3)*3+407):INDEX($K:$K,INT((ROW()-407)/3)*3+409))</f>
        <v>3.6864333333343734E-4</v>
      </c>
    </row>
    <row r="468" spans="1:14" ht="17.399999999999999" hidden="1">
      <c r="A468" t="s">
        <v>15344</v>
      </c>
      <c r="B468" t="s">
        <v>15443</v>
      </c>
      <c r="C468" t="s">
        <v>15453</v>
      </c>
      <c r="D468" t="s">
        <v>3431</v>
      </c>
      <c r="E468" t="s">
        <v>3426</v>
      </c>
      <c r="F468" t="s">
        <v>10505</v>
      </c>
      <c r="G468" t="s">
        <v>3366</v>
      </c>
      <c r="H468" t="s">
        <v>11885</v>
      </c>
      <c r="I468" s="11">
        <v>2.1228816910806001E-2</v>
      </c>
      <c r="J468" s="11">
        <v>-3.7466618121186103E-2</v>
      </c>
      <c r="K468" s="11">
        <v>-0.22119999999999601</v>
      </c>
      <c r="L468" s="12">
        <f>_xlfn.VAR.S(INDEX($I:$I,INT((ROW()-407)/3)*3+407):INDEX($I:$I,INT((ROW()-407)/3)*3+409))</f>
        <v>1.0723395518569236E-5</v>
      </c>
      <c r="M468" s="12">
        <f>_xlfn.VAR.S(INDEX($J:$J,INT((ROW()-407)/3)*3+180):INDEX($J:$J,INT((ROW()-407)/3)*3+409))</f>
        <v>2.1492170469525361E-2</v>
      </c>
      <c r="N468" s="12">
        <f>_xlfn.VAR.S(INDEX($K:$K,INT((ROW()-407)/3)*3+407):INDEX($K:$K,INT((ROW()-407)/3)*3+409))</f>
        <v>3.6864333333343734E-4</v>
      </c>
    </row>
    <row r="469" spans="1:14" ht="17.399999999999999" hidden="1">
      <c r="A469" t="s">
        <v>15344</v>
      </c>
      <c r="B469" t="s">
        <v>15443</v>
      </c>
      <c r="C469" t="s">
        <v>15453</v>
      </c>
      <c r="D469" t="s">
        <v>3435</v>
      </c>
      <c r="E469" t="s">
        <v>3463</v>
      </c>
      <c r="F469" t="s">
        <v>10506</v>
      </c>
      <c r="G469" t="s">
        <v>3366</v>
      </c>
      <c r="H469" t="s">
        <v>11885</v>
      </c>
      <c r="I469" s="11">
        <v>1.7203484238660499E-2</v>
      </c>
      <c r="J469" s="11">
        <v>-3.7470024111939698E-2</v>
      </c>
      <c r="K469" s="11">
        <v>-0.193299999999994</v>
      </c>
      <c r="L469" s="12">
        <f>_xlfn.VAR.S(INDEX($I:$I,INT((ROW()-407)/3)*3+407):INDEX($I:$I,INT((ROW()-407)/3)*3+409))</f>
        <v>1.0723395518569236E-5</v>
      </c>
      <c r="M469" s="12">
        <f>_xlfn.VAR.S(INDEX($J:$J,INT((ROW()-407)/3)*3+180):INDEX($J:$J,INT((ROW()-407)/3)*3+409))</f>
        <v>2.1492170469525361E-2</v>
      </c>
      <c r="N469" s="12">
        <f>_xlfn.VAR.S(INDEX($K:$K,INT((ROW()-407)/3)*3+407):INDEX($K:$K,INT((ROW()-407)/3)*3+409))</f>
        <v>3.6864333333343734E-4</v>
      </c>
    </row>
    <row r="470" spans="1:14" hidden="1">
      <c r="I470" s="11">
        <f>AVERAGE(I8:I451)</f>
        <v>1.784502825586521E-2</v>
      </c>
      <c r="J470" s="11">
        <f t="shared" ref="J470:K470" si="0">AVERAGE(J8:J451)</f>
        <v>1.3450588325117774E-2</v>
      </c>
      <c r="K470" s="11">
        <f t="shared" si="0"/>
        <v>-1.2180180180178298E-2</v>
      </c>
    </row>
    <row r="471" spans="1:14" hidden="1">
      <c r="I471" s="11">
        <f>AVERAGE(I11:I454)</f>
        <v>1.7987592954214142E-2</v>
      </c>
      <c r="J471" s="11">
        <f t="shared" ref="J471:K471" si="1">AVERAGE(J11:J454)</f>
        <v>1.3305294945455379E-2</v>
      </c>
      <c r="K471" s="11">
        <f t="shared" si="1"/>
        <v>-1.2386711711709845E-2</v>
      </c>
    </row>
    <row r="472" spans="1:14">
      <c r="I472" s="11">
        <f>AVERAGE(I$14:I$463)</f>
        <v>1.8238436295484408E-2</v>
      </c>
      <c r="J472" s="11">
        <f t="shared" ref="J472:K472" si="2">AVERAGE(J$14:J$463)</f>
        <v>1.2200491974521421E-2</v>
      </c>
      <c r="K472" s="11">
        <f t="shared" si="2"/>
        <v>-1.2463555555553658E-2</v>
      </c>
    </row>
  </sheetData>
  <autoFilter ref="A1:N471" xr:uid="{2BA6EAFE-9F33-7547-A773-44EFEDD8EC31}">
    <filterColumn colId="1">
      <filters>
        <filter val="RTS2"/>
      </filters>
    </filterColumn>
  </autoFilter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5E6-3054-A247-9887-B73004E1D928}">
  <dimension ref="A1:P174"/>
  <sheetViews>
    <sheetView topLeftCell="A154" workbookViewId="0">
      <selection activeCell="B21" sqref="B21"/>
    </sheetView>
  </sheetViews>
  <sheetFormatPr defaultColWidth="9.77734375" defaultRowHeight="15" customHeight="1"/>
  <cols>
    <col min="14" max="16" width="9.77734375" style="25"/>
  </cols>
  <sheetData>
    <row r="1" spans="1:16" ht="15" customHeight="1">
      <c r="A1" s="1" t="s">
        <v>15291</v>
      </c>
      <c r="B1" s="1" t="s">
        <v>15501</v>
      </c>
      <c r="C1" s="2" t="s">
        <v>0</v>
      </c>
      <c r="D1" s="2" t="s">
        <v>15529</v>
      </c>
      <c r="E1" s="2" t="s">
        <v>3601</v>
      </c>
      <c r="F1" s="2" t="s">
        <v>3767</v>
      </c>
      <c r="G1" s="2" t="s">
        <v>7126</v>
      </c>
      <c r="H1" s="2" t="s">
        <v>15507</v>
      </c>
      <c r="I1" s="2" t="s">
        <v>11883</v>
      </c>
      <c r="J1" s="2" t="s">
        <v>11884</v>
      </c>
      <c r="K1" s="11" t="s">
        <v>15521</v>
      </c>
      <c r="L1" s="11" t="s">
        <v>15522</v>
      </c>
      <c r="M1" s="11" t="s">
        <v>15523</v>
      </c>
      <c r="N1" s="24" t="s">
        <v>15524</v>
      </c>
      <c r="O1" s="24" t="s">
        <v>15525</v>
      </c>
      <c r="P1" s="24" t="s">
        <v>15526</v>
      </c>
    </row>
    <row r="2" spans="1:16" ht="15" customHeight="1">
      <c r="A2" t="s">
        <v>15397</v>
      </c>
      <c r="B2" t="s">
        <v>15441</v>
      </c>
      <c r="C2" t="s">
        <v>15445</v>
      </c>
      <c r="D2" t="s">
        <v>3439</v>
      </c>
      <c r="E2" t="s">
        <v>3440</v>
      </c>
      <c r="F2" t="s">
        <v>4031</v>
      </c>
      <c r="G2" t="s">
        <v>7390</v>
      </c>
      <c r="H2" t="s">
        <v>3760</v>
      </c>
      <c r="I2" t="s">
        <v>3366</v>
      </c>
      <c r="J2" t="s">
        <v>11895</v>
      </c>
      <c r="K2">
        <v>-2.2265949944890302E-2</v>
      </c>
      <c r="L2">
        <v>-2.1152895465873799E-2</v>
      </c>
      <c r="M2">
        <v>-0.10550000000000601</v>
      </c>
    </row>
    <row r="3" spans="1:16" ht="15" customHeight="1">
      <c r="A3" t="s">
        <v>15397</v>
      </c>
      <c r="B3" t="s">
        <v>15441</v>
      </c>
      <c r="C3" t="s">
        <v>15445</v>
      </c>
      <c r="D3" t="s">
        <v>3443</v>
      </c>
      <c r="E3" t="s">
        <v>3440</v>
      </c>
      <c r="F3" t="s">
        <v>4032</v>
      </c>
      <c r="G3" t="s">
        <v>7391</v>
      </c>
      <c r="H3" t="s">
        <v>3760</v>
      </c>
      <c r="I3" t="s">
        <v>3366</v>
      </c>
      <c r="J3" t="s">
        <v>11895</v>
      </c>
      <c r="K3">
        <v>-2.11453617275635E-2</v>
      </c>
      <c r="L3">
        <v>-2.0864260100230899E-2</v>
      </c>
      <c r="M3">
        <v>-0.105699999999999</v>
      </c>
    </row>
    <row r="4" spans="1:16" ht="15" customHeight="1">
      <c r="A4" t="s">
        <v>15397</v>
      </c>
      <c r="B4" t="s">
        <v>15441</v>
      </c>
      <c r="C4" t="s">
        <v>15445</v>
      </c>
      <c r="D4" t="s">
        <v>3439</v>
      </c>
      <c r="E4" t="s">
        <v>3440</v>
      </c>
      <c r="F4" t="s">
        <v>4033</v>
      </c>
      <c r="G4" t="s">
        <v>7392</v>
      </c>
      <c r="H4" t="s">
        <v>3760</v>
      </c>
      <c r="I4" t="s">
        <v>3366</v>
      </c>
      <c r="J4" t="s">
        <v>11895</v>
      </c>
      <c r="K4">
        <v>-1.8271615018306101E-2</v>
      </c>
      <c r="L4">
        <v>-2.33423269129567E-2</v>
      </c>
      <c r="M4">
        <v>-9.42000000000007E-2</v>
      </c>
    </row>
    <row r="5" spans="1:16" ht="15" customHeight="1">
      <c r="A5" t="s">
        <v>15397</v>
      </c>
      <c r="B5" t="s">
        <v>15441</v>
      </c>
      <c r="C5" t="s">
        <v>15446</v>
      </c>
      <c r="D5" t="s">
        <v>3439</v>
      </c>
      <c r="E5" t="s">
        <v>3440</v>
      </c>
      <c r="F5" t="s">
        <v>4034</v>
      </c>
      <c r="G5" t="s">
        <v>7393</v>
      </c>
      <c r="H5" t="s">
        <v>10689</v>
      </c>
      <c r="I5" t="s">
        <v>3371</v>
      </c>
      <c r="J5" t="s">
        <v>11895</v>
      </c>
      <c r="K5">
        <v>-1.46911961498177E-2</v>
      </c>
      <c r="L5">
        <v>-1.8838374446545101E-2</v>
      </c>
      <c r="M5">
        <v>-9.6800000000001801E-2</v>
      </c>
    </row>
    <row r="6" spans="1:16" ht="15" customHeight="1">
      <c r="A6" t="s">
        <v>15397</v>
      </c>
      <c r="B6" t="s">
        <v>15441</v>
      </c>
      <c r="C6" t="s">
        <v>15446</v>
      </c>
      <c r="D6" t="s">
        <v>3443</v>
      </c>
      <c r="E6" t="s">
        <v>3437</v>
      </c>
      <c r="F6" t="s">
        <v>4035</v>
      </c>
      <c r="G6" t="s">
        <v>7394</v>
      </c>
      <c r="H6" t="s">
        <v>10689</v>
      </c>
      <c r="I6" t="s">
        <v>3366</v>
      </c>
      <c r="J6" t="s">
        <v>11895</v>
      </c>
      <c r="K6">
        <v>-1.39486293157823E-2</v>
      </c>
      <c r="L6">
        <v>-1.90131623325628E-2</v>
      </c>
      <c r="M6">
        <v>-9.5900000000000304E-2</v>
      </c>
    </row>
    <row r="7" spans="1:16" ht="15" customHeight="1" thickBot="1">
      <c r="A7" t="s">
        <v>15397</v>
      </c>
      <c r="B7" t="s">
        <v>15441</v>
      </c>
      <c r="C7" t="s">
        <v>15446</v>
      </c>
      <c r="D7" t="s">
        <v>3443</v>
      </c>
      <c r="E7" t="s">
        <v>3437</v>
      </c>
      <c r="F7" t="s">
        <v>4036</v>
      </c>
      <c r="G7" t="s">
        <v>7395</v>
      </c>
      <c r="H7" t="s">
        <v>10689</v>
      </c>
      <c r="I7" t="s">
        <v>3366</v>
      </c>
      <c r="J7" t="s">
        <v>11895</v>
      </c>
      <c r="K7">
        <v>-1.3188423734257101E-2</v>
      </c>
      <c r="L7">
        <v>-1.7534026737414901E-2</v>
      </c>
      <c r="M7">
        <v>-9.1700000000003001E-2</v>
      </c>
    </row>
    <row r="8" spans="1:16" s="15" customFormat="1" ht="15" customHeight="1">
      <c r="A8" s="26" t="s">
        <v>15397</v>
      </c>
      <c r="B8" s="27" t="s">
        <v>15441</v>
      </c>
      <c r="C8" s="27" t="s">
        <v>15447</v>
      </c>
      <c r="D8" s="27" t="s">
        <v>3427</v>
      </c>
      <c r="E8" s="27" t="s">
        <v>3425</v>
      </c>
      <c r="F8" s="27" t="s">
        <v>4037</v>
      </c>
      <c r="G8" s="27" t="s">
        <v>7396</v>
      </c>
      <c r="H8" s="27" t="s">
        <v>10690</v>
      </c>
      <c r="I8" s="27" t="s">
        <v>3368</v>
      </c>
      <c r="J8" s="27" t="s">
        <v>11902</v>
      </c>
      <c r="K8" s="27">
        <v>-8.2574151400077907E-3</v>
      </c>
      <c r="L8" s="27">
        <v>-1.7276189627053799E-2</v>
      </c>
      <c r="M8" s="27">
        <v>-9.1700000000003001E-2</v>
      </c>
      <c r="N8" s="28">
        <f>_xlfn.VAR.S(K8:K10)</f>
        <v>1.8026636230779999E-7</v>
      </c>
      <c r="O8" s="28">
        <f>_xlfn.VAR.S(L8:L10)</f>
        <v>1.2300600559691596E-6</v>
      </c>
      <c r="P8" s="29">
        <f>_xlfn.VAR.S(M8:M10)</f>
        <v>8.0433333333493539E-6</v>
      </c>
    </row>
    <row r="9" spans="1:16" s="15" customFormat="1" ht="15" customHeight="1">
      <c r="A9" s="30" t="s">
        <v>15397</v>
      </c>
      <c r="B9" s="31" t="s">
        <v>15441</v>
      </c>
      <c r="C9" s="31" t="s">
        <v>15447</v>
      </c>
      <c r="D9" s="31" t="s">
        <v>3438</v>
      </c>
      <c r="E9" s="31" t="s">
        <v>3436</v>
      </c>
      <c r="F9" s="31" t="s">
        <v>4038</v>
      </c>
      <c r="G9" s="31" t="s">
        <v>7397</v>
      </c>
      <c r="H9" s="31" t="s">
        <v>10690</v>
      </c>
      <c r="I9" s="31" t="s">
        <v>3366</v>
      </c>
      <c r="J9" s="31" t="s">
        <v>11902</v>
      </c>
      <c r="K9" s="31">
        <v>-7.4989830058166396E-3</v>
      </c>
      <c r="L9" s="31">
        <v>-1.9451825537639501E-2</v>
      </c>
      <c r="M9" s="31">
        <v>-9.2600000000004498E-2</v>
      </c>
      <c r="N9" s="32"/>
      <c r="O9" s="32"/>
      <c r="P9" s="33"/>
    </row>
    <row r="10" spans="1:16" s="15" customFormat="1" ht="15" customHeight="1" thickBot="1">
      <c r="A10" s="34" t="s">
        <v>15397</v>
      </c>
      <c r="B10" s="35" t="s">
        <v>15441</v>
      </c>
      <c r="C10" s="35" t="s">
        <v>15447</v>
      </c>
      <c r="D10" s="35" t="s">
        <v>3440</v>
      </c>
      <c r="E10" s="35" t="s">
        <v>3428</v>
      </c>
      <c r="F10" s="35" t="s">
        <v>4039</v>
      </c>
      <c r="G10" s="35" t="s">
        <v>7398</v>
      </c>
      <c r="H10" s="35" t="s">
        <v>10690</v>
      </c>
      <c r="I10" s="35" t="s">
        <v>3366</v>
      </c>
      <c r="J10" s="35" t="s">
        <v>11902</v>
      </c>
      <c r="K10" s="35">
        <v>-7.5474656299508299E-3</v>
      </c>
      <c r="L10" s="35">
        <v>-1.8738355624060399E-2</v>
      </c>
      <c r="M10" s="35">
        <v>-8.7299999999999003E-2</v>
      </c>
      <c r="N10" s="36"/>
      <c r="O10" s="36"/>
      <c r="P10" s="37"/>
    </row>
    <row r="11" spans="1:16" ht="15" customHeight="1">
      <c r="A11" t="s">
        <v>15397</v>
      </c>
      <c r="B11" t="s">
        <v>15441</v>
      </c>
      <c r="C11" t="s">
        <v>15448</v>
      </c>
      <c r="D11" t="s">
        <v>3436</v>
      </c>
      <c r="E11" t="s">
        <v>3441</v>
      </c>
      <c r="F11" t="s">
        <v>4040</v>
      </c>
      <c r="G11" t="s">
        <v>7399</v>
      </c>
      <c r="H11" t="s">
        <v>10691</v>
      </c>
      <c r="I11" t="s">
        <v>3366</v>
      </c>
      <c r="J11" t="s">
        <v>11913</v>
      </c>
      <c r="K11">
        <v>-2.18207453887658E-2</v>
      </c>
      <c r="L11">
        <v>-2.8048036143439401E-2</v>
      </c>
      <c r="M11">
        <v>-8.6600000000004201E-2</v>
      </c>
    </row>
    <row r="12" spans="1:16" ht="15" customHeight="1">
      <c r="A12" t="s">
        <v>15397</v>
      </c>
      <c r="B12" t="s">
        <v>15441</v>
      </c>
      <c r="C12" t="s">
        <v>15448</v>
      </c>
      <c r="D12" t="s">
        <v>3436</v>
      </c>
      <c r="E12" t="s">
        <v>3441</v>
      </c>
      <c r="F12" t="s">
        <v>4041</v>
      </c>
      <c r="G12" t="s">
        <v>7400</v>
      </c>
      <c r="H12" t="s">
        <v>10692</v>
      </c>
      <c r="I12" t="s">
        <v>3366</v>
      </c>
      <c r="J12" t="s">
        <v>11913</v>
      </c>
      <c r="K12">
        <v>-2.2030539925907599E-2</v>
      </c>
      <c r="L12">
        <v>-2.53937714515979E-2</v>
      </c>
      <c r="M12">
        <v>-8.61000000000018E-2</v>
      </c>
    </row>
    <row r="13" spans="1:16" ht="15" customHeight="1">
      <c r="A13" t="s">
        <v>15397</v>
      </c>
      <c r="B13" t="s">
        <v>15441</v>
      </c>
      <c r="C13" t="s">
        <v>15448</v>
      </c>
      <c r="D13" t="s">
        <v>3425</v>
      </c>
      <c r="E13" t="s">
        <v>3432</v>
      </c>
      <c r="F13" t="s">
        <v>4042</v>
      </c>
      <c r="G13" t="s">
        <v>7401</v>
      </c>
      <c r="H13" t="s">
        <v>10692</v>
      </c>
      <c r="I13" t="s">
        <v>3366</v>
      </c>
      <c r="J13" t="s">
        <v>11913</v>
      </c>
      <c r="K13">
        <v>-2.1490410593589401E-2</v>
      </c>
      <c r="L13">
        <v>-2.3690659872283699E-2</v>
      </c>
      <c r="M13">
        <v>-8.2999999999998395E-2</v>
      </c>
    </row>
    <row r="14" spans="1:16" ht="15" customHeight="1">
      <c r="A14" t="s">
        <v>15397</v>
      </c>
      <c r="B14" t="s">
        <v>15441</v>
      </c>
      <c r="C14" t="s">
        <v>15449</v>
      </c>
      <c r="D14" t="s">
        <v>3437</v>
      </c>
      <c r="E14" t="s">
        <v>3428</v>
      </c>
      <c r="F14" t="s">
        <v>4043</v>
      </c>
      <c r="G14" t="s">
        <v>7402</v>
      </c>
      <c r="H14" t="s">
        <v>10693</v>
      </c>
      <c r="I14" t="s">
        <v>3366</v>
      </c>
      <c r="J14" t="s">
        <v>11906</v>
      </c>
      <c r="K14">
        <v>-1.4006063566481E-2</v>
      </c>
      <c r="L14">
        <v>-2.3161822561632701E-2</v>
      </c>
      <c r="M14">
        <v>-9.4599999999999795E-2</v>
      </c>
    </row>
    <row r="15" spans="1:16" ht="15" customHeight="1">
      <c r="A15" t="s">
        <v>15397</v>
      </c>
      <c r="B15" t="s">
        <v>15441</v>
      </c>
      <c r="C15" t="s">
        <v>15449</v>
      </c>
      <c r="D15" t="s">
        <v>3438</v>
      </c>
      <c r="E15" t="s">
        <v>3425</v>
      </c>
      <c r="F15" t="s">
        <v>4044</v>
      </c>
      <c r="G15" t="s">
        <v>7403</v>
      </c>
      <c r="H15" t="s">
        <v>10692</v>
      </c>
      <c r="I15" t="s">
        <v>3366</v>
      </c>
      <c r="J15" t="s">
        <v>11913</v>
      </c>
      <c r="K15">
        <v>-1.39330297808165E-2</v>
      </c>
      <c r="L15">
        <v>-2.4798643962084099E-2</v>
      </c>
      <c r="M15">
        <v>-8.82000000000005E-2</v>
      </c>
    </row>
    <row r="16" spans="1:16" ht="15" customHeight="1">
      <c r="A16" t="s">
        <v>15397</v>
      </c>
      <c r="B16" t="s">
        <v>15441</v>
      </c>
      <c r="C16" t="s">
        <v>15449</v>
      </c>
      <c r="D16" t="s">
        <v>3427</v>
      </c>
      <c r="E16" t="s">
        <v>3434</v>
      </c>
      <c r="F16" t="s">
        <v>4045</v>
      </c>
      <c r="G16" t="s">
        <v>7404</v>
      </c>
      <c r="H16" t="s">
        <v>10693</v>
      </c>
      <c r="I16" t="s">
        <v>3366</v>
      </c>
      <c r="J16" t="s">
        <v>11906</v>
      </c>
      <c r="K16">
        <v>-1.5939326467316699E-2</v>
      </c>
      <c r="L16">
        <v>-2.4627562433762601E-2</v>
      </c>
      <c r="M16">
        <v>-9.32999999999993E-2</v>
      </c>
    </row>
    <row r="17" spans="1:16" ht="15" customHeight="1">
      <c r="A17" t="s">
        <v>15397</v>
      </c>
      <c r="B17" t="s">
        <v>15442</v>
      </c>
      <c r="C17" t="s">
        <v>15450</v>
      </c>
      <c r="D17" t="s">
        <v>3429</v>
      </c>
      <c r="E17" t="s">
        <v>3460</v>
      </c>
      <c r="F17" t="s">
        <v>4046</v>
      </c>
      <c r="G17" t="s">
        <v>7405</v>
      </c>
      <c r="H17" t="s">
        <v>10694</v>
      </c>
      <c r="I17" t="s">
        <v>3368</v>
      </c>
      <c r="J17" t="s">
        <v>11895</v>
      </c>
      <c r="K17">
        <v>-1.7208018949395099E-2</v>
      </c>
      <c r="L17">
        <v>-2.51355234875432E-2</v>
      </c>
      <c r="M17">
        <v>-0.10560000000001001</v>
      </c>
    </row>
    <row r="18" spans="1:16" ht="15" customHeight="1">
      <c r="A18" t="s">
        <v>15397</v>
      </c>
      <c r="B18" t="s">
        <v>15442</v>
      </c>
      <c r="C18" t="s">
        <v>15450</v>
      </c>
      <c r="D18" t="s">
        <v>3427</v>
      </c>
      <c r="E18" t="s">
        <v>3431</v>
      </c>
      <c r="F18" t="s">
        <v>4047</v>
      </c>
      <c r="G18" t="s">
        <v>7406</v>
      </c>
      <c r="H18" t="s">
        <v>10695</v>
      </c>
      <c r="I18" t="s">
        <v>3366</v>
      </c>
      <c r="J18" t="s">
        <v>11895</v>
      </c>
      <c r="K18">
        <v>-2.36637803778314E-2</v>
      </c>
      <c r="L18">
        <v>-2.5388621980160501E-2</v>
      </c>
      <c r="M18">
        <v>-9.7400000000007494E-2</v>
      </c>
    </row>
    <row r="19" spans="1:16" ht="15" customHeight="1">
      <c r="A19" t="s">
        <v>15397</v>
      </c>
      <c r="B19" t="s">
        <v>15442</v>
      </c>
      <c r="C19" t="s">
        <v>15450</v>
      </c>
      <c r="D19" t="s">
        <v>3438</v>
      </c>
      <c r="E19" t="s">
        <v>3425</v>
      </c>
      <c r="F19" t="s">
        <v>4048</v>
      </c>
      <c r="G19" t="s">
        <v>7407</v>
      </c>
      <c r="H19" t="s">
        <v>10695</v>
      </c>
      <c r="I19" t="s">
        <v>3366</v>
      </c>
      <c r="J19" t="s">
        <v>11895</v>
      </c>
      <c r="K19">
        <v>-2.06001803375345E-2</v>
      </c>
      <c r="L19">
        <v>-1.8778010497062399E-2</v>
      </c>
      <c r="M19">
        <v>-9.9200000000010405E-2</v>
      </c>
    </row>
    <row r="20" spans="1:16" ht="15" customHeight="1">
      <c r="A20" t="s">
        <v>15397</v>
      </c>
      <c r="B20" t="s">
        <v>15442</v>
      </c>
      <c r="C20" t="s">
        <v>15445</v>
      </c>
      <c r="D20" t="s">
        <v>3439</v>
      </c>
      <c r="E20" t="s">
        <v>3437</v>
      </c>
      <c r="F20" t="s">
        <v>4049</v>
      </c>
      <c r="G20" t="s">
        <v>7408</v>
      </c>
      <c r="H20" t="s">
        <v>3637</v>
      </c>
      <c r="I20" t="s">
        <v>3366</v>
      </c>
      <c r="J20" t="s">
        <v>11895</v>
      </c>
      <c r="K20">
        <v>-1.06054808226064E-2</v>
      </c>
      <c r="L20">
        <v>-1.9854418785051699E-2</v>
      </c>
      <c r="M20">
        <v>-9.7599999999999895E-2</v>
      </c>
    </row>
    <row r="21" spans="1:16" ht="15" customHeight="1">
      <c r="A21" t="s">
        <v>15397</v>
      </c>
      <c r="B21" t="s">
        <v>15442</v>
      </c>
      <c r="C21" t="s">
        <v>15445</v>
      </c>
      <c r="D21" t="s">
        <v>3439</v>
      </c>
      <c r="E21" t="s">
        <v>3437</v>
      </c>
      <c r="F21" t="s">
        <v>4050</v>
      </c>
      <c r="G21" t="s">
        <v>7409</v>
      </c>
      <c r="H21" t="s">
        <v>10694</v>
      </c>
      <c r="I21" t="s">
        <v>3366</v>
      </c>
      <c r="J21" t="s">
        <v>11894</v>
      </c>
      <c r="K21">
        <v>-1.35514640219585E-2</v>
      </c>
      <c r="L21">
        <v>-2.2906393795187299E-2</v>
      </c>
      <c r="M21">
        <v>-9.9000000000003793E-2</v>
      </c>
    </row>
    <row r="22" spans="1:16" ht="15" customHeight="1">
      <c r="A22" t="s">
        <v>15397</v>
      </c>
      <c r="B22" t="s">
        <v>15442</v>
      </c>
      <c r="C22" t="s">
        <v>15445</v>
      </c>
      <c r="D22" t="s">
        <v>3439</v>
      </c>
      <c r="E22" t="s">
        <v>3437</v>
      </c>
      <c r="F22" t="s">
        <v>4051</v>
      </c>
      <c r="G22" t="s">
        <v>7410</v>
      </c>
      <c r="H22" t="s">
        <v>10696</v>
      </c>
      <c r="I22" t="s">
        <v>3366</v>
      </c>
      <c r="J22" t="s">
        <v>11895</v>
      </c>
      <c r="K22">
        <v>-1.38525507911809E-2</v>
      </c>
      <c r="L22">
        <v>-2.1222138113505699E-2</v>
      </c>
      <c r="M22">
        <v>-0.10099999999999899</v>
      </c>
    </row>
    <row r="23" spans="1:16" ht="15" customHeight="1">
      <c r="A23" t="s">
        <v>15397</v>
      </c>
      <c r="B23" t="s">
        <v>15442</v>
      </c>
      <c r="C23" t="s">
        <v>15451</v>
      </c>
      <c r="D23" t="s">
        <v>3443</v>
      </c>
      <c r="E23" t="s">
        <v>3437</v>
      </c>
      <c r="F23" t="s">
        <v>4052</v>
      </c>
      <c r="G23" t="s">
        <v>7411</v>
      </c>
      <c r="H23" t="s">
        <v>10697</v>
      </c>
      <c r="I23" t="s">
        <v>3369</v>
      </c>
      <c r="J23" t="s">
        <v>11907</v>
      </c>
      <c r="K23">
        <v>-1.86993571640337E-2</v>
      </c>
      <c r="L23">
        <v>-2.0886390210023999E-2</v>
      </c>
      <c r="M23">
        <v>-0.102500000000006</v>
      </c>
    </row>
    <row r="24" spans="1:16" ht="15" customHeight="1">
      <c r="A24" t="s">
        <v>15397</v>
      </c>
      <c r="B24" t="s">
        <v>15442</v>
      </c>
      <c r="C24" t="s">
        <v>15451</v>
      </c>
      <c r="D24" t="s">
        <v>3443</v>
      </c>
      <c r="E24" t="s">
        <v>3440</v>
      </c>
      <c r="F24" t="s">
        <v>4053</v>
      </c>
      <c r="G24" t="s">
        <v>7412</v>
      </c>
      <c r="H24" t="s">
        <v>10698</v>
      </c>
      <c r="I24" t="s">
        <v>3366</v>
      </c>
      <c r="J24" t="s">
        <v>11911</v>
      </c>
      <c r="K24">
        <v>-1.80128944951965E-2</v>
      </c>
      <c r="L24">
        <v>-2.0825781798650699E-2</v>
      </c>
      <c r="M24">
        <v>-0.102500000000006</v>
      </c>
    </row>
    <row r="25" spans="1:16" ht="15" customHeight="1">
      <c r="A25" t="s">
        <v>15397</v>
      </c>
      <c r="B25" t="s">
        <v>15442</v>
      </c>
      <c r="C25" t="s">
        <v>15451</v>
      </c>
      <c r="D25" t="s">
        <v>3443</v>
      </c>
      <c r="E25" t="s">
        <v>3438</v>
      </c>
      <c r="F25" t="s">
        <v>4054</v>
      </c>
      <c r="G25" t="s">
        <v>7413</v>
      </c>
      <c r="H25" t="s">
        <v>10699</v>
      </c>
      <c r="I25" t="s">
        <v>3366</v>
      </c>
      <c r="J25" t="s">
        <v>11907</v>
      </c>
      <c r="K25">
        <v>-1.67539521948032E-2</v>
      </c>
      <c r="L25">
        <v>-2.44259712729076E-2</v>
      </c>
      <c r="M25">
        <v>-0.104300000000009</v>
      </c>
    </row>
    <row r="26" spans="1:16" ht="15" customHeight="1">
      <c r="A26" t="s">
        <v>15397</v>
      </c>
      <c r="B26" t="s">
        <v>15443</v>
      </c>
      <c r="C26" t="s">
        <v>15452</v>
      </c>
      <c r="D26" t="s">
        <v>3438</v>
      </c>
      <c r="E26" t="s">
        <v>3434</v>
      </c>
      <c r="F26" t="s">
        <v>4055</v>
      </c>
      <c r="G26" t="s">
        <v>7414</v>
      </c>
      <c r="H26" t="s">
        <v>10700</v>
      </c>
      <c r="I26" t="s">
        <v>3366</v>
      </c>
      <c r="J26" t="s">
        <v>11889</v>
      </c>
      <c r="K26">
        <v>-3.19725927422084E-2</v>
      </c>
      <c r="L26">
        <v>1.30102791665589E-2</v>
      </c>
      <c r="M26">
        <v>-0.107700000000008</v>
      </c>
    </row>
    <row r="27" spans="1:16" ht="15" customHeight="1">
      <c r="A27" t="s">
        <v>15397</v>
      </c>
      <c r="B27" t="s">
        <v>15443</v>
      </c>
      <c r="C27" t="s">
        <v>15452</v>
      </c>
      <c r="D27" t="s">
        <v>3427</v>
      </c>
      <c r="E27" t="s">
        <v>3434</v>
      </c>
      <c r="F27" t="s">
        <v>4056</v>
      </c>
      <c r="G27" t="s">
        <v>7415</v>
      </c>
      <c r="H27" t="s">
        <v>10700</v>
      </c>
      <c r="I27" t="s">
        <v>3366</v>
      </c>
      <c r="J27" t="s">
        <v>11889</v>
      </c>
      <c r="K27">
        <v>-3.1913916574555598E-2</v>
      </c>
      <c r="L27">
        <v>1.0814177852796401E-2</v>
      </c>
      <c r="M27">
        <v>-0.11460000000001</v>
      </c>
    </row>
    <row r="28" spans="1:16" ht="15" customHeight="1">
      <c r="A28" t="s">
        <v>15397</v>
      </c>
      <c r="B28" t="s">
        <v>15443</v>
      </c>
      <c r="C28" t="s">
        <v>15452</v>
      </c>
      <c r="D28" t="s">
        <v>3427</v>
      </c>
      <c r="E28" t="s">
        <v>3435</v>
      </c>
      <c r="F28" t="s">
        <v>4057</v>
      </c>
      <c r="G28" t="s">
        <v>7416</v>
      </c>
      <c r="H28" t="s">
        <v>10700</v>
      </c>
      <c r="I28" t="s">
        <v>3366</v>
      </c>
      <c r="J28" t="s">
        <v>11889</v>
      </c>
      <c r="K28">
        <v>-2.94236841490325E-2</v>
      </c>
      <c r="L28">
        <v>1.39702108267188E-2</v>
      </c>
      <c r="M28">
        <v>-0.10990000000001</v>
      </c>
    </row>
    <row r="29" spans="1:16" ht="15" customHeight="1">
      <c r="A29" t="s">
        <v>15397</v>
      </c>
      <c r="B29" t="s">
        <v>15443</v>
      </c>
      <c r="C29" t="s">
        <v>15452</v>
      </c>
      <c r="D29" t="s">
        <v>3427</v>
      </c>
      <c r="E29" t="s">
        <v>3434</v>
      </c>
      <c r="F29" t="s">
        <v>4058</v>
      </c>
      <c r="G29" t="s">
        <v>7417</v>
      </c>
      <c r="H29" t="s">
        <v>10544</v>
      </c>
      <c r="I29" t="s">
        <v>3366</v>
      </c>
      <c r="J29" t="s">
        <v>11908</v>
      </c>
      <c r="K29">
        <v>-3.048630532573E-2</v>
      </c>
      <c r="L29">
        <v>1.6991298471270799E-2</v>
      </c>
      <c r="M29">
        <v>-0.100800000000007</v>
      </c>
    </row>
    <row r="30" spans="1:16" ht="15" customHeight="1" thickBot="1">
      <c r="A30" t="s">
        <v>15397</v>
      </c>
      <c r="B30" t="s">
        <v>15443</v>
      </c>
      <c r="C30" t="s">
        <v>15452</v>
      </c>
      <c r="D30" t="s">
        <v>3427</v>
      </c>
      <c r="E30" t="s">
        <v>3435</v>
      </c>
      <c r="F30" t="s">
        <v>4059</v>
      </c>
      <c r="G30" t="s">
        <v>7418</v>
      </c>
      <c r="H30" t="s">
        <v>10701</v>
      </c>
      <c r="I30" t="s">
        <v>3366</v>
      </c>
      <c r="J30" t="s">
        <v>11889</v>
      </c>
      <c r="K30">
        <v>-2.9793106579945099E-2</v>
      </c>
      <c r="L30">
        <v>2.42504547327386E-2</v>
      </c>
      <c r="M30">
        <v>-0.107900000000001</v>
      </c>
    </row>
    <row r="31" spans="1:16" s="15" customFormat="1" ht="15" customHeight="1">
      <c r="A31" s="26" t="s">
        <v>15397</v>
      </c>
      <c r="B31" s="27" t="s">
        <v>15443</v>
      </c>
      <c r="C31" s="27" t="s">
        <v>15460</v>
      </c>
      <c r="D31" s="27" t="s">
        <v>3425</v>
      </c>
      <c r="E31" s="27" t="s">
        <v>3453</v>
      </c>
      <c r="F31" s="27" t="s">
        <v>4060</v>
      </c>
      <c r="G31" s="27" t="s">
        <v>7419</v>
      </c>
      <c r="H31" s="27" t="s">
        <v>10702</v>
      </c>
      <c r="I31" s="27" t="s">
        <v>3366</v>
      </c>
      <c r="J31" s="27" t="s">
        <v>11889</v>
      </c>
      <c r="K31" s="27">
        <v>-3.5373529419819499E-2</v>
      </c>
      <c r="L31" s="27">
        <v>1.38366526214307E-2</v>
      </c>
      <c r="M31" s="27">
        <v>-9.7400000000007494E-2</v>
      </c>
      <c r="N31" s="28">
        <f>_xlfn.VAR.S(K31:K35)</f>
        <v>4.0910405968728791E-6</v>
      </c>
      <c r="O31" s="28">
        <f>_xlfn.VAR.S(L31:L35)</f>
        <v>2.0738948229307797E-6</v>
      </c>
      <c r="P31" s="29">
        <f>_xlfn.VAR.S(M31:M35)</f>
        <v>1.3536799999998251E-4</v>
      </c>
    </row>
    <row r="32" spans="1:16" s="15" customFormat="1" ht="15" customHeight="1">
      <c r="A32" s="30" t="s">
        <v>15397</v>
      </c>
      <c r="B32" s="31" t="s">
        <v>15443</v>
      </c>
      <c r="C32" s="31" t="s">
        <v>15460</v>
      </c>
      <c r="D32" s="31" t="s">
        <v>3431</v>
      </c>
      <c r="E32" s="31" t="s">
        <v>3433</v>
      </c>
      <c r="F32" s="31" t="s">
        <v>4061</v>
      </c>
      <c r="G32" s="31" t="s">
        <v>7420</v>
      </c>
      <c r="H32" s="31" t="s">
        <v>10703</v>
      </c>
      <c r="I32" s="31" t="s">
        <v>3366</v>
      </c>
      <c r="J32" s="31" t="s">
        <v>11889</v>
      </c>
      <c r="K32" s="31">
        <v>-3.9822462631375601E-2</v>
      </c>
      <c r="L32" s="31">
        <v>1.0201059545308E-2</v>
      </c>
      <c r="M32" s="31">
        <v>-0.102500000000006</v>
      </c>
      <c r="N32" s="32"/>
      <c r="O32" s="32"/>
      <c r="P32" s="33"/>
    </row>
    <row r="33" spans="1:16" s="15" customFormat="1" ht="15" customHeight="1">
      <c r="A33" s="30" t="s">
        <v>15397</v>
      </c>
      <c r="B33" s="31" t="s">
        <v>15443</v>
      </c>
      <c r="C33" s="31" t="s">
        <v>15460</v>
      </c>
      <c r="D33" s="31" t="s">
        <v>3434</v>
      </c>
      <c r="E33" s="31" t="s">
        <v>3452</v>
      </c>
      <c r="F33" s="31" t="s">
        <v>4062</v>
      </c>
      <c r="G33" s="31" t="s">
        <v>7421</v>
      </c>
      <c r="H33" s="31" t="s">
        <v>10704</v>
      </c>
      <c r="I33" s="31" t="s">
        <v>3366</v>
      </c>
      <c r="J33" s="31" t="s">
        <v>11908</v>
      </c>
      <c r="K33" s="31">
        <v>-3.9228443423925299E-2</v>
      </c>
      <c r="L33" s="31">
        <v>1.2023478778861899E-2</v>
      </c>
      <c r="M33" s="31">
        <v>-0.10550000000000601</v>
      </c>
      <c r="N33" s="32"/>
      <c r="O33" s="32"/>
      <c r="P33" s="33"/>
    </row>
    <row r="34" spans="1:16" s="15" customFormat="1" ht="15" customHeight="1">
      <c r="A34" s="30" t="s">
        <v>15397</v>
      </c>
      <c r="B34" s="31" t="s">
        <v>15443</v>
      </c>
      <c r="C34" s="31" t="s">
        <v>15460</v>
      </c>
      <c r="D34" s="31" t="s">
        <v>3434</v>
      </c>
      <c r="E34" s="31" t="s">
        <v>3433</v>
      </c>
      <c r="F34" s="31" t="s">
        <v>4063</v>
      </c>
      <c r="G34" s="31" t="s">
        <v>7422</v>
      </c>
      <c r="H34" s="31" t="s">
        <v>10705</v>
      </c>
      <c r="I34" s="31" t="s">
        <v>3366</v>
      </c>
      <c r="J34" s="31" t="s">
        <v>11908</v>
      </c>
      <c r="K34" s="31">
        <v>-3.9733297780365398E-2</v>
      </c>
      <c r="L34" s="31">
        <v>1.0919534618950301E-2</v>
      </c>
      <c r="M34" s="31">
        <v>-0.118499999999997</v>
      </c>
      <c r="N34" s="32"/>
      <c r="O34" s="32"/>
      <c r="P34" s="33"/>
    </row>
    <row r="35" spans="1:16" s="15" customFormat="1" ht="15" customHeight="1" thickBot="1">
      <c r="A35" s="34" t="s">
        <v>15397</v>
      </c>
      <c r="B35" s="35" t="s">
        <v>15443</v>
      </c>
      <c r="C35" s="35" t="s">
        <v>15460</v>
      </c>
      <c r="D35" s="35" t="s">
        <v>3434</v>
      </c>
      <c r="E35" s="35" t="s">
        <v>3452</v>
      </c>
      <c r="F35" s="35" t="s">
        <v>4064</v>
      </c>
      <c r="G35" s="35" t="s">
        <v>7423</v>
      </c>
      <c r="H35" s="35" t="s">
        <v>10706</v>
      </c>
      <c r="I35" s="35" t="s">
        <v>3366</v>
      </c>
      <c r="J35" s="35" t="s">
        <v>11908</v>
      </c>
      <c r="K35" s="35">
        <v>-4.04085920134706E-2</v>
      </c>
      <c r="L35" s="35">
        <v>1.07591076861252E-2</v>
      </c>
      <c r="M35" s="35">
        <v>-0.12530000000000999</v>
      </c>
      <c r="N35" s="36"/>
      <c r="O35" s="36"/>
      <c r="P35" s="37"/>
    </row>
    <row r="36" spans="1:16" ht="15" customHeight="1">
      <c r="A36" t="s">
        <v>15329</v>
      </c>
      <c r="B36" t="s">
        <v>15441</v>
      </c>
      <c r="C36" t="s">
        <v>15445</v>
      </c>
      <c r="D36" t="s">
        <v>3440</v>
      </c>
      <c r="E36" t="s">
        <v>3434</v>
      </c>
      <c r="F36" t="s">
        <v>5232</v>
      </c>
      <c r="G36" t="s">
        <v>8591</v>
      </c>
      <c r="H36" t="s">
        <v>11362</v>
      </c>
      <c r="I36" t="s">
        <v>3366</v>
      </c>
      <c r="J36" t="s">
        <v>11886</v>
      </c>
      <c r="K36">
        <v>2.3576189229578301E-3</v>
      </c>
      <c r="L36">
        <v>-2.13445142741896E-2</v>
      </c>
      <c r="M36">
        <v>-2.8000000000005801E-2</v>
      </c>
    </row>
    <row r="37" spans="1:16" ht="15" customHeight="1">
      <c r="A37" t="s">
        <v>15329</v>
      </c>
      <c r="B37" t="s">
        <v>15441</v>
      </c>
      <c r="C37" t="s">
        <v>15445</v>
      </c>
      <c r="D37" t="s">
        <v>3440</v>
      </c>
      <c r="E37" t="s">
        <v>3435</v>
      </c>
      <c r="F37" t="s">
        <v>5233</v>
      </c>
      <c r="G37" t="s">
        <v>8592</v>
      </c>
      <c r="H37" t="s">
        <v>11362</v>
      </c>
      <c r="I37" t="s">
        <v>3366</v>
      </c>
      <c r="J37" t="s">
        <v>11886</v>
      </c>
      <c r="K37">
        <v>4.34458328745989E-3</v>
      </c>
      <c r="L37">
        <v>-1.7711439231828101E-2</v>
      </c>
      <c r="M37">
        <v>-3.17000000000007E-2</v>
      </c>
    </row>
    <row r="38" spans="1:16" ht="15" customHeight="1" thickBot="1">
      <c r="A38" t="s">
        <v>15329</v>
      </c>
      <c r="B38" t="s">
        <v>15441</v>
      </c>
      <c r="C38" t="s">
        <v>15445</v>
      </c>
      <c r="D38" t="s">
        <v>3440</v>
      </c>
      <c r="E38" t="s">
        <v>3435</v>
      </c>
      <c r="F38" t="s">
        <v>5234</v>
      </c>
      <c r="G38" t="s">
        <v>8593</v>
      </c>
      <c r="H38" t="s">
        <v>11363</v>
      </c>
      <c r="I38" t="s">
        <v>3366</v>
      </c>
      <c r="J38" t="s">
        <v>11886</v>
      </c>
      <c r="K38">
        <v>1.47031189130341E-3</v>
      </c>
      <c r="L38">
        <v>-1.3362785797305101E-2</v>
      </c>
      <c r="M38">
        <v>-2.4799999999999E-2</v>
      </c>
    </row>
    <row r="39" spans="1:16" s="15" customFormat="1" ht="15" customHeight="1">
      <c r="A39" s="26" t="s">
        <v>15329</v>
      </c>
      <c r="B39" s="27" t="s">
        <v>15441</v>
      </c>
      <c r="C39" s="27" t="s">
        <v>15446</v>
      </c>
      <c r="D39" s="27" t="s">
        <v>3437</v>
      </c>
      <c r="E39" s="27" t="s">
        <v>3431</v>
      </c>
      <c r="F39" s="27" t="s">
        <v>5235</v>
      </c>
      <c r="G39" s="27" t="s">
        <v>8594</v>
      </c>
      <c r="H39" s="27" t="s">
        <v>3681</v>
      </c>
      <c r="I39" s="27" t="s">
        <v>3366</v>
      </c>
      <c r="J39" s="27" t="s">
        <v>11886</v>
      </c>
      <c r="K39" s="27">
        <v>-4.1197280105930503E-3</v>
      </c>
      <c r="L39" s="27">
        <v>-9.4133070959571494E-3</v>
      </c>
      <c r="M39" s="27">
        <v>-3.1500000000008299E-2</v>
      </c>
      <c r="N39" s="28">
        <f>_xlfn.VAR.S(K39:K41)</f>
        <v>1.9762148873737022E-6</v>
      </c>
      <c r="O39" s="28">
        <f>_xlfn.VAR.S(L39:L41)</f>
        <v>2.6517601993450345E-6</v>
      </c>
      <c r="P39" s="29">
        <f>_xlfn.VAR.S(M39:M41)</f>
        <v>7.9293333333329934E-5</v>
      </c>
    </row>
    <row r="40" spans="1:16" s="15" customFormat="1" ht="15" customHeight="1">
      <c r="A40" s="30" t="s">
        <v>15329</v>
      </c>
      <c r="B40" s="31" t="s">
        <v>15441</v>
      </c>
      <c r="C40" s="31" t="s">
        <v>15446</v>
      </c>
      <c r="D40" s="31" t="s">
        <v>3437</v>
      </c>
      <c r="E40" s="31" t="s">
        <v>3431</v>
      </c>
      <c r="F40" s="31" t="s">
        <v>5236</v>
      </c>
      <c r="G40" s="31" t="s">
        <v>8595</v>
      </c>
      <c r="H40" s="31" t="s">
        <v>3681</v>
      </c>
      <c r="I40" s="31" t="s">
        <v>3366</v>
      </c>
      <c r="J40" s="31" t="s">
        <v>11886</v>
      </c>
      <c r="K40" s="31">
        <v>-3.40624536128884E-3</v>
      </c>
      <c r="L40" s="31">
        <v>-1.1587783229452401E-2</v>
      </c>
      <c r="M40" s="31">
        <v>-2.68999999999977E-2</v>
      </c>
      <c r="N40" s="32"/>
      <c r="O40" s="32"/>
      <c r="P40" s="33"/>
    </row>
    <row r="41" spans="1:16" s="15" customFormat="1" ht="15" customHeight="1" thickBot="1">
      <c r="A41" s="34" t="s">
        <v>15329</v>
      </c>
      <c r="B41" s="35" t="s">
        <v>15441</v>
      </c>
      <c r="C41" s="35" t="s">
        <v>15446</v>
      </c>
      <c r="D41" s="35" t="s">
        <v>3437</v>
      </c>
      <c r="E41" s="35" t="s">
        <v>3431</v>
      </c>
      <c r="F41" s="35" t="s">
        <v>5237</v>
      </c>
      <c r="G41" s="35" t="s">
        <v>8596</v>
      </c>
      <c r="H41" s="35" t="s">
        <v>10579</v>
      </c>
      <c r="I41" s="35" t="s">
        <v>3366</v>
      </c>
      <c r="J41" s="35" t="s">
        <v>11886</v>
      </c>
      <c r="K41" s="35">
        <v>-6.1181621664471199E-3</v>
      </c>
      <c r="L41" s="35">
        <v>-1.2600311996588899E-2</v>
      </c>
      <c r="M41" s="35">
        <v>-1.4300000000005799E-2</v>
      </c>
      <c r="N41" s="36"/>
      <c r="O41" s="36"/>
      <c r="P41" s="37"/>
    </row>
    <row r="42" spans="1:16" ht="15" customHeight="1">
      <c r="A42" t="s">
        <v>15329</v>
      </c>
      <c r="B42" t="s">
        <v>15441</v>
      </c>
      <c r="C42" t="s">
        <v>15447</v>
      </c>
      <c r="D42" t="s">
        <v>3440</v>
      </c>
      <c r="E42" t="s">
        <v>3435</v>
      </c>
      <c r="F42" t="s">
        <v>5238</v>
      </c>
      <c r="G42" t="s">
        <v>8597</v>
      </c>
      <c r="H42" t="s">
        <v>11364</v>
      </c>
      <c r="I42" t="s">
        <v>3366</v>
      </c>
      <c r="J42" t="s">
        <v>11892</v>
      </c>
      <c r="K42">
        <v>-8.4377211945001092E-3</v>
      </c>
      <c r="L42">
        <v>-2.3599608941935399E-2</v>
      </c>
      <c r="M42">
        <v>-4.7200000000003697E-2</v>
      </c>
    </row>
    <row r="43" spans="1:16" ht="15" customHeight="1">
      <c r="A43" t="s">
        <v>15329</v>
      </c>
      <c r="B43" t="s">
        <v>15441</v>
      </c>
      <c r="C43" t="s">
        <v>15447</v>
      </c>
      <c r="D43" t="s">
        <v>3438</v>
      </c>
      <c r="E43" t="s">
        <v>3429</v>
      </c>
      <c r="F43" t="s">
        <v>5239</v>
      </c>
      <c r="G43" t="s">
        <v>8598</v>
      </c>
      <c r="H43" t="s">
        <v>11365</v>
      </c>
      <c r="I43" t="s">
        <v>3366</v>
      </c>
      <c r="J43" t="s">
        <v>11892</v>
      </c>
      <c r="K43">
        <v>-1.14644919213235E-2</v>
      </c>
      <c r="L43">
        <v>-2.4969233834601201E-2</v>
      </c>
      <c r="M43">
        <v>-4.6700000000001303E-2</v>
      </c>
    </row>
    <row r="44" spans="1:16" ht="15" customHeight="1" thickBot="1">
      <c r="A44" t="s">
        <v>15329</v>
      </c>
      <c r="B44" t="s">
        <v>15441</v>
      </c>
      <c r="C44" t="s">
        <v>15447</v>
      </c>
      <c r="D44" t="s">
        <v>3440</v>
      </c>
      <c r="E44" t="s">
        <v>3429</v>
      </c>
      <c r="F44" t="s">
        <v>5240</v>
      </c>
      <c r="G44" t="s">
        <v>8599</v>
      </c>
      <c r="H44" t="s">
        <v>10623</v>
      </c>
      <c r="I44" t="s">
        <v>3366</v>
      </c>
      <c r="J44" t="s">
        <v>11892</v>
      </c>
      <c r="K44">
        <v>-1.2807054682259801E-2</v>
      </c>
      <c r="L44">
        <v>-2.50909430158592E-2</v>
      </c>
      <c r="M44">
        <v>-5.0400000000010402E-2</v>
      </c>
    </row>
    <row r="45" spans="1:16" s="15" customFormat="1" ht="15" customHeight="1">
      <c r="A45" s="26" t="s">
        <v>15329</v>
      </c>
      <c r="B45" s="27" t="s">
        <v>15441</v>
      </c>
      <c r="C45" s="27" t="s">
        <v>15448</v>
      </c>
      <c r="D45" s="27" t="s">
        <v>3431</v>
      </c>
      <c r="E45" s="27" t="s">
        <v>3450</v>
      </c>
      <c r="F45" s="27" t="s">
        <v>5241</v>
      </c>
      <c r="G45" s="27" t="s">
        <v>8600</v>
      </c>
      <c r="H45" s="27" t="s">
        <v>3638</v>
      </c>
      <c r="I45" s="27" t="s">
        <v>3366</v>
      </c>
      <c r="J45" s="27" t="s">
        <v>11893</v>
      </c>
      <c r="K45" s="27">
        <v>-1.9876655650013501E-2</v>
      </c>
      <c r="L45" s="27">
        <v>-1.48725292127942E-2</v>
      </c>
      <c r="M45" s="27">
        <v>-1.4600000000001501E-2</v>
      </c>
      <c r="N45" s="28">
        <f>_xlfn.VAR.S(K45:K47)</f>
        <v>2.4829905267638741E-6</v>
      </c>
      <c r="O45" s="28">
        <f>_xlfn.VAR.S(L45:L47)</f>
        <v>2.0226186539515972E-6</v>
      </c>
      <c r="P45" s="29">
        <f>_xlfn.VAR.S(M45:M47)</f>
        <v>2.8763333333333086E-5</v>
      </c>
    </row>
    <row r="46" spans="1:16" s="15" customFormat="1" ht="15" customHeight="1">
      <c r="A46" s="30" t="s">
        <v>15329</v>
      </c>
      <c r="B46" s="31" t="s">
        <v>15441</v>
      </c>
      <c r="C46" s="31" t="s">
        <v>15448</v>
      </c>
      <c r="D46" s="31" t="s">
        <v>3435</v>
      </c>
      <c r="E46" s="31" t="s">
        <v>3511</v>
      </c>
      <c r="F46" s="31" t="s">
        <v>5242</v>
      </c>
      <c r="G46" s="31" t="s">
        <v>8601</v>
      </c>
      <c r="H46" s="31" t="s">
        <v>10867</v>
      </c>
      <c r="I46" s="31" t="s">
        <v>3366</v>
      </c>
      <c r="J46" s="31" t="s">
        <v>11893</v>
      </c>
      <c r="K46" s="31">
        <v>-2.0720328325557601E-2</v>
      </c>
      <c r="L46" s="31">
        <v>-1.44239186008519E-2</v>
      </c>
      <c r="M46" s="31">
        <v>-8.6000000000012698E-3</v>
      </c>
      <c r="N46" s="32"/>
      <c r="O46" s="32"/>
      <c r="P46" s="33"/>
    </row>
    <row r="47" spans="1:16" s="15" customFormat="1" ht="15" customHeight="1" thickBot="1">
      <c r="A47" s="34" t="s">
        <v>15329</v>
      </c>
      <c r="B47" s="35" t="s">
        <v>15441</v>
      </c>
      <c r="C47" s="35" t="s">
        <v>15448</v>
      </c>
      <c r="D47" s="35" t="s">
        <v>3429</v>
      </c>
      <c r="E47" s="35" t="s">
        <v>3515</v>
      </c>
      <c r="F47" s="35" t="s">
        <v>5243</v>
      </c>
      <c r="G47" s="35" t="s">
        <v>8602</v>
      </c>
      <c r="H47" s="35" t="s">
        <v>11366</v>
      </c>
      <c r="I47" s="35" t="s">
        <v>3366</v>
      </c>
      <c r="J47" s="35" t="s">
        <v>11893</v>
      </c>
      <c r="K47" s="35">
        <v>-2.29281562045054E-2</v>
      </c>
      <c r="L47" s="35">
        <v>-1.2215752457659801E-2</v>
      </c>
      <c r="M47" s="35">
        <v>-3.9000000000015702E-3</v>
      </c>
      <c r="N47" s="36"/>
      <c r="O47" s="36"/>
      <c r="P47" s="37"/>
    </row>
    <row r="48" spans="1:16" ht="15" customHeight="1">
      <c r="A48" t="s">
        <v>15329</v>
      </c>
      <c r="B48" t="s">
        <v>15441</v>
      </c>
      <c r="C48" t="s">
        <v>15449</v>
      </c>
      <c r="D48" t="s">
        <v>3427</v>
      </c>
      <c r="E48" t="s">
        <v>3453</v>
      </c>
      <c r="F48" t="s">
        <v>5244</v>
      </c>
      <c r="G48" t="s">
        <v>8603</v>
      </c>
      <c r="H48" t="s">
        <v>10759</v>
      </c>
      <c r="I48" t="s">
        <v>3366</v>
      </c>
      <c r="J48" t="s">
        <v>11893</v>
      </c>
      <c r="K48">
        <v>-1.99884772026694E-2</v>
      </c>
      <c r="L48">
        <v>-5.3736661448238899E-3</v>
      </c>
      <c r="M48">
        <v>-1.44999999999982E-2</v>
      </c>
    </row>
    <row r="49" spans="1:13" ht="15" customHeight="1">
      <c r="A49" t="s">
        <v>15329</v>
      </c>
      <c r="B49" t="s">
        <v>15441</v>
      </c>
      <c r="C49" t="s">
        <v>15449</v>
      </c>
      <c r="D49" t="s">
        <v>3428</v>
      </c>
      <c r="E49" t="s">
        <v>3432</v>
      </c>
      <c r="F49" t="s">
        <v>5245</v>
      </c>
      <c r="G49" t="s">
        <v>8604</v>
      </c>
      <c r="H49" t="s">
        <v>11367</v>
      </c>
      <c r="I49" t="s">
        <v>3366</v>
      </c>
      <c r="J49" t="s">
        <v>11891</v>
      </c>
      <c r="K49">
        <v>-1.9054846627589401E-2</v>
      </c>
      <c r="L49">
        <v>-4.1426522085486802E-3</v>
      </c>
      <c r="M49">
        <v>-1.8900000000002099E-2</v>
      </c>
    </row>
    <row r="50" spans="1:13" ht="15" customHeight="1">
      <c r="A50" t="s">
        <v>15329</v>
      </c>
      <c r="B50" t="s">
        <v>15441</v>
      </c>
      <c r="C50" t="s">
        <v>15449</v>
      </c>
      <c r="D50" t="s">
        <v>3436</v>
      </c>
      <c r="E50" t="s">
        <v>3461</v>
      </c>
      <c r="F50" t="s">
        <v>5246</v>
      </c>
      <c r="G50" t="s">
        <v>8605</v>
      </c>
      <c r="H50" t="s">
        <v>11280</v>
      </c>
      <c r="I50" t="s">
        <v>3366</v>
      </c>
      <c r="J50" t="s">
        <v>11888</v>
      </c>
      <c r="K50">
        <v>-1.8965426056200801E-2</v>
      </c>
      <c r="L50">
        <v>-2.4622060681643398E-3</v>
      </c>
      <c r="M50">
        <v>-1.7700000000004899E-2</v>
      </c>
    </row>
    <row r="51" spans="1:13" ht="15" customHeight="1">
      <c r="A51" t="s">
        <v>15329</v>
      </c>
      <c r="B51" t="s">
        <v>15442</v>
      </c>
      <c r="C51" t="s">
        <v>15450</v>
      </c>
      <c r="D51" t="s">
        <v>3452</v>
      </c>
      <c r="E51" t="s">
        <v>3511</v>
      </c>
      <c r="F51" t="s">
        <v>5247</v>
      </c>
      <c r="G51" t="s">
        <v>8606</v>
      </c>
      <c r="H51" t="s">
        <v>3681</v>
      </c>
      <c r="I51" t="s">
        <v>3375</v>
      </c>
      <c r="J51" t="s">
        <v>11886</v>
      </c>
      <c r="K51">
        <v>-1.1149458465846199E-2</v>
      </c>
      <c r="L51">
        <v>-5.2002999474338898E-4</v>
      </c>
      <c r="M51">
        <v>-0.113600000000005</v>
      </c>
    </row>
    <row r="52" spans="1:13" ht="15" customHeight="1">
      <c r="A52" t="s">
        <v>15329</v>
      </c>
      <c r="B52" t="s">
        <v>15442</v>
      </c>
      <c r="C52" t="s">
        <v>15450</v>
      </c>
      <c r="D52" t="s">
        <v>3431</v>
      </c>
      <c r="E52" t="s">
        <v>3461</v>
      </c>
      <c r="F52" t="s">
        <v>5248</v>
      </c>
      <c r="G52" t="s">
        <v>8607</v>
      </c>
      <c r="H52" t="s">
        <v>11034</v>
      </c>
      <c r="I52" t="s">
        <v>3366</v>
      </c>
      <c r="J52" t="s">
        <v>11886</v>
      </c>
      <c r="K52">
        <v>-1.6900331377849898E-2</v>
      </c>
      <c r="L52">
        <v>-3.7252786569451999E-3</v>
      </c>
      <c r="M52">
        <v>-0.117900000000006</v>
      </c>
    </row>
    <row r="53" spans="1:13" ht="15" customHeight="1">
      <c r="A53" t="s">
        <v>15329</v>
      </c>
      <c r="B53" t="s">
        <v>15442</v>
      </c>
      <c r="C53" t="s">
        <v>15450</v>
      </c>
      <c r="D53" t="s">
        <v>3425</v>
      </c>
      <c r="E53" t="s">
        <v>3452</v>
      </c>
      <c r="F53" t="s">
        <v>5249</v>
      </c>
      <c r="G53" t="s">
        <v>8608</v>
      </c>
      <c r="H53" t="s">
        <v>11363</v>
      </c>
      <c r="I53" t="s">
        <v>3366</v>
      </c>
      <c r="J53" t="s">
        <v>11886</v>
      </c>
      <c r="K53">
        <v>-1.48801239724266E-2</v>
      </c>
      <c r="L53">
        <v>-4.5458773437975601E-3</v>
      </c>
      <c r="M53">
        <v>-0.1173</v>
      </c>
    </row>
    <row r="54" spans="1:13" ht="15" customHeight="1">
      <c r="A54" t="s">
        <v>15329</v>
      </c>
      <c r="B54" t="s">
        <v>15442</v>
      </c>
      <c r="C54" t="s">
        <v>15445</v>
      </c>
      <c r="D54" t="s">
        <v>3437</v>
      </c>
      <c r="E54" t="s">
        <v>3431</v>
      </c>
      <c r="F54" t="s">
        <v>5250</v>
      </c>
      <c r="G54" t="s">
        <v>8609</v>
      </c>
      <c r="H54" t="s">
        <v>11362</v>
      </c>
      <c r="I54" t="s">
        <v>3366</v>
      </c>
      <c r="J54" t="s">
        <v>11886</v>
      </c>
      <c r="K54">
        <v>-1.1245330794870299E-2</v>
      </c>
      <c r="L54">
        <v>-7.21001215852962E-3</v>
      </c>
      <c r="M54">
        <v>-0.11260000000000001</v>
      </c>
    </row>
    <row r="55" spans="1:13" ht="15" customHeight="1">
      <c r="A55" t="s">
        <v>15329</v>
      </c>
      <c r="B55" t="s">
        <v>15442</v>
      </c>
      <c r="C55" t="s">
        <v>15445</v>
      </c>
      <c r="D55" t="s">
        <v>3437</v>
      </c>
      <c r="E55" t="s">
        <v>3431</v>
      </c>
      <c r="F55" t="s">
        <v>5251</v>
      </c>
      <c r="G55" t="s">
        <v>8610</v>
      </c>
      <c r="H55" t="s">
        <v>11368</v>
      </c>
      <c r="I55" t="s">
        <v>3366</v>
      </c>
      <c r="J55" t="s">
        <v>11902</v>
      </c>
      <c r="K55">
        <v>-1.19882022379351E-2</v>
      </c>
      <c r="L55">
        <v>-3.7736832088850398E-3</v>
      </c>
      <c r="M55">
        <v>-0.11950000000000199</v>
      </c>
    </row>
    <row r="56" spans="1:13" ht="15" customHeight="1">
      <c r="A56" t="s">
        <v>15329</v>
      </c>
      <c r="B56" t="s">
        <v>15442</v>
      </c>
      <c r="C56" t="s">
        <v>15445</v>
      </c>
      <c r="D56" t="s">
        <v>3437</v>
      </c>
      <c r="E56" t="s">
        <v>3431</v>
      </c>
      <c r="F56" t="s">
        <v>5252</v>
      </c>
      <c r="G56" t="s">
        <v>8611</v>
      </c>
      <c r="H56" t="s">
        <v>10861</v>
      </c>
      <c r="I56" t="s">
        <v>3366</v>
      </c>
      <c r="J56" t="s">
        <v>11886</v>
      </c>
      <c r="K56">
        <v>-1.5468168511712699E-2</v>
      </c>
      <c r="L56">
        <v>-4.6524958796805502E-3</v>
      </c>
      <c r="M56">
        <v>-0.121400000000008</v>
      </c>
    </row>
    <row r="57" spans="1:13" ht="15" customHeight="1">
      <c r="A57" t="s">
        <v>15329</v>
      </c>
      <c r="B57" t="s">
        <v>15442</v>
      </c>
      <c r="C57" t="s">
        <v>15451</v>
      </c>
      <c r="D57" t="s">
        <v>3439</v>
      </c>
      <c r="E57" t="s">
        <v>3436</v>
      </c>
      <c r="F57" t="s">
        <v>5253</v>
      </c>
      <c r="G57" t="s">
        <v>8612</v>
      </c>
      <c r="H57" t="s">
        <v>11347</v>
      </c>
      <c r="I57" t="s">
        <v>3366</v>
      </c>
      <c r="J57" t="s">
        <v>11896</v>
      </c>
      <c r="K57">
        <v>-2.99501807120163E-2</v>
      </c>
      <c r="L57">
        <v>-5.7321712772649596E-3</v>
      </c>
      <c r="M57">
        <v>-0.12709999999999899</v>
      </c>
    </row>
    <row r="58" spans="1:13" ht="15" customHeight="1">
      <c r="A58" t="s">
        <v>15329</v>
      </c>
      <c r="B58" t="s">
        <v>15442</v>
      </c>
      <c r="C58" t="s">
        <v>15451</v>
      </c>
      <c r="D58" t="s">
        <v>3443</v>
      </c>
      <c r="E58" t="s">
        <v>3436</v>
      </c>
      <c r="F58" t="s">
        <v>5254</v>
      </c>
      <c r="G58" t="s">
        <v>8613</v>
      </c>
      <c r="H58" t="s">
        <v>11369</v>
      </c>
      <c r="I58" t="s">
        <v>3366</v>
      </c>
      <c r="J58" t="s">
        <v>11896</v>
      </c>
      <c r="K58">
        <v>-2.9749834983743399E-2</v>
      </c>
      <c r="L58">
        <v>-3.7277647223022E-3</v>
      </c>
      <c r="M58">
        <v>-0.13340000000000901</v>
      </c>
    </row>
    <row r="59" spans="1:13" ht="15" customHeight="1">
      <c r="A59" t="s">
        <v>15329</v>
      </c>
      <c r="B59" t="s">
        <v>15442</v>
      </c>
      <c r="C59" t="s">
        <v>15451</v>
      </c>
      <c r="D59" t="s">
        <v>3439</v>
      </c>
      <c r="E59" t="s">
        <v>3436</v>
      </c>
      <c r="F59" t="s">
        <v>5255</v>
      </c>
      <c r="G59" t="s">
        <v>8614</v>
      </c>
      <c r="H59" t="s">
        <v>11370</v>
      </c>
      <c r="I59" t="s">
        <v>3366</v>
      </c>
      <c r="J59" t="s">
        <v>11896</v>
      </c>
      <c r="K59">
        <v>-2.98909549266092E-2</v>
      </c>
      <c r="L59">
        <v>-6.6344758070032298E-3</v>
      </c>
      <c r="M59">
        <v>-0.13219999999999699</v>
      </c>
    </row>
    <row r="60" spans="1:13" ht="15" customHeight="1">
      <c r="A60" t="s">
        <v>15329</v>
      </c>
      <c r="B60" t="s">
        <v>15443</v>
      </c>
      <c r="C60" t="s">
        <v>15452</v>
      </c>
      <c r="D60" t="s">
        <v>3428</v>
      </c>
      <c r="E60" t="s">
        <v>3452</v>
      </c>
      <c r="F60" t="s">
        <v>5256</v>
      </c>
      <c r="G60" t="s">
        <v>8615</v>
      </c>
      <c r="H60" t="s">
        <v>10561</v>
      </c>
      <c r="I60" t="s">
        <v>3366</v>
      </c>
      <c r="J60" t="s">
        <v>11894</v>
      </c>
      <c r="K60">
        <v>-4.2081274038440003E-2</v>
      </c>
      <c r="L60">
        <v>-1.8061010929288201E-2</v>
      </c>
      <c r="M60">
        <v>6.4799999999991101E-2</v>
      </c>
    </row>
    <row r="61" spans="1:13" ht="15" customHeight="1">
      <c r="A61" t="s">
        <v>15329</v>
      </c>
      <c r="B61" t="s">
        <v>15443</v>
      </c>
      <c r="C61" t="s">
        <v>15452</v>
      </c>
      <c r="D61" t="s">
        <v>3428</v>
      </c>
      <c r="E61" t="s">
        <v>3462</v>
      </c>
      <c r="F61" t="s">
        <v>5257</v>
      </c>
      <c r="G61" t="s">
        <v>8616</v>
      </c>
      <c r="H61" t="s">
        <v>11371</v>
      </c>
      <c r="I61" t="s">
        <v>3366</v>
      </c>
      <c r="J61" t="s">
        <v>11894</v>
      </c>
      <c r="K61">
        <v>-4.0861909671381903E-2</v>
      </c>
      <c r="L61">
        <v>-1.97142585842651E-2</v>
      </c>
      <c r="M61">
        <v>6.2699999999992401E-2</v>
      </c>
    </row>
    <row r="62" spans="1:13" ht="15" customHeight="1">
      <c r="A62" t="s">
        <v>15329</v>
      </c>
      <c r="B62" t="s">
        <v>15443</v>
      </c>
      <c r="C62" t="s">
        <v>15452</v>
      </c>
      <c r="D62" t="s">
        <v>3428</v>
      </c>
      <c r="E62" t="s">
        <v>3461</v>
      </c>
      <c r="F62" t="s">
        <v>5258</v>
      </c>
      <c r="G62" t="s">
        <v>8617</v>
      </c>
      <c r="H62" t="s">
        <v>10640</v>
      </c>
      <c r="I62" t="s">
        <v>3366</v>
      </c>
      <c r="J62" t="s">
        <v>11894</v>
      </c>
      <c r="K62">
        <v>-4.2919210545018599E-2</v>
      </c>
      <c r="L62">
        <v>-1.6774445693088402E-2</v>
      </c>
      <c r="M62">
        <v>5.1599999999993401E-2</v>
      </c>
    </row>
    <row r="63" spans="1:13" ht="15" customHeight="1">
      <c r="A63" t="s">
        <v>15330</v>
      </c>
      <c r="B63" t="s">
        <v>15441</v>
      </c>
      <c r="C63" t="s">
        <v>15449</v>
      </c>
      <c r="D63" t="s">
        <v>3461</v>
      </c>
      <c r="E63" t="s">
        <v>3543</v>
      </c>
      <c r="F63" t="s">
        <v>5259</v>
      </c>
      <c r="G63" t="s">
        <v>8618</v>
      </c>
      <c r="H63" t="s">
        <v>10661</v>
      </c>
      <c r="I63" t="s">
        <v>3373</v>
      </c>
      <c r="J63" t="s">
        <v>11889</v>
      </c>
      <c r="K63">
        <v>-4.4799265955414603E-3</v>
      </c>
      <c r="L63">
        <v>1.2599277581978299E-3</v>
      </c>
      <c r="M63">
        <v>-0.14420000000001201</v>
      </c>
    </row>
    <row r="64" spans="1:13" ht="15" customHeight="1">
      <c r="A64" t="s">
        <v>15331</v>
      </c>
      <c r="B64" t="s">
        <v>15441</v>
      </c>
      <c r="C64" t="s">
        <v>15445</v>
      </c>
      <c r="D64" t="s">
        <v>3433</v>
      </c>
      <c r="E64" t="s">
        <v>3465</v>
      </c>
      <c r="F64" t="s">
        <v>5260</v>
      </c>
      <c r="G64" t="s">
        <v>8619</v>
      </c>
      <c r="H64" t="s">
        <v>11372</v>
      </c>
      <c r="I64" t="s">
        <v>3366</v>
      </c>
      <c r="J64" t="s">
        <v>11902</v>
      </c>
      <c r="K64">
        <v>5.8044923890427202E-2</v>
      </c>
      <c r="L64">
        <v>-3.8758193501537501E-3</v>
      </c>
      <c r="M64">
        <v>-1.12999999999914E-2</v>
      </c>
    </row>
    <row r="65" spans="1:16" ht="15" customHeight="1">
      <c r="A65" t="s">
        <v>15331</v>
      </c>
      <c r="B65" t="s">
        <v>15441</v>
      </c>
      <c r="C65" t="s">
        <v>15445</v>
      </c>
      <c r="D65" t="s">
        <v>3452</v>
      </c>
      <c r="E65" t="s">
        <v>3465</v>
      </c>
      <c r="F65" t="s">
        <v>5261</v>
      </c>
      <c r="G65" t="s">
        <v>8620</v>
      </c>
      <c r="H65" t="s">
        <v>11373</v>
      </c>
      <c r="I65" t="s">
        <v>3366</v>
      </c>
      <c r="J65" t="s">
        <v>11902</v>
      </c>
      <c r="K65">
        <v>5.6249484716200199E-2</v>
      </c>
      <c r="L65">
        <v>-6.31433217753376E-3</v>
      </c>
      <c r="M65">
        <v>-1.48999999999972E-2</v>
      </c>
    </row>
    <row r="66" spans="1:16" ht="15" customHeight="1" thickBot="1">
      <c r="A66" t="s">
        <v>15331</v>
      </c>
      <c r="B66" t="s">
        <v>15441</v>
      </c>
      <c r="C66" t="s">
        <v>15445</v>
      </c>
      <c r="D66" t="s">
        <v>3452</v>
      </c>
      <c r="E66" t="s">
        <v>3465</v>
      </c>
      <c r="F66" t="s">
        <v>5262</v>
      </c>
      <c r="G66" t="s">
        <v>8621</v>
      </c>
      <c r="H66" t="s">
        <v>11373</v>
      </c>
      <c r="I66" t="s">
        <v>3366</v>
      </c>
      <c r="J66" t="s">
        <v>11902</v>
      </c>
      <c r="K66">
        <v>5.4831332449269903E-2</v>
      </c>
      <c r="L66">
        <v>-3.0476377734299201E-3</v>
      </c>
      <c r="M66">
        <v>-2.4599999999992399E-2</v>
      </c>
    </row>
    <row r="67" spans="1:16" s="15" customFormat="1" ht="15" customHeight="1">
      <c r="A67" s="26" t="s">
        <v>15331</v>
      </c>
      <c r="B67" s="27" t="s">
        <v>15441</v>
      </c>
      <c r="C67" s="27" t="s">
        <v>15446</v>
      </c>
      <c r="D67" s="27" t="s">
        <v>3450</v>
      </c>
      <c r="E67" s="27" t="s">
        <v>3466</v>
      </c>
      <c r="F67" s="27" t="s">
        <v>5263</v>
      </c>
      <c r="G67" s="27" t="s">
        <v>8622</v>
      </c>
      <c r="H67" s="27" t="s">
        <v>11374</v>
      </c>
      <c r="I67" s="27" t="s">
        <v>3397</v>
      </c>
      <c r="J67" s="27" t="s">
        <v>11902</v>
      </c>
      <c r="K67" s="27">
        <v>6.1983592310667197E-2</v>
      </c>
      <c r="L67" s="27">
        <v>1.2127082278710901E-2</v>
      </c>
      <c r="M67" s="27">
        <v>-2.1000000000000799E-2</v>
      </c>
      <c r="N67" s="28">
        <f>_xlfn.VAR.S(K67:K69)</f>
        <v>3.5100436846311592E-5</v>
      </c>
      <c r="O67" s="28">
        <f>_xlfn.VAR.S(L67:L69)</f>
        <v>4.0934025411626028E-5</v>
      </c>
      <c r="P67" s="29">
        <f>_xlfn.VAR.S(M67:M69)</f>
        <v>6.0476333333335216E-4</v>
      </c>
    </row>
    <row r="68" spans="1:16" s="15" customFormat="1" ht="15" customHeight="1">
      <c r="A68" s="30" t="s">
        <v>15331</v>
      </c>
      <c r="B68" s="31" t="s">
        <v>15441</v>
      </c>
      <c r="C68" s="31" t="s">
        <v>15446</v>
      </c>
      <c r="D68" s="31" t="s">
        <v>3435</v>
      </c>
      <c r="E68" s="31" t="s">
        <v>3441</v>
      </c>
      <c r="F68" s="31" t="s">
        <v>5264</v>
      </c>
      <c r="G68" s="31" t="s">
        <v>8623</v>
      </c>
      <c r="H68" s="31" t="s">
        <v>11375</v>
      </c>
      <c r="I68" s="31" t="s">
        <v>3366</v>
      </c>
      <c r="J68" s="31" t="s">
        <v>11902</v>
      </c>
      <c r="K68" s="31">
        <v>5.1978936884823898E-2</v>
      </c>
      <c r="L68" s="31">
        <v>-6.08258383396082E-4</v>
      </c>
      <c r="M68" s="31">
        <v>1.38000000000034E-2</v>
      </c>
      <c r="N68" s="32"/>
      <c r="O68" s="32"/>
      <c r="P68" s="33"/>
    </row>
    <row r="69" spans="1:16" s="15" customFormat="1" ht="15" customHeight="1" thickBot="1">
      <c r="A69" s="34" t="s">
        <v>15331</v>
      </c>
      <c r="B69" s="35" t="s">
        <v>15441</v>
      </c>
      <c r="C69" s="35" t="s">
        <v>15446</v>
      </c>
      <c r="D69" s="35" t="s">
        <v>3430</v>
      </c>
      <c r="E69" s="35" t="s">
        <v>3461</v>
      </c>
      <c r="F69" s="35" t="s">
        <v>5265</v>
      </c>
      <c r="G69" s="35" t="s">
        <v>8624</v>
      </c>
      <c r="H69" s="35" t="s">
        <v>10924</v>
      </c>
      <c r="I69" s="35" t="s">
        <v>3366</v>
      </c>
      <c r="J69" s="35" t="s">
        <v>11902</v>
      </c>
      <c r="K69" s="35">
        <v>5.1482950047218E-2</v>
      </c>
      <c r="L69" s="35">
        <v>4.6821933533407996E-3</v>
      </c>
      <c r="M69" s="35">
        <v>2.6499999999998601E-2</v>
      </c>
      <c r="N69" s="36"/>
      <c r="O69" s="36"/>
      <c r="P69" s="37"/>
    </row>
    <row r="70" spans="1:16" s="15" customFormat="1" ht="15" customHeight="1">
      <c r="A70" s="26" t="s">
        <v>15331</v>
      </c>
      <c r="B70" s="27" t="s">
        <v>15441</v>
      </c>
      <c r="C70" s="27" t="s">
        <v>15448</v>
      </c>
      <c r="D70" s="27" t="s">
        <v>3452</v>
      </c>
      <c r="E70" s="27" t="s">
        <v>3563</v>
      </c>
      <c r="F70" s="27" t="s">
        <v>5266</v>
      </c>
      <c r="G70" s="27" t="s">
        <v>8625</v>
      </c>
      <c r="H70" s="27" t="s">
        <v>10802</v>
      </c>
      <c r="I70" s="27" t="s">
        <v>3366</v>
      </c>
      <c r="J70" s="27" t="s">
        <v>11891</v>
      </c>
      <c r="K70" s="27">
        <v>4.6414389731848901E-2</v>
      </c>
      <c r="L70" s="27">
        <v>-1.51375114760976E-2</v>
      </c>
      <c r="M70" s="27">
        <v>-1.6199999999997799E-2</v>
      </c>
      <c r="N70" s="28">
        <f>_xlfn.VAR.S(K70:K72)</f>
        <v>1.322241785535257E-5</v>
      </c>
      <c r="O70" s="28">
        <f>_xlfn.VAR.S(L70:L72)</f>
        <v>4.2286886879763393E-7</v>
      </c>
      <c r="P70" s="29">
        <f>_xlfn.VAR.S(M70:M72)</f>
        <v>2.4790000000038772E-5</v>
      </c>
    </row>
    <row r="71" spans="1:16" s="15" customFormat="1" ht="15" customHeight="1">
      <c r="A71" s="30" t="s">
        <v>15331</v>
      </c>
      <c r="B71" s="31" t="s">
        <v>15441</v>
      </c>
      <c r="C71" s="31" t="s">
        <v>15448</v>
      </c>
      <c r="D71" s="31" t="s">
        <v>3433</v>
      </c>
      <c r="E71" s="31" t="s">
        <v>3611</v>
      </c>
      <c r="F71" s="31" t="s">
        <v>5267</v>
      </c>
      <c r="G71" s="31" t="s">
        <v>8626</v>
      </c>
      <c r="H71" s="31" t="s">
        <v>3742</v>
      </c>
      <c r="I71" s="31" t="s">
        <v>3366</v>
      </c>
      <c r="J71" s="31" t="s">
        <v>11893</v>
      </c>
      <c r="K71" s="31">
        <v>5.1440672350502002E-2</v>
      </c>
      <c r="L71" s="31">
        <v>-1.4767442701351E-2</v>
      </c>
      <c r="M71" s="31">
        <v>-6.9999999999907896E-3</v>
      </c>
      <c r="N71" s="32"/>
      <c r="O71" s="32"/>
      <c r="P71" s="33"/>
    </row>
    <row r="72" spans="1:16" s="15" customFormat="1" ht="15" customHeight="1" thickBot="1">
      <c r="A72" s="34" t="s">
        <v>15331</v>
      </c>
      <c r="B72" s="35" t="s">
        <v>15441</v>
      </c>
      <c r="C72" s="35" t="s">
        <v>15448</v>
      </c>
      <c r="D72" s="35" t="s">
        <v>3432</v>
      </c>
      <c r="E72" s="35" t="s">
        <v>3467</v>
      </c>
      <c r="F72" s="35" t="s">
        <v>5268</v>
      </c>
      <c r="G72" s="35" t="s">
        <v>8627</v>
      </c>
      <c r="H72" s="35" t="s">
        <v>10698</v>
      </c>
      <c r="I72" s="35" t="s">
        <v>3366</v>
      </c>
      <c r="J72" s="35" t="s">
        <v>11912</v>
      </c>
      <c r="K72" s="35">
        <v>5.3479411514576199E-2</v>
      </c>
      <c r="L72" s="35">
        <v>-1.38727116360166E-2</v>
      </c>
      <c r="M72" s="35">
        <v>-8.2999999999913109E-3</v>
      </c>
      <c r="N72" s="36"/>
      <c r="O72" s="36"/>
      <c r="P72" s="37"/>
    </row>
    <row r="73" spans="1:16" ht="15" customHeight="1">
      <c r="A73" t="s">
        <v>15331</v>
      </c>
      <c r="B73" t="s">
        <v>15441</v>
      </c>
      <c r="C73" t="s">
        <v>15449</v>
      </c>
      <c r="D73" t="s">
        <v>3453</v>
      </c>
      <c r="E73" t="s">
        <v>3464</v>
      </c>
      <c r="F73" t="s">
        <v>5269</v>
      </c>
      <c r="G73" t="s">
        <v>8628</v>
      </c>
      <c r="H73" t="s">
        <v>11376</v>
      </c>
      <c r="I73" t="s">
        <v>3366</v>
      </c>
      <c r="J73" t="s">
        <v>11888</v>
      </c>
      <c r="K73">
        <v>4.6971872555778803E-2</v>
      </c>
      <c r="L73">
        <v>-2.1451621296335301E-2</v>
      </c>
      <c r="M73">
        <v>-8.7999999999937E-3</v>
      </c>
    </row>
    <row r="74" spans="1:16" ht="15" customHeight="1">
      <c r="A74" t="s">
        <v>15331</v>
      </c>
      <c r="B74" t="s">
        <v>15441</v>
      </c>
      <c r="C74" t="s">
        <v>15449</v>
      </c>
      <c r="D74" t="s">
        <v>3442</v>
      </c>
      <c r="E74" t="s">
        <v>3579</v>
      </c>
      <c r="F74" t="s">
        <v>5270</v>
      </c>
      <c r="G74" t="s">
        <v>8629</v>
      </c>
      <c r="H74" t="s">
        <v>10696</v>
      </c>
      <c r="I74" t="s">
        <v>3366</v>
      </c>
      <c r="J74" t="s">
        <v>11889</v>
      </c>
      <c r="K74">
        <v>4.85873838278542E-2</v>
      </c>
      <c r="L74">
        <v>-2.3194830743918801E-2</v>
      </c>
      <c r="M74">
        <v>-2.5499999999993899E-2</v>
      </c>
    </row>
    <row r="75" spans="1:16" ht="15" customHeight="1">
      <c r="A75" t="s">
        <v>15331</v>
      </c>
      <c r="B75" t="s">
        <v>15441</v>
      </c>
      <c r="C75" t="s">
        <v>15449</v>
      </c>
      <c r="D75" t="s">
        <v>3442</v>
      </c>
      <c r="E75" t="s">
        <v>3511</v>
      </c>
      <c r="F75" t="s">
        <v>5271</v>
      </c>
      <c r="G75" t="s">
        <v>8630</v>
      </c>
      <c r="H75" t="s">
        <v>10665</v>
      </c>
      <c r="I75" t="s">
        <v>3366</v>
      </c>
      <c r="J75" t="s">
        <v>11896</v>
      </c>
      <c r="K75">
        <v>4.2890459114530301E-2</v>
      </c>
      <c r="L75">
        <v>-2.79590770935132E-2</v>
      </c>
      <c r="M75">
        <v>-1.42999999999915E-2</v>
      </c>
    </row>
    <row r="76" spans="1:16" ht="15" customHeight="1">
      <c r="A76" t="s">
        <v>15331</v>
      </c>
      <c r="B76" t="s">
        <v>15442</v>
      </c>
      <c r="C76" t="s">
        <v>15445</v>
      </c>
      <c r="D76" t="s">
        <v>3442</v>
      </c>
      <c r="E76" t="s">
        <v>3511</v>
      </c>
      <c r="F76" t="s">
        <v>5272</v>
      </c>
      <c r="G76" t="s">
        <v>8631</v>
      </c>
      <c r="H76" t="s">
        <v>11100</v>
      </c>
      <c r="I76" t="s">
        <v>3366</v>
      </c>
      <c r="J76" t="s">
        <v>11902</v>
      </c>
      <c r="K76">
        <v>6.1951861174335598E-2</v>
      </c>
      <c r="L76">
        <v>-4.9069563661127604E-3</v>
      </c>
      <c r="M76">
        <v>-2.06000000000017E-2</v>
      </c>
    </row>
    <row r="77" spans="1:16" ht="15" customHeight="1">
      <c r="A77" t="s">
        <v>15331</v>
      </c>
      <c r="B77" t="s">
        <v>15442</v>
      </c>
      <c r="C77" t="s">
        <v>15445</v>
      </c>
      <c r="D77" t="s">
        <v>3430</v>
      </c>
      <c r="E77" t="s">
        <v>3449</v>
      </c>
      <c r="F77" t="s">
        <v>5273</v>
      </c>
      <c r="G77" t="s">
        <v>8632</v>
      </c>
      <c r="H77" t="s">
        <v>10642</v>
      </c>
      <c r="I77" t="s">
        <v>3366</v>
      </c>
      <c r="J77" t="s">
        <v>11902</v>
      </c>
      <c r="K77">
        <v>4.8248353129838099E-2</v>
      </c>
      <c r="L77">
        <v>-2.0120394185306301E-2</v>
      </c>
      <c r="M77">
        <v>-1.76000000000016E-2</v>
      </c>
    </row>
    <row r="78" spans="1:16" ht="15" customHeight="1">
      <c r="A78" t="s">
        <v>15331</v>
      </c>
      <c r="B78" t="s">
        <v>15442</v>
      </c>
      <c r="C78" t="s">
        <v>15445</v>
      </c>
      <c r="D78" t="s">
        <v>3430</v>
      </c>
      <c r="E78" t="s">
        <v>3511</v>
      </c>
      <c r="F78" t="s">
        <v>5274</v>
      </c>
      <c r="G78" t="s">
        <v>8633</v>
      </c>
      <c r="H78" t="s">
        <v>10641</v>
      </c>
      <c r="I78" t="s">
        <v>3366</v>
      </c>
      <c r="J78" t="s">
        <v>11902</v>
      </c>
      <c r="K78">
        <v>4.7007089150582701E-2</v>
      </c>
      <c r="L78">
        <v>-1.8907784441216401E-2</v>
      </c>
      <c r="M78">
        <v>-1.38999999999925E-2</v>
      </c>
    </row>
    <row r="79" spans="1:16" ht="15" customHeight="1">
      <c r="A79" t="s">
        <v>15331</v>
      </c>
      <c r="B79" t="s">
        <v>15442</v>
      </c>
      <c r="C79" t="s">
        <v>15451</v>
      </c>
      <c r="D79" t="s">
        <v>3427</v>
      </c>
      <c r="E79" t="s">
        <v>3430</v>
      </c>
      <c r="F79" t="s">
        <v>5275</v>
      </c>
      <c r="G79" t="s">
        <v>8634</v>
      </c>
      <c r="H79" t="s">
        <v>11377</v>
      </c>
      <c r="I79" t="s">
        <v>3366</v>
      </c>
      <c r="J79" t="s">
        <v>11899</v>
      </c>
      <c r="K79">
        <v>5.0125577367712899E-2</v>
      </c>
      <c r="L79">
        <v>-2.7460447953588499E-2</v>
      </c>
      <c r="M79">
        <v>-2.89999999999964E-2</v>
      </c>
    </row>
    <row r="80" spans="1:16" ht="15" customHeight="1">
      <c r="A80" t="s">
        <v>15331</v>
      </c>
      <c r="B80" t="s">
        <v>15442</v>
      </c>
      <c r="C80" t="s">
        <v>15451</v>
      </c>
      <c r="D80" t="s">
        <v>3436</v>
      </c>
      <c r="E80" t="s">
        <v>3453</v>
      </c>
      <c r="F80" t="s">
        <v>5276</v>
      </c>
      <c r="G80" t="s">
        <v>8635</v>
      </c>
      <c r="H80" t="s">
        <v>10925</v>
      </c>
      <c r="I80" t="s">
        <v>3366</v>
      </c>
      <c r="J80" t="s">
        <v>11899</v>
      </c>
      <c r="K80">
        <v>4.8307971744579702E-2</v>
      </c>
      <c r="L80">
        <v>-2.2318009691431599E-2</v>
      </c>
      <c r="M80">
        <v>-2.84000000000049E-2</v>
      </c>
    </row>
    <row r="81" spans="1:16" ht="15" customHeight="1" thickBot="1">
      <c r="A81" t="s">
        <v>15331</v>
      </c>
      <c r="B81" t="s">
        <v>15442</v>
      </c>
      <c r="C81" t="s">
        <v>15451</v>
      </c>
      <c r="D81" t="s">
        <v>3425</v>
      </c>
      <c r="E81" t="s">
        <v>3432</v>
      </c>
      <c r="F81" t="s">
        <v>5277</v>
      </c>
      <c r="G81" t="s">
        <v>8636</v>
      </c>
      <c r="H81" t="s">
        <v>3506</v>
      </c>
      <c r="I81" t="s">
        <v>3366</v>
      </c>
      <c r="J81" t="s">
        <v>11908</v>
      </c>
      <c r="K81">
        <v>5.1602008176976702E-2</v>
      </c>
      <c r="L81">
        <v>-2.27693319223671E-2</v>
      </c>
      <c r="M81">
        <v>-2.50999999999948E-2</v>
      </c>
    </row>
    <row r="82" spans="1:16" s="15" customFormat="1" ht="15" customHeight="1">
      <c r="A82" s="26" t="s">
        <v>15339</v>
      </c>
      <c r="B82" s="27" t="s">
        <v>15441</v>
      </c>
      <c r="C82" s="27" t="s">
        <v>15445</v>
      </c>
      <c r="D82" s="27" t="s">
        <v>3436</v>
      </c>
      <c r="E82" s="27" t="s">
        <v>3429</v>
      </c>
      <c r="F82" s="27" t="s">
        <v>5468</v>
      </c>
      <c r="G82" s="27" t="s">
        <v>8827</v>
      </c>
      <c r="H82" s="27" t="s">
        <v>11174</v>
      </c>
      <c r="I82" s="27" t="s">
        <v>3366</v>
      </c>
      <c r="J82" s="27" t="s">
        <v>11886</v>
      </c>
      <c r="K82" s="27">
        <v>1.5779534646697999E-2</v>
      </c>
      <c r="L82" s="27">
        <v>1.0502638816713801E-2</v>
      </c>
      <c r="M82" s="27">
        <v>5.2999999999769898E-3</v>
      </c>
      <c r="N82" s="28">
        <f>_xlfn.VAR.S(K82:K85)</f>
        <v>1.889776299260884E-6</v>
      </c>
      <c r="O82" s="28">
        <f>_xlfn.VAR.S(L82:L85)</f>
        <v>1.6095544125331639E-5</v>
      </c>
      <c r="P82" s="29">
        <f>_xlfn.VAR.S(M82:M85)</f>
        <v>2.1816666666671329E-5</v>
      </c>
    </row>
    <row r="83" spans="1:16" s="15" customFormat="1" ht="15" customHeight="1">
      <c r="A83" s="30" t="s">
        <v>15339</v>
      </c>
      <c r="B83" s="31" t="s">
        <v>15441</v>
      </c>
      <c r="C83" s="31" t="s">
        <v>15445</v>
      </c>
      <c r="D83" s="31" t="s">
        <v>3428</v>
      </c>
      <c r="E83" s="31" t="s">
        <v>3435</v>
      </c>
      <c r="F83" s="31" t="s">
        <v>5469</v>
      </c>
      <c r="G83" s="31" t="s">
        <v>8828</v>
      </c>
      <c r="H83" s="31" t="s">
        <v>10817</v>
      </c>
      <c r="I83" s="31" t="s">
        <v>3366</v>
      </c>
      <c r="J83" s="31" t="s">
        <v>11886</v>
      </c>
      <c r="K83" s="31">
        <v>1.4695575968398499E-2</v>
      </c>
      <c r="L83" s="31">
        <v>8.09216953711955E-3</v>
      </c>
      <c r="M83" s="31">
        <v>1.9999999999811302E-3</v>
      </c>
      <c r="N83" s="32"/>
      <c r="O83" s="32"/>
      <c r="P83" s="33"/>
    </row>
    <row r="84" spans="1:16" s="15" customFormat="1" ht="15" customHeight="1" thickBot="1">
      <c r="A84" s="34" t="s">
        <v>15339</v>
      </c>
      <c r="B84" s="35" t="s">
        <v>15441</v>
      </c>
      <c r="C84" s="35" t="s">
        <v>15445</v>
      </c>
      <c r="D84" s="35" t="s">
        <v>3428</v>
      </c>
      <c r="E84" s="35" t="s">
        <v>3434</v>
      </c>
      <c r="F84" s="35" t="s">
        <v>5470</v>
      </c>
      <c r="G84" s="35" t="s">
        <v>8829</v>
      </c>
      <c r="H84" s="35" t="s">
        <v>10536</v>
      </c>
      <c r="I84" s="35" t="s">
        <v>3366</v>
      </c>
      <c r="J84" s="35" t="s">
        <v>11885</v>
      </c>
      <c r="K84" s="35">
        <v>1.6157778852147101E-2</v>
      </c>
      <c r="L84" s="35">
        <v>5.9191517061366597E-3</v>
      </c>
      <c r="M84" s="35">
        <v>1.1699999999990499E-2</v>
      </c>
      <c r="N84" s="36"/>
      <c r="O84" s="36"/>
      <c r="P84" s="37"/>
    </row>
    <row r="85" spans="1:16" s="15" customFormat="1" ht="15" customHeight="1">
      <c r="A85" s="26" t="s">
        <v>15339</v>
      </c>
      <c r="B85" s="27" t="s">
        <v>15441</v>
      </c>
      <c r="C85" s="27" t="s">
        <v>15446</v>
      </c>
      <c r="D85" s="27" t="s">
        <v>3425</v>
      </c>
      <c r="E85" s="27" t="s">
        <v>3430</v>
      </c>
      <c r="F85" s="27" t="s">
        <v>5471</v>
      </c>
      <c r="G85" s="27" t="s">
        <v>8830</v>
      </c>
      <c r="H85" s="27" t="s">
        <v>11032</v>
      </c>
      <c r="I85" s="27" t="s">
        <v>3377</v>
      </c>
      <c r="J85" s="27" t="s">
        <v>11886</v>
      </c>
      <c r="K85" s="27">
        <v>1.30901015022711E-2</v>
      </c>
      <c r="L85" s="27">
        <v>1.07455473514146E-3</v>
      </c>
      <c r="M85" s="27">
        <v>1.59999999999627E-3</v>
      </c>
      <c r="N85" s="28">
        <f>_xlfn.VAR.S(K85:K87)</f>
        <v>2.0894252821355465E-5</v>
      </c>
      <c r="O85" s="28">
        <f>_xlfn.VAR.S(L85:L87)</f>
        <v>6.8234920084262174E-6</v>
      </c>
      <c r="P85" s="29">
        <f>_xlfn.VAR.S(M85:M87)</f>
        <v>2.2603333333345691E-5</v>
      </c>
    </row>
    <row r="86" spans="1:16" s="15" customFormat="1" ht="15" customHeight="1">
      <c r="A86" s="30" t="s">
        <v>15339</v>
      </c>
      <c r="B86" s="31" t="s">
        <v>15441</v>
      </c>
      <c r="C86" s="31" t="s">
        <v>15446</v>
      </c>
      <c r="D86" s="31" t="s">
        <v>3425</v>
      </c>
      <c r="E86" s="31" t="s">
        <v>3442</v>
      </c>
      <c r="F86" s="31" t="s">
        <v>5472</v>
      </c>
      <c r="G86" s="31" t="s">
        <v>8831</v>
      </c>
      <c r="H86" s="31" t="s">
        <v>11415</v>
      </c>
      <c r="I86" s="31" t="s">
        <v>3366</v>
      </c>
      <c r="J86" s="31" t="s">
        <v>11885</v>
      </c>
      <c r="K86" s="31">
        <v>1.64636695596133E-2</v>
      </c>
      <c r="L86" s="31">
        <v>2.8103543925772998E-3</v>
      </c>
      <c r="M86" s="31">
        <v>-3.5000000000024998E-3</v>
      </c>
      <c r="N86" s="32"/>
      <c r="O86" s="32"/>
      <c r="P86" s="33"/>
    </row>
    <row r="87" spans="1:16" s="15" customFormat="1" ht="15" customHeight="1" thickBot="1">
      <c r="A87" s="34" t="s">
        <v>15339</v>
      </c>
      <c r="B87" s="35" t="s">
        <v>15441</v>
      </c>
      <c r="C87" s="35" t="s">
        <v>15446</v>
      </c>
      <c r="D87" s="35" t="s">
        <v>3425</v>
      </c>
      <c r="E87" s="35" t="s">
        <v>3442</v>
      </c>
      <c r="F87" s="35" t="s">
        <v>5473</v>
      </c>
      <c r="G87" s="35" t="s">
        <v>8832</v>
      </c>
      <c r="H87" s="35" t="s">
        <v>11033</v>
      </c>
      <c r="I87" s="35" t="s">
        <v>3366</v>
      </c>
      <c r="J87" s="35" t="s">
        <v>11885</v>
      </c>
      <c r="K87" s="35">
        <v>2.2135352585018499E-2</v>
      </c>
      <c r="L87" s="35">
        <v>6.2098572501795802E-3</v>
      </c>
      <c r="M87" s="35">
        <v>-7.9000000000064591E-3</v>
      </c>
      <c r="N87" s="36"/>
      <c r="O87" s="36"/>
      <c r="P87" s="37"/>
    </row>
    <row r="88" spans="1:16" s="15" customFormat="1" ht="15" customHeight="1">
      <c r="A88" s="26" t="s">
        <v>15339</v>
      </c>
      <c r="B88" s="27" t="s">
        <v>15441</v>
      </c>
      <c r="C88" s="27" t="s">
        <v>15447</v>
      </c>
      <c r="D88" s="27" t="s">
        <v>3427</v>
      </c>
      <c r="E88" s="27" t="s">
        <v>3431</v>
      </c>
      <c r="F88" s="27" t="s">
        <v>5474</v>
      </c>
      <c r="G88" s="27" t="s">
        <v>8833</v>
      </c>
      <c r="H88" s="27" t="s">
        <v>11427</v>
      </c>
      <c r="I88" s="27" t="s">
        <v>3374</v>
      </c>
      <c r="J88" s="27" t="s">
        <v>11900</v>
      </c>
      <c r="K88" s="27">
        <v>3.1949539964929302E-2</v>
      </c>
      <c r="L88" s="27">
        <v>1.9981356866990999E-2</v>
      </c>
      <c r="M88" s="27">
        <v>-1.53000000000247E-2</v>
      </c>
      <c r="N88" s="28">
        <f>_xlfn.VAR.S(K88:K90)</f>
        <v>7.3659638245202031E-5</v>
      </c>
      <c r="O88" s="28">
        <f>_xlfn.VAR.S(L88:L90)</f>
        <v>6.4785376076310241E-5</v>
      </c>
      <c r="P88" s="29">
        <f>_xlfn.VAR.S(M88:M90)</f>
        <v>6.8033333333927051E-6</v>
      </c>
    </row>
    <row r="89" spans="1:16" s="15" customFormat="1" ht="15" customHeight="1">
      <c r="A89" s="30" t="s">
        <v>15339</v>
      </c>
      <c r="B89" s="31" t="s">
        <v>15441</v>
      </c>
      <c r="C89" s="31" t="s">
        <v>15447</v>
      </c>
      <c r="D89" s="31" t="s">
        <v>3425</v>
      </c>
      <c r="E89" s="31" t="s">
        <v>3429</v>
      </c>
      <c r="F89" s="31" t="s">
        <v>5475</v>
      </c>
      <c r="G89" s="31" t="s">
        <v>8834</v>
      </c>
      <c r="H89" s="31" t="s">
        <v>10787</v>
      </c>
      <c r="I89" s="31" t="s">
        <v>3366</v>
      </c>
      <c r="J89" s="31" t="s">
        <v>11900</v>
      </c>
      <c r="K89" s="31">
        <v>2.3598092476332402E-2</v>
      </c>
      <c r="L89" s="31">
        <v>1.03683106043951E-2</v>
      </c>
      <c r="M89" s="31">
        <v>-1.0400000000004199E-2</v>
      </c>
      <c r="N89" s="32"/>
      <c r="O89" s="32"/>
      <c r="P89" s="33"/>
    </row>
    <row r="90" spans="1:16" s="15" customFormat="1" ht="15" customHeight="1" thickBot="1">
      <c r="A90" s="34" t="s">
        <v>15339</v>
      </c>
      <c r="B90" s="35" t="s">
        <v>15441</v>
      </c>
      <c r="C90" s="35" t="s">
        <v>15447</v>
      </c>
      <c r="D90" s="35" t="s">
        <v>3435</v>
      </c>
      <c r="E90" s="35" t="s">
        <v>3453</v>
      </c>
      <c r="F90" s="35" t="s">
        <v>5476</v>
      </c>
      <c r="G90" s="35" t="s">
        <v>8835</v>
      </c>
      <c r="H90" s="35" t="s">
        <v>10506</v>
      </c>
      <c r="I90" s="35" t="s">
        <v>3366</v>
      </c>
      <c r="J90" s="35" t="s">
        <v>11900</v>
      </c>
      <c r="K90" s="35">
        <v>1.4786556757237E-2</v>
      </c>
      <c r="L90" s="35">
        <v>3.9923414198528998E-3</v>
      </c>
      <c r="M90" s="35">
        <v>-1.1300000000005601E-2</v>
      </c>
      <c r="N90" s="36"/>
      <c r="O90" s="36"/>
      <c r="P90" s="37"/>
    </row>
    <row r="91" spans="1:16" ht="15" customHeight="1">
      <c r="A91" t="s">
        <v>15339</v>
      </c>
      <c r="B91" t="s">
        <v>15441</v>
      </c>
      <c r="C91" t="s">
        <v>15448</v>
      </c>
      <c r="D91" t="s">
        <v>3435</v>
      </c>
      <c r="E91" t="s">
        <v>3478</v>
      </c>
      <c r="F91" t="s">
        <v>5477</v>
      </c>
      <c r="G91" t="s">
        <v>8836</v>
      </c>
      <c r="H91" t="s">
        <v>10578</v>
      </c>
      <c r="I91" t="s">
        <v>3375</v>
      </c>
      <c r="J91" t="s">
        <v>11898</v>
      </c>
      <c r="K91">
        <v>5.2593630176242896E-3</v>
      </c>
      <c r="L91">
        <v>-4.95142016054241E-2</v>
      </c>
      <c r="M91">
        <v>-8.8700000000017099E-2</v>
      </c>
    </row>
    <row r="92" spans="1:16" ht="15" customHeight="1">
      <c r="A92" t="s">
        <v>15339</v>
      </c>
      <c r="B92" t="s">
        <v>15441</v>
      </c>
      <c r="C92" t="s">
        <v>15448</v>
      </c>
      <c r="D92" t="s">
        <v>3435</v>
      </c>
      <c r="E92" t="s">
        <v>3476</v>
      </c>
      <c r="F92" t="s">
        <v>5478</v>
      </c>
      <c r="G92" t="s">
        <v>8837</v>
      </c>
      <c r="H92" t="s">
        <v>10535</v>
      </c>
      <c r="I92" t="s">
        <v>3366</v>
      </c>
      <c r="J92" t="s">
        <v>11898</v>
      </c>
      <c r="K92">
        <v>1.3568099316831899E-2</v>
      </c>
      <c r="L92">
        <v>-2.4050584774165801E-2</v>
      </c>
      <c r="M92">
        <v>-8.3899999999999905E-2</v>
      </c>
    </row>
    <row r="93" spans="1:16" ht="15" customHeight="1">
      <c r="A93" t="s">
        <v>15339</v>
      </c>
      <c r="B93" t="s">
        <v>15441</v>
      </c>
      <c r="C93" t="s">
        <v>15448</v>
      </c>
      <c r="D93" t="s">
        <v>3429</v>
      </c>
      <c r="E93" t="s">
        <v>3467</v>
      </c>
      <c r="F93" t="s">
        <v>5479</v>
      </c>
      <c r="G93" t="s">
        <v>8838</v>
      </c>
      <c r="H93" t="s">
        <v>10731</v>
      </c>
      <c r="I93" t="s">
        <v>3366</v>
      </c>
      <c r="J93" t="s">
        <v>11898</v>
      </c>
      <c r="K93">
        <v>1.53515930633914E-2</v>
      </c>
      <c r="L93">
        <v>-1.8984093899080401E-2</v>
      </c>
      <c r="M93">
        <v>-8.5300000000017903E-2</v>
      </c>
    </row>
    <row r="94" spans="1:16" ht="15" customHeight="1">
      <c r="A94" t="s">
        <v>15339</v>
      </c>
      <c r="B94" t="s">
        <v>15441</v>
      </c>
      <c r="C94" t="s">
        <v>15449</v>
      </c>
      <c r="D94" t="s">
        <v>3430</v>
      </c>
      <c r="E94" t="s">
        <v>3462</v>
      </c>
      <c r="F94" t="s">
        <v>5480</v>
      </c>
      <c r="G94" t="s">
        <v>8839</v>
      </c>
      <c r="H94" t="s">
        <v>11428</v>
      </c>
      <c r="I94" t="s">
        <v>3378</v>
      </c>
      <c r="J94" t="s">
        <v>11899</v>
      </c>
      <c r="K94">
        <v>1.55313124436038E-2</v>
      </c>
      <c r="L94">
        <v>-2.2504097354675398E-3</v>
      </c>
      <c r="M94">
        <v>1.37999999999749E-2</v>
      </c>
    </row>
    <row r="95" spans="1:16" ht="15" customHeight="1">
      <c r="A95" t="s">
        <v>15339</v>
      </c>
      <c r="B95" t="s">
        <v>15441</v>
      </c>
      <c r="C95" t="s">
        <v>15449</v>
      </c>
      <c r="D95" t="s">
        <v>3453</v>
      </c>
      <c r="E95" t="s">
        <v>3450</v>
      </c>
      <c r="F95" t="s">
        <v>5481</v>
      </c>
      <c r="G95" t="s">
        <v>8840</v>
      </c>
      <c r="H95" t="s">
        <v>3638</v>
      </c>
      <c r="I95" t="s">
        <v>3366</v>
      </c>
      <c r="J95" t="s">
        <v>11899</v>
      </c>
      <c r="K95">
        <v>1.34511512853918E-2</v>
      </c>
      <c r="L95">
        <v>-5.5258488435039697E-3</v>
      </c>
      <c r="M95">
        <v>2.1999999999877699E-3</v>
      </c>
    </row>
    <row r="96" spans="1:16" ht="15" customHeight="1">
      <c r="A96" t="s">
        <v>15339</v>
      </c>
      <c r="B96" t="s">
        <v>15441</v>
      </c>
      <c r="C96" t="s">
        <v>15449</v>
      </c>
      <c r="D96" t="s">
        <v>3441</v>
      </c>
      <c r="E96" t="s">
        <v>3449</v>
      </c>
      <c r="F96" t="s">
        <v>5482</v>
      </c>
      <c r="G96" t="s">
        <v>8841</v>
      </c>
      <c r="H96" t="s">
        <v>10554</v>
      </c>
      <c r="I96" t="s">
        <v>3366</v>
      </c>
      <c r="J96" t="s">
        <v>11898</v>
      </c>
      <c r="K96">
        <v>1.6880954978578701E-2</v>
      </c>
      <c r="L96">
        <v>-6.9922493259633803E-3</v>
      </c>
      <c r="M96">
        <v>-7.0000000000049996E-3</v>
      </c>
    </row>
    <row r="97" spans="1:13" ht="15" customHeight="1">
      <c r="A97" t="s">
        <v>15339</v>
      </c>
      <c r="B97" t="s">
        <v>15442</v>
      </c>
      <c r="C97" t="s">
        <v>15450</v>
      </c>
      <c r="D97" t="s">
        <v>3425</v>
      </c>
      <c r="E97" t="s">
        <v>3430</v>
      </c>
      <c r="F97" t="s">
        <v>5483</v>
      </c>
      <c r="G97" t="s">
        <v>8842</v>
      </c>
      <c r="H97" t="s">
        <v>11427</v>
      </c>
      <c r="I97" t="s">
        <v>3376</v>
      </c>
      <c r="J97" t="s">
        <v>11885</v>
      </c>
      <c r="K97">
        <v>1.61413021366122E-2</v>
      </c>
      <c r="L97">
        <v>1.07088742505467E-2</v>
      </c>
      <c r="M97">
        <v>-3.8700000000005702E-2</v>
      </c>
    </row>
    <row r="98" spans="1:13" ht="15" customHeight="1">
      <c r="A98" t="s">
        <v>15339</v>
      </c>
      <c r="B98" t="s">
        <v>15442</v>
      </c>
      <c r="C98" t="s">
        <v>15450</v>
      </c>
      <c r="D98" t="s">
        <v>3431</v>
      </c>
      <c r="E98" t="s">
        <v>3441</v>
      </c>
      <c r="F98" t="s">
        <v>5484</v>
      </c>
      <c r="G98" t="s">
        <v>8843</v>
      </c>
      <c r="H98" t="s">
        <v>11429</v>
      </c>
      <c r="I98" t="s">
        <v>3366</v>
      </c>
      <c r="J98" t="s">
        <v>11885</v>
      </c>
      <c r="K98">
        <v>1.15343218689417E-2</v>
      </c>
      <c r="L98">
        <v>4.6183506445363004E-3</v>
      </c>
      <c r="M98">
        <v>-5.9800000000024098E-2</v>
      </c>
    </row>
    <row r="99" spans="1:13" ht="15" customHeight="1">
      <c r="A99" t="s">
        <v>15339</v>
      </c>
      <c r="B99" t="s">
        <v>15442</v>
      </c>
      <c r="C99" t="s">
        <v>15450</v>
      </c>
      <c r="D99" t="s">
        <v>3434</v>
      </c>
      <c r="E99" t="s">
        <v>3433</v>
      </c>
      <c r="F99" t="s">
        <v>5485</v>
      </c>
      <c r="G99" t="s">
        <v>8844</v>
      </c>
      <c r="H99" t="s">
        <v>11430</v>
      </c>
      <c r="I99" t="s">
        <v>3366</v>
      </c>
      <c r="J99" t="s">
        <v>11886</v>
      </c>
      <c r="K99">
        <v>1.02241710230237E-2</v>
      </c>
      <c r="L99">
        <v>3.4924034207046801E-3</v>
      </c>
      <c r="M99">
        <v>-6.3000000000016598E-2</v>
      </c>
    </row>
    <row r="100" spans="1:13" ht="15" customHeight="1">
      <c r="A100" t="s">
        <v>15339</v>
      </c>
      <c r="B100" t="s">
        <v>15442</v>
      </c>
      <c r="C100" t="s">
        <v>15445</v>
      </c>
      <c r="D100" t="s">
        <v>3438</v>
      </c>
      <c r="E100" t="s">
        <v>3425</v>
      </c>
      <c r="F100" t="s">
        <v>5486</v>
      </c>
      <c r="G100" t="s">
        <v>8845</v>
      </c>
      <c r="H100" t="s">
        <v>10763</v>
      </c>
      <c r="I100" t="s">
        <v>3370</v>
      </c>
      <c r="J100" t="s">
        <v>11886</v>
      </c>
      <c r="K100">
        <v>2.8109877336547598E-3</v>
      </c>
      <c r="L100">
        <v>-6.56490768187111E-3</v>
      </c>
      <c r="M100">
        <v>-5.4700000000025298E-2</v>
      </c>
    </row>
    <row r="101" spans="1:13" ht="15" customHeight="1">
      <c r="A101" t="s">
        <v>15339</v>
      </c>
      <c r="B101" t="s">
        <v>15442</v>
      </c>
      <c r="C101" t="s">
        <v>15445</v>
      </c>
      <c r="D101" t="s">
        <v>3427</v>
      </c>
      <c r="E101" t="s">
        <v>3431</v>
      </c>
      <c r="F101" t="s">
        <v>5487</v>
      </c>
      <c r="G101" t="s">
        <v>8846</v>
      </c>
      <c r="H101" t="s">
        <v>11431</v>
      </c>
      <c r="I101" t="s">
        <v>3366</v>
      </c>
      <c r="J101" t="s">
        <v>11886</v>
      </c>
      <c r="K101">
        <v>7.4380256156487898E-3</v>
      </c>
      <c r="L101">
        <v>-5.6266200370564401E-3</v>
      </c>
      <c r="M101">
        <v>-5.2300000000002497E-2</v>
      </c>
    </row>
    <row r="102" spans="1:13" ht="15" customHeight="1">
      <c r="A102" t="s">
        <v>15339</v>
      </c>
      <c r="B102" t="s">
        <v>15442</v>
      </c>
      <c r="C102" t="s">
        <v>15445</v>
      </c>
      <c r="D102" t="s">
        <v>3426</v>
      </c>
      <c r="E102" t="s">
        <v>3435</v>
      </c>
      <c r="F102" t="s">
        <v>5488</v>
      </c>
      <c r="G102" t="s">
        <v>8847</v>
      </c>
      <c r="H102" t="s">
        <v>11384</v>
      </c>
      <c r="I102" t="s">
        <v>3366</v>
      </c>
      <c r="J102" t="s">
        <v>11886</v>
      </c>
      <c r="K102">
        <v>5.7383483152909903E-3</v>
      </c>
      <c r="L102">
        <v>-1.1612601927092801E-3</v>
      </c>
      <c r="M102">
        <v>-4.5200000000022597E-2</v>
      </c>
    </row>
    <row r="103" spans="1:13" ht="15" customHeight="1">
      <c r="A103" t="s">
        <v>15339</v>
      </c>
      <c r="B103" t="s">
        <v>15442</v>
      </c>
      <c r="C103" t="s">
        <v>15450</v>
      </c>
      <c r="D103" t="s">
        <v>3425</v>
      </c>
      <c r="E103" t="s">
        <v>3442</v>
      </c>
      <c r="F103" t="s">
        <v>5489</v>
      </c>
      <c r="G103" t="s">
        <v>8848</v>
      </c>
      <c r="H103" t="s">
        <v>10538</v>
      </c>
      <c r="I103" t="s">
        <v>3383</v>
      </c>
      <c r="J103" t="s">
        <v>11886</v>
      </c>
      <c r="K103">
        <v>9.0852314232382197E-3</v>
      </c>
      <c r="L103">
        <v>5.4210366780964899E-4</v>
      </c>
      <c r="M103">
        <v>-3.5700000000019799E-2</v>
      </c>
    </row>
    <row r="104" spans="1:13" ht="15" customHeight="1">
      <c r="A104" t="s">
        <v>15339</v>
      </c>
      <c r="B104" t="s">
        <v>15442</v>
      </c>
      <c r="C104" t="s">
        <v>15450</v>
      </c>
      <c r="D104" t="s">
        <v>3434</v>
      </c>
      <c r="E104" t="s">
        <v>3432</v>
      </c>
      <c r="F104" t="s">
        <v>5490</v>
      </c>
      <c r="G104" t="s">
        <v>8849</v>
      </c>
      <c r="H104" t="s">
        <v>11202</v>
      </c>
      <c r="I104" t="s">
        <v>3366</v>
      </c>
      <c r="J104" t="s">
        <v>11886</v>
      </c>
      <c r="K104">
        <v>1.13369677710986E-3</v>
      </c>
      <c r="L104">
        <v>-3.05289312907324E-4</v>
      </c>
      <c r="M104">
        <v>-4.2799999999999699E-2</v>
      </c>
    </row>
    <row r="105" spans="1:13" ht="15" customHeight="1">
      <c r="A105" t="s">
        <v>15339</v>
      </c>
      <c r="B105" t="s">
        <v>15442</v>
      </c>
      <c r="C105" t="s">
        <v>15450</v>
      </c>
      <c r="D105" t="s">
        <v>3434</v>
      </c>
      <c r="E105" t="s">
        <v>3432</v>
      </c>
      <c r="F105" t="s">
        <v>5491</v>
      </c>
      <c r="G105" t="s">
        <v>8850</v>
      </c>
      <c r="H105" t="s">
        <v>11354</v>
      </c>
      <c r="I105" t="s">
        <v>3366</v>
      </c>
      <c r="J105" t="s">
        <v>11886</v>
      </c>
      <c r="K105">
        <v>-5.3619034669446603E-3</v>
      </c>
      <c r="L105">
        <v>-3.29957770557184E-4</v>
      </c>
      <c r="M105">
        <v>-5.81000000000245E-2</v>
      </c>
    </row>
    <row r="106" spans="1:13" ht="15" customHeight="1">
      <c r="A106" t="s">
        <v>15339</v>
      </c>
      <c r="B106" t="s">
        <v>15442</v>
      </c>
      <c r="C106" t="s">
        <v>15451</v>
      </c>
      <c r="D106" t="s">
        <v>3438</v>
      </c>
      <c r="E106" t="s">
        <v>3425</v>
      </c>
      <c r="F106" t="s">
        <v>5492</v>
      </c>
      <c r="G106" t="s">
        <v>8851</v>
      </c>
      <c r="H106" t="s">
        <v>11432</v>
      </c>
      <c r="I106" t="s">
        <v>3378</v>
      </c>
      <c r="J106" t="s">
        <v>11889</v>
      </c>
      <c r="K106">
        <v>3.88500795440661E-3</v>
      </c>
      <c r="L106">
        <v>-6.4664774923064404E-3</v>
      </c>
      <c r="M106">
        <v>-4.7400000000010302E-2</v>
      </c>
    </row>
    <row r="107" spans="1:13" ht="15" customHeight="1">
      <c r="A107" t="s">
        <v>15339</v>
      </c>
      <c r="B107" t="s">
        <v>15442</v>
      </c>
      <c r="C107" t="s">
        <v>15451</v>
      </c>
      <c r="D107" t="s">
        <v>3438</v>
      </c>
      <c r="E107" t="s">
        <v>3425</v>
      </c>
      <c r="F107" t="s">
        <v>5493</v>
      </c>
      <c r="G107" t="s">
        <v>8852</v>
      </c>
      <c r="H107" t="s">
        <v>11433</v>
      </c>
      <c r="I107" t="s">
        <v>3366</v>
      </c>
      <c r="J107" t="s">
        <v>11908</v>
      </c>
      <c r="K107">
        <v>5.6517552091188304E-3</v>
      </c>
      <c r="L107">
        <v>-5.6860329678361703E-3</v>
      </c>
      <c r="M107">
        <v>-5.2300000000002497E-2</v>
      </c>
    </row>
    <row r="108" spans="1:13" ht="15" customHeight="1">
      <c r="A108" t="s">
        <v>15339</v>
      </c>
      <c r="B108" t="s">
        <v>15442</v>
      </c>
      <c r="C108" t="s">
        <v>15451</v>
      </c>
      <c r="D108" t="s">
        <v>3428</v>
      </c>
      <c r="E108" t="s">
        <v>3429</v>
      </c>
      <c r="F108" t="s">
        <v>5494</v>
      </c>
      <c r="G108" t="s">
        <v>8853</v>
      </c>
      <c r="H108" t="s">
        <v>10801</v>
      </c>
      <c r="I108" t="s">
        <v>3366</v>
      </c>
      <c r="J108" t="s">
        <v>11899</v>
      </c>
      <c r="K108">
        <v>7.5231858532935798E-3</v>
      </c>
      <c r="L108">
        <v>-6.0636379360959501E-3</v>
      </c>
      <c r="M108">
        <v>-4.2300000000011599E-2</v>
      </c>
    </row>
    <row r="109" spans="1:13" ht="15" customHeight="1">
      <c r="A109" t="s">
        <v>15339</v>
      </c>
      <c r="B109" t="s">
        <v>15443</v>
      </c>
      <c r="C109" t="s">
        <v>15452</v>
      </c>
      <c r="D109" t="s">
        <v>3431</v>
      </c>
      <c r="E109" t="s">
        <v>3433</v>
      </c>
      <c r="F109" t="s">
        <v>5495</v>
      </c>
      <c r="G109" t="s">
        <v>8854</v>
      </c>
      <c r="H109" t="s">
        <v>11434</v>
      </c>
      <c r="I109" t="s">
        <v>3376</v>
      </c>
      <c r="J109" t="s">
        <v>11890</v>
      </c>
      <c r="K109">
        <v>1.7877335612659799E-2</v>
      </c>
      <c r="L109">
        <v>-1.49784342244758E-2</v>
      </c>
      <c r="M109">
        <v>0.110199999999992</v>
      </c>
    </row>
    <row r="110" spans="1:13" ht="15" customHeight="1">
      <c r="A110" t="s">
        <v>15339</v>
      </c>
      <c r="B110" t="s">
        <v>15443</v>
      </c>
      <c r="C110" t="s">
        <v>15452</v>
      </c>
      <c r="D110" t="s">
        <v>3431</v>
      </c>
      <c r="E110" t="s">
        <v>3433</v>
      </c>
      <c r="F110" t="s">
        <v>5496</v>
      </c>
      <c r="G110" t="s">
        <v>8855</v>
      </c>
      <c r="H110" t="s">
        <v>11435</v>
      </c>
      <c r="I110" t="s">
        <v>3366</v>
      </c>
      <c r="J110" t="s">
        <v>11894</v>
      </c>
      <c r="K110">
        <v>1.89215353706495E-2</v>
      </c>
      <c r="L110">
        <v>-1.4377037475198E-2</v>
      </c>
      <c r="M110">
        <v>0.123399999999975</v>
      </c>
    </row>
    <row r="111" spans="1:13" ht="15" customHeight="1">
      <c r="A111" t="s">
        <v>15339</v>
      </c>
      <c r="B111" t="s">
        <v>15443</v>
      </c>
      <c r="C111" t="s">
        <v>15452</v>
      </c>
      <c r="D111" t="s">
        <v>3425</v>
      </c>
      <c r="E111" t="s">
        <v>3433</v>
      </c>
      <c r="F111" t="s">
        <v>5497</v>
      </c>
      <c r="G111" t="s">
        <v>8856</v>
      </c>
      <c r="H111" t="s">
        <v>11436</v>
      </c>
      <c r="I111" t="s">
        <v>3366</v>
      </c>
      <c r="J111" t="s">
        <v>11894</v>
      </c>
      <c r="K111">
        <v>1.9284557574922499E-2</v>
      </c>
      <c r="L111">
        <v>-1.6727417306187799E-2</v>
      </c>
      <c r="M111">
        <v>0.13329999999999101</v>
      </c>
    </row>
    <row r="112" spans="1:13" ht="15" customHeight="1">
      <c r="A112" t="s">
        <v>15339</v>
      </c>
      <c r="B112" t="s">
        <v>15443</v>
      </c>
      <c r="C112" t="s">
        <v>15475</v>
      </c>
      <c r="D112" t="s">
        <v>3435</v>
      </c>
      <c r="E112" t="s">
        <v>3460</v>
      </c>
      <c r="F112" t="s">
        <v>5498</v>
      </c>
      <c r="G112" t="s">
        <v>8857</v>
      </c>
      <c r="H112" t="s">
        <v>11396</v>
      </c>
      <c r="I112" t="s">
        <v>3381</v>
      </c>
      <c r="J112" t="s">
        <v>11894</v>
      </c>
      <c r="K112">
        <v>2.00897584256318E-2</v>
      </c>
      <c r="L112">
        <v>-2.3958571253665799E-3</v>
      </c>
      <c r="M112">
        <v>0.128500000000003</v>
      </c>
    </row>
    <row r="113" spans="1:16" ht="15" customHeight="1">
      <c r="A113" t="s">
        <v>15339</v>
      </c>
      <c r="B113" t="s">
        <v>15443</v>
      </c>
      <c r="C113" t="s">
        <v>15475</v>
      </c>
      <c r="D113" t="s">
        <v>3442</v>
      </c>
      <c r="E113" t="s">
        <v>3478</v>
      </c>
      <c r="F113" t="s">
        <v>5499</v>
      </c>
      <c r="G113" t="s">
        <v>8858</v>
      </c>
      <c r="H113" t="s">
        <v>11393</v>
      </c>
      <c r="I113" t="s">
        <v>3366</v>
      </c>
      <c r="J113" t="s">
        <v>11894</v>
      </c>
      <c r="K113">
        <v>1.6970770130142799E-2</v>
      </c>
      <c r="L113">
        <v>-3.2953940184181599E-3</v>
      </c>
      <c r="M113">
        <v>0.12939999999997601</v>
      </c>
    </row>
    <row r="114" spans="1:16" ht="15" customHeight="1">
      <c r="A114" t="s">
        <v>15339</v>
      </c>
      <c r="B114" t="s">
        <v>15443</v>
      </c>
      <c r="C114" t="s">
        <v>15475</v>
      </c>
      <c r="D114" t="s">
        <v>3442</v>
      </c>
      <c r="E114" t="s">
        <v>3579</v>
      </c>
      <c r="F114" t="s">
        <v>5500</v>
      </c>
      <c r="G114" t="s">
        <v>8859</v>
      </c>
      <c r="H114" t="s">
        <v>11437</v>
      </c>
      <c r="I114" t="s">
        <v>3366</v>
      </c>
      <c r="J114" t="s">
        <v>11894</v>
      </c>
      <c r="K114">
        <v>1.4351807139630799E-2</v>
      </c>
      <c r="L114">
        <v>-2.4170854346840698E-3</v>
      </c>
      <c r="M114">
        <v>0.11220000000000099</v>
      </c>
    </row>
    <row r="115" spans="1:16" ht="15" customHeight="1">
      <c r="A115" t="s">
        <v>15342</v>
      </c>
      <c r="B115" t="s">
        <v>15441</v>
      </c>
      <c r="C115" t="s">
        <v>15445</v>
      </c>
      <c r="D115" t="s">
        <v>3427</v>
      </c>
      <c r="E115" t="s">
        <v>3452</v>
      </c>
      <c r="F115" t="s">
        <v>5566</v>
      </c>
      <c r="G115" t="s">
        <v>8925</v>
      </c>
      <c r="H115" t="s">
        <v>10568</v>
      </c>
      <c r="I115" t="s">
        <v>3368</v>
      </c>
      <c r="J115" t="s">
        <v>11890</v>
      </c>
      <c r="K115">
        <v>-5.8929257575427102E-3</v>
      </c>
      <c r="L115">
        <v>7.6250162539412095E-2</v>
      </c>
      <c r="M115">
        <v>-0.17670000000001099</v>
      </c>
    </row>
    <row r="116" spans="1:16" ht="15" customHeight="1">
      <c r="A116" t="s">
        <v>15342</v>
      </c>
      <c r="B116" t="s">
        <v>15441</v>
      </c>
      <c r="C116" t="s">
        <v>15445</v>
      </c>
      <c r="D116" t="s">
        <v>3428</v>
      </c>
      <c r="E116" t="s">
        <v>3441</v>
      </c>
      <c r="F116" t="s">
        <v>5567</v>
      </c>
      <c r="G116" t="s">
        <v>8926</v>
      </c>
      <c r="H116" t="s">
        <v>10651</v>
      </c>
      <c r="I116" t="s">
        <v>3366</v>
      </c>
      <c r="J116" t="s">
        <v>11890</v>
      </c>
      <c r="K116">
        <v>-7.3745463475583103E-3</v>
      </c>
      <c r="L116">
        <v>7.3794344925221994E-2</v>
      </c>
      <c r="M116">
        <v>-0.16270000000000101</v>
      </c>
    </row>
    <row r="117" spans="1:16" ht="15" customHeight="1" thickBot="1">
      <c r="A117" t="s">
        <v>15342</v>
      </c>
      <c r="B117" t="s">
        <v>15441</v>
      </c>
      <c r="C117" t="s">
        <v>15445</v>
      </c>
      <c r="D117" t="s">
        <v>3436</v>
      </c>
      <c r="E117" t="s">
        <v>3432</v>
      </c>
      <c r="F117" t="s">
        <v>5568</v>
      </c>
      <c r="G117" t="s">
        <v>8927</v>
      </c>
      <c r="H117" t="s">
        <v>11098</v>
      </c>
      <c r="I117" t="s">
        <v>3366</v>
      </c>
      <c r="J117" t="s">
        <v>11885</v>
      </c>
      <c r="K117">
        <v>-3.6312465687182798E-3</v>
      </c>
      <c r="L117">
        <v>7.1831063328012507E-2</v>
      </c>
      <c r="M117">
        <v>-0.14500000000001001</v>
      </c>
    </row>
    <row r="118" spans="1:16" s="15" customFormat="1" ht="15" customHeight="1">
      <c r="A118" s="26" t="s">
        <v>15342</v>
      </c>
      <c r="B118" s="27" t="s">
        <v>15441</v>
      </c>
      <c r="C118" s="27" t="s">
        <v>15446</v>
      </c>
      <c r="D118" s="27" t="s">
        <v>3425</v>
      </c>
      <c r="E118" s="27" t="s">
        <v>3452</v>
      </c>
      <c r="F118" s="27" t="s">
        <v>5569</v>
      </c>
      <c r="G118" s="27" t="s">
        <v>8928</v>
      </c>
      <c r="H118" s="27" t="s">
        <v>11479</v>
      </c>
      <c r="I118" s="27" t="s">
        <v>3378</v>
      </c>
      <c r="J118" s="27" t="s">
        <v>11885</v>
      </c>
      <c r="K118" s="27">
        <v>1.62463593868789E-4</v>
      </c>
      <c r="L118" s="27">
        <v>3.5021037699512397E-2</v>
      </c>
      <c r="M118" s="27">
        <v>-3.56000000000165E-2</v>
      </c>
      <c r="N118" s="28">
        <f>_xlfn.VAR.S(K118:K120)</f>
        <v>9.4263260642802512E-7</v>
      </c>
      <c r="O118" s="28">
        <f>_xlfn.VAR.S(L118:L120)</f>
        <v>4.8285800866060876E-5</v>
      </c>
      <c r="P118" s="29">
        <f>_xlfn.VAR.S(M118:M120)</f>
        <v>8.1669999999988557E-5</v>
      </c>
    </row>
    <row r="119" spans="1:16" s="15" customFormat="1" ht="15" customHeight="1">
      <c r="A119" s="30" t="s">
        <v>15342</v>
      </c>
      <c r="B119" s="31" t="s">
        <v>15441</v>
      </c>
      <c r="C119" s="31" t="s">
        <v>15446</v>
      </c>
      <c r="D119" s="31" t="s">
        <v>3442</v>
      </c>
      <c r="E119" s="31" t="s">
        <v>3563</v>
      </c>
      <c r="F119" s="31" t="s">
        <v>5570</v>
      </c>
      <c r="G119" s="31" t="s">
        <v>8929</v>
      </c>
      <c r="H119" s="31" t="s">
        <v>11480</v>
      </c>
      <c r="I119" s="31" t="s">
        <v>3366</v>
      </c>
      <c r="J119" s="31" t="s">
        <v>11886</v>
      </c>
      <c r="K119" s="31">
        <v>1.8350254739822199E-3</v>
      </c>
      <c r="L119" s="31">
        <v>4.65007575237677E-2</v>
      </c>
      <c r="M119" s="31">
        <v>-4.9600000000026498E-2</v>
      </c>
      <c r="N119" s="32"/>
      <c r="O119" s="32"/>
      <c r="P119" s="33"/>
    </row>
    <row r="120" spans="1:16" s="15" customFormat="1" ht="15" customHeight="1" thickBot="1">
      <c r="A120" s="34" t="s">
        <v>15342</v>
      </c>
      <c r="B120" s="35" t="s">
        <v>15441</v>
      </c>
      <c r="C120" s="35" t="s">
        <v>15446</v>
      </c>
      <c r="D120" s="35" t="s">
        <v>3441</v>
      </c>
      <c r="E120" s="35" t="s">
        <v>3564</v>
      </c>
      <c r="F120" s="35" t="s">
        <v>5571</v>
      </c>
      <c r="G120" s="35" t="s">
        <v>8930</v>
      </c>
      <c r="H120" s="35" t="s">
        <v>10787</v>
      </c>
      <c r="I120" s="35" t="s">
        <v>3366</v>
      </c>
      <c r="J120" s="35" t="s">
        <v>11885</v>
      </c>
      <c r="K120" s="35">
        <v>1.4446098194897001E-4</v>
      </c>
      <c r="L120" s="35">
        <v>4.7544659633234898E-2</v>
      </c>
      <c r="M120" s="35">
        <v>-5.2500000000009102E-2</v>
      </c>
      <c r="N120" s="36"/>
      <c r="O120" s="36"/>
      <c r="P120" s="37"/>
    </row>
    <row r="121" spans="1:16" s="15" customFormat="1" ht="15" customHeight="1">
      <c r="A121" s="26" t="s">
        <v>15342</v>
      </c>
      <c r="B121" s="27" t="s">
        <v>15441</v>
      </c>
      <c r="C121" s="27" t="s">
        <v>15447</v>
      </c>
      <c r="D121" s="27" t="s">
        <v>3515</v>
      </c>
      <c r="E121" s="27" t="s">
        <v>3580</v>
      </c>
      <c r="F121" s="27" t="s">
        <v>5572</v>
      </c>
      <c r="G121" s="27" t="s">
        <v>8931</v>
      </c>
      <c r="H121" s="27" t="s">
        <v>11481</v>
      </c>
      <c r="I121" s="27" t="s">
        <v>3378</v>
      </c>
      <c r="J121" s="27" t="s">
        <v>11892</v>
      </c>
      <c r="K121" s="27">
        <v>-1.1129099038169701E-3</v>
      </c>
      <c r="L121" s="27">
        <v>6.0119322769740899E-2</v>
      </c>
      <c r="M121" s="27">
        <v>-0.110100000000017</v>
      </c>
      <c r="N121" s="28">
        <f>_xlfn.VAR.S(K121:K123)</f>
        <v>1.7061178384953455E-6</v>
      </c>
      <c r="O121" s="28">
        <f>_xlfn.VAR.S(L121:L123)</f>
        <v>2.1960330112364537E-5</v>
      </c>
      <c r="P121" s="29">
        <f>_xlfn.VAR.S(M121:M123)</f>
        <v>1.1345333333330681E-4</v>
      </c>
    </row>
    <row r="122" spans="1:16" s="15" customFormat="1" ht="15" customHeight="1">
      <c r="A122" s="30" t="s">
        <v>15342</v>
      </c>
      <c r="B122" s="31" t="s">
        <v>15441</v>
      </c>
      <c r="C122" s="31" t="s">
        <v>15447</v>
      </c>
      <c r="D122" s="31" t="s">
        <v>3434</v>
      </c>
      <c r="E122" s="31" t="s">
        <v>3484</v>
      </c>
      <c r="F122" s="31" t="s">
        <v>5573</v>
      </c>
      <c r="G122" s="31" t="s">
        <v>8932</v>
      </c>
      <c r="H122" s="31" t="s">
        <v>11482</v>
      </c>
      <c r="I122" s="31" t="s">
        <v>3366</v>
      </c>
      <c r="J122" s="31" t="s">
        <v>11892</v>
      </c>
      <c r="K122" s="31">
        <v>-3.3351578458681798E-3</v>
      </c>
      <c r="L122" s="31">
        <v>6.4311783839904393E-2</v>
      </c>
      <c r="M122" s="31">
        <v>-0.130700000000019</v>
      </c>
      <c r="N122" s="32"/>
      <c r="O122" s="32"/>
      <c r="P122" s="33"/>
    </row>
    <row r="123" spans="1:16" s="15" customFormat="1" ht="15" customHeight="1" thickBot="1">
      <c r="A123" s="34" t="s">
        <v>15342</v>
      </c>
      <c r="B123" s="35" t="s">
        <v>15441</v>
      </c>
      <c r="C123" s="35" t="s">
        <v>15447</v>
      </c>
      <c r="D123" s="35" t="s">
        <v>3435</v>
      </c>
      <c r="E123" s="35" t="s">
        <v>3579</v>
      </c>
      <c r="F123" s="35" t="s">
        <v>5574</v>
      </c>
      <c r="G123" s="35" t="s">
        <v>8933</v>
      </c>
      <c r="H123" s="35" t="s">
        <v>11482</v>
      </c>
      <c r="I123" s="35" t="s">
        <v>3366</v>
      </c>
      <c r="J123" s="35" t="s">
        <v>11892</v>
      </c>
      <c r="K123" s="35">
        <v>-3.41338835460162E-3</v>
      </c>
      <c r="L123" s="35">
        <v>6.9474922627874497E-2</v>
      </c>
      <c r="M123" s="35">
        <v>-0.12510000000000299</v>
      </c>
      <c r="N123" s="36"/>
      <c r="O123" s="36"/>
      <c r="P123" s="37"/>
    </row>
    <row r="124" spans="1:16" ht="15" customHeight="1">
      <c r="A124" t="s">
        <v>15342</v>
      </c>
      <c r="B124" t="s">
        <v>15441</v>
      </c>
      <c r="C124" t="s">
        <v>15448</v>
      </c>
      <c r="D124" t="s">
        <v>3436</v>
      </c>
      <c r="E124" t="s">
        <v>3432</v>
      </c>
      <c r="F124" t="s">
        <v>5575</v>
      </c>
      <c r="G124" t="s">
        <v>8934</v>
      </c>
      <c r="H124" t="s">
        <v>10830</v>
      </c>
      <c r="I124" t="s">
        <v>3374</v>
      </c>
      <c r="J124" t="s">
        <v>11910</v>
      </c>
      <c r="K124">
        <v>9.7417644415090307E-3</v>
      </c>
      <c r="L124">
        <v>1.32861879736223E-2</v>
      </c>
      <c r="M124">
        <v>2.3699999999990999E-2</v>
      </c>
    </row>
    <row r="125" spans="1:16" ht="15" customHeight="1">
      <c r="A125" t="s">
        <v>15342</v>
      </c>
      <c r="B125" t="s">
        <v>15441</v>
      </c>
      <c r="C125" t="s">
        <v>15448</v>
      </c>
      <c r="D125" t="s">
        <v>3425</v>
      </c>
      <c r="E125" t="s">
        <v>3461</v>
      </c>
      <c r="F125" t="s">
        <v>5576</v>
      </c>
      <c r="G125" t="s">
        <v>8935</v>
      </c>
      <c r="H125" t="s">
        <v>11483</v>
      </c>
      <c r="I125" t="s">
        <v>3366</v>
      </c>
      <c r="J125" t="s">
        <v>11910</v>
      </c>
      <c r="K125">
        <v>8.8347715650790894E-3</v>
      </c>
      <c r="L125">
        <v>1.19691778212837E-2</v>
      </c>
      <c r="M125">
        <v>3.0099999999976E-2</v>
      </c>
    </row>
    <row r="126" spans="1:16" ht="15" customHeight="1">
      <c r="A126" t="s">
        <v>15342</v>
      </c>
      <c r="B126" t="s">
        <v>15441</v>
      </c>
      <c r="C126" t="s">
        <v>15448</v>
      </c>
      <c r="D126" t="s">
        <v>3431</v>
      </c>
      <c r="E126" t="s">
        <v>3462</v>
      </c>
      <c r="F126" t="s">
        <v>5577</v>
      </c>
      <c r="G126" t="s">
        <v>8936</v>
      </c>
      <c r="H126" t="s">
        <v>10909</v>
      </c>
      <c r="I126" t="s">
        <v>3366</v>
      </c>
      <c r="J126" t="s">
        <v>11911</v>
      </c>
      <c r="K126">
        <v>7.08722097687213E-3</v>
      </c>
      <c r="L126">
        <v>1.1059672596318499E-2</v>
      </c>
      <c r="M126">
        <v>3.2099999999985598E-2</v>
      </c>
    </row>
    <row r="127" spans="1:16" ht="15" customHeight="1">
      <c r="A127" t="s">
        <v>15342</v>
      </c>
      <c r="B127" t="s">
        <v>15441</v>
      </c>
      <c r="C127" t="s">
        <v>15449</v>
      </c>
      <c r="D127" t="s">
        <v>3439</v>
      </c>
      <c r="E127" t="s">
        <v>3428</v>
      </c>
      <c r="F127" t="s">
        <v>5578</v>
      </c>
      <c r="G127" t="s">
        <v>8937</v>
      </c>
      <c r="H127" t="s">
        <v>11484</v>
      </c>
      <c r="I127" t="s">
        <v>3381</v>
      </c>
      <c r="J127" t="s">
        <v>11896</v>
      </c>
      <c r="K127">
        <v>3.20033271333508E-3</v>
      </c>
      <c r="L127">
        <v>4.1850671994893103E-3</v>
      </c>
      <c r="M127">
        <v>4.2099999999976503E-2</v>
      </c>
    </row>
    <row r="128" spans="1:16" ht="15" customHeight="1">
      <c r="A128" t="s">
        <v>15342</v>
      </c>
      <c r="B128" t="s">
        <v>15441</v>
      </c>
      <c r="C128" t="s">
        <v>15449</v>
      </c>
      <c r="D128" t="s">
        <v>3437</v>
      </c>
      <c r="E128" t="s">
        <v>3425</v>
      </c>
      <c r="F128" t="s">
        <v>5579</v>
      </c>
      <c r="G128" t="s">
        <v>8938</v>
      </c>
      <c r="H128" t="s">
        <v>11484</v>
      </c>
      <c r="I128" t="s">
        <v>3366</v>
      </c>
      <c r="J128" t="s">
        <v>11891</v>
      </c>
      <c r="K128">
        <v>-1.00495819837225E-4</v>
      </c>
      <c r="L128">
        <v>2.3018992711797302E-3</v>
      </c>
      <c r="M128">
        <v>4.1599999999988299E-2</v>
      </c>
    </row>
    <row r="129" spans="1:16" ht="15" customHeight="1">
      <c r="A129" t="s">
        <v>15342</v>
      </c>
      <c r="B129" t="s">
        <v>15441</v>
      </c>
      <c r="C129" t="s">
        <v>15449</v>
      </c>
      <c r="D129" t="s">
        <v>3440</v>
      </c>
      <c r="E129" t="s">
        <v>3431</v>
      </c>
      <c r="F129" t="s">
        <v>5580</v>
      </c>
      <c r="G129" t="s">
        <v>8939</v>
      </c>
      <c r="H129" t="s">
        <v>3636</v>
      </c>
      <c r="I129" t="s">
        <v>3366</v>
      </c>
      <c r="J129" t="s">
        <v>11896</v>
      </c>
      <c r="K129">
        <v>-6.0769305665554698E-4</v>
      </c>
      <c r="L129">
        <v>1.2183179839114599E-3</v>
      </c>
      <c r="M129">
        <v>4.9799999999976301E-2</v>
      </c>
    </row>
    <row r="130" spans="1:16" ht="15" customHeight="1">
      <c r="A130" t="s">
        <v>15342</v>
      </c>
      <c r="B130" t="s">
        <v>15442</v>
      </c>
      <c r="C130" t="s">
        <v>15450</v>
      </c>
      <c r="D130" t="s">
        <v>3427</v>
      </c>
      <c r="E130" t="s">
        <v>3430</v>
      </c>
      <c r="F130" t="s">
        <v>5581</v>
      </c>
      <c r="G130" t="s">
        <v>8940</v>
      </c>
      <c r="H130" t="s">
        <v>11112</v>
      </c>
      <c r="I130" t="s">
        <v>3366</v>
      </c>
      <c r="J130" t="s">
        <v>11890</v>
      </c>
      <c r="K130">
        <v>-5.6553531993609202E-3</v>
      </c>
      <c r="L130">
        <v>-1.0845944162740601E-3</v>
      </c>
      <c r="M130">
        <v>3.8999999999987302E-2</v>
      </c>
    </row>
    <row r="131" spans="1:16" ht="15" customHeight="1">
      <c r="A131" t="s">
        <v>15342</v>
      </c>
      <c r="B131" t="s">
        <v>15442</v>
      </c>
      <c r="C131" t="s">
        <v>15450</v>
      </c>
      <c r="D131" t="s">
        <v>3427</v>
      </c>
      <c r="E131" t="s">
        <v>3430</v>
      </c>
      <c r="F131" t="s">
        <v>5582</v>
      </c>
      <c r="G131" t="s">
        <v>8941</v>
      </c>
      <c r="H131" t="s">
        <v>11142</v>
      </c>
      <c r="I131" t="s">
        <v>3366</v>
      </c>
      <c r="J131" t="s">
        <v>11890</v>
      </c>
      <c r="K131">
        <v>-7.8485221640857104E-3</v>
      </c>
      <c r="L131">
        <v>4.6814207811750498E-4</v>
      </c>
      <c r="M131">
        <v>3.5799999999994697E-2</v>
      </c>
    </row>
    <row r="132" spans="1:16" ht="15" customHeight="1" thickBot="1">
      <c r="A132" t="s">
        <v>15342</v>
      </c>
      <c r="B132" t="s">
        <v>15442</v>
      </c>
      <c r="C132" t="s">
        <v>15450</v>
      </c>
      <c r="D132" t="s">
        <v>3427</v>
      </c>
      <c r="E132" t="s">
        <v>3430</v>
      </c>
      <c r="F132" t="s">
        <v>5583</v>
      </c>
      <c r="G132" t="s">
        <v>8942</v>
      </c>
      <c r="H132" t="s">
        <v>11142</v>
      </c>
      <c r="I132" t="s">
        <v>3366</v>
      </c>
      <c r="J132" t="s">
        <v>11890</v>
      </c>
      <c r="K132">
        <v>-4.5113250797723702E-3</v>
      </c>
      <c r="L132">
        <v>1.0576349351659E-3</v>
      </c>
      <c r="M132">
        <v>3.8199999999989097E-2</v>
      </c>
    </row>
    <row r="133" spans="1:16" s="15" customFormat="1" ht="15" customHeight="1">
      <c r="A133" s="26" t="s">
        <v>15342</v>
      </c>
      <c r="B133" s="27" t="s">
        <v>15442</v>
      </c>
      <c r="C133" s="27" t="s">
        <v>15445</v>
      </c>
      <c r="D133" s="27" t="s">
        <v>3439</v>
      </c>
      <c r="E133" s="27" t="s">
        <v>3427</v>
      </c>
      <c r="F133" s="27" t="s">
        <v>5584</v>
      </c>
      <c r="G133" s="27" t="s">
        <v>8943</v>
      </c>
      <c r="H133" s="27" t="s">
        <v>11485</v>
      </c>
      <c r="I133" s="27" t="s">
        <v>3379</v>
      </c>
      <c r="J133" s="27" t="s">
        <v>11885</v>
      </c>
      <c r="K133" s="27">
        <v>-1.2298501220067599E-3</v>
      </c>
      <c r="L133" s="27">
        <v>5.0727684690809096E-3</v>
      </c>
      <c r="M133" s="27">
        <v>3.9499999999975402E-2</v>
      </c>
      <c r="N133" s="28">
        <f>_xlfn.VAR.S(K133:K135)</f>
        <v>4.6213625386969647E-6</v>
      </c>
      <c r="O133" s="28">
        <f>_xlfn.VAR.S(L133:L135)</f>
        <v>4.6710296426334678E-7</v>
      </c>
      <c r="P133" s="29">
        <f>_xlfn.VAR.S(M133:M135)</f>
        <v>5.8689999999948957E-5</v>
      </c>
    </row>
    <row r="134" spans="1:16" s="15" customFormat="1" ht="15" customHeight="1">
      <c r="A134" s="30" t="s">
        <v>15342</v>
      </c>
      <c r="B134" s="31" t="s">
        <v>15442</v>
      </c>
      <c r="C134" s="31" t="s">
        <v>15445</v>
      </c>
      <c r="D134" s="31" t="s">
        <v>3439</v>
      </c>
      <c r="E134" s="31" t="s">
        <v>3427</v>
      </c>
      <c r="F134" s="31" t="s">
        <v>5585</v>
      </c>
      <c r="G134" s="31" t="s">
        <v>8944</v>
      </c>
      <c r="H134" s="31" t="s">
        <v>11111</v>
      </c>
      <c r="I134" s="31" t="s">
        <v>3366</v>
      </c>
      <c r="J134" s="31" t="s">
        <v>11890</v>
      </c>
      <c r="K134" s="38">
        <v>5.2004418315848797E-5</v>
      </c>
      <c r="L134" s="31">
        <v>3.9648981037726603E-3</v>
      </c>
      <c r="M134" s="31">
        <v>3.4199999999998502E-2</v>
      </c>
      <c r="N134" s="32"/>
      <c r="O134" s="32"/>
      <c r="P134" s="33"/>
    </row>
    <row r="135" spans="1:16" s="15" customFormat="1" ht="15" customHeight="1" thickBot="1">
      <c r="A135" s="34" t="s">
        <v>15342</v>
      </c>
      <c r="B135" s="35" t="s">
        <v>15442</v>
      </c>
      <c r="C135" s="35" t="s">
        <v>15445</v>
      </c>
      <c r="D135" s="35" t="s">
        <v>3439</v>
      </c>
      <c r="E135" s="35" t="s">
        <v>3427</v>
      </c>
      <c r="F135" s="35" t="s">
        <v>5586</v>
      </c>
      <c r="G135" s="35" t="s">
        <v>8945</v>
      </c>
      <c r="H135" s="35" t="s">
        <v>11111</v>
      </c>
      <c r="I135" s="35" t="s">
        <v>3366</v>
      </c>
      <c r="J135" s="35" t="s">
        <v>11890</v>
      </c>
      <c r="K135" s="35">
        <v>2.9651908659724798E-3</v>
      </c>
      <c r="L135" s="35">
        <v>5.21221365321248E-3</v>
      </c>
      <c r="M135" s="35">
        <v>2.4399999999985801E-2</v>
      </c>
      <c r="N135" s="36"/>
      <c r="O135" s="36"/>
      <c r="P135" s="37"/>
    </row>
    <row r="136" spans="1:16" ht="15" customHeight="1">
      <c r="A136" t="s">
        <v>15342</v>
      </c>
      <c r="B136" t="s">
        <v>15442</v>
      </c>
      <c r="C136" t="s">
        <v>15451</v>
      </c>
      <c r="D136" t="s">
        <v>3457</v>
      </c>
      <c r="E136" t="s">
        <v>3440</v>
      </c>
      <c r="F136" t="s">
        <v>5587</v>
      </c>
      <c r="G136" t="s">
        <v>8946</v>
      </c>
      <c r="H136" t="s">
        <v>11279</v>
      </c>
      <c r="I136" t="s">
        <v>3382</v>
      </c>
      <c r="J136" t="s">
        <v>11896</v>
      </c>
      <c r="K136">
        <v>1.0059918901311499E-3</v>
      </c>
      <c r="L136">
        <v>2.7067077773858601E-3</v>
      </c>
      <c r="M136">
        <v>2.9099999999999699E-2</v>
      </c>
    </row>
    <row r="137" spans="1:16" ht="15" customHeight="1">
      <c r="A137" t="s">
        <v>15342</v>
      </c>
      <c r="B137" t="s">
        <v>15442</v>
      </c>
      <c r="C137" t="s">
        <v>15451</v>
      </c>
      <c r="D137" t="s">
        <v>3457</v>
      </c>
      <c r="E137" t="s">
        <v>3440</v>
      </c>
      <c r="F137" t="s">
        <v>5588</v>
      </c>
      <c r="G137" t="s">
        <v>8947</v>
      </c>
      <c r="H137" t="s">
        <v>11486</v>
      </c>
      <c r="I137" t="s">
        <v>3366</v>
      </c>
      <c r="J137" t="s">
        <v>11896</v>
      </c>
      <c r="K137">
        <v>2.5247921211084901E-3</v>
      </c>
      <c r="L137">
        <v>3.0339326777112301E-3</v>
      </c>
      <c r="M137">
        <v>2.8799999999989698E-2</v>
      </c>
    </row>
    <row r="138" spans="1:16" ht="15" customHeight="1">
      <c r="A138" t="s">
        <v>15342</v>
      </c>
      <c r="B138" t="s">
        <v>15442</v>
      </c>
      <c r="C138" t="s">
        <v>15451</v>
      </c>
      <c r="D138" t="s">
        <v>3457</v>
      </c>
      <c r="E138" t="s">
        <v>3440</v>
      </c>
      <c r="F138" t="s">
        <v>5589</v>
      </c>
      <c r="G138" t="s">
        <v>8948</v>
      </c>
      <c r="H138" t="s">
        <v>11487</v>
      </c>
      <c r="I138" t="s">
        <v>3366</v>
      </c>
      <c r="J138" t="s">
        <v>11896</v>
      </c>
      <c r="K138">
        <v>1.45872329409882E-3</v>
      </c>
      <c r="L138">
        <v>3.6300609384271199E-3</v>
      </c>
      <c r="M138">
        <v>2.80999999999949E-2</v>
      </c>
    </row>
    <row r="139" spans="1:16" ht="15" customHeight="1">
      <c r="A139" t="s">
        <v>15342</v>
      </c>
      <c r="B139" t="s">
        <v>15443</v>
      </c>
      <c r="C139" t="s">
        <v>15452</v>
      </c>
      <c r="D139" t="s">
        <v>3440</v>
      </c>
      <c r="E139" t="s">
        <v>3431</v>
      </c>
      <c r="F139" t="s">
        <v>5590</v>
      </c>
      <c r="G139" t="s">
        <v>8949</v>
      </c>
      <c r="H139" t="s">
        <v>10873</v>
      </c>
      <c r="I139" t="s">
        <v>3377</v>
      </c>
      <c r="J139" t="s">
        <v>11898</v>
      </c>
      <c r="K139">
        <v>5.7370353174576103E-3</v>
      </c>
      <c r="L139">
        <v>4.3591101478481897E-3</v>
      </c>
      <c r="M139">
        <v>2.32999999999777E-2</v>
      </c>
    </row>
    <row r="140" spans="1:16" ht="15" customHeight="1">
      <c r="A140" t="s">
        <v>15342</v>
      </c>
      <c r="B140" t="s">
        <v>15443</v>
      </c>
      <c r="C140" t="s">
        <v>15452</v>
      </c>
      <c r="D140" t="s">
        <v>3440</v>
      </c>
      <c r="E140" t="s">
        <v>3431</v>
      </c>
      <c r="F140" t="s">
        <v>5591</v>
      </c>
      <c r="G140" t="s">
        <v>8950</v>
      </c>
      <c r="H140" t="s">
        <v>10984</v>
      </c>
      <c r="I140" t="s">
        <v>3366</v>
      </c>
      <c r="J140" t="s">
        <v>11898</v>
      </c>
      <c r="K140">
        <v>7.1169268217256103E-3</v>
      </c>
      <c r="L140">
        <v>6.8244472325565296E-3</v>
      </c>
      <c r="M140">
        <v>2.3499999999984301E-2</v>
      </c>
    </row>
    <row r="141" spans="1:16" ht="15" customHeight="1">
      <c r="A141" t="s">
        <v>15342</v>
      </c>
      <c r="B141" t="s">
        <v>15443</v>
      </c>
      <c r="C141" t="s">
        <v>15452</v>
      </c>
      <c r="D141" t="s">
        <v>3438</v>
      </c>
      <c r="E141" t="s">
        <v>3434</v>
      </c>
      <c r="F141" t="s">
        <v>5592</v>
      </c>
      <c r="G141" t="s">
        <v>8951</v>
      </c>
      <c r="H141" t="s">
        <v>10846</v>
      </c>
      <c r="I141" t="s">
        <v>3366</v>
      </c>
      <c r="J141" t="s">
        <v>11898</v>
      </c>
      <c r="K141">
        <v>8.5337293094437695E-3</v>
      </c>
      <c r="L141">
        <v>1.0319960696878501E-2</v>
      </c>
      <c r="M141">
        <v>2.0699999999976602E-2</v>
      </c>
    </row>
    <row r="142" spans="1:16" ht="15" customHeight="1">
      <c r="A142" t="s">
        <v>15342</v>
      </c>
      <c r="B142" t="s">
        <v>15443</v>
      </c>
      <c r="C142" t="s">
        <v>15478</v>
      </c>
      <c r="D142" t="s">
        <v>3428</v>
      </c>
      <c r="E142" t="s">
        <v>3441</v>
      </c>
      <c r="F142" t="s">
        <v>5593</v>
      </c>
      <c r="G142" t="s">
        <v>8952</v>
      </c>
      <c r="H142" t="s">
        <v>11488</v>
      </c>
      <c r="I142" t="s">
        <v>3384</v>
      </c>
      <c r="J142" t="s">
        <v>11898</v>
      </c>
      <c r="K142">
        <v>2.8005345150804799E-3</v>
      </c>
      <c r="L142">
        <v>1.0252829270943099E-2</v>
      </c>
      <c r="M142">
        <v>3.4399999999976699E-2</v>
      </c>
    </row>
    <row r="143" spans="1:16" ht="15" customHeight="1">
      <c r="A143" t="s">
        <v>15342</v>
      </c>
      <c r="B143" t="s">
        <v>15443</v>
      </c>
      <c r="C143" t="s">
        <v>15478</v>
      </c>
      <c r="D143" t="s">
        <v>3428</v>
      </c>
      <c r="E143" t="s">
        <v>3441</v>
      </c>
      <c r="F143" t="s">
        <v>5594</v>
      </c>
      <c r="G143" t="s">
        <v>8953</v>
      </c>
      <c r="H143" t="s">
        <v>11488</v>
      </c>
      <c r="I143" t="s">
        <v>3366</v>
      </c>
      <c r="J143" t="s">
        <v>11898</v>
      </c>
      <c r="K143">
        <v>1.75868580240182E-3</v>
      </c>
      <c r="L143">
        <v>1.02046051186947E-2</v>
      </c>
      <c r="M143">
        <v>3.82999999999925E-2</v>
      </c>
    </row>
    <row r="144" spans="1:16" ht="15" customHeight="1">
      <c r="A144" t="s">
        <v>15342</v>
      </c>
      <c r="B144" t="s">
        <v>15443</v>
      </c>
      <c r="C144" t="s">
        <v>15478</v>
      </c>
      <c r="D144" t="s">
        <v>3428</v>
      </c>
      <c r="E144" t="s">
        <v>3441</v>
      </c>
      <c r="F144" t="s">
        <v>5595</v>
      </c>
      <c r="G144" t="s">
        <v>8954</v>
      </c>
      <c r="H144" t="s">
        <v>10868</v>
      </c>
      <c r="I144" t="s">
        <v>3366</v>
      </c>
      <c r="J144" t="s">
        <v>11898</v>
      </c>
      <c r="K144">
        <v>4.2897158950652497E-3</v>
      </c>
      <c r="L144">
        <v>1.31184705770248E-2</v>
      </c>
      <c r="M144">
        <v>3.6499999999989499E-2</v>
      </c>
    </row>
    <row r="145" spans="1:16" ht="15" customHeight="1">
      <c r="A145" t="s">
        <v>15343</v>
      </c>
      <c r="B145" t="s">
        <v>15441</v>
      </c>
      <c r="C145" t="s">
        <v>15445</v>
      </c>
      <c r="D145" t="s">
        <v>3438</v>
      </c>
      <c r="E145" t="s">
        <v>3441</v>
      </c>
      <c r="F145" t="s">
        <v>5596</v>
      </c>
      <c r="G145" t="s">
        <v>8955</v>
      </c>
      <c r="H145" t="s">
        <v>10711</v>
      </c>
      <c r="I145" t="s">
        <v>3366</v>
      </c>
      <c r="J145" t="s">
        <v>11886</v>
      </c>
      <c r="K145">
        <v>-2.0394403492423999E-2</v>
      </c>
      <c r="L145">
        <v>2.6172717192432999E-3</v>
      </c>
      <c r="M145">
        <v>6.0499999999990499E-2</v>
      </c>
    </row>
    <row r="146" spans="1:16" ht="15" customHeight="1">
      <c r="A146" t="s">
        <v>15343</v>
      </c>
      <c r="B146" t="s">
        <v>15441</v>
      </c>
      <c r="C146" t="s">
        <v>15445</v>
      </c>
      <c r="D146" t="s">
        <v>3438</v>
      </c>
      <c r="E146" t="s">
        <v>3441</v>
      </c>
      <c r="F146" t="s">
        <v>5597</v>
      </c>
      <c r="G146" t="s">
        <v>8956</v>
      </c>
      <c r="H146" t="s">
        <v>10732</v>
      </c>
      <c r="I146" t="s">
        <v>3366</v>
      </c>
      <c r="J146" t="s">
        <v>11886</v>
      </c>
      <c r="K146">
        <v>-2.1573210484100502E-2</v>
      </c>
      <c r="L146">
        <v>4.1404564920660198E-4</v>
      </c>
      <c r="M146">
        <v>5.7999999999992703E-2</v>
      </c>
    </row>
    <row r="147" spans="1:16" ht="15" customHeight="1" thickBot="1">
      <c r="A147" t="s">
        <v>15343</v>
      </c>
      <c r="B147" t="s">
        <v>15441</v>
      </c>
      <c r="C147" t="s">
        <v>15445</v>
      </c>
      <c r="D147" t="s">
        <v>3438</v>
      </c>
      <c r="E147" t="s">
        <v>3441</v>
      </c>
      <c r="F147" t="s">
        <v>5598</v>
      </c>
      <c r="G147" t="s">
        <v>8957</v>
      </c>
      <c r="H147" t="s">
        <v>11489</v>
      </c>
      <c r="I147" t="s">
        <v>3366</v>
      </c>
      <c r="J147" t="s">
        <v>11886</v>
      </c>
      <c r="K147">
        <v>-2.50498612444248E-2</v>
      </c>
      <c r="L147">
        <v>5.1535513558175004E-4</v>
      </c>
      <c r="M147">
        <v>4.1499999999985E-2</v>
      </c>
    </row>
    <row r="148" spans="1:16" s="15" customFormat="1" ht="15" customHeight="1">
      <c r="A148" s="26" t="s">
        <v>15343</v>
      </c>
      <c r="B148" s="27" t="s">
        <v>15441</v>
      </c>
      <c r="C148" s="27" t="s">
        <v>15447</v>
      </c>
      <c r="D148" s="27" t="s">
        <v>3436</v>
      </c>
      <c r="E148" s="27" t="s">
        <v>3465</v>
      </c>
      <c r="F148" s="27" t="s">
        <v>5599</v>
      </c>
      <c r="G148" s="27" t="s">
        <v>8958</v>
      </c>
      <c r="H148" s="27" t="s">
        <v>11490</v>
      </c>
      <c r="I148" s="27" t="s">
        <v>3380</v>
      </c>
      <c r="J148" s="27" t="s">
        <v>11887</v>
      </c>
      <c r="K148" s="27">
        <v>-1.55989122280376E-2</v>
      </c>
      <c r="L148" s="27">
        <v>1.03731482685539E-2</v>
      </c>
      <c r="M148" s="27">
        <v>9.5000000000027302E-3</v>
      </c>
      <c r="N148" s="28">
        <f>_xlfn.VAR.S(K148:K150)</f>
        <v>1.2321677377784597E-6</v>
      </c>
      <c r="O148" s="28">
        <f>_xlfn.VAR.S(L148:L150)</f>
        <v>1.0969557906027281E-7</v>
      </c>
      <c r="P148" s="29">
        <f>_xlfn.VAR.S(M148:M150)</f>
        <v>5.6829999999686242E-5</v>
      </c>
    </row>
    <row r="149" spans="1:16" s="15" customFormat="1" ht="15" customHeight="1">
      <c r="A149" s="30" t="s">
        <v>15343</v>
      </c>
      <c r="B149" s="31" t="s">
        <v>15441</v>
      </c>
      <c r="C149" s="31" t="s">
        <v>15447</v>
      </c>
      <c r="D149" s="31" t="s">
        <v>3428</v>
      </c>
      <c r="E149" s="31" t="s">
        <v>3452</v>
      </c>
      <c r="F149" s="31" t="s">
        <v>5600</v>
      </c>
      <c r="G149" s="31" t="s">
        <v>8959</v>
      </c>
      <c r="H149" s="31" t="s">
        <v>11490</v>
      </c>
      <c r="I149" s="31" t="s">
        <v>3366</v>
      </c>
      <c r="J149" s="31" t="s">
        <v>11887</v>
      </c>
      <c r="K149" s="31">
        <v>-1.7522932223189999E-2</v>
      </c>
      <c r="L149" s="31">
        <v>9.8875497837258106E-3</v>
      </c>
      <c r="M149" s="31">
        <v>2.2799999999961101E-2</v>
      </c>
      <c r="N149" s="32"/>
      <c r="O149" s="32"/>
      <c r="P149" s="33"/>
    </row>
    <row r="150" spans="1:16" s="15" customFormat="1" ht="15" customHeight="1" thickBot="1">
      <c r="A150" s="34" t="s">
        <v>15343</v>
      </c>
      <c r="B150" s="35" t="s">
        <v>15441</v>
      </c>
      <c r="C150" s="35" t="s">
        <v>15447</v>
      </c>
      <c r="D150" s="35" t="s">
        <v>3428</v>
      </c>
      <c r="E150" s="35" t="s">
        <v>3452</v>
      </c>
      <c r="F150" s="35" t="s">
        <v>5601</v>
      </c>
      <c r="G150" s="35" t="s">
        <v>8960</v>
      </c>
      <c r="H150" s="35" t="s">
        <v>11490</v>
      </c>
      <c r="I150" s="35" t="s">
        <v>3366</v>
      </c>
      <c r="J150" s="35" t="s">
        <v>11887</v>
      </c>
      <c r="K150" s="35">
        <v>-1.7520147698078799E-2</v>
      </c>
      <c r="L150" s="35">
        <v>9.7401794209291005E-3</v>
      </c>
      <c r="M150" s="35">
        <v>2.2299999999972901E-2</v>
      </c>
      <c r="N150" s="36"/>
      <c r="O150" s="36"/>
      <c r="P150" s="37"/>
    </row>
    <row r="151" spans="1:16" ht="15" customHeight="1">
      <c r="A151" t="s">
        <v>15343</v>
      </c>
      <c r="B151" t="s">
        <v>15441</v>
      </c>
      <c r="C151" t="s">
        <v>15448</v>
      </c>
      <c r="D151" t="s">
        <v>3428</v>
      </c>
      <c r="E151" t="s">
        <v>3452</v>
      </c>
      <c r="F151" t="s">
        <v>5602</v>
      </c>
      <c r="G151" t="s">
        <v>8961</v>
      </c>
      <c r="H151" t="s">
        <v>11461</v>
      </c>
      <c r="I151" t="s">
        <v>3376</v>
      </c>
      <c r="J151" t="s">
        <v>11891</v>
      </c>
      <c r="K151">
        <v>-1.9279773418037102E-2</v>
      </c>
      <c r="L151">
        <v>6.5820448380316402E-3</v>
      </c>
      <c r="M151">
        <v>-2.9200000000003001E-2</v>
      </c>
    </row>
    <row r="152" spans="1:16" ht="15" customHeight="1">
      <c r="A152" t="s">
        <v>15343</v>
      </c>
      <c r="B152" t="s">
        <v>15441</v>
      </c>
      <c r="C152" t="s">
        <v>15448</v>
      </c>
      <c r="D152" t="s">
        <v>3436</v>
      </c>
      <c r="E152" t="s">
        <v>3462</v>
      </c>
      <c r="F152" t="s">
        <v>5603</v>
      </c>
      <c r="G152" t="s">
        <v>8962</v>
      </c>
      <c r="H152" t="s">
        <v>11491</v>
      </c>
      <c r="I152" t="s">
        <v>3366</v>
      </c>
      <c r="J152" t="s">
        <v>11891</v>
      </c>
      <c r="K152">
        <v>-1.8001017302526599E-2</v>
      </c>
      <c r="L152">
        <v>7.8767898979135598E-3</v>
      </c>
      <c r="M152">
        <v>-3.1300000000044299E-2</v>
      </c>
    </row>
    <row r="153" spans="1:16" ht="15" customHeight="1" thickBot="1">
      <c r="A153" t="s">
        <v>15343</v>
      </c>
      <c r="B153" t="s">
        <v>15441</v>
      </c>
      <c r="C153" t="s">
        <v>15448</v>
      </c>
      <c r="D153" t="s">
        <v>3436</v>
      </c>
      <c r="E153" t="s">
        <v>3465</v>
      </c>
      <c r="F153" t="s">
        <v>5604</v>
      </c>
      <c r="G153" t="s">
        <v>8963</v>
      </c>
      <c r="H153" t="s">
        <v>10620</v>
      </c>
      <c r="I153" t="s">
        <v>3366</v>
      </c>
      <c r="J153" t="s">
        <v>11891</v>
      </c>
      <c r="K153">
        <v>-1.6769628769230199E-2</v>
      </c>
      <c r="L153">
        <v>5.5051767118810199E-3</v>
      </c>
      <c r="M153">
        <v>-2.9500000000041399E-2</v>
      </c>
    </row>
    <row r="154" spans="1:16" s="15" customFormat="1" ht="15" customHeight="1">
      <c r="A154" s="26" t="s">
        <v>15343</v>
      </c>
      <c r="B154" s="27" t="s">
        <v>15441</v>
      </c>
      <c r="C154" s="27" t="s">
        <v>15446</v>
      </c>
      <c r="D154" s="27" t="s">
        <v>3438</v>
      </c>
      <c r="E154" s="27" t="s">
        <v>3452</v>
      </c>
      <c r="F154" s="27" t="s">
        <v>5605</v>
      </c>
      <c r="G154" s="27" t="s">
        <v>8964</v>
      </c>
      <c r="H154" s="27" t="s">
        <v>11492</v>
      </c>
      <c r="I154" s="27" t="s">
        <v>3375</v>
      </c>
      <c r="J154" s="27" t="s">
        <v>11902</v>
      </c>
      <c r="K154" s="27">
        <v>-2.38060700786373E-2</v>
      </c>
      <c r="L154" s="27">
        <v>-1.4143456498535E-3</v>
      </c>
      <c r="M154" s="27">
        <v>-1.53999999999996E-2</v>
      </c>
      <c r="N154" s="28">
        <f>_xlfn.VAR.S(K154:K156)</f>
        <v>9.3306006786424338E-7</v>
      </c>
      <c r="O154" s="28">
        <f>_xlfn.VAR.S(L154:L156)</f>
        <v>2.0670890721381839E-6</v>
      </c>
      <c r="P154" s="29">
        <f>_xlfn.VAR.S(M154:M156)</f>
        <v>9.80433333333875E-5</v>
      </c>
    </row>
    <row r="155" spans="1:16" s="15" customFormat="1" ht="15" customHeight="1">
      <c r="A155" s="30" t="s">
        <v>15343</v>
      </c>
      <c r="B155" s="31" t="s">
        <v>15441</v>
      </c>
      <c r="C155" s="31" t="s">
        <v>15446</v>
      </c>
      <c r="D155" s="31" t="s">
        <v>3438</v>
      </c>
      <c r="E155" s="31" t="s">
        <v>3452</v>
      </c>
      <c r="F155" s="31" t="s">
        <v>5606</v>
      </c>
      <c r="G155" s="31" t="s">
        <v>8965</v>
      </c>
      <c r="H155" s="31" t="s">
        <v>11493</v>
      </c>
      <c r="I155" s="31" t="s">
        <v>3366</v>
      </c>
      <c r="J155" s="31" t="s">
        <v>11902</v>
      </c>
      <c r="K155" s="31">
        <v>-2.5338113240257001E-2</v>
      </c>
      <c r="L155" s="31">
        <v>-2.8811842992002398E-3</v>
      </c>
      <c r="M155" s="31">
        <v>-2.7000000000043701E-2</v>
      </c>
      <c r="N155" s="32"/>
      <c r="O155" s="32"/>
      <c r="P155" s="33"/>
    </row>
    <row r="156" spans="1:16" s="15" customFormat="1" ht="15" customHeight="1" thickBot="1">
      <c r="A156" s="34" t="s">
        <v>15343</v>
      </c>
      <c r="B156" s="35" t="s">
        <v>15441</v>
      </c>
      <c r="C156" s="35" t="s">
        <v>15446</v>
      </c>
      <c r="D156" s="35" t="s">
        <v>3438</v>
      </c>
      <c r="E156" s="35" t="s">
        <v>3452</v>
      </c>
      <c r="F156" s="35" t="s">
        <v>5607</v>
      </c>
      <c r="G156" s="35" t="s">
        <v>8966</v>
      </c>
      <c r="H156" s="35" t="s">
        <v>11494</v>
      </c>
      <c r="I156" s="35" t="s">
        <v>3366</v>
      </c>
      <c r="J156" s="35" t="s">
        <v>11902</v>
      </c>
      <c r="K156" s="35">
        <v>-2.5591313429619601E-2</v>
      </c>
      <c r="L156" s="35">
        <v>-4.2896229294346003E-3</v>
      </c>
      <c r="M156" s="35">
        <v>-3.5099999999999902E-2</v>
      </c>
      <c r="N156" s="36"/>
      <c r="O156" s="36"/>
      <c r="P156" s="37"/>
    </row>
    <row r="157" spans="1:16" ht="15" customHeight="1">
      <c r="A157" t="s">
        <v>15343</v>
      </c>
      <c r="B157" t="s">
        <v>15441</v>
      </c>
      <c r="C157" t="s">
        <v>15449</v>
      </c>
      <c r="D157" t="s">
        <v>3439</v>
      </c>
      <c r="E157" t="s">
        <v>3434</v>
      </c>
      <c r="F157" t="s">
        <v>5608</v>
      </c>
      <c r="G157" t="s">
        <v>8967</v>
      </c>
      <c r="H157" t="s">
        <v>11495</v>
      </c>
      <c r="I157" t="s">
        <v>3379</v>
      </c>
      <c r="J157" t="s">
        <v>11891</v>
      </c>
      <c r="K157">
        <v>-1.3206512117675E-2</v>
      </c>
      <c r="L157">
        <v>-8.9220075317295207E-3</v>
      </c>
      <c r="M157">
        <v>1.7899999999997401E-2</v>
      </c>
    </row>
    <row r="158" spans="1:16" ht="15" customHeight="1">
      <c r="A158" t="s">
        <v>15343</v>
      </c>
      <c r="B158" t="s">
        <v>15441</v>
      </c>
      <c r="C158" t="s">
        <v>15449</v>
      </c>
      <c r="D158" t="s">
        <v>3437</v>
      </c>
      <c r="E158" t="s">
        <v>3430</v>
      </c>
      <c r="F158" t="s">
        <v>5609</v>
      </c>
      <c r="G158" t="s">
        <v>8968</v>
      </c>
      <c r="H158" t="s">
        <v>10957</v>
      </c>
      <c r="I158" t="s">
        <v>3366</v>
      </c>
      <c r="J158" t="s">
        <v>11893</v>
      </c>
      <c r="K158">
        <v>-1.20705791488817E-2</v>
      </c>
      <c r="L158">
        <v>-1.08285840541629E-2</v>
      </c>
      <c r="M158">
        <v>3.2299999999963802E-2</v>
      </c>
    </row>
    <row r="159" spans="1:16" ht="15" customHeight="1">
      <c r="A159" t="s">
        <v>15343</v>
      </c>
      <c r="B159" t="s">
        <v>15441</v>
      </c>
      <c r="C159" t="s">
        <v>15449</v>
      </c>
      <c r="D159" t="s">
        <v>3440</v>
      </c>
      <c r="E159" t="s">
        <v>3442</v>
      </c>
      <c r="F159" t="s">
        <v>5610</v>
      </c>
      <c r="G159" t="s">
        <v>8969</v>
      </c>
      <c r="H159" t="s">
        <v>10957</v>
      </c>
      <c r="I159" t="s">
        <v>3366</v>
      </c>
      <c r="J159" t="s">
        <v>11893</v>
      </c>
      <c r="K159">
        <v>-1.0064405444505599E-2</v>
      </c>
      <c r="L159">
        <v>-1.02644006050449E-2</v>
      </c>
      <c r="M159">
        <v>3.2299999999963802E-2</v>
      </c>
    </row>
    <row r="160" spans="1:16" ht="15" customHeight="1">
      <c r="A160" t="s">
        <v>15343</v>
      </c>
      <c r="B160" t="s">
        <v>15442</v>
      </c>
      <c r="C160" t="s">
        <v>15450</v>
      </c>
      <c r="D160" t="s">
        <v>3530</v>
      </c>
      <c r="E160" t="s">
        <v>3685</v>
      </c>
      <c r="F160" t="s">
        <v>5611</v>
      </c>
      <c r="G160" t="s">
        <v>8970</v>
      </c>
      <c r="H160" t="s">
        <v>11496</v>
      </c>
      <c r="I160" t="s">
        <v>3374</v>
      </c>
      <c r="J160" t="s">
        <v>11895</v>
      </c>
      <c r="K160">
        <v>9.3143997368449902E-2</v>
      </c>
      <c r="L160">
        <v>6.7319411376614902E-2</v>
      </c>
      <c r="M160">
        <v>0.77809999999999502</v>
      </c>
    </row>
    <row r="161" spans="1:16" ht="15" customHeight="1">
      <c r="A161" t="s">
        <v>15343</v>
      </c>
      <c r="B161" t="s">
        <v>15442</v>
      </c>
      <c r="C161" t="s">
        <v>15450</v>
      </c>
      <c r="D161" t="s">
        <v>3531</v>
      </c>
      <c r="E161" t="s">
        <v>3686</v>
      </c>
      <c r="F161" t="s">
        <v>5612</v>
      </c>
      <c r="G161" t="s">
        <v>8971</v>
      </c>
      <c r="H161" t="s">
        <v>11497</v>
      </c>
      <c r="I161" t="s">
        <v>3366</v>
      </c>
      <c r="J161" t="s">
        <v>11885</v>
      </c>
      <c r="K161">
        <v>2.6352960240472501E-2</v>
      </c>
      <c r="L161">
        <v>1.34830474475192E-2</v>
      </c>
      <c r="M161">
        <v>0.50459999999998195</v>
      </c>
    </row>
    <row r="162" spans="1:16" ht="15" customHeight="1" thickBot="1">
      <c r="A162" t="s">
        <v>15343</v>
      </c>
      <c r="B162" t="s">
        <v>15442</v>
      </c>
      <c r="C162" t="s">
        <v>15450</v>
      </c>
      <c r="D162" t="s">
        <v>3464</v>
      </c>
      <c r="E162" t="s">
        <v>3687</v>
      </c>
      <c r="F162" t="s">
        <v>5613</v>
      </c>
      <c r="G162" t="s">
        <v>8972</v>
      </c>
      <c r="H162" t="s">
        <v>11497</v>
      </c>
      <c r="I162" t="s">
        <v>3366</v>
      </c>
      <c r="J162" t="s">
        <v>11885</v>
      </c>
      <c r="K162">
        <v>-1.5978305051755501E-2</v>
      </c>
      <c r="L162">
        <v>-2.0903911147890702E-3</v>
      </c>
      <c r="M162">
        <v>4.5299999999997502E-2</v>
      </c>
    </row>
    <row r="163" spans="1:16" s="15" customFormat="1" ht="15" customHeight="1">
      <c r="A163" s="26" t="s">
        <v>15343</v>
      </c>
      <c r="B163" s="27" t="s">
        <v>15442</v>
      </c>
      <c r="C163" s="27" t="s">
        <v>15445</v>
      </c>
      <c r="D163" s="27" t="s">
        <v>3438</v>
      </c>
      <c r="E163" s="27" t="s">
        <v>3441</v>
      </c>
      <c r="F163" s="27" t="s">
        <v>5614</v>
      </c>
      <c r="G163" s="27" t="s">
        <v>8973</v>
      </c>
      <c r="H163" s="27" t="s">
        <v>11498</v>
      </c>
      <c r="I163" s="27" t="s">
        <v>3380</v>
      </c>
      <c r="J163" s="27" t="s">
        <v>11886</v>
      </c>
      <c r="K163" s="27">
        <v>-1.8544175967330798E-2</v>
      </c>
      <c r="L163" s="27">
        <v>-1.37223361447045E-2</v>
      </c>
      <c r="M163" s="27">
        <v>5.2399999999977402E-2</v>
      </c>
      <c r="N163" s="28">
        <f>_xlfn.VAR.S(K163:K165)</f>
        <v>2.712946413589928E-6</v>
      </c>
      <c r="O163" s="28">
        <f>_xlfn.VAR.S(L163:L165)</f>
        <v>1.3362304910526251E-8</v>
      </c>
      <c r="P163" s="29">
        <f>_xlfn.VAR.S(M163:M165)</f>
        <v>3.403333333341346E-6</v>
      </c>
    </row>
    <row r="164" spans="1:16" s="15" customFormat="1" ht="15" customHeight="1">
      <c r="A164" s="30" t="s">
        <v>15343</v>
      </c>
      <c r="B164" s="31" t="s">
        <v>15442</v>
      </c>
      <c r="C164" s="31" t="s">
        <v>15445</v>
      </c>
      <c r="D164" s="31" t="s">
        <v>3438</v>
      </c>
      <c r="E164" s="31" t="s">
        <v>3453</v>
      </c>
      <c r="F164" s="31" t="s">
        <v>5615</v>
      </c>
      <c r="G164" s="31" t="s">
        <v>8974</v>
      </c>
      <c r="H164" s="31" t="s">
        <v>11499</v>
      </c>
      <c r="I164" s="31" t="s">
        <v>3366</v>
      </c>
      <c r="J164" s="31" t="s">
        <v>11886</v>
      </c>
      <c r="K164" s="31">
        <v>-1.6691789796623901E-2</v>
      </c>
      <c r="L164" s="31">
        <v>-1.3772536350143701E-2</v>
      </c>
      <c r="M164" s="31">
        <v>5.4899999999975101E-2</v>
      </c>
      <c r="N164" s="32"/>
      <c r="O164" s="32"/>
      <c r="P164" s="33"/>
    </row>
    <row r="165" spans="1:16" s="15" customFormat="1" ht="15" customHeight="1" thickBot="1">
      <c r="A165" s="34" t="s">
        <v>15343</v>
      </c>
      <c r="B165" s="35" t="s">
        <v>15442</v>
      </c>
      <c r="C165" s="35" t="s">
        <v>15445</v>
      </c>
      <c r="D165" s="35" t="s">
        <v>3438</v>
      </c>
      <c r="E165" s="35" t="s">
        <v>3432</v>
      </c>
      <c r="F165" s="35" t="s">
        <v>5616</v>
      </c>
      <c r="G165" s="35" t="s">
        <v>8975</v>
      </c>
      <c r="H165" s="35" t="s">
        <v>11500</v>
      </c>
      <c r="I165" s="35" t="s">
        <v>3366</v>
      </c>
      <c r="J165" s="35" t="s">
        <v>11886</v>
      </c>
      <c r="K165" s="35">
        <v>-1.52588859474068E-2</v>
      </c>
      <c r="L165" s="35">
        <v>-1.3551996053855901E-2</v>
      </c>
      <c r="M165" s="35">
        <v>5.5999999999983202E-2</v>
      </c>
      <c r="N165" s="36"/>
      <c r="O165" s="36"/>
      <c r="P165" s="37"/>
    </row>
    <row r="166" spans="1:16" ht="15" customHeight="1">
      <c r="A166" t="s">
        <v>15343</v>
      </c>
      <c r="B166" t="s">
        <v>15442</v>
      </c>
      <c r="C166" t="s">
        <v>15451</v>
      </c>
      <c r="D166" t="s">
        <v>3439</v>
      </c>
      <c r="E166" t="s">
        <v>3425</v>
      </c>
      <c r="F166" t="s">
        <v>5617</v>
      </c>
      <c r="G166" t="s">
        <v>8976</v>
      </c>
      <c r="H166" t="s">
        <v>11250</v>
      </c>
      <c r="I166" t="s">
        <v>3381</v>
      </c>
      <c r="J166" t="s">
        <v>11888</v>
      </c>
      <c r="K166">
        <v>-2.0038112008689001E-2</v>
      </c>
      <c r="L166">
        <v>-8.9992277001089797E-3</v>
      </c>
      <c r="M166">
        <v>9.0999999999894499E-3</v>
      </c>
    </row>
    <row r="167" spans="1:16" ht="15" customHeight="1">
      <c r="A167" t="s">
        <v>15343</v>
      </c>
      <c r="B167" t="s">
        <v>15442</v>
      </c>
      <c r="C167" t="s">
        <v>15451</v>
      </c>
      <c r="D167" t="s">
        <v>3439</v>
      </c>
      <c r="E167" t="s">
        <v>3425</v>
      </c>
      <c r="F167" t="s">
        <v>5618</v>
      </c>
      <c r="G167" t="s">
        <v>8977</v>
      </c>
      <c r="H167" t="s">
        <v>11379</v>
      </c>
      <c r="I167" t="s">
        <v>3366</v>
      </c>
      <c r="J167" t="s">
        <v>11888</v>
      </c>
      <c r="K167">
        <v>-1.9478054597452499E-2</v>
      </c>
      <c r="L167">
        <v>-1.01002971032497E-2</v>
      </c>
      <c r="M167">
        <v>1.5899999999987799E-2</v>
      </c>
    </row>
    <row r="168" spans="1:16" ht="15" customHeight="1">
      <c r="A168" t="s">
        <v>15343</v>
      </c>
      <c r="B168" t="s">
        <v>15442</v>
      </c>
      <c r="C168" t="s">
        <v>15451</v>
      </c>
      <c r="D168" t="s">
        <v>3439</v>
      </c>
      <c r="E168" t="s">
        <v>3425</v>
      </c>
      <c r="F168" t="s">
        <v>5619</v>
      </c>
      <c r="G168" t="s">
        <v>8978</v>
      </c>
      <c r="H168" t="s">
        <v>11379</v>
      </c>
      <c r="I168" t="s">
        <v>3366</v>
      </c>
      <c r="J168" t="s">
        <v>11888</v>
      </c>
      <c r="K168">
        <v>-1.9110974994868898E-2</v>
      </c>
      <c r="L168">
        <v>-1.04765518611902E-2</v>
      </c>
      <c r="M168">
        <v>1.9799999999975199E-2</v>
      </c>
    </row>
    <row r="169" spans="1:16" ht="15" customHeight="1">
      <c r="A169" t="s">
        <v>15343</v>
      </c>
      <c r="B169" t="s">
        <v>15443</v>
      </c>
      <c r="C169" t="s">
        <v>15452</v>
      </c>
      <c r="D169" t="s">
        <v>3439</v>
      </c>
      <c r="E169" t="s">
        <v>3436</v>
      </c>
      <c r="F169" t="s">
        <v>5620</v>
      </c>
      <c r="G169" t="s">
        <v>8979</v>
      </c>
      <c r="H169" t="s">
        <v>10952</v>
      </c>
      <c r="I169" t="s">
        <v>3377</v>
      </c>
      <c r="J169" t="s">
        <v>11903</v>
      </c>
      <c r="K169">
        <v>1.47684825377155E-3</v>
      </c>
      <c r="L169">
        <v>-2.7149949698018799E-2</v>
      </c>
      <c r="M169">
        <v>4.7699999999963397E-2</v>
      </c>
    </row>
    <row r="170" spans="1:16" ht="15" customHeight="1">
      <c r="A170" t="s">
        <v>15343</v>
      </c>
      <c r="B170" t="s">
        <v>15443</v>
      </c>
      <c r="C170" t="s">
        <v>15452</v>
      </c>
      <c r="D170" t="s">
        <v>3437</v>
      </c>
      <c r="E170" t="s">
        <v>3436</v>
      </c>
      <c r="F170" t="s">
        <v>5621</v>
      </c>
      <c r="G170" t="s">
        <v>8980</v>
      </c>
      <c r="H170" t="s">
        <v>10952</v>
      </c>
      <c r="I170" t="s">
        <v>3366</v>
      </c>
      <c r="J170" t="s">
        <v>11903</v>
      </c>
      <c r="K170">
        <v>1.34310419168321E-3</v>
      </c>
      <c r="L170">
        <v>-2.7997666935081201E-2</v>
      </c>
      <c r="M170">
        <v>4.0999999999996803E-2</v>
      </c>
    </row>
    <row r="171" spans="1:16" ht="15" customHeight="1">
      <c r="A171" t="s">
        <v>15343</v>
      </c>
      <c r="B171" t="s">
        <v>15443</v>
      </c>
      <c r="C171" t="s">
        <v>15452</v>
      </c>
      <c r="D171" t="s">
        <v>3437</v>
      </c>
      <c r="E171" t="s">
        <v>3425</v>
      </c>
      <c r="F171" t="s">
        <v>5622</v>
      </c>
      <c r="G171" t="s">
        <v>8981</v>
      </c>
      <c r="H171" t="s">
        <v>11388</v>
      </c>
      <c r="I171" t="s">
        <v>3366</v>
      </c>
      <c r="J171" t="s">
        <v>11903</v>
      </c>
      <c r="K171">
        <v>5.9851706770479003E-4</v>
      </c>
      <c r="L171">
        <v>-2.7206330513014201E-2</v>
      </c>
      <c r="M171">
        <v>4.4299999999964298E-2</v>
      </c>
    </row>
    <row r="172" spans="1:16" ht="15" customHeight="1">
      <c r="A172" t="s">
        <v>15343</v>
      </c>
      <c r="B172" t="s">
        <v>15443</v>
      </c>
      <c r="C172" t="s">
        <v>15479</v>
      </c>
      <c r="D172" t="s">
        <v>3435</v>
      </c>
      <c r="E172" t="s">
        <v>3449</v>
      </c>
      <c r="F172" t="s">
        <v>5623</v>
      </c>
      <c r="G172" t="s">
        <v>8982</v>
      </c>
      <c r="H172" t="s">
        <v>11480</v>
      </c>
      <c r="I172" t="s">
        <v>3379</v>
      </c>
      <c r="J172" t="s">
        <v>11903</v>
      </c>
      <c r="K172">
        <v>-4.2614219026518201E-3</v>
      </c>
      <c r="L172">
        <v>-3.0294102810160001E-2</v>
      </c>
      <c r="M172">
        <v>3.1599999999969E-2</v>
      </c>
    </row>
    <row r="173" spans="1:16" ht="15" customHeight="1">
      <c r="A173" t="s">
        <v>15343</v>
      </c>
      <c r="B173" t="s">
        <v>15443</v>
      </c>
      <c r="C173" t="s">
        <v>15479</v>
      </c>
      <c r="D173" t="s">
        <v>3432</v>
      </c>
      <c r="E173" t="s">
        <v>3477</v>
      </c>
      <c r="F173" t="s">
        <v>5624</v>
      </c>
      <c r="G173" t="s">
        <v>8983</v>
      </c>
      <c r="H173" t="s">
        <v>11501</v>
      </c>
      <c r="I173" t="s">
        <v>3366</v>
      </c>
      <c r="J173" t="s">
        <v>11903</v>
      </c>
      <c r="K173">
        <v>-5.4352831689930704E-3</v>
      </c>
      <c r="L173">
        <v>-2.9862510348136501E-2</v>
      </c>
      <c r="M173">
        <v>2.9299999999977899E-2</v>
      </c>
    </row>
    <row r="174" spans="1:16" ht="15" customHeight="1">
      <c r="A174" t="s">
        <v>15343</v>
      </c>
      <c r="B174" t="s">
        <v>15443</v>
      </c>
      <c r="C174" t="s">
        <v>15479</v>
      </c>
      <c r="D174" t="s">
        <v>3452</v>
      </c>
      <c r="E174" t="s">
        <v>3563</v>
      </c>
      <c r="F174" t="s">
        <v>5625</v>
      </c>
      <c r="G174" t="s">
        <v>8984</v>
      </c>
      <c r="H174" t="s">
        <v>10763</v>
      </c>
      <c r="I174" t="s">
        <v>3366</v>
      </c>
      <c r="J174" t="s">
        <v>11903</v>
      </c>
      <c r="K174">
        <v>-6.5283446695133199E-3</v>
      </c>
      <c r="L174">
        <v>-2.8552817974060798E-2</v>
      </c>
      <c r="M174">
        <v>2.7400000000000101E-2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2DC-34D0-3943-BB30-3973BFD5ECE4}">
  <dimension ref="A1:AS86"/>
  <sheetViews>
    <sheetView workbookViewId="0">
      <selection activeCell="M69" sqref="M69"/>
    </sheetView>
  </sheetViews>
  <sheetFormatPr defaultColWidth="11.5546875" defaultRowHeight="15" customHeight="1"/>
  <cols>
    <col min="9" max="11" width="17.109375" style="63" bestFit="1" customWidth="1"/>
    <col min="25" max="27" width="17.109375" customWidth="1"/>
    <col min="40" max="40" width="14.44140625" bestFit="1" customWidth="1"/>
    <col min="41" max="42" width="14" bestFit="1" customWidth="1"/>
  </cols>
  <sheetData>
    <row r="1" spans="1:30" ht="15" customHeight="1">
      <c r="A1" s="1" t="s">
        <v>15291</v>
      </c>
      <c r="B1" s="1" t="s">
        <v>15501</v>
      </c>
      <c r="C1" s="1" t="s">
        <v>15502</v>
      </c>
      <c r="D1" s="7" t="s">
        <v>15520</v>
      </c>
      <c r="E1" s="2" t="s">
        <v>3601</v>
      </c>
      <c r="F1" s="2" t="s">
        <v>15507</v>
      </c>
      <c r="G1" s="2" t="s">
        <v>11883</v>
      </c>
      <c r="H1" s="2" t="s">
        <v>11884</v>
      </c>
      <c r="I1" s="63" t="s">
        <v>15521</v>
      </c>
      <c r="J1" s="63" t="s">
        <v>15522</v>
      </c>
      <c r="K1" s="63" t="s">
        <v>15523</v>
      </c>
      <c r="L1" s="13" t="s">
        <v>15524</v>
      </c>
      <c r="M1" s="13" t="s">
        <v>15525</v>
      </c>
      <c r="N1" s="13" t="s">
        <v>15526</v>
      </c>
      <c r="O1" s="13"/>
      <c r="Q1" s="1" t="s">
        <v>15291</v>
      </c>
      <c r="R1" s="1" t="s">
        <v>15501</v>
      </c>
      <c r="S1" s="1" t="s">
        <v>15502</v>
      </c>
      <c r="T1" s="7" t="s">
        <v>15520</v>
      </c>
      <c r="U1" s="2" t="s">
        <v>3601</v>
      </c>
      <c r="V1" s="2" t="s">
        <v>15507</v>
      </c>
      <c r="W1" s="2" t="s">
        <v>11883</v>
      </c>
      <c r="X1" s="2" t="s">
        <v>11884</v>
      </c>
      <c r="Y1" s="63" t="s">
        <v>15521</v>
      </c>
      <c r="Z1" s="63" t="s">
        <v>15522</v>
      </c>
      <c r="AA1" s="63" t="s">
        <v>15523</v>
      </c>
      <c r="AB1" s="13" t="s">
        <v>15524</v>
      </c>
      <c r="AC1" s="13" t="s">
        <v>15525</v>
      </c>
      <c r="AD1" s="13" t="s">
        <v>15526</v>
      </c>
    </row>
    <row r="2" spans="1:30" ht="15" customHeight="1">
      <c r="A2" s="104" t="s">
        <v>15400</v>
      </c>
      <c r="B2" s="90" t="s">
        <v>15443</v>
      </c>
      <c r="C2" s="90" t="s">
        <v>15497</v>
      </c>
      <c r="D2" s="90">
        <v>0.54200000000000004</v>
      </c>
      <c r="E2" s="90">
        <v>1.0549999999999999</v>
      </c>
      <c r="F2" s="90">
        <v>1.7529999999999999</v>
      </c>
      <c r="G2" s="90">
        <v>10</v>
      </c>
      <c r="H2" s="90">
        <v>11</v>
      </c>
      <c r="I2" s="91">
        <v>-0.15263541570532499</v>
      </c>
      <c r="J2" s="91">
        <v>0.84439630671195498</v>
      </c>
      <c r="K2" s="91">
        <v>0.4803</v>
      </c>
      <c r="L2" s="92">
        <v>6.6852999654016983E-3</v>
      </c>
      <c r="M2" s="93">
        <v>0.12378952644318331</v>
      </c>
      <c r="N2" s="94">
        <v>4.0500243333333463E-2</v>
      </c>
      <c r="O2" s="98"/>
      <c r="Q2" s="107" t="s">
        <v>15400</v>
      </c>
      <c r="R2" s="65" t="s">
        <v>15441</v>
      </c>
      <c r="S2" s="65" t="s">
        <v>15447</v>
      </c>
      <c r="T2" s="65">
        <v>0.38</v>
      </c>
      <c r="U2" s="65">
        <v>0.48299999999999998</v>
      </c>
      <c r="V2" s="65">
        <v>3.319</v>
      </c>
      <c r="W2" s="65">
        <v>3</v>
      </c>
      <c r="X2" s="65">
        <v>6</v>
      </c>
      <c r="Y2" s="66">
        <v>0.192185532834282</v>
      </c>
      <c r="Z2" s="66">
        <v>3.5380311965342297E-2</v>
      </c>
      <c r="AA2" s="66">
        <v>0.10540000000000301</v>
      </c>
      <c r="AB2" s="67">
        <v>1.7085806379693737E-2</v>
      </c>
      <c r="AC2" s="67">
        <v>2.0415696006596408E-2</v>
      </c>
      <c r="AD2" s="68">
        <v>0.11885982333333242</v>
      </c>
    </row>
    <row r="3" spans="1:30" ht="15" customHeight="1">
      <c r="A3" s="105" t="s">
        <v>15400</v>
      </c>
      <c r="B3" s="96" t="s">
        <v>15443</v>
      </c>
      <c r="C3" s="96" t="s">
        <v>15497</v>
      </c>
      <c r="D3" s="96">
        <v>0.504</v>
      </c>
      <c r="E3" s="96">
        <v>0.92500000000000004</v>
      </c>
      <c r="F3" s="96">
        <v>1.845</v>
      </c>
      <c r="G3" s="96">
        <v>10</v>
      </c>
      <c r="H3" s="96">
        <v>11</v>
      </c>
      <c r="I3" s="97">
        <v>-8.5047357506776305E-2</v>
      </c>
      <c r="J3" s="97">
        <v>0.694483333293893</v>
      </c>
      <c r="K3" s="97">
        <v>0.37789999999999702</v>
      </c>
      <c r="L3" s="98"/>
      <c r="M3" s="98"/>
      <c r="N3" s="99"/>
      <c r="O3" s="98"/>
      <c r="Q3" s="108" t="s">
        <v>15400</v>
      </c>
      <c r="R3" s="9" t="s">
        <v>15441</v>
      </c>
      <c r="S3" s="9" t="s">
        <v>15447</v>
      </c>
      <c r="T3" s="9">
        <v>0.54400000000000004</v>
      </c>
      <c r="U3" s="9">
        <v>1.143</v>
      </c>
      <c r="V3" s="9">
        <v>2.0640000000000001</v>
      </c>
      <c r="W3" s="9">
        <v>24</v>
      </c>
      <c r="X3" s="9">
        <v>7</v>
      </c>
      <c r="Y3" s="63">
        <v>0.29963665076280999</v>
      </c>
      <c r="Z3" s="63">
        <v>0.32114726269462401</v>
      </c>
      <c r="AA3" s="63">
        <v>0.75719999999999699</v>
      </c>
      <c r="AB3" s="47"/>
      <c r="AC3" s="47"/>
      <c r="AD3" s="70"/>
    </row>
    <row r="4" spans="1:30" ht="15" customHeight="1">
      <c r="A4" s="106" t="s">
        <v>15400</v>
      </c>
      <c r="B4" s="100" t="s">
        <v>15443</v>
      </c>
      <c r="C4" s="100" t="s">
        <v>15497</v>
      </c>
      <c r="D4" s="100">
        <v>0.29699999999999999</v>
      </c>
      <c r="E4" s="100">
        <v>0.39500000000000002</v>
      </c>
      <c r="F4" s="100">
        <v>1.8380000000000001</v>
      </c>
      <c r="G4" s="100">
        <v>10</v>
      </c>
      <c r="H4" s="100">
        <v>10</v>
      </c>
      <c r="I4" s="101">
        <v>1.01151591290042E-2</v>
      </c>
      <c r="J4" s="101">
        <v>0.17402974733849</v>
      </c>
      <c r="K4" s="101">
        <v>9.1999999999998694E-2</v>
      </c>
      <c r="L4" s="102"/>
      <c r="M4" s="102"/>
      <c r="N4" s="103"/>
      <c r="O4" s="98"/>
      <c r="Q4" s="109" t="s">
        <v>15400</v>
      </c>
      <c r="R4" s="72" t="s">
        <v>15441</v>
      </c>
      <c r="S4" s="72" t="s">
        <v>15447</v>
      </c>
      <c r="T4" s="72">
        <v>0.55100000000000005</v>
      </c>
      <c r="U4" s="72">
        <v>1.139</v>
      </c>
      <c r="V4" s="72">
        <v>2.2389999999999999</v>
      </c>
      <c r="W4" s="72">
        <v>2</v>
      </c>
      <c r="X4" s="72">
        <v>7</v>
      </c>
      <c r="Y4" s="73">
        <v>3.9517990942404498E-2</v>
      </c>
      <c r="Z4" s="73">
        <v>0.17810434155407301</v>
      </c>
      <c r="AA4" s="73">
        <v>0.23649999999999199</v>
      </c>
      <c r="AB4" s="74"/>
      <c r="AC4" s="74"/>
      <c r="AD4" s="75"/>
    </row>
    <row r="5" spans="1:30" ht="15" customHeight="1">
      <c r="A5" s="95"/>
      <c r="B5" s="96"/>
      <c r="C5" s="96"/>
      <c r="D5" s="96">
        <f>D2+D3+D4</f>
        <v>1.343</v>
      </c>
      <c r="E5" s="96">
        <f>AVERAGE(E2:E4)</f>
        <v>0.79166666666666663</v>
      </c>
      <c r="F5" s="96">
        <f>AVERAGE(F2:F4)</f>
        <v>1.8120000000000001</v>
      </c>
      <c r="G5" s="96">
        <f t="shared" ref="G5:K5" si="0">AVERAGE(G2:G4)</f>
        <v>10</v>
      </c>
      <c r="H5" s="96">
        <f t="shared" si="0"/>
        <v>10.666666666666666</v>
      </c>
      <c r="I5" s="96">
        <f t="shared" si="0"/>
        <v>-7.5855871361032362E-2</v>
      </c>
      <c r="J5" s="96">
        <f t="shared" si="0"/>
        <v>0.57096979578144602</v>
      </c>
      <c r="K5" s="96">
        <f t="shared" si="0"/>
        <v>0.31673333333333192</v>
      </c>
      <c r="L5" s="98"/>
      <c r="M5" s="98"/>
      <c r="N5" s="99"/>
      <c r="O5" s="62"/>
      <c r="Q5" s="69"/>
      <c r="R5" s="9"/>
      <c r="S5" s="9"/>
      <c r="T5" s="9">
        <f>AVERAGE(T2:T4)</f>
        <v>0.4916666666666667</v>
      </c>
      <c r="U5" s="9">
        <f t="shared" ref="U5:AA5" si="1">AVERAGE(U2:U4)</f>
        <v>0.92166666666666652</v>
      </c>
      <c r="V5" s="9">
        <f t="shared" si="1"/>
        <v>2.5406666666666666</v>
      </c>
      <c r="W5" s="9">
        <f t="shared" si="1"/>
        <v>9.6666666666666661</v>
      </c>
      <c r="X5" s="9">
        <f t="shared" si="1"/>
        <v>6.666666666666667</v>
      </c>
      <c r="Y5" s="9">
        <f t="shared" si="1"/>
        <v>0.17711339151316549</v>
      </c>
      <c r="Z5" s="9">
        <f t="shared" si="1"/>
        <v>0.17821063873801313</v>
      </c>
      <c r="AA5" s="9">
        <f t="shared" si="1"/>
        <v>0.36636666666666401</v>
      </c>
      <c r="AB5" s="47"/>
      <c r="AC5" s="47"/>
      <c r="AD5" s="70"/>
    </row>
    <row r="6" spans="1:30" ht="15" customHeight="1">
      <c r="A6" s="64" t="s">
        <v>15397</v>
      </c>
      <c r="B6" s="65" t="s">
        <v>15443</v>
      </c>
      <c r="C6" s="65" t="s">
        <v>15460</v>
      </c>
      <c r="D6" s="65">
        <v>1.2E-2</v>
      </c>
      <c r="E6" s="65">
        <v>0.02</v>
      </c>
      <c r="F6" s="65">
        <v>1.2230000000000001</v>
      </c>
      <c r="G6" s="65">
        <v>10</v>
      </c>
      <c r="H6" s="65">
        <v>21</v>
      </c>
      <c r="I6" s="66">
        <v>-3.5373529419819499E-2</v>
      </c>
      <c r="J6" s="66">
        <v>1.38366526214307E-2</v>
      </c>
      <c r="K6" s="66">
        <v>-9.7400000000007494E-2</v>
      </c>
      <c r="L6" s="78">
        <f>_xlfn.VAR.S(I6:I10)</f>
        <v>4.0910405968728791E-6</v>
      </c>
      <c r="M6" s="78">
        <f>_xlfn.VAR.S(J6:J10)</f>
        <v>2.0738948229307797E-6</v>
      </c>
      <c r="N6" s="79">
        <f>_xlfn.VAR.S(K6:K10)</f>
        <v>1.3536799999998251E-4</v>
      </c>
      <c r="O6" s="62"/>
      <c r="Q6" s="64" t="s">
        <v>15397</v>
      </c>
      <c r="R6" s="65" t="s">
        <v>15441</v>
      </c>
      <c r="S6" s="65" t="s">
        <v>15447</v>
      </c>
      <c r="T6" s="65">
        <v>8.9999999999999993E-3</v>
      </c>
      <c r="U6" s="65">
        <v>1.2E-2</v>
      </c>
      <c r="V6" s="65">
        <v>1.538</v>
      </c>
      <c r="W6" s="65">
        <v>12</v>
      </c>
      <c r="X6" s="65">
        <v>10</v>
      </c>
      <c r="Y6" s="66">
        <v>-8.2574151400077907E-3</v>
      </c>
      <c r="Z6" s="66">
        <v>-1.7276189627053799E-2</v>
      </c>
      <c r="AA6" s="66">
        <v>-9.1700000000003001E-2</v>
      </c>
      <c r="AB6" s="78">
        <f>_xlfn.VAR.S(Y6:Y8)</f>
        <v>1.8026636230779999E-7</v>
      </c>
      <c r="AC6" s="78">
        <f>_xlfn.VAR.S(Z6:Z8)</f>
        <v>1.2300600559691596E-6</v>
      </c>
      <c r="AD6" s="79">
        <f>_xlfn.VAR.S(AA6:AA8)</f>
        <v>8.0433333333493539E-6</v>
      </c>
    </row>
    <row r="7" spans="1:30" ht="15" customHeight="1">
      <c r="A7" s="69" t="s">
        <v>15397</v>
      </c>
      <c r="B7" s="9" t="s">
        <v>15443</v>
      </c>
      <c r="C7" s="9" t="s">
        <v>15460</v>
      </c>
      <c r="D7" s="9">
        <v>1.2999999999999999E-2</v>
      </c>
      <c r="E7" s="9">
        <v>2.1999999999999999E-2</v>
      </c>
      <c r="F7" s="9">
        <v>1.222</v>
      </c>
      <c r="G7" s="9">
        <v>10</v>
      </c>
      <c r="H7" s="9">
        <v>21</v>
      </c>
      <c r="I7" s="63">
        <v>-3.9822462631375601E-2</v>
      </c>
      <c r="J7" s="63">
        <v>1.0201059545308E-2</v>
      </c>
      <c r="K7" s="63">
        <v>-0.102500000000006</v>
      </c>
      <c r="L7" s="62"/>
      <c r="M7" s="62"/>
      <c r="N7" s="80"/>
      <c r="O7" s="62"/>
      <c r="P7" s="9"/>
      <c r="Q7" s="69" t="s">
        <v>15397</v>
      </c>
      <c r="R7" s="9" t="s">
        <v>15441</v>
      </c>
      <c r="S7" s="9" t="s">
        <v>15447</v>
      </c>
      <c r="T7" s="9">
        <v>8.0000000000000002E-3</v>
      </c>
      <c r="U7" s="9">
        <v>1.0999999999999999E-2</v>
      </c>
      <c r="V7" s="9">
        <v>1.538</v>
      </c>
      <c r="W7" s="9">
        <v>10</v>
      </c>
      <c r="X7" s="9">
        <v>10</v>
      </c>
      <c r="Y7" s="63">
        <v>-7.4989830058166396E-3</v>
      </c>
      <c r="Z7" s="63">
        <v>-1.9451825537639501E-2</v>
      </c>
      <c r="AA7" s="63">
        <v>-9.2600000000004498E-2</v>
      </c>
      <c r="AB7" s="62"/>
      <c r="AC7" s="62"/>
      <c r="AD7" s="80"/>
    </row>
    <row r="8" spans="1:30" ht="15" customHeight="1">
      <c r="A8" s="69" t="s">
        <v>15397</v>
      </c>
      <c r="B8" s="9" t="s">
        <v>15443</v>
      </c>
      <c r="C8" s="9" t="s">
        <v>15460</v>
      </c>
      <c r="D8" s="9">
        <v>1.4E-2</v>
      </c>
      <c r="E8" s="9">
        <v>2.3E-2</v>
      </c>
      <c r="F8" s="9">
        <v>1.2270000000000001</v>
      </c>
      <c r="G8" s="9">
        <v>10</v>
      </c>
      <c r="H8" s="9">
        <v>20</v>
      </c>
      <c r="I8" s="63">
        <v>-3.9228443423925299E-2</v>
      </c>
      <c r="J8" s="63">
        <v>1.2023478778861899E-2</v>
      </c>
      <c r="K8" s="63">
        <v>-0.10550000000000601</v>
      </c>
      <c r="L8" s="62"/>
      <c r="M8" s="62"/>
      <c r="N8" s="80"/>
      <c r="O8" s="62"/>
      <c r="P8" s="9"/>
      <c r="Q8" s="71" t="s">
        <v>15397</v>
      </c>
      <c r="R8" s="72" t="s">
        <v>15441</v>
      </c>
      <c r="S8" s="72" t="s">
        <v>15447</v>
      </c>
      <c r="T8" s="72">
        <v>7.0000000000000001E-3</v>
      </c>
      <c r="U8" s="72">
        <v>0.01</v>
      </c>
      <c r="V8" s="72">
        <v>1.538</v>
      </c>
      <c r="W8" s="72">
        <v>10</v>
      </c>
      <c r="X8" s="72">
        <v>10</v>
      </c>
      <c r="Y8" s="73">
        <v>-7.5474656299508299E-3</v>
      </c>
      <c r="Z8" s="73">
        <v>-1.8738355624060399E-2</v>
      </c>
      <c r="AA8" s="73">
        <v>-8.7299999999999003E-2</v>
      </c>
      <c r="AB8" s="81"/>
      <c r="AC8" s="81"/>
      <c r="AD8" s="82"/>
    </row>
    <row r="9" spans="1:30" ht="15" customHeight="1">
      <c r="A9" s="69" t="s">
        <v>15397</v>
      </c>
      <c r="B9" s="9" t="s">
        <v>15443</v>
      </c>
      <c r="C9" s="9" t="s">
        <v>15460</v>
      </c>
      <c r="D9" s="9">
        <v>1.4E-2</v>
      </c>
      <c r="E9" s="9">
        <v>2.1999999999999999E-2</v>
      </c>
      <c r="F9" s="9">
        <v>1.238</v>
      </c>
      <c r="G9" s="9">
        <v>10</v>
      </c>
      <c r="H9" s="9">
        <v>20</v>
      </c>
      <c r="I9" s="63">
        <v>-3.9733297780365398E-2</v>
      </c>
      <c r="J9" s="63">
        <v>1.0919534618950301E-2</v>
      </c>
      <c r="K9" s="63">
        <v>-0.118499999999997</v>
      </c>
      <c r="L9" s="62"/>
      <c r="M9" s="62"/>
      <c r="N9" s="80"/>
      <c r="O9" s="62"/>
      <c r="P9" s="9"/>
      <c r="Q9" s="9"/>
      <c r="R9" s="9"/>
      <c r="S9" s="9"/>
      <c r="T9" s="9">
        <f>AVERAGE(T6:T8)</f>
        <v>8.0000000000000002E-3</v>
      </c>
      <c r="U9" s="9">
        <f t="shared" ref="U9:AA9" si="2">AVERAGE(U6:U8)</f>
        <v>1.1000000000000001E-2</v>
      </c>
      <c r="V9" s="9">
        <f t="shared" si="2"/>
        <v>1.538</v>
      </c>
      <c r="W9" s="9">
        <f t="shared" si="2"/>
        <v>10.666666666666666</v>
      </c>
      <c r="X9" s="9">
        <f t="shared" si="2"/>
        <v>10</v>
      </c>
      <c r="Y9" s="9">
        <f t="shared" si="2"/>
        <v>-7.7679545919250867E-3</v>
      </c>
      <c r="Z9" s="9">
        <f t="shared" si="2"/>
        <v>-1.8488790262917901E-2</v>
      </c>
      <c r="AA9" s="9">
        <f t="shared" si="2"/>
        <v>-9.0533333333335506E-2</v>
      </c>
      <c r="AB9" s="62"/>
      <c r="AC9" s="62"/>
    </row>
    <row r="10" spans="1:30" ht="15" customHeight="1">
      <c r="A10" s="71" t="s">
        <v>15397</v>
      </c>
      <c r="B10" s="72" t="s">
        <v>15443</v>
      </c>
      <c r="C10" s="72" t="s">
        <v>15460</v>
      </c>
      <c r="D10" s="72">
        <v>1.4E-2</v>
      </c>
      <c r="E10" s="72">
        <v>2.3E-2</v>
      </c>
      <c r="F10" s="72">
        <v>1.2410000000000001</v>
      </c>
      <c r="G10" s="72">
        <v>10</v>
      </c>
      <c r="H10" s="72">
        <v>20</v>
      </c>
      <c r="I10" s="73">
        <v>-4.04085920134706E-2</v>
      </c>
      <c r="J10" s="73">
        <v>1.07591076861252E-2</v>
      </c>
      <c r="K10" s="73">
        <v>-0.12530000000000999</v>
      </c>
      <c r="L10" s="81"/>
      <c r="M10" s="81"/>
      <c r="N10" s="82"/>
      <c r="P10" s="9"/>
      <c r="Q10" s="9"/>
      <c r="R10" s="9"/>
      <c r="S10" s="9"/>
      <c r="T10" s="9"/>
      <c r="U10" s="9"/>
      <c r="V10" s="9"/>
      <c r="W10" s="9"/>
      <c r="X10" s="63"/>
      <c r="Y10" s="63"/>
      <c r="Z10" s="63"/>
      <c r="AA10" s="62"/>
      <c r="AB10" s="62"/>
      <c r="AC10" s="62"/>
    </row>
    <row r="11" spans="1:30" ht="15" customHeight="1">
      <c r="D11">
        <f>AVERAGE(D6:D10)</f>
        <v>1.34E-2</v>
      </c>
      <c r="E11">
        <f t="shared" ref="E11:K11" si="3">AVERAGE(E6:E10)</f>
        <v>2.1999999999999999E-2</v>
      </c>
      <c r="F11">
        <f t="shared" si="3"/>
        <v>1.2302</v>
      </c>
      <c r="G11">
        <f t="shared" si="3"/>
        <v>10</v>
      </c>
      <c r="H11">
        <f t="shared" si="3"/>
        <v>20.399999999999999</v>
      </c>
      <c r="I11">
        <f t="shared" si="3"/>
        <v>-3.8913265053791279E-2</v>
      </c>
      <c r="J11">
        <f t="shared" si="3"/>
        <v>1.1547966650135221E-2</v>
      </c>
      <c r="K11">
        <f t="shared" si="3"/>
        <v>-0.10984000000000531</v>
      </c>
      <c r="P11" s="9"/>
      <c r="Q11" s="9"/>
      <c r="R11" s="9"/>
      <c r="S11" s="9"/>
      <c r="T11" s="9"/>
      <c r="U11" s="9"/>
      <c r="V11" s="9"/>
      <c r="W11" s="9"/>
      <c r="X11" s="63"/>
      <c r="Y11" s="63"/>
      <c r="Z11" s="63"/>
      <c r="AA11" s="62"/>
      <c r="AB11" s="62"/>
      <c r="AC11" s="62"/>
    </row>
    <row r="12" spans="1:30" ht="15" customHeight="1">
      <c r="P12" s="9"/>
      <c r="Q12" s="9"/>
      <c r="R12" s="9"/>
      <c r="S12" s="9"/>
      <c r="T12" s="9"/>
      <c r="U12" s="9"/>
      <c r="V12" s="9"/>
      <c r="W12" s="9"/>
      <c r="X12" s="63"/>
      <c r="Y12" s="63"/>
      <c r="Z12" s="63"/>
      <c r="AA12" s="62"/>
      <c r="AB12" s="62"/>
      <c r="AC12" s="62"/>
    </row>
    <row r="13" spans="1:30" ht="15" customHeight="1">
      <c r="O13" s="47"/>
      <c r="P13" s="9"/>
      <c r="Q13" s="9"/>
      <c r="R13" s="9"/>
      <c r="S13" s="9"/>
      <c r="T13" s="9"/>
      <c r="U13" s="9"/>
      <c r="V13" s="9"/>
      <c r="W13" s="9"/>
      <c r="X13" s="63"/>
      <c r="Y13" s="63"/>
      <c r="Z13" s="63"/>
      <c r="AA13" s="62"/>
      <c r="AB13" s="62"/>
      <c r="AC13" s="62"/>
    </row>
    <row r="14" spans="1:30" ht="15" customHeight="1">
      <c r="A14" s="107" t="s">
        <v>15338</v>
      </c>
      <c r="B14" s="65" t="s">
        <v>15441</v>
      </c>
      <c r="C14" s="65" t="s">
        <v>15447</v>
      </c>
      <c r="D14" s="65">
        <v>0.27200000000000002</v>
      </c>
      <c r="E14" s="65">
        <v>0.875</v>
      </c>
      <c r="F14" s="65">
        <v>3.1309999999999998</v>
      </c>
      <c r="G14" s="65">
        <v>27</v>
      </c>
      <c r="H14" s="65">
        <v>6</v>
      </c>
      <c r="I14" s="66">
        <v>0.103183196501306</v>
      </c>
      <c r="J14" s="66">
        <v>0.17953283193771299</v>
      </c>
      <c r="K14" s="66">
        <v>-1.99419999999998</v>
      </c>
      <c r="L14" s="67">
        <v>4.369643534771761E-4</v>
      </c>
      <c r="M14" s="67">
        <v>3.6018013978525582E-3</v>
      </c>
      <c r="N14" s="83">
        <v>8.5391063333331019E-2</v>
      </c>
      <c r="O14" s="47"/>
      <c r="P14" s="9"/>
      <c r="Q14" s="9"/>
      <c r="R14" s="9"/>
      <c r="S14" s="9"/>
      <c r="T14" s="9"/>
      <c r="U14" s="9"/>
      <c r="V14" s="9"/>
      <c r="W14" s="9"/>
      <c r="X14" s="63"/>
      <c r="Y14" s="63"/>
      <c r="Z14" s="63"/>
      <c r="AA14" s="62"/>
      <c r="AB14" s="62"/>
      <c r="AC14" s="62"/>
    </row>
    <row r="15" spans="1:30" ht="15" customHeight="1">
      <c r="A15" s="108" t="s">
        <v>15338</v>
      </c>
      <c r="B15" s="9" t="s">
        <v>15441</v>
      </c>
      <c r="C15" s="9" t="s">
        <v>15447</v>
      </c>
      <c r="D15" s="9">
        <v>0.40200000000000002</v>
      </c>
      <c r="E15" s="9">
        <v>1.976</v>
      </c>
      <c r="F15" s="9">
        <v>2.99</v>
      </c>
      <c r="G15" s="9">
        <v>10</v>
      </c>
      <c r="H15" s="9">
        <v>7</v>
      </c>
      <c r="I15" s="63">
        <v>0.12002390274218699</v>
      </c>
      <c r="J15" s="63">
        <v>0.24514939883780101</v>
      </c>
      <c r="K15" s="63">
        <v>-1.4504999999999799</v>
      </c>
      <c r="L15" s="47"/>
      <c r="M15" s="47"/>
      <c r="N15" s="70"/>
      <c r="O15" s="47"/>
      <c r="P15" s="9"/>
      <c r="Q15" s="9"/>
      <c r="R15" s="9"/>
      <c r="S15" s="9"/>
      <c r="T15" s="9"/>
      <c r="U15" s="9"/>
      <c r="V15" s="9"/>
      <c r="W15" s="9"/>
      <c r="X15" s="63"/>
      <c r="Y15" s="63"/>
      <c r="Z15" s="63"/>
      <c r="AA15" s="62"/>
      <c r="AB15" s="62"/>
      <c r="AC15" s="62"/>
    </row>
    <row r="16" spans="1:30" ht="15" customHeight="1">
      <c r="A16" s="109" t="s">
        <v>15338</v>
      </c>
      <c r="B16" s="72" t="s">
        <v>15441</v>
      </c>
      <c r="C16" s="72" t="s">
        <v>15447</v>
      </c>
      <c r="D16" s="72">
        <v>0.35399999999999998</v>
      </c>
      <c r="E16" s="72">
        <v>1.7490000000000001</v>
      </c>
      <c r="F16" s="72">
        <v>3.2450000000000001</v>
      </c>
      <c r="G16" s="72">
        <v>10</v>
      </c>
      <c r="H16" s="72">
        <v>6</v>
      </c>
      <c r="I16" s="73">
        <v>0.144742439470575</v>
      </c>
      <c r="J16" s="73">
        <v>0.29938279393741701</v>
      </c>
      <c r="K16" s="73">
        <v>-1.5367</v>
      </c>
      <c r="L16" s="74"/>
      <c r="M16" s="74"/>
      <c r="N16" s="75"/>
      <c r="O16" s="47"/>
      <c r="Q16" s="9"/>
      <c r="R16" s="9"/>
      <c r="S16" s="9"/>
      <c r="T16" s="9"/>
      <c r="U16" s="9"/>
      <c r="V16" s="9"/>
      <c r="W16" s="9"/>
      <c r="X16" s="63"/>
      <c r="Y16" s="63"/>
      <c r="Z16" s="63"/>
      <c r="AA16" s="62"/>
      <c r="AB16" s="62"/>
      <c r="AC16" s="62"/>
    </row>
    <row r="17" spans="1:30" ht="15" customHeight="1">
      <c r="A17" s="9"/>
      <c r="B17" s="9"/>
      <c r="C17" s="9"/>
      <c r="D17" s="9">
        <f>AVERAGE(D14:D16)</f>
        <v>0.34266666666666667</v>
      </c>
      <c r="E17" s="9">
        <f t="shared" ref="E17:K17" si="4">AVERAGE(E14:E16)</f>
        <v>1.5333333333333332</v>
      </c>
      <c r="F17" s="9">
        <f t="shared" si="4"/>
        <v>3.1219999999999999</v>
      </c>
      <c r="G17" s="9">
        <f t="shared" si="4"/>
        <v>15.666666666666666</v>
      </c>
      <c r="H17" s="9">
        <f t="shared" si="4"/>
        <v>6.333333333333333</v>
      </c>
      <c r="I17" s="9">
        <f t="shared" si="4"/>
        <v>0.12264984623802266</v>
      </c>
      <c r="J17" s="9">
        <f t="shared" si="4"/>
        <v>0.24135500823764366</v>
      </c>
      <c r="K17" s="9">
        <f t="shared" si="4"/>
        <v>-1.6604666666666532</v>
      </c>
      <c r="L17" s="47"/>
      <c r="M17" s="47"/>
      <c r="N17" s="47"/>
      <c r="O17" s="47"/>
    </row>
    <row r="18" spans="1:30" ht="15" customHeight="1">
      <c r="A18" s="9"/>
      <c r="B18" s="9"/>
      <c r="C18" s="9"/>
      <c r="D18" s="9"/>
      <c r="E18" s="9"/>
      <c r="F18" s="9"/>
      <c r="G18" s="9"/>
      <c r="H18" s="9"/>
      <c r="L18" s="47"/>
      <c r="M18" s="47"/>
      <c r="N18" s="47"/>
      <c r="O18" s="47"/>
    </row>
    <row r="19" spans="1:30" ht="15" customHeight="1">
      <c r="A19" s="107" t="s">
        <v>15391</v>
      </c>
      <c r="B19" s="65" t="s">
        <v>15441</v>
      </c>
      <c r="C19" s="65" t="s">
        <v>15446</v>
      </c>
      <c r="D19" s="65">
        <v>0.69</v>
      </c>
      <c r="E19" s="65">
        <v>0.627</v>
      </c>
      <c r="F19" s="65">
        <v>2.0299999999999998</v>
      </c>
      <c r="G19" s="65">
        <v>10</v>
      </c>
      <c r="H19" s="65">
        <v>9</v>
      </c>
      <c r="I19" s="66">
        <v>0.97511564844209397</v>
      </c>
      <c r="J19" s="66">
        <v>0.31969258481855301</v>
      </c>
      <c r="K19" s="66">
        <v>-0.46860000000000901</v>
      </c>
      <c r="L19" s="84">
        <v>5.1704317685981493E-2</v>
      </c>
      <c r="M19" s="67">
        <v>3.1878560000001818E-2</v>
      </c>
      <c r="N19" s="77">
        <v>3.1878560000001818E-2</v>
      </c>
      <c r="O19" s="57"/>
      <c r="Q19" s="107" t="s">
        <v>15391</v>
      </c>
      <c r="R19" s="65" t="s">
        <v>15441</v>
      </c>
      <c r="S19" s="65" t="s">
        <v>15447</v>
      </c>
      <c r="T19" s="65">
        <v>0.95399999999999996</v>
      </c>
      <c r="U19" s="65">
        <v>1.419</v>
      </c>
      <c r="V19" s="65">
        <v>2.0880000000000001</v>
      </c>
      <c r="W19" s="65">
        <v>10</v>
      </c>
      <c r="X19" s="65">
        <v>6</v>
      </c>
      <c r="Y19" s="66">
        <v>0.18595209194004</v>
      </c>
      <c r="Z19" s="66">
        <v>-0.28949276049192602</v>
      </c>
      <c r="AA19" s="66">
        <v>0.72200000000000797</v>
      </c>
      <c r="AB19" s="67">
        <v>4.1018625381841201E-3</v>
      </c>
      <c r="AC19" s="67">
        <v>2.4024380193789566E-3</v>
      </c>
      <c r="AD19" s="83">
        <v>5.5720613000003527E-2</v>
      </c>
    </row>
    <row r="20" spans="1:30" ht="15" customHeight="1">
      <c r="A20" s="108" t="s">
        <v>15391</v>
      </c>
      <c r="B20" s="9" t="s">
        <v>15441</v>
      </c>
      <c r="C20" s="9" t="s">
        <v>15446</v>
      </c>
      <c r="D20" s="9">
        <v>0.68400000000000005</v>
      </c>
      <c r="E20" s="9">
        <v>0.54500000000000004</v>
      </c>
      <c r="F20" s="9">
        <v>1.891</v>
      </c>
      <c r="G20" s="9">
        <v>10</v>
      </c>
      <c r="H20" s="9">
        <v>10</v>
      </c>
      <c r="I20" s="63">
        <v>0.92029856486469896</v>
      </c>
      <c r="J20" s="63">
        <v>0.34945876478364202</v>
      </c>
      <c r="K20" s="63">
        <v>-0.37900000000001899</v>
      </c>
      <c r="L20" s="47"/>
      <c r="M20" s="57" t="s">
        <v>15527</v>
      </c>
      <c r="N20" s="85" t="s">
        <v>15527</v>
      </c>
      <c r="O20" s="57"/>
      <c r="Q20" s="108" t="s">
        <v>15391</v>
      </c>
      <c r="R20" s="9" t="s">
        <v>15441</v>
      </c>
      <c r="S20" s="9" t="s">
        <v>15447</v>
      </c>
      <c r="T20" s="9">
        <v>0.80500000000000005</v>
      </c>
      <c r="U20" s="9">
        <v>1.1220000000000001</v>
      </c>
      <c r="V20" s="9">
        <v>2.0859999999999999</v>
      </c>
      <c r="W20" s="9">
        <v>10</v>
      </c>
      <c r="X20" s="9">
        <v>6</v>
      </c>
      <c r="Y20" s="63">
        <v>0.140207554866601</v>
      </c>
      <c r="Z20" s="63">
        <v>-0.17216439852089799</v>
      </c>
      <c r="AA20" s="63">
        <v>0.35249999999999199</v>
      </c>
      <c r="AB20" s="47"/>
      <c r="AC20" s="57" t="s">
        <v>15527</v>
      </c>
      <c r="AD20" s="85" t="s">
        <v>15527</v>
      </c>
    </row>
    <row r="21" spans="1:30" ht="15" customHeight="1">
      <c r="A21" s="108" t="s">
        <v>15391</v>
      </c>
      <c r="B21" s="9" t="s">
        <v>15441</v>
      </c>
      <c r="C21" s="9" t="s">
        <v>15446</v>
      </c>
      <c r="D21" s="9">
        <v>0.71099999999999997</v>
      </c>
      <c r="E21" s="9">
        <v>0.52500000000000002</v>
      </c>
      <c r="F21" s="9">
        <v>1.89</v>
      </c>
      <c r="G21" s="9">
        <v>10</v>
      </c>
      <c r="H21" s="9">
        <v>10</v>
      </c>
      <c r="I21" s="63">
        <v>0.79084313338037104</v>
      </c>
      <c r="J21" s="63">
        <v>0.31758197272713801</v>
      </c>
      <c r="K21" s="63">
        <v>-0.31820000000001902</v>
      </c>
      <c r="L21" s="47"/>
      <c r="M21" s="57" t="s">
        <v>15527</v>
      </c>
      <c r="N21" s="85" t="s">
        <v>15527</v>
      </c>
      <c r="O21" s="57"/>
      <c r="Q21" s="108" t="s">
        <v>15391</v>
      </c>
      <c r="R21" s="9" t="s">
        <v>15441</v>
      </c>
      <c r="S21" s="9" t="s">
        <v>15447</v>
      </c>
      <c r="T21" s="9">
        <v>0.80600000000000005</v>
      </c>
      <c r="U21" s="9">
        <v>1.0960000000000001</v>
      </c>
      <c r="V21" s="9">
        <v>2.085</v>
      </c>
      <c r="W21" s="9">
        <v>10</v>
      </c>
      <c r="X21" s="9">
        <v>6</v>
      </c>
      <c r="Y21" s="63">
        <v>0.25127351354093802</v>
      </c>
      <c r="Z21" s="63">
        <v>-0.232585890325998</v>
      </c>
      <c r="AA21" s="63">
        <v>0.41859999999999797</v>
      </c>
      <c r="AB21" s="47"/>
      <c r="AC21" s="57" t="s">
        <v>15527</v>
      </c>
      <c r="AD21" s="85" t="s">
        <v>15527</v>
      </c>
    </row>
    <row r="22" spans="1:30" ht="15" customHeight="1">
      <c r="A22" s="108" t="s">
        <v>15391</v>
      </c>
      <c r="B22" s="9" t="s">
        <v>15441</v>
      </c>
      <c r="C22" s="9" t="s">
        <v>15446</v>
      </c>
      <c r="D22" s="9">
        <v>0.76300000000000001</v>
      </c>
      <c r="E22" s="9">
        <v>0.65400000000000003</v>
      </c>
      <c r="F22" s="9">
        <v>1.889</v>
      </c>
      <c r="G22" s="9">
        <v>10</v>
      </c>
      <c r="H22" s="9">
        <v>10</v>
      </c>
      <c r="I22" s="63">
        <v>0.64913642376234604</v>
      </c>
      <c r="J22" s="63">
        <v>0.10843268436889</v>
      </c>
      <c r="K22" s="63">
        <v>-7.6999999999998195E-2</v>
      </c>
      <c r="L22" s="47"/>
      <c r="M22" s="57" t="s">
        <v>15527</v>
      </c>
      <c r="N22" s="85" t="s">
        <v>15527</v>
      </c>
      <c r="O22" s="57"/>
      <c r="Q22" s="108" t="s">
        <v>15391</v>
      </c>
      <c r="R22" s="9" t="s">
        <v>15441</v>
      </c>
      <c r="S22" s="9" t="s">
        <v>15447</v>
      </c>
      <c r="T22" s="9">
        <v>0.75600000000000001</v>
      </c>
      <c r="U22" s="9">
        <v>1.014</v>
      </c>
      <c r="V22" s="9">
        <v>2.0840000000000001</v>
      </c>
      <c r="W22" s="9">
        <v>10</v>
      </c>
      <c r="X22" s="9">
        <v>6</v>
      </c>
      <c r="Y22" s="63">
        <v>0.26472033634907</v>
      </c>
      <c r="Z22" s="63">
        <v>-0.171784785642183</v>
      </c>
      <c r="AA22" s="63">
        <v>0.28510000000000002</v>
      </c>
      <c r="AB22" s="47"/>
      <c r="AC22" s="57" t="s">
        <v>15527</v>
      </c>
      <c r="AD22" s="85" t="s">
        <v>15527</v>
      </c>
    </row>
    <row r="23" spans="1:30" ht="15" customHeight="1">
      <c r="A23" s="109" t="s">
        <v>15391</v>
      </c>
      <c r="B23" s="72" t="s">
        <v>15441</v>
      </c>
      <c r="C23" s="72" t="s">
        <v>15446</v>
      </c>
      <c r="D23" s="72">
        <v>0.68899999999999995</v>
      </c>
      <c r="E23" s="72">
        <v>0.51</v>
      </c>
      <c r="F23" s="72">
        <v>1.897</v>
      </c>
      <c r="G23" s="72">
        <v>10</v>
      </c>
      <c r="H23" s="72">
        <v>9</v>
      </c>
      <c r="I23" s="73">
        <v>0.41044078276528401</v>
      </c>
      <c r="J23" s="73">
        <v>8.5375702376395204E-2</v>
      </c>
      <c r="K23" s="73">
        <v>-7.8200000000009595E-2</v>
      </c>
      <c r="L23" s="74"/>
      <c r="M23" s="86" t="s">
        <v>15527</v>
      </c>
      <c r="N23" s="87" t="s">
        <v>15527</v>
      </c>
      <c r="O23" s="62"/>
      <c r="Q23" s="109" t="s">
        <v>15391</v>
      </c>
      <c r="R23" s="72" t="s">
        <v>15441</v>
      </c>
      <c r="S23" s="72" t="s">
        <v>15447</v>
      </c>
      <c r="T23" s="72">
        <v>0.72199999999999998</v>
      </c>
      <c r="U23" s="72">
        <v>0.95799999999999996</v>
      </c>
      <c r="V23" s="72">
        <v>2.0840000000000001</v>
      </c>
      <c r="W23" s="72">
        <v>10</v>
      </c>
      <c r="X23" s="72">
        <v>6</v>
      </c>
      <c r="Y23" s="73">
        <v>0.29900803090610401</v>
      </c>
      <c r="Z23" s="73">
        <v>-0.225018521896445</v>
      </c>
      <c r="AA23" s="73">
        <v>7.1499999999986102E-2</v>
      </c>
      <c r="AB23" s="74"/>
      <c r="AC23" s="86" t="s">
        <v>15527</v>
      </c>
      <c r="AD23" s="87" t="s">
        <v>15527</v>
      </c>
    </row>
    <row r="24" spans="1:30" ht="15" customHeight="1">
      <c r="A24" s="69"/>
      <c r="B24" s="9"/>
      <c r="C24" s="9"/>
      <c r="D24" s="9">
        <f>AVERAGE(D19:D23)</f>
        <v>0.70740000000000003</v>
      </c>
      <c r="E24" s="9">
        <f t="shared" ref="E24:K24" si="5">AVERAGE(E19:E23)</f>
        <v>0.57219999999999993</v>
      </c>
      <c r="F24" s="9">
        <f t="shared" si="5"/>
        <v>1.9194</v>
      </c>
      <c r="G24" s="9">
        <f t="shared" si="5"/>
        <v>10</v>
      </c>
      <c r="H24" s="9">
        <f t="shared" si="5"/>
        <v>9.6</v>
      </c>
      <c r="I24" s="9">
        <f t="shared" si="5"/>
        <v>0.74916691064295882</v>
      </c>
      <c r="J24" s="9">
        <f t="shared" si="5"/>
        <v>0.23610834181492368</v>
      </c>
      <c r="K24" s="9">
        <f t="shared" si="5"/>
        <v>-0.26420000000001098</v>
      </c>
      <c r="L24" s="47"/>
      <c r="M24" s="57"/>
      <c r="N24" s="85"/>
      <c r="O24" s="62"/>
      <c r="Q24" s="69"/>
      <c r="R24" s="9"/>
      <c r="S24" s="9"/>
      <c r="T24" s="9">
        <f>AVERAGE(T19:T23)</f>
        <v>0.80859999999999987</v>
      </c>
      <c r="U24" s="9">
        <f t="shared" ref="U24:AA24" si="6">AVERAGE(U19:U23)</f>
        <v>1.1218000000000001</v>
      </c>
      <c r="V24" s="9">
        <f t="shared" si="6"/>
        <v>2.0853999999999999</v>
      </c>
      <c r="W24" s="9">
        <f t="shared" si="6"/>
        <v>10</v>
      </c>
      <c r="X24" s="9">
        <f t="shared" si="6"/>
        <v>6</v>
      </c>
      <c r="Y24" s="9">
        <f t="shared" si="6"/>
        <v>0.22823230552055063</v>
      </c>
      <c r="Z24" s="9">
        <f t="shared" si="6"/>
        <v>-0.21820927137549001</v>
      </c>
      <c r="AA24" s="9">
        <f t="shared" si="6"/>
        <v>0.36993999999999677</v>
      </c>
      <c r="AB24" s="47"/>
      <c r="AC24" s="57"/>
      <c r="AD24" s="85"/>
    </row>
    <row r="25" spans="1:30" ht="15" customHeight="1">
      <c r="A25" s="64" t="s">
        <v>15329</v>
      </c>
      <c r="B25" s="65" t="s">
        <v>15441</v>
      </c>
      <c r="C25" s="65" t="s">
        <v>15446</v>
      </c>
      <c r="D25" s="65">
        <v>6.0000000000000001E-3</v>
      </c>
      <c r="E25" s="65">
        <v>1.2999999999999999E-2</v>
      </c>
      <c r="F25" s="65">
        <v>1.8819999999999999</v>
      </c>
      <c r="G25" s="65">
        <v>10</v>
      </c>
      <c r="H25" s="65">
        <v>11</v>
      </c>
      <c r="I25" s="66">
        <v>-4.1197280105930503E-3</v>
      </c>
      <c r="J25" s="66">
        <v>-9.4133070959571494E-3</v>
      </c>
      <c r="K25" s="66">
        <v>-3.1500000000008299E-2</v>
      </c>
      <c r="L25" s="78">
        <v>1.9762148873737022E-6</v>
      </c>
      <c r="M25" s="78">
        <v>2.6517601993450345E-6</v>
      </c>
      <c r="N25" s="79">
        <v>7.9293333333329934E-5</v>
      </c>
      <c r="O25" s="62"/>
      <c r="Q25" s="64" t="s">
        <v>15329</v>
      </c>
      <c r="R25" s="65" t="s">
        <v>15441</v>
      </c>
      <c r="S25" s="65" t="s">
        <v>15448</v>
      </c>
      <c r="T25" s="65">
        <v>1.2999999999999999E-2</v>
      </c>
      <c r="U25" s="65">
        <v>2.8000000000000001E-2</v>
      </c>
      <c r="V25" s="65">
        <v>1.4419999999999999</v>
      </c>
      <c r="W25" s="65">
        <v>10</v>
      </c>
      <c r="X25" s="65">
        <v>25</v>
      </c>
      <c r="Y25" s="66">
        <v>-1.9876655650013501E-2</v>
      </c>
      <c r="Z25" s="66">
        <v>-1.48725292127942E-2</v>
      </c>
      <c r="AA25" s="66">
        <v>-1.4600000000001501E-2</v>
      </c>
      <c r="AB25" s="78">
        <v>2.4829905267638741E-6</v>
      </c>
      <c r="AC25" s="78">
        <v>2.0226186539515972E-6</v>
      </c>
      <c r="AD25" s="79">
        <v>2.8763333333333086E-5</v>
      </c>
    </row>
    <row r="26" spans="1:30" ht="15" customHeight="1">
      <c r="A26" s="69" t="s">
        <v>15329</v>
      </c>
      <c r="B26" s="9" t="s">
        <v>15441</v>
      </c>
      <c r="C26" s="9" t="s">
        <v>15446</v>
      </c>
      <c r="D26" s="9">
        <v>6.0000000000000001E-3</v>
      </c>
      <c r="E26" s="9">
        <v>1.2999999999999999E-2</v>
      </c>
      <c r="F26" s="9">
        <v>1.8819999999999999</v>
      </c>
      <c r="G26" s="9">
        <v>10</v>
      </c>
      <c r="H26" s="9">
        <v>11</v>
      </c>
      <c r="I26" s="63">
        <v>-3.40624536128884E-3</v>
      </c>
      <c r="J26" s="63">
        <v>-1.1587783229452401E-2</v>
      </c>
      <c r="K26" s="63">
        <v>-2.68999999999977E-2</v>
      </c>
      <c r="L26" s="62"/>
      <c r="M26" s="62"/>
      <c r="N26" s="80"/>
      <c r="O26" s="62"/>
      <c r="Q26" s="69" t="s">
        <v>15329</v>
      </c>
      <c r="R26" s="9" t="s">
        <v>15441</v>
      </c>
      <c r="S26" s="9" t="s">
        <v>15448</v>
      </c>
      <c r="T26" s="9">
        <v>1.4999999999999999E-2</v>
      </c>
      <c r="U26" s="9">
        <v>3.2000000000000001E-2</v>
      </c>
      <c r="V26" s="9">
        <v>1.452</v>
      </c>
      <c r="W26" s="9">
        <v>10</v>
      </c>
      <c r="X26" s="9">
        <v>25</v>
      </c>
      <c r="Y26" s="63">
        <v>-2.0720328325557601E-2</v>
      </c>
      <c r="Z26" s="63">
        <v>-1.44239186008519E-2</v>
      </c>
      <c r="AA26" s="63">
        <v>-8.6000000000012698E-3</v>
      </c>
      <c r="AB26" s="62"/>
      <c r="AC26" s="62"/>
      <c r="AD26" s="80"/>
    </row>
    <row r="27" spans="1:30" ht="15" customHeight="1">
      <c r="A27" s="71" t="s">
        <v>15329</v>
      </c>
      <c r="B27" s="72" t="s">
        <v>15441</v>
      </c>
      <c r="C27" s="72" t="s">
        <v>15446</v>
      </c>
      <c r="D27" s="72">
        <v>6.0000000000000001E-3</v>
      </c>
      <c r="E27" s="72">
        <v>1.2999999999999999E-2</v>
      </c>
      <c r="F27" s="72">
        <v>1.883</v>
      </c>
      <c r="G27" s="72">
        <v>10</v>
      </c>
      <c r="H27" s="72">
        <v>11</v>
      </c>
      <c r="I27" s="73">
        <v>-6.1181621664471199E-3</v>
      </c>
      <c r="J27" s="73">
        <v>-1.2600311996588899E-2</v>
      </c>
      <c r="K27" s="73">
        <v>-1.4300000000005799E-2</v>
      </c>
      <c r="L27" s="81"/>
      <c r="M27" s="81"/>
      <c r="N27" s="82"/>
      <c r="O27" s="62"/>
      <c r="Q27" s="71" t="s">
        <v>15329</v>
      </c>
      <c r="R27" s="72" t="s">
        <v>15441</v>
      </c>
      <c r="S27" s="72" t="s">
        <v>15448</v>
      </c>
      <c r="T27" s="72">
        <v>1.6E-2</v>
      </c>
      <c r="U27" s="72">
        <v>3.5999999999999997E-2</v>
      </c>
      <c r="V27" s="72">
        <v>1.304</v>
      </c>
      <c r="W27" s="72">
        <v>10</v>
      </c>
      <c r="X27" s="72">
        <v>25</v>
      </c>
      <c r="Y27" s="73">
        <v>-2.29281562045054E-2</v>
      </c>
      <c r="Z27" s="73">
        <v>-1.2215752457659801E-2</v>
      </c>
      <c r="AA27" s="73">
        <v>-3.9000000000015702E-3</v>
      </c>
      <c r="AB27" s="81"/>
      <c r="AC27" s="81"/>
      <c r="AD27" s="82"/>
    </row>
    <row r="28" spans="1:30" ht="15" customHeight="1">
      <c r="A28" s="69"/>
      <c r="B28" s="9"/>
      <c r="C28" s="9"/>
      <c r="D28" s="9">
        <f>AVERAGE(D25:D27)</f>
        <v>6.000000000000001E-3</v>
      </c>
      <c r="E28" s="9">
        <f t="shared" ref="E28:K28" si="7">AVERAGE(E25:E27)</f>
        <v>1.2999999999999999E-2</v>
      </c>
      <c r="F28" s="9">
        <f t="shared" si="7"/>
        <v>1.8823333333333334</v>
      </c>
      <c r="G28" s="9">
        <f t="shared" si="7"/>
        <v>10</v>
      </c>
      <c r="H28" s="9">
        <f t="shared" si="7"/>
        <v>11</v>
      </c>
      <c r="I28" s="9">
        <f t="shared" si="7"/>
        <v>-4.5480451794430036E-3</v>
      </c>
      <c r="J28" s="9">
        <f t="shared" si="7"/>
        <v>-1.120046744066615E-2</v>
      </c>
      <c r="K28" s="9">
        <f t="shared" si="7"/>
        <v>-2.4233333333337267E-2</v>
      </c>
      <c r="L28" s="62"/>
      <c r="M28" s="62"/>
      <c r="N28" s="80"/>
      <c r="O28" s="62"/>
      <c r="Q28" s="69"/>
      <c r="R28" s="9"/>
      <c r="S28" s="9"/>
      <c r="T28" s="9">
        <f>AVERAGE(T25:T27)</f>
        <v>1.4666666666666666E-2</v>
      </c>
      <c r="U28" s="9">
        <f t="shared" ref="U28:AA28" si="8">AVERAGE(U25:U27)</f>
        <v>3.2000000000000001E-2</v>
      </c>
      <c r="V28" s="9">
        <f t="shared" si="8"/>
        <v>1.3993333333333335</v>
      </c>
      <c r="W28" s="9">
        <f t="shared" si="8"/>
        <v>10</v>
      </c>
      <c r="X28" s="9">
        <f t="shared" si="8"/>
        <v>25</v>
      </c>
      <c r="Y28" s="9">
        <f t="shared" si="8"/>
        <v>-2.1175046726692168E-2</v>
      </c>
      <c r="Z28" s="9">
        <f t="shared" si="8"/>
        <v>-1.38374000904353E-2</v>
      </c>
      <c r="AA28" s="9">
        <f t="shared" si="8"/>
        <v>-9.0333333333347792E-3</v>
      </c>
      <c r="AB28" s="62"/>
      <c r="AC28" s="62"/>
      <c r="AD28" s="80"/>
    </row>
    <row r="29" spans="1:30" ht="15" customHeight="1">
      <c r="A29" s="64" t="s">
        <v>15331</v>
      </c>
      <c r="B29" s="65" t="s">
        <v>15441</v>
      </c>
      <c r="C29" s="65" t="s">
        <v>15446</v>
      </c>
      <c r="D29" s="65">
        <v>2.8000000000000001E-2</v>
      </c>
      <c r="E29" s="65">
        <v>3.9E-2</v>
      </c>
      <c r="F29" s="65">
        <v>1.637</v>
      </c>
      <c r="G29" s="65">
        <v>41</v>
      </c>
      <c r="H29" s="65">
        <v>10</v>
      </c>
      <c r="I29" s="66">
        <v>6.1983592310667197E-2</v>
      </c>
      <c r="J29" s="66">
        <v>1.2127082278710901E-2</v>
      </c>
      <c r="K29" s="66">
        <v>-2.1000000000000799E-2</v>
      </c>
      <c r="L29" s="78">
        <v>3.5100436846311592E-5</v>
      </c>
      <c r="M29" s="78">
        <v>4.0934025411626028E-5</v>
      </c>
      <c r="N29" s="79">
        <v>6.0476333333335216E-4</v>
      </c>
      <c r="O29" s="62"/>
      <c r="Q29" s="64" t="s">
        <v>15331</v>
      </c>
      <c r="R29" s="65" t="s">
        <v>15441</v>
      </c>
      <c r="S29" s="65" t="s">
        <v>15448</v>
      </c>
      <c r="T29" s="65">
        <v>2.3E-2</v>
      </c>
      <c r="U29" s="65">
        <v>4.5999999999999999E-2</v>
      </c>
      <c r="V29" s="65">
        <v>1.165</v>
      </c>
      <c r="W29" s="65">
        <v>10</v>
      </c>
      <c r="X29" s="65">
        <v>24</v>
      </c>
      <c r="Y29" s="66">
        <v>4.6414389731848901E-2</v>
      </c>
      <c r="Z29" s="66">
        <v>-1.51375114760976E-2</v>
      </c>
      <c r="AA29" s="66">
        <v>-1.6199999999997799E-2</v>
      </c>
      <c r="AB29" s="78">
        <v>1.322241785535257E-5</v>
      </c>
      <c r="AC29" s="78">
        <v>4.2286886879763393E-7</v>
      </c>
      <c r="AD29" s="79">
        <v>2.4790000000038772E-5</v>
      </c>
    </row>
    <row r="30" spans="1:30" ht="15" customHeight="1">
      <c r="A30" s="69" t="s">
        <v>15331</v>
      </c>
      <c r="B30" s="9" t="s">
        <v>15441</v>
      </c>
      <c r="C30" s="9" t="s">
        <v>15446</v>
      </c>
      <c r="D30" s="9">
        <v>1.4999999999999999E-2</v>
      </c>
      <c r="E30" s="9">
        <v>1.9E-2</v>
      </c>
      <c r="F30" s="9">
        <v>1.6379999999999999</v>
      </c>
      <c r="G30" s="9">
        <v>10</v>
      </c>
      <c r="H30" s="9">
        <v>10</v>
      </c>
      <c r="I30" s="63">
        <v>5.1978936884823898E-2</v>
      </c>
      <c r="J30" s="63">
        <v>-6.08258383396082E-4</v>
      </c>
      <c r="K30" s="63">
        <v>1.38000000000034E-2</v>
      </c>
      <c r="L30" s="62"/>
      <c r="M30" s="62"/>
      <c r="N30" s="80"/>
      <c r="O30" s="62"/>
      <c r="Q30" s="69" t="s">
        <v>15331</v>
      </c>
      <c r="R30" s="9" t="s">
        <v>15441</v>
      </c>
      <c r="S30" s="9" t="s">
        <v>15448</v>
      </c>
      <c r="T30" s="9">
        <v>2.1999999999999999E-2</v>
      </c>
      <c r="U30" s="9">
        <v>4.2000000000000003E-2</v>
      </c>
      <c r="V30" s="9">
        <v>1.081</v>
      </c>
      <c r="W30" s="9">
        <v>10</v>
      </c>
      <c r="X30" s="9">
        <v>25</v>
      </c>
      <c r="Y30" s="63">
        <v>5.1440672350502002E-2</v>
      </c>
      <c r="Z30" s="63">
        <v>-1.4767442701351E-2</v>
      </c>
      <c r="AA30" s="63">
        <v>-6.9999999999907896E-3</v>
      </c>
      <c r="AB30" s="62"/>
      <c r="AC30" s="62"/>
      <c r="AD30" s="80"/>
    </row>
    <row r="31" spans="1:30" ht="15" customHeight="1">
      <c r="A31" s="71" t="s">
        <v>15331</v>
      </c>
      <c r="B31" s="72" t="s">
        <v>15441</v>
      </c>
      <c r="C31" s="72" t="s">
        <v>15446</v>
      </c>
      <c r="D31" s="72">
        <v>1.7000000000000001E-2</v>
      </c>
      <c r="E31" s="72">
        <v>2.4E-2</v>
      </c>
      <c r="F31" s="72">
        <v>1.639</v>
      </c>
      <c r="G31" s="72">
        <v>10</v>
      </c>
      <c r="H31" s="72">
        <v>10</v>
      </c>
      <c r="I31" s="73">
        <v>5.1482950047218E-2</v>
      </c>
      <c r="J31" s="73">
        <v>4.6821933533407996E-3</v>
      </c>
      <c r="K31" s="73">
        <v>2.6499999999998601E-2</v>
      </c>
      <c r="L31" s="81"/>
      <c r="M31" s="81"/>
      <c r="N31" s="82"/>
      <c r="O31" s="47"/>
      <c r="Q31" s="71" t="s">
        <v>15331</v>
      </c>
      <c r="R31" s="72" t="s">
        <v>15441</v>
      </c>
      <c r="S31" s="72" t="s">
        <v>15448</v>
      </c>
      <c r="T31" s="72">
        <v>2.1000000000000001E-2</v>
      </c>
      <c r="U31" s="72">
        <v>4.1000000000000002E-2</v>
      </c>
      <c r="V31" s="72">
        <v>1.0680000000000001</v>
      </c>
      <c r="W31" s="72">
        <v>10</v>
      </c>
      <c r="X31" s="72">
        <v>26</v>
      </c>
      <c r="Y31" s="73">
        <v>5.3479411514576199E-2</v>
      </c>
      <c r="Z31" s="73">
        <v>-1.38727116360166E-2</v>
      </c>
      <c r="AA31" s="73">
        <v>-8.2999999999913109E-3</v>
      </c>
      <c r="AB31" s="81"/>
      <c r="AC31" s="81"/>
      <c r="AD31" s="82"/>
    </row>
    <row r="32" spans="1:30" ht="15" customHeight="1">
      <c r="A32" s="9"/>
      <c r="B32" s="9"/>
      <c r="C32" s="9"/>
      <c r="D32" s="9">
        <f>AVERAGE(D29:D31)</f>
        <v>0.02</v>
      </c>
      <c r="E32" s="9">
        <f t="shared" ref="E32:K32" si="9">AVERAGE(E29:E31)</f>
        <v>2.7333333333333331E-2</v>
      </c>
      <c r="F32" s="9">
        <f t="shared" si="9"/>
        <v>1.6379999999999999</v>
      </c>
      <c r="G32" s="9">
        <f t="shared" si="9"/>
        <v>20.333333333333332</v>
      </c>
      <c r="H32" s="9">
        <f t="shared" si="9"/>
        <v>10</v>
      </c>
      <c r="I32" s="9">
        <f t="shared" si="9"/>
        <v>5.5148493080903034E-2</v>
      </c>
      <c r="J32" s="9">
        <f t="shared" si="9"/>
        <v>5.4003390828852062E-3</v>
      </c>
      <c r="K32" s="9">
        <f t="shared" si="9"/>
        <v>6.4333333333337342E-3</v>
      </c>
      <c r="L32" s="47"/>
      <c r="M32" s="47"/>
      <c r="N32" s="47"/>
      <c r="O32" s="47"/>
      <c r="T32">
        <f>AVERAGE(T29:T31)</f>
        <v>2.2000000000000002E-2</v>
      </c>
      <c r="U32">
        <f t="shared" ref="U32:AA32" si="10">AVERAGE(U29:U31)</f>
        <v>4.3000000000000003E-2</v>
      </c>
      <c r="V32">
        <f t="shared" si="10"/>
        <v>1.1046666666666667</v>
      </c>
      <c r="W32">
        <f t="shared" si="10"/>
        <v>10</v>
      </c>
      <c r="X32">
        <f t="shared" si="10"/>
        <v>25</v>
      </c>
      <c r="Y32">
        <f t="shared" si="10"/>
        <v>5.0444824532309029E-2</v>
      </c>
      <c r="Z32">
        <f t="shared" si="10"/>
        <v>-1.4592555271155069E-2</v>
      </c>
      <c r="AA32">
        <f t="shared" si="10"/>
        <v>-1.0499999999993301E-2</v>
      </c>
    </row>
    <row r="33" spans="1:45" ht="15" customHeight="1">
      <c r="A33" s="9"/>
      <c r="B33" s="9"/>
      <c r="C33" s="9"/>
      <c r="D33" s="9"/>
      <c r="E33" s="9"/>
      <c r="F33" s="9"/>
      <c r="G33" s="9"/>
      <c r="H33" s="9"/>
      <c r="L33" s="47"/>
      <c r="M33" s="47"/>
      <c r="N33" s="47"/>
      <c r="O33" s="47"/>
    </row>
    <row r="34" spans="1:45" ht="15" customHeight="1">
      <c r="A34" s="9"/>
      <c r="B34" s="9"/>
      <c r="C34" s="9"/>
      <c r="D34" s="9"/>
      <c r="E34" s="9"/>
      <c r="F34" s="9"/>
      <c r="G34" s="9"/>
      <c r="H34" s="9"/>
      <c r="L34" s="47"/>
      <c r="M34" s="47"/>
      <c r="N34" s="47"/>
      <c r="O34" s="47"/>
    </row>
    <row r="35" spans="1:45" ht="15" customHeight="1">
      <c r="A35" s="9"/>
      <c r="B35" s="9"/>
      <c r="C35" s="9"/>
      <c r="D35" s="9"/>
      <c r="E35" s="9"/>
      <c r="F35" s="9"/>
      <c r="G35" s="9"/>
      <c r="H35" s="9"/>
      <c r="L35" s="47"/>
      <c r="M35" s="47"/>
      <c r="N35" s="47"/>
      <c r="O35" s="47"/>
    </row>
    <row r="36" spans="1:45" ht="15" customHeight="1">
      <c r="A36" s="9"/>
      <c r="B36" s="9"/>
      <c r="C36" s="9"/>
      <c r="D36" s="9"/>
      <c r="E36" s="9"/>
      <c r="F36" s="9"/>
      <c r="G36" s="9"/>
      <c r="H36" s="9"/>
      <c r="L36" s="47"/>
      <c r="M36" s="47"/>
      <c r="N36" s="47"/>
      <c r="O36" s="47"/>
    </row>
    <row r="37" spans="1:45" ht="15" customHeight="1">
      <c r="A37" s="9"/>
      <c r="B37" s="9"/>
      <c r="C37" s="9"/>
      <c r="D37" s="9"/>
      <c r="E37" s="9"/>
      <c r="F37" s="9"/>
      <c r="G37" s="9"/>
      <c r="H37" s="9"/>
      <c r="L37" s="47"/>
      <c r="M37" s="47"/>
      <c r="N37" s="47"/>
      <c r="O37" s="47"/>
    </row>
    <row r="38" spans="1:45" ht="15" customHeight="1">
      <c r="A38" s="9"/>
      <c r="B38" s="9"/>
      <c r="C38" s="9"/>
      <c r="D38" s="9"/>
      <c r="E38" s="9"/>
      <c r="F38" s="9"/>
      <c r="G38" s="9"/>
      <c r="H38" s="9"/>
      <c r="L38" s="47"/>
      <c r="M38" s="47"/>
      <c r="N38" s="47"/>
      <c r="O38" s="47"/>
    </row>
    <row r="39" spans="1:45" ht="15" customHeight="1">
      <c r="A39" s="107" t="s">
        <v>15340</v>
      </c>
      <c r="B39" s="65" t="s">
        <v>15441</v>
      </c>
      <c r="C39" s="65" t="s">
        <v>15445</v>
      </c>
      <c r="D39" s="65">
        <v>0.93400000000000005</v>
      </c>
      <c r="E39" s="65">
        <v>1.194</v>
      </c>
      <c r="F39" s="65">
        <v>4.0090000000000003</v>
      </c>
      <c r="G39" s="65">
        <v>16</v>
      </c>
      <c r="H39" s="65">
        <v>5</v>
      </c>
      <c r="I39" s="66">
        <v>-0.80058798786686303</v>
      </c>
      <c r="J39" s="66">
        <v>-0.172417029833588</v>
      </c>
      <c r="K39" s="66">
        <v>-1.1034999999999999</v>
      </c>
      <c r="L39" s="76">
        <v>0.12400050626560867</v>
      </c>
      <c r="M39" s="67">
        <v>6.5032916481412061E-3</v>
      </c>
      <c r="N39" s="68">
        <v>0.37128034249999226</v>
      </c>
      <c r="O39" s="57"/>
      <c r="Q39" s="107" t="s">
        <v>15340</v>
      </c>
      <c r="R39" s="65" t="s">
        <v>15441</v>
      </c>
      <c r="S39" s="65" t="s">
        <v>15446</v>
      </c>
      <c r="T39" s="65">
        <v>0.192</v>
      </c>
      <c r="U39" s="65">
        <v>1.018</v>
      </c>
      <c r="V39" s="65">
        <v>2.5840000000000001</v>
      </c>
      <c r="W39" s="65">
        <v>21</v>
      </c>
      <c r="X39" s="65">
        <v>6</v>
      </c>
      <c r="Y39" s="66">
        <v>-9.5426010709742798E-2</v>
      </c>
      <c r="Z39" s="66">
        <v>-8.8097595666900105E-2</v>
      </c>
      <c r="AA39" s="66">
        <v>0.85259999999999503</v>
      </c>
      <c r="AB39" s="76">
        <v>8.0432700673390728E-2</v>
      </c>
      <c r="AC39" s="67">
        <v>3.5341377407519289E-2</v>
      </c>
      <c r="AD39" s="68">
        <v>0.85263771000000743</v>
      </c>
      <c r="AF39" s="107" t="s">
        <v>15340</v>
      </c>
      <c r="AG39" s="65" t="s">
        <v>15441</v>
      </c>
      <c r="AH39" s="65" t="s">
        <v>15447</v>
      </c>
      <c r="AI39" s="65">
        <v>0.81599999999999995</v>
      </c>
      <c r="AJ39" s="65">
        <v>1.4059999999999999</v>
      </c>
      <c r="AK39" s="65">
        <v>3.0510000000000002</v>
      </c>
      <c r="AL39" s="65">
        <v>22</v>
      </c>
      <c r="AM39" s="65">
        <v>8</v>
      </c>
      <c r="AN39" s="66">
        <v>-0.82917075137978802</v>
      </c>
      <c r="AO39" s="66">
        <v>-0.30335717010486701</v>
      </c>
      <c r="AP39" s="66">
        <v>0.67509999999998604</v>
      </c>
      <c r="AQ39" s="76">
        <v>0.1824936873134449</v>
      </c>
      <c r="AR39" s="67">
        <v>6.13794787613961E-3</v>
      </c>
      <c r="AS39" s="88">
        <v>1.4942754700000211</v>
      </c>
    </row>
    <row r="40" spans="1:45" ht="15" customHeight="1">
      <c r="A40" s="108" t="s">
        <v>15340</v>
      </c>
      <c r="B40" s="9" t="s">
        <v>15441</v>
      </c>
      <c r="C40" s="9" t="s">
        <v>15445</v>
      </c>
      <c r="D40" s="9">
        <v>1.214</v>
      </c>
      <c r="E40" s="9">
        <v>1.609</v>
      </c>
      <c r="F40" s="9">
        <v>3.7669999999999999</v>
      </c>
      <c r="G40" s="9">
        <v>10</v>
      </c>
      <c r="H40" s="9">
        <v>8</v>
      </c>
      <c r="I40" s="63">
        <v>-0.116053002484134</v>
      </c>
      <c r="J40" s="63">
        <v>-0.21491277440223699</v>
      </c>
      <c r="K40" s="63">
        <v>0.20609999999999201</v>
      </c>
      <c r="L40" s="57" t="s">
        <v>15527</v>
      </c>
      <c r="M40" s="57" t="s">
        <v>15527</v>
      </c>
      <c r="N40" s="85" t="s">
        <v>15527</v>
      </c>
      <c r="O40" s="57"/>
      <c r="Q40" s="108" t="s">
        <v>15340</v>
      </c>
      <c r="R40" s="9" t="s">
        <v>15441</v>
      </c>
      <c r="S40" s="9" t="s">
        <v>15446</v>
      </c>
      <c r="T40" s="9">
        <v>0.64</v>
      </c>
      <c r="U40" s="9">
        <v>1.4770000000000001</v>
      </c>
      <c r="V40" s="9">
        <v>4.3099999999999996</v>
      </c>
      <c r="W40" s="9">
        <v>10</v>
      </c>
      <c r="X40" s="9">
        <v>5</v>
      </c>
      <c r="Y40" s="63">
        <v>-0.27251999634216001</v>
      </c>
      <c r="Z40" s="63">
        <v>0.10693644419063</v>
      </c>
      <c r="AA40" s="63">
        <v>-0.133800000000008</v>
      </c>
      <c r="AB40" s="47"/>
      <c r="AC40" s="47"/>
      <c r="AD40" s="70"/>
      <c r="AF40" s="108" t="s">
        <v>15340</v>
      </c>
      <c r="AG40" s="9" t="s">
        <v>15441</v>
      </c>
      <c r="AH40" s="9" t="s">
        <v>15447</v>
      </c>
      <c r="AI40" s="9">
        <v>1.1439999999999999</v>
      </c>
      <c r="AJ40" s="9">
        <v>1.97</v>
      </c>
      <c r="AK40" s="9">
        <v>3.9180000000000001</v>
      </c>
      <c r="AL40" s="9">
        <v>10</v>
      </c>
      <c r="AM40" s="9">
        <v>6</v>
      </c>
      <c r="AN40" s="63">
        <v>-0.66506535985000403</v>
      </c>
      <c r="AO40" s="63">
        <v>-0.440956052253895</v>
      </c>
      <c r="AP40" s="63">
        <v>2.4821999999999802</v>
      </c>
      <c r="AQ40" s="47"/>
      <c r="AR40" s="47"/>
      <c r="AS40" s="70"/>
    </row>
    <row r="41" spans="1:45" ht="15" customHeight="1">
      <c r="A41" s="108" t="s">
        <v>15340</v>
      </c>
      <c r="B41" s="9" t="s">
        <v>15441</v>
      </c>
      <c r="C41" s="9" t="s">
        <v>15445</v>
      </c>
      <c r="D41" s="9">
        <v>0.81899999999999995</v>
      </c>
      <c r="E41" s="9">
        <v>1.0269999999999999</v>
      </c>
      <c r="F41" s="9">
        <v>3.7770000000000001</v>
      </c>
      <c r="G41" s="9">
        <v>10</v>
      </c>
      <c r="H41" s="9">
        <v>7</v>
      </c>
      <c r="I41" s="63">
        <v>-9.1219591471800907E-2</v>
      </c>
      <c r="J41" s="63">
        <v>-4.4005208132345E-2</v>
      </c>
      <c r="K41" s="63">
        <v>1.0499999999979101E-2</v>
      </c>
      <c r="L41" s="57"/>
      <c r="M41" s="57" t="s">
        <v>15527</v>
      </c>
      <c r="N41" s="85" t="s">
        <v>15527</v>
      </c>
      <c r="O41" s="47"/>
      <c r="Q41" s="109" t="s">
        <v>15340</v>
      </c>
      <c r="R41" s="72" t="s">
        <v>15441</v>
      </c>
      <c r="S41" s="72" t="s">
        <v>15446</v>
      </c>
      <c r="T41" s="72">
        <v>0.83099999999999996</v>
      </c>
      <c r="U41" s="72">
        <v>1.0720000000000001</v>
      </c>
      <c r="V41" s="72">
        <v>4.0640000000000001</v>
      </c>
      <c r="W41" s="72">
        <v>10</v>
      </c>
      <c r="X41" s="72">
        <v>5</v>
      </c>
      <c r="Y41" s="73">
        <v>-0.65063818565312803</v>
      </c>
      <c r="Z41" s="73">
        <v>0.28779942479206899</v>
      </c>
      <c r="AA41" s="73">
        <v>-0.99270000000001302</v>
      </c>
      <c r="AB41" s="74"/>
      <c r="AC41" s="74"/>
      <c r="AD41" s="75"/>
      <c r="AF41" s="109" t="s">
        <v>15340</v>
      </c>
      <c r="AG41" s="72" t="s">
        <v>15441</v>
      </c>
      <c r="AH41" s="72" t="s">
        <v>15447</v>
      </c>
      <c r="AI41" s="72">
        <v>1.34</v>
      </c>
      <c r="AJ41" s="72">
        <v>2.4140000000000001</v>
      </c>
      <c r="AK41" s="72">
        <v>3.919</v>
      </c>
      <c r="AL41" s="72">
        <v>10</v>
      </c>
      <c r="AM41" s="72">
        <v>6</v>
      </c>
      <c r="AN41" s="73">
        <v>-2.0975419975398101E-2</v>
      </c>
      <c r="AO41" s="73">
        <v>-0.30724317380373301</v>
      </c>
      <c r="AP41" s="73">
        <v>3.0047000000000099</v>
      </c>
      <c r="AQ41" s="74"/>
      <c r="AR41" s="74"/>
      <c r="AS41" s="75"/>
    </row>
    <row r="42" spans="1:45" ht="15" customHeight="1">
      <c r="A42" s="109" t="s">
        <v>15340</v>
      </c>
      <c r="B42" s="72" t="s">
        <v>15441</v>
      </c>
      <c r="C42" s="72" t="s">
        <v>15445</v>
      </c>
      <c r="D42" s="72">
        <v>0.876</v>
      </c>
      <c r="E42" s="72">
        <v>1.1519999999999999</v>
      </c>
      <c r="F42" s="72">
        <v>3.774</v>
      </c>
      <c r="G42" s="72">
        <v>10</v>
      </c>
      <c r="H42" s="72">
        <v>8</v>
      </c>
      <c r="I42" s="73">
        <v>-8.3326274349297499E-2</v>
      </c>
      <c r="J42" s="73">
        <v>-7.3779148997593705E-2</v>
      </c>
      <c r="K42" s="73">
        <v>9.7199999999986603E-2</v>
      </c>
      <c r="L42" s="86" t="s">
        <v>15527</v>
      </c>
      <c r="M42" s="86" t="s">
        <v>15527</v>
      </c>
      <c r="N42" s="75"/>
      <c r="O42" s="62"/>
      <c r="Q42" s="69"/>
      <c r="R42" s="9"/>
      <c r="S42" s="9"/>
      <c r="T42" s="9">
        <f>AVERAGE(T39:T41)</f>
        <v>0.55433333333333334</v>
      </c>
      <c r="U42" s="9">
        <f t="shared" ref="U42:AA42" si="11">AVERAGE(U39:U41)</f>
        <v>1.1890000000000001</v>
      </c>
      <c r="V42" s="9">
        <f t="shared" si="11"/>
        <v>3.6526666666666667</v>
      </c>
      <c r="W42" s="9">
        <f t="shared" si="11"/>
        <v>13.666666666666666</v>
      </c>
      <c r="X42" s="9">
        <f t="shared" si="11"/>
        <v>5.333333333333333</v>
      </c>
      <c r="Y42" s="9">
        <f t="shared" si="11"/>
        <v>-0.33952806423501025</v>
      </c>
      <c r="Z42" s="9">
        <f t="shared" si="11"/>
        <v>0.10221275777193296</v>
      </c>
      <c r="AA42" s="9">
        <f t="shared" si="11"/>
        <v>-9.1300000000008666E-2</v>
      </c>
      <c r="AB42" s="47"/>
      <c r="AC42" s="47"/>
      <c r="AD42" s="70"/>
      <c r="AF42" s="69"/>
      <c r="AG42" s="9"/>
      <c r="AH42" s="9"/>
      <c r="AI42" s="9">
        <f>AVERAGE(AI39:AI41)</f>
        <v>1.0999999999999999</v>
      </c>
      <c r="AJ42" s="9">
        <f t="shared" ref="AJ42:AP42" si="12">AVERAGE(AJ39:AJ41)</f>
        <v>1.93</v>
      </c>
      <c r="AK42" s="9">
        <f t="shared" si="12"/>
        <v>3.6293333333333333</v>
      </c>
      <c r="AL42" s="9">
        <f t="shared" si="12"/>
        <v>14</v>
      </c>
      <c r="AM42" s="9">
        <f t="shared" si="12"/>
        <v>6.666666666666667</v>
      </c>
      <c r="AN42" s="9">
        <f t="shared" si="12"/>
        <v>-0.50507051040173001</v>
      </c>
      <c r="AO42" s="9">
        <f t="shared" si="12"/>
        <v>-0.35051879872083164</v>
      </c>
      <c r="AP42" s="9">
        <f t="shared" si="12"/>
        <v>2.0539999999999918</v>
      </c>
      <c r="AQ42" s="47"/>
      <c r="AR42" s="47"/>
      <c r="AS42" s="70"/>
    </row>
    <row r="43" spans="1:45" ht="15" customHeight="1">
      <c r="A43" s="108"/>
      <c r="B43" s="9"/>
      <c r="C43" s="9"/>
      <c r="D43" s="9">
        <f>AVERAGE(D39:D42)</f>
        <v>0.96074999999999999</v>
      </c>
      <c r="E43" s="9">
        <f t="shared" ref="E43:K43" si="13">AVERAGE(E39:E42)</f>
        <v>1.2455000000000001</v>
      </c>
      <c r="F43" s="9">
        <f t="shared" si="13"/>
        <v>3.8317500000000004</v>
      </c>
      <c r="G43" s="9">
        <f t="shared" si="13"/>
        <v>11.5</v>
      </c>
      <c r="H43" s="9">
        <f t="shared" si="13"/>
        <v>7</v>
      </c>
      <c r="I43" s="9">
        <f t="shared" si="13"/>
        <v>-0.27279671404302386</v>
      </c>
      <c r="J43" s="9">
        <f t="shared" si="13"/>
        <v>-0.12627854034144093</v>
      </c>
      <c r="K43" s="9">
        <f t="shared" si="13"/>
        <v>-0.19742500000001056</v>
      </c>
      <c r="L43" s="57"/>
      <c r="M43" s="57"/>
      <c r="N43" s="70"/>
      <c r="O43" s="62"/>
      <c r="Q43" s="64" t="s">
        <v>15339</v>
      </c>
      <c r="R43" s="65" t="s">
        <v>15441</v>
      </c>
      <c r="S43" s="65" t="s">
        <v>15446</v>
      </c>
      <c r="T43" s="65">
        <v>1.2E-2</v>
      </c>
      <c r="U43" s="65">
        <v>1.7000000000000001E-2</v>
      </c>
      <c r="V43" s="65">
        <v>1.696</v>
      </c>
      <c r="W43" s="65">
        <v>21</v>
      </c>
      <c r="X43" s="65">
        <v>11</v>
      </c>
      <c r="Y43" s="66">
        <v>1.30901015022711E-2</v>
      </c>
      <c r="Z43" s="66">
        <v>1.07455473514146E-3</v>
      </c>
      <c r="AA43" s="66">
        <v>1.59999999999627E-3</v>
      </c>
      <c r="AB43" s="78">
        <f>_xlfn.VAR.S(Y43:Y45)</f>
        <v>2.0894252821355465E-5</v>
      </c>
      <c r="AC43" s="78">
        <f>_xlfn.VAR.S(Z43:Z45)</f>
        <v>6.8234920084262174E-6</v>
      </c>
      <c r="AD43" s="79">
        <f>_xlfn.VAR.S(AA43:AA45)</f>
        <v>2.2603333333345691E-5</v>
      </c>
      <c r="AF43" s="64" t="s">
        <v>15339</v>
      </c>
      <c r="AG43" s="65" t="s">
        <v>15441</v>
      </c>
      <c r="AH43" s="65" t="s">
        <v>15447</v>
      </c>
      <c r="AI43" s="65">
        <v>8.9999999999999993E-3</v>
      </c>
      <c r="AJ43" s="65">
        <v>1.2999999999999999E-2</v>
      </c>
      <c r="AK43" s="65">
        <v>1.74</v>
      </c>
      <c r="AL43" s="65">
        <v>18</v>
      </c>
      <c r="AM43" s="65">
        <v>9</v>
      </c>
      <c r="AN43" s="66">
        <v>3.1949539964929302E-2</v>
      </c>
      <c r="AO43" s="66">
        <v>1.9981356866990999E-2</v>
      </c>
      <c r="AP43" s="66">
        <v>-1.53000000000247E-2</v>
      </c>
      <c r="AQ43" s="78">
        <f>_xlfn.VAR.S(AN43:AN45)</f>
        <v>7.3659638245202031E-5</v>
      </c>
      <c r="AR43" s="78">
        <f>_xlfn.VAR.S(AO43:AO45)</f>
        <v>6.4785376076310241E-5</v>
      </c>
      <c r="AS43" s="79">
        <f>_xlfn.VAR.S(AP43:AP45)</f>
        <v>6.8033333333927051E-6</v>
      </c>
    </row>
    <row r="44" spans="1:45" ht="15" customHeight="1">
      <c r="A44" s="89" t="s">
        <v>15339</v>
      </c>
      <c r="B44" s="65" t="s">
        <v>15441</v>
      </c>
      <c r="C44" s="65" t="s">
        <v>15445</v>
      </c>
      <c r="D44" s="65">
        <v>1.0999999999999999E-2</v>
      </c>
      <c r="E44" s="65">
        <v>1.6E-2</v>
      </c>
      <c r="F44" s="65">
        <v>1.7</v>
      </c>
      <c r="G44" s="65">
        <v>10</v>
      </c>
      <c r="H44" s="65">
        <v>11</v>
      </c>
      <c r="I44" s="66">
        <v>1.5779534646697999E-2</v>
      </c>
      <c r="J44" s="66">
        <v>1.0502638816713801E-2</v>
      </c>
      <c r="K44" s="66">
        <v>5.2999999999769898E-3</v>
      </c>
      <c r="L44" s="78">
        <f>_xlfn.VAR.S(I44:I46)</f>
        <v>5.7601206140989099E-7</v>
      </c>
      <c r="M44" s="78">
        <f>_xlfn.VAR.S(J44:J46)</f>
        <v>5.2567871224106669E-6</v>
      </c>
      <c r="N44" s="79">
        <f>_xlfn.VAR.S(K44:K46)</f>
        <v>2.4323333333387894E-5</v>
      </c>
      <c r="O44" s="62"/>
      <c r="Q44" s="69" t="s">
        <v>15339</v>
      </c>
      <c r="R44" s="9" t="s">
        <v>15441</v>
      </c>
      <c r="S44" s="9" t="s">
        <v>15446</v>
      </c>
      <c r="T44" s="9">
        <v>1.2E-2</v>
      </c>
      <c r="U44" s="9">
        <v>1.7999999999999999E-2</v>
      </c>
      <c r="V44" s="9">
        <v>1.6919999999999999</v>
      </c>
      <c r="W44" s="9">
        <v>10</v>
      </c>
      <c r="X44" s="9">
        <v>12</v>
      </c>
      <c r="Y44" s="63">
        <v>1.64636695596133E-2</v>
      </c>
      <c r="Z44" s="63">
        <v>2.8103543925772998E-3</v>
      </c>
      <c r="AA44" s="63">
        <v>-3.5000000000024998E-3</v>
      </c>
      <c r="AB44" s="62"/>
      <c r="AC44" s="62"/>
      <c r="AD44" s="80"/>
      <c r="AF44" s="69" t="s">
        <v>15339</v>
      </c>
      <c r="AG44" s="9" t="s">
        <v>15441</v>
      </c>
      <c r="AH44" s="9" t="s">
        <v>15447</v>
      </c>
      <c r="AI44" s="9">
        <v>1.2E-2</v>
      </c>
      <c r="AJ44" s="9">
        <v>1.6E-2</v>
      </c>
      <c r="AK44" s="9">
        <v>1.742</v>
      </c>
      <c r="AL44" s="9">
        <v>10</v>
      </c>
      <c r="AM44" s="9">
        <v>9</v>
      </c>
      <c r="AN44" s="63">
        <v>2.3598092476332402E-2</v>
      </c>
      <c r="AO44" s="63">
        <v>1.03683106043951E-2</v>
      </c>
      <c r="AP44" s="63">
        <v>-1.0400000000004199E-2</v>
      </c>
      <c r="AQ44" s="62"/>
      <c r="AR44" s="62"/>
      <c r="AS44" s="80"/>
    </row>
    <row r="45" spans="1:45" ht="15" customHeight="1">
      <c r="A45" s="69" t="s">
        <v>15339</v>
      </c>
      <c r="B45" s="9" t="s">
        <v>15441</v>
      </c>
      <c r="C45" s="9" t="s">
        <v>15445</v>
      </c>
      <c r="D45" s="9">
        <v>0.01</v>
      </c>
      <c r="E45" s="9">
        <v>1.4999999999999999E-2</v>
      </c>
      <c r="F45" s="9">
        <v>1.702</v>
      </c>
      <c r="G45" s="9">
        <v>10</v>
      </c>
      <c r="H45" s="9">
        <v>11</v>
      </c>
      <c r="I45" s="63">
        <v>1.4695575968398499E-2</v>
      </c>
      <c r="J45" s="63">
        <v>8.09216953711955E-3</v>
      </c>
      <c r="K45" s="63">
        <v>1.9999999999811302E-3</v>
      </c>
      <c r="L45" s="62"/>
      <c r="M45" s="62"/>
      <c r="N45" s="80"/>
      <c r="O45" s="62"/>
      <c r="Q45" s="71" t="s">
        <v>15339</v>
      </c>
      <c r="R45" s="72" t="s">
        <v>15441</v>
      </c>
      <c r="S45" s="72" t="s">
        <v>15446</v>
      </c>
      <c r="T45" s="72">
        <v>1.2E-2</v>
      </c>
      <c r="U45" s="72">
        <v>1.7999999999999999E-2</v>
      </c>
      <c r="V45" s="72">
        <v>1.694</v>
      </c>
      <c r="W45" s="72">
        <v>10</v>
      </c>
      <c r="X45" s="72">
        <v>12</v>
      </c>
      <c r="Y45" s="73">
        <v>2.2135352585018499E-2</v>
      </c>
      <c r="Z45" s="73">
        <v>6.2098572501795802E-3</v>
      </c>
      <c r="AA45" s="73">
        <v>-7.9000000000064591E-3</v>
      </c>
      <c r="AB45" s="81"/>
      <c r="AC45" s="81"/>
      <c r="AD45" s="82"/>
      <c r="AF45" s="71" t="s">
        <v>15339</v>
      </c>
      <c r="AG45" s="72" t="s">
        <v>15441</v>
      </c>
      <c r="AH45" s="72" t="s">
        <v>15447</v>
      </c>
      <c r="AI45" s="72">
        <v>1.4999999999999999E-2</v>
      </c>
      <c r="AJ45" s="72">
        <v>0.02</v>
      </c>
      <c r="AK45" s="72">
        <v>1.744</v>
      </c>
      <c r="AL45" s="72">
        <v>10</v>
      </c>
      <c r="AM45" s="72">
        <v>9</v>
      </c>
      <c r="AN45" s="73">
        <v>1.4786556757237E-2</v>
      </c>
      <c r="AO45" s="73">
        <v>3.9923414198528998E-3</v>
      </c>
      <c r="AP45" s="73">
        <v>-1.1300000000005601E-2</v>
      </c>
      <c r="AQ45" s="81"/>
      <c r="AR45" s="81"/>
      <c r="AS45" s="82"/>
    </row>
    <row r="46" spans="1:45" ht="15" customHeight="1">
      <c r="A46" s="71" t="s">
        <v>15339</v>
      </c>
      <c r="B46" s="72" t="s">
        <v>15441</v>
      </c>
      <c r="C46" s="72" t="s">
        <v>15445</v>
      </c>
      <c r="D46" s="72">
        <v>0.01</v>
      </c>
      <c r="E46" s="72">
        <v>1.4E-2</v>
      </c>
      <c r="F46" s="72">
        <v>1.681</v>
      </c>
      <c r="G46" s="72">
        <v>10</v>
      </c>
      <c r="H46" s="72">
        <v>12</v>
      </c>
      <c r="I46" s="73">
        <v>1.6157778852147101E-2</v>
      </c>
      <c r="J46" s="73">
        <v>5.9191517061366597E-3</v>
      </c>
      <c r="K46" s="73">
        <v>1.1699999999990499E-2</v>
      </c>
      <c r="L46" s="81"/>
      <c r="M46" s="81"/>
      <c r="N46" s="82"/>
      <c r="T46">
        <f>AVERAGE(T43:T45)</f>
        <v>1.2000000000000002E-2</v>
      </c>
      <c r="U46">
        <f t="shared" ref="U46:AA46" si="14">AVERAGE(U43:U45)</f>
        <v>1.7666666666666667E-2</v>
      </c>
      <c r="V46">
        <f t="shared" si="14"/>
        <v>1.694</v>
      </c>
      <c r="W46">
        <f t="shared" si="14"/>
        <v>13.666666666666666</v>
      </c>
      <c r="X46">
        <f t="shared" si="14"/>
        <v>11.666666666666666</v>
      </c>
      <c r="Y46">
        <f t="shared" si="14"/>
        <v>1.7229707882300965E-2</v>
      </c>
      <c r="Z46">
        <f t="shared" si="14"/>
        <v>3.3649221259661132E-3</v>
      </c>
      <c r="AA46">
        <f t="shared" si="14"/>
        <v>-3.2666666666708965E-3</v>
      </c>
      <c r="AI46">
        <f>AVERAGE(AI43:AI45)</f>
        <v>1.1999999999999999E-2</v>
      </c>
      <c r="AJ46">
        <f t="shared" ref="AJ46:AP46" si="15">AVERAGE(AJ43:AJ45)</f>
        <v>1.6333333333333335E-2</v>
      </c>
      <c r="AK46">
        <f t="shared" si="15"/>
        <v>1.742</v>
      </c>
      <c r="AL46">
        <f t="shared" si="15"/>
        <v>12.666666666666666</v>
      </c>
      <c r="AM46">
        <f t="shared" si="15"/>
        <v>9</v>
      </c>
      <c r="AN46">
        <f t="shared" si="15"/>
        <v>2.3444729732832903E-2</v>
      </c>
      <c r="AO46">
        <f t="shared" si="15"/>
        <v>1.1447336297079667E-2</v>
      </c>
      <c r="AP46">
        <f t="shared" si="15"/>
        <v>-1.2333333333344835E-2</v>
      </c>
    </row>
    <row r="47" spans="1:45" ht="15" customHeight="1">
      <c r="A47" s="9"/>
      <c r="B47" s="9"/>
      <c r="C47" s="9"/>
      <c r="D47" s="9">
        <f>AVERAGE(D44:D46)</f>
        <v>1.0333333333333333E-2</v>
      </c>
      <c r="E47" s="9">
        <f t="shared" ref="E47:K47" si="16">AVERAGE(E44:E46)</f>
        <v>1.4999999999999999E-2</v>
      </c>
      <c r="F47" s="9">
        <f t="shared" si="16"/>
        <v>1.6943333333333335</v>
      </c>
      <c r="G47" s="9">
        <f t="shared" si="16"/>
        <v>10</v>
      </c>
      <c r="H47" s="9">
        <f t="shared" si="16"/>
        <v>11.333333333333334</v>
      </c>
      <c r="I47" s="9">
        <f t="shared" si="16"/>
        <v>1.55442964890812E-2</v>
      </c>
      <c r="J47" s="9">
        <f t="shared" si="16"/>
        <v>8.1713200199900037E-3</v>
      </c>
      <c r="K47" s="9">
        <f t="shared" si="16"/>
        <v>6.3333333333162071E-3</v>
      </c>
      <c r="L47" s="62"/>
      <c r="M47" s="62"/>
      <c r="N47" s="62"/>
      <c r="O47" s="47"/>
    </row>
    <row r="48" spans="1:45" ht="1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62"/>
      <c r="M48" s="62"/>
      <c r="N48" s="62"/>
      <c r="O48" s="47"/>
    </row>
    <row r="49" spans="1:45" ht="15" customHeight="1">
      <c r="O49" s="47"/>
    </row>
    <row r="50" spans="1:45" ht="15" customHeight="1">
      <c r="A50" s="107" t="s">
        <v>15341</v>
      </c>
      <c r="B50" s="65" t="s">
        <v>15441</v>
      </c>
      <c r="C50" s="65" t="s">
        <v>15446</v>
      </c>
      <c r="D50" s="65">
        <v>0.42</v>
      </c>
      <c r="E50" s="65">
        <v>0.94399999999999995</v>
      </c>
      <c r="F50" s="65">
        <v>4.0490000000000004</v>
      </c>
      <c r="G50" s="65">
        <v>14</v>
      </c>
      <c r="H50" s="65">
        <v>5</v>
      </c>
      <c r="I50" s="66">
        <v>-0.59361242845162399</v>
      </c>
      <c r="J50" s="66">
        <v>0.29751844596321397</v>
      </c>
      <c r="K50" s="66">
        <v>2.399</v>
      </c>
      <c r="L50" s="67">
        <v>1.2045801318465337E-3</v>
      </c>
      <c r="M50" s="67">
        <v>2.0634304629382375E-2</v>
      </c>
      <c r="N50" s="68">
        <v>0.44830604333331481</v>
      </c>
      <c r="O50" s="47"/>
      <c r="Q50" s="107" t="s">
        <v>15518</v>
      </c>
      <c r="R50" s="65" t="s">
        <v>15441</v>
      </c>
      <c r="S50" s="65" t="s">
        <v>15447</v>
      </c>
      <c r="T50" s="65">
        <v>0.65</v>
      </c>
      <c r="U50" s="65">
        <v>1.173</v>
      </c>
      <c r="V50" s="65">
        <v>3.7719999999999998</v>
      </c>
      <c r="W50" s="65">
        <v>23</v>
      </c>
      <c r="X50" s="65">
        <v>5</v>
      </c>
      <c r="Y50" s="66">
        <v>-3.9487772187841497E-2</v>
      </c>
      <c r="Z50" s="66">
        <v>-0.185475556179721</v>
      </c>
      <c r="AA50" s="66">
        <v>0.879099999999994</v>
      </c>
      <c r="AB50" s="67">
        <v>7.4562692688215034E-4</v>
      </c>
      <c r="AC50" s="67">
        <v>2.0800008090849881E-2</v>
      </c>
      <c r="AD50" s="68">
        <v>0.13248916333330824</v>
      </c>
      <c r="AF50" s="107" t="s">
        <v>15341</v>
      </c>
      <c r="AG50" s="65" t="s">
        <v>15442</v>
      </c>
      <c r="AH50" s="65" t="s">
        <v>15445</v>
      </c>
      <c r="AI50" s="65">
        <v>0.53300000000000003</v>
      </c>
      <c r="AJ50" s="65">
        <v>1.032</v>
      </c>
      <c r="AK50" s="65">
        <v>4.0350000000000001</v>
      </c>
      <c r="AL50" s="65">
        <v>19</v>
      </c>
      <c r="AM50" s="65">
        <v>5</v>
      </c>
      <c r="AN50" s="66">
        <v>-0.48593067192643502</v>
      </c>
      <c r="AO50" s="66">
        <v>4.0083260916712202E-2</v>
      </c>
      <c r="AP50" s="66">
        <v>0.73099999999999499</v>
      </c>
      <c r="AQ50" s="76">
        <v>0.17006333559107348</v>
      </c>
      <c r="AR50" s="67">
        <v>2.2325255226756772E-2</v>
      </c>
      <c r="AS50" s="88">
        <v>1.2425773333332897</v>
      </c>
    </row>
    <row r="51" spans="1:45" ht="15" customHeight="1">
      <c r="A51" s="108" t="s">
        <v>15341</v>
      </c>
      <c r="B51" s="9" t="s">
        <v>15441</v>
      </c>
      <c r="C51" s="9" t="s">
        <v>15446</v>
      </c>
      <c r="D51" s="9">
        <v>0.35399999999999998</v>
      </c>
      <c r="E51" s="9">
        <v>0.73199999999999998</v>
      </c>
      <c r="F51" s="9">
        <v>4.0469999999999997</v>
      </c>
      <c r="G51" s="9">
        <v>10</v>
      </c>
      <c r="H51" s="9">
        <v>5</v>
      </c>
      <c r="I51" s="63">
        <v>-0.649806027193921</v>
      </c>
      <c r="J51" s="63">
        <v>3.2648137602462601E-3</v>
      </c>
      <c r="K51" s="63">
        <v>1.2993000000000201</v>
      </c>
      <c r="L51" s="47"/>
      <c r="M51" s="47"/>
      <c r="N51" s="70"/>
      <c r="O51" s="62"/>
      <c r="Q51" s="108" t="s">
        <v>15341</v>
      </c>
      <c r="R51" s="9" t="s">
        <v>15441</v>
      </c>
      <c r="S51" s="9" t="s">
        <v>15447</v>
      </c>
      <c r="T51" s="9">
        <v>0.32300000000000001</v>
      </c>
      <c r="U51" s="9">
        <v>0.95899999999999996</v>
      </c>
      <c r="V51" s="9">
        <v>4.04</v>
      </c>
      <c r="W51" s="9">
        <v>10</v>
      </c>
      <c r="X51" s="9">
        <v>5</v>
      </c>
      <c r="Y51" s="63">
        <v>-5.6474580481844602E-2</v>
      </c>
      <c r="Z51" s="63">
        <v>4.6833654917055802E-2</v>
      </c>
      <c r="AA51" s="63">
        <v>0.41240000000004801</v>
      </c>
      <c r="AB51" s="47"/>
      <c r="AC51" s="47"/>
      <c r="AD51" s="70"/>
      <c r="AF51" s="108" t="s">
        <v>15341</v>
      </c>
      <c r="AG51" s="9" t="s">
        <v>15442</v>
      </c>
      <c r="AH51" s="9" t="s">
        <v>15445</v>
      </c>
      <c r="AI51" s="9">
        <v>1.204</v>
      </c>
      <c r="AJ51" s="9">
        <v>1.8819999999999999</v>
      </c>
      <c r="AK51" s="9">
        <v>4.0359999999999996</v>
      </c>
      <c r="AL51" s="9">
        <v>10</v>
      </c>
      <c r="AM51" s="9">
        <v>5</v>
      </c>
      <c r="AN51" s="63">
        <v>0.14856286640323399</v>
      </c>
      <c r="AO51" s="63">
        <v>0.414662007284616</v>
      </c>
      <c r="AP51" s="63">
        <v>-0.69099999999991701</v>
      </c>
      <c r="AQ51" s="47"/>
      <c r="AR51" s="47"/>
      <c r="AS51" s="70"/>
    </row>
    <row r="52" spans="1:45" ht="15" customHeight="1">
      <c r="A52" s="109" t="s">
        <v>15341</v>
      </c>
      <c r="B52" s="72" t="s">
        <v>15441</v>
      </c>
      <c r="C52" s="72" t="s">
        <v>15446</v>
      </c>
      <c r="D52" s="72">
        <v>0.42399999999999999</v>
      </c>
      <c r="E52" s="72">
        <v>0.82199999999999995</v>
      </c>
      <c r="F52" s="72">
        <v>4.0460000000000003</v>
      </c>
      <c r="G52" s="72">
        <v>10</v>
      </c>
      <c r="H52" s="72">
        <v>5</v>
      </c>
      <c r="I52" s="73">
        <v>-0.58641829427275305</v>
      </c>
      <c r="J52" s="73">
        <v>1.65451041431167E-2</v>
      </c>
      <c r="K52" s="73">
        <v>1.18740000000003</v>
      </c>
      <c r="L52" s="74"/>
      <c r="M52" s="74"/>
      <c r="N52" s="75"/>
      <c r="O52" s="62"/>
      <c r="Q52" s="109" t="s">
        <v>15341</v>
      </c>
      <c r="R52" s="72" t="s">
        <v>15441</v>
      </c>
      <c r="S52" s="72" t="s">
        <v>15447</v>
      </c>
      <c r="T52" s="72">
        <v>0.19500000000000001</v>
      </c>
      <c r="U52" s="72">
        <v>0.62</v>
      </c>
      <c r="V52" s="72">
        <v>4.0389999999999997</v>
      </c>
      <c r="W52" s="72">
        <v>10</v>
      </c>
      <c r="X52" s="72">
        <v>5</v>
      </c>
      <c r="Y52" s="73">
        <v>-3.0315707900382999E-3</v>
      </c>
      <c r="Z52" s="73">
        <v>3.4829692034020497E-2</v>
      </c>
      <c r="AA52" s="73">
        <v>0.16190000000006</v>
      </c>
      <c r="AB52" s="74"/>
      <c r="AC52" s="74"/>
      <c r="AD52" s="75"/>
      <c r="AF52" s="109" t="s">
        <v>15341</v>
      </c>
      <c r="AG52" s="72" t="s">
        <v>15442</v>
      </c>
      <c r="AH52" s="72" t="s">
        <v>15445</v>
      </c>
      <c r="AI52" s="72">
        <v>1.044</v>
      </c>
      <c r="AJ52" s="72">
        <v>1.82</v>
      </c>
      <c r="AK52" s="72">
        <v>4.0359999999999996</v>
      </c>
      <c r="AL52" s="72">
        <v>10</v>
      </c>
      <c r="AM52" s="72">
        <v>5</v>
      </c>
      <c r="AN52" s="73">
        <v>0.287664066595822</v>
      </c>
      <c r="AO52" s="73">
        <v>0.43407031311544803</v>
      </c>
      <c r="AP52" s="73">
        <v>-1.4669999999999801</v>
      </c>
      <c r="AQ52" s="74"/>
      <c r="AR52" s="74"/>
      <c r="AS52" s="75"/>
    </row>
    <row r="53" spans="1:45" ht="15" customHeight="1">
      <c r="A53" s="110"/>
      <c r="B53" s="9"/>
      <c r="C53" s="9"/>
      <c r="D53" s="9">
        <f>AVERAGE(D50:D52)</f>
        <v>0.39933333333333332</v>
      </c>
      <c r="E53" s="9">
        <f t="shared" ref="E53:K53" si="17">AVERAGE(E50:E52)</f>
        <v>0.83266666666666656</v>
      </c>
      <c r="F53" s="9">
        <f t="shared" si="17"/>
        <v>4.0473333333333334</v>
      </c>
      <c r="G53" s="9">
        <f t="shared" si="17"/>
        <v>11.333333333333334</v>
      </c>
      <c r="H53" s="9">
        <f t="shared" si="17"/>
        <v>5</v>
      </c>
      <c r="I53" s="9">
        <f t="shared" si="17"/>
        <v>-0.60994558330609927</v>
      </c>
      <c r="J53" s="9">
        <f t="shared" si="17"/>
        <v>0.10577612128885898</v>
      </c>
      <c r="K53" s="9">
        <f t="shared" si="17"/>
        <v>1.6285666666666831</v>
      </c>
      <c r="L53" s="47"/>
      <c r="M53" s="47"/>
      <c r="N53" s="47"/>
      <c r="O53" s="62"/>
      <c r="Q53" s="69"/>
      <c r="R53" s="9"/>
      <c r="S53" s="9"/>
      <c r="T53" s="9">
        <f>AVERAGE(T50:T52)</f>
        <v>0.38933333333333336</v>
      </c>
      <c r="U53" s="9">
        <f t="shared" ref="U53:AA53" si="18">AVERAGE(U50:U52)</f>
        <v>0.91733333333333344</v>
      </c>
      <c r="V53" s="9">
        <f t="shared" si="18"/>
        <v>3.950333333333333</v>
      </c>
      <c r="W53" s="9">
        <f t="shared" si="18"/>
        <v>14.333333333333334</v>
      </c>
      <c r="X53" s="9">
        <f t="shared" si="18"/>
        <v>5</v>
      </c>
      <c r="Y53" s="9">
        <f t="shared" si="18"/>
        <v>-3.2997974486574801E-2</v>
      </c>
      <c r="Z53" s="9">
        <f t="shared" si="18"/>
        <v>-3.460406974288157E-2</v>
      </c>
      <c r="AA53" s="9">
        <f t="shared" si="18"/>
        <v>0.48446666666670063</v>
      </c>
      <c r="AB53" s="47"/>
      <c r="AC53" s="47"/>
      <c r="AD53" s="70"/>
      <c r="AF53" s="69"/>
      <c r="AG53" s="9"/>
      <c r="AH53" s="9"/>
      <c r="AI53" s="9">
        <f>AVERAGE(AI50:AI52)</f>
        <v>0.92700000000000005</v>
      </c>
      <c r="AJ53" s="9">
        <f t="shared" ref="AJ53:AP53" si="19">AVERAGE(AJ50:AJ52)</f>
        <v>1.5780000000000001</v>
      </c>
      <c r="AK53" s="9">
        <f t="shared" si="19"/>
        <v>4.0356666666666667</v>
      </c>
      <c r="AL53" s="9">
        <f t="shared" si="19"/>
        <v>13</v>
      </c>
      <c r="AM53" s="9">
        <f t="shared" si="19"/>
        <v>5</v>
      </c>
      <c r="AN53" s="9">
        <f t="shared" si="19"/>
        <v>-1.6567912975793003E-2</v>
      </c>
      <c r="AO53" s="9">
        <f t="shared" si="19"/>
        <v>0.29627186043892539</v>
      </c>
      <c r="AP53" s="9">
        <f t="shared" si="19"/>
        <v>-0.47566666666663404</v>
      </c>
      <c r="AQ53" s="47"/>
      <c r="AR53" s="47"/>
      <c r="AS53" s="70"/>
    </row>
    <row r="54" spans="1:45" ht="15" customHeight="1">
      <c r="A54" s="64" t="s">
        <v>15342</v>
      </c>
      <c r="B54" s="65" t="s">
        <v>15441</v>
      </c>
      <c r="C54" s="65" t="s">
        <v>15446</v>
      </c>
      <c r="D54" s="65">
        <v>1.2E-2</v>
      </c>
      <c r="E54" s="65">
        <v>2.3E-2</v>
      </c>
      <c r="F54" s="65">
        <v>1.7370000000000001</v>
      </c>
      <c r="G54" s="65">
        <v>22</v>
      </c>
      <c r="H54" s="65">
        <v>12</v>
      </c>
      <c r="I54" s="66">
        <v>1.62463593868789E-4</v>
      </c>
      <c r="J54" s="66">
        <v>3.5021037699512397E-2</v>
      </c>
      <c r="K54" s="66">
        <v>-3.56000000000165E-2</v>
      </c>
      <c r="L54" s="78">
        <v>9.4263260642802512E-7</v>
      </c>
      <c r="M54" s="78">
        <v>4.8285800866060876E-5</v>
      </c>
      <c r="N54" s="79">
        <v>8.1669999999988557E-5</v>
      </c>
      <c r="O54" s="62"/>
      <c r="Q54" s="64" t="s">
        <v>15342</v>
      </c>
      <c r="R54" s="65" t="s">
        <v>15441</v>
      </c>
      <c r="S54" s="65" t="s">
        <v>15447</v>
      </c>
      <c r="T54" s="65">
        <v>3.5999999999999997E-2</v>
      </c>
      <c r="U54" s="65">
        <v>8.6999999999999994E-2</v>
      </c>
      <c r="V54" s="65">
        <v>2.3439999999999999</v>
      </c>
      <c r="W54" s="65">
        <v>22</v>
      </c>
      <c r="X54" s="65">
        <v>8</v>
      </c>
      <c r="Y54" s="66">
        <v>-1.1129099038169701E-3</v>
      </c>
      <c r="Z54" s="66">
        <v>6.0119322769740899E-2</v>
      </c>
      <c r="AA54" s="66">
        <v>-0.110100000000017</v>
      </c>
      <c r="AB54" s="78">
        <v>1.7061178384953455E-6</v>
      </c>
      <c r="AC54" s="78">
        <v>2.1960330112364537E-5</v>
      </c>
      <c r="AD54" s="79">
        <v>1.1345333333330681E-4</v>
      </c>
      <c r="AF54" s="64" t="s">
        <v>15342</v>
      </c>
      <c r="AG54" s="65" t="s">
        <v>15442</v>
      </c>
      <c r="AH54" s="65" t="s">
        <v>15445</v>
      </c>
      <c r="AI54" s="65">
        <v>5.0000000000000001E-3</v>
      </c>
      <c r="AJ54" s="65">
        <v>8.9999999999999993E-3</v>
      </c>
      <c r="AK54" s="65">
        <v>1.6040000000000001</v>
      </c>
      <c r="AL54" s="65">
        <v>23</v>
      </c>
      <c r="AM54" s="65">
        <v>12</v>
      </c>
      <c r="AN54" s="66">
        <v>-1.2298501220067599E-3</v>
      </c>
      <c r="AO54" s="66">
        <v>5.0727684690809096E-3</v>
      </c>
      <c r="AP54" s="66">
        <v>3.9499999999975402E-2</v>
      </c>
      <c r="AQ54" s="78">
        <v>4.6213625386969647E-6</v>
      </c>
      <c r="AR54" s="78">
        <v>4.6710296426334678E-7</v>
      </c>
      <c r="AS54" s="79">
        <v>5.8689999999948957E-5</v>
      </c>
    </row>
    <row r="55" spans="1:45" ht="15" customHeight="1">
      <c r="A55" s="69" t="s">
        <v>15342</v>
      </c>
      <c r="B55" s="9" t="s">
        <v>15441</v>
      </c>
      <c r="C55" s="9" t="s">
        <v>15446</v>
      </c>
      <c r="D55" s="9">
        <v>1.7999999999999999E-2</v>
      </c>
      <c r="E55" s="9">
        <v>4.5999999999999999E-2</v>
      </c>
      <c r="F55" s="9">
        <v>1.7669999999999999</v>
      </c>
      <c r="G55" s="9">
        <v>10</v>
      </c>
      <c r="H55" s="9">
        <v>11</v>
      </c>
      <c r="I55" s="63">
        <v>1.8350254739822199E-3</v>
      </c>
      <c r="J55" s="63">
        <v>4.65007575237677E-2</v>
      </c>
      <c r="K55" s="63">
        <v>-4.9600000000026498E-2</v>
      </c>
      <c r="L55" s="62"/>
      <c r="M55" s="62"/>
      <c r="N55" s="80"/>
      <c r="O55" s="62"/>
      <c r="Q55" s="69" t="s">
        <v>15342</v>
      </c>
      <c r="R55" s="9" t="s">
        <v>15441</v>
      </c>
      <c r="S55" s="9" t="s">
        <v>15447</v>
      </c>
      <c r="T55" s="9">
        <v>1.4E-2</v>
      </c>
      <c r="U55" s="9">
        <v>3.3000000000000002E-2</v>
      </c>
      <c r="V55" s="9">
        <v>2.343</v>
      </c>
      <c r="W55" s="9">
        <v>10</v>
      </c>
      <c r="X55" s="9">
        <v>8</v>
      </c>
      <c r="Y55" s="63">
        <v>-3.3351578458681798E-3</v>
      </c>
      <c r="Z55" s="63">
        <v>6.4311783839904393E-2</v>
      </c>
      <c r="AA55" s="63">
        <v>-0.130700000000019</v>
      </c>
      <c r="AB55" s="62"/>
      <c r="AC55" s="62"/>
      <c r="AD55" s="80"/>
      <c r="AF55" s="69" t="s">
        <v>15342</v>
      </c>
      <c r="AG55" s="9" t="s">
        <v>15442</v>
      </c>
      <c r="AH55" s="9" t="s">
        <v>15445</v>
      </c>
      <c r="AI55" s="9">
        <v>5.0000000000000001E-3</v>
      </c>
      <c r="AJ55" s="9">
        <v>8.9999999999999993E-3</v>
      </c>
      <c r="AK55" s="9">
        <v>1.587</v>
      </c>
      <c r="AL55" s="9">
        <v>10</v>
      </c>
      <c r="AM55" s="9">
        <v>13</v>
      </c>
      <c r="AN55" s="63">
        <v>5.2004418315848797E-5</v>
      </c>
      <c r="AO55" s="63">
        <v>3.9648981037726603E-3</v>
      </c>
      <c r="AP55" s="63">
        <v>3.4199999999998502E-2</v>
      </c>
      <c r="AQ55" s="62"/>
      <c r="AR55" s="62"/>
      <c r="AS55" s="80"/>
    </row>
    <row r="56" spans="1:45" ht="15" customHeight="1">
      <c r="A56" s="71" t="s">
        <v>15342</v>
      </c>
      <c r="B56" s="72" t="s">
        <v>15441</v>
      </c>
      <c r="C56" s="72" t="s">
        <v>15446</v>
      </c>
      <c r="D56" s="72">
        <v>1.9E-2</v>
      </c>
      <c r="E56" s="72">
        <v>4.4999999999999998E-2</v>
      </c>
      <c r="F56" s="72">
        <v>1.742</v>
      </c>
      <c r="G56" s="72">
        <v>10</v>
      </c>
      <c r="H56" s="72">
        <v>12</v>
      </c>
      <c r="I56" s="73">
        <v>1.4446098194897001E-4</v>
      </c>
      <c r="J56" s="73">
        <v>4.7544659633234898E-2</v>
      </c>
      <c r="K56" s="73">
        <v>-5.2500000000009102E-2</v>
      </c>
      <c r="L56" s="81"/>
      <c r="M56" s="81"/>
      <c r="N56" s="82"/>
      <c r="O56" s="62"/>
      <c r="Q56" s="71" t="s">
        <v>15342</v>
      </c>
      <c r="R56" s="72" t="s">
        <v>15441</v>
      </c>
      <c r="S56" s="72" t="s">
        <v>15447</v>
      </c>
      <c r="T56" s="72">
        <v>1.4999999999999999E-2</v>
      </c>
      <c r="U56" s="72">
        <v>3.5000000000000003E-2</v>
      </c>
      <c r="V56" s="72">
        <v>2.343</v>
      </c>
      <c r="W56" s="72">
        <v>10</v>
      </c>
      <c r="X56" s="72">
        <v>8</v>
      </c>
      <c r="Y56" s="73">
        <v>-3.41338835460162E-3</v>
      </c>
      <c r="Z56" s="73">
        <v>6.9474922627874497E-2</v>
      </c>
      <c r="AA56" s="73">
        <v>-0.12510000000000299</v>
      </c>
      <c r="AB56" s="81"/>
      <c r="AC56" s="81"/>
      <c r="AD56" s="82"/>
      <c r="AF56" s="71" t="s">
        <v>15342</v>
      </c>
      <c r="AG56" s="72" t="s">
        <v>15442</v>
      </c>
      <c r="AH56" s="72" t="s">
        <v>15445</v>
      </c>
      <c r="AI56" s="72">
        <v>5.0000000000000001E-3</v>
      </c>
      <c r="AJ56" s="72">
        <v>8.9999999999999993E-3</v>
      </c>
      <c r="AK56" s="72">
        <v>1.587</v>
      </c>
      <c r="AL56" s="72">
        <v>10</v>
      </c>
      <c r="AM56" s="72">
        <v>13</v>
      </c>
      <c r="AN56" s="73">
        <v>2.9651908659724798E-3</v>
      </c>
      <c r="AO56" s="73">
        <v>5.21221365321248E-3</v>
      </c>
      <c r="AP56" s="73">
        <v>2.4399999999985801E-2</v>
      </c>
      <c r="AQ56" s="81"/>
      <c r="AR56" s="81"/>
      <c r="AS56" s="82"/>
    </row>
    <row r="57" spans="1:45" ht="15" customHeight="1">
      <c r="A57" s="9"/>
      <c r="B57" s="9"/>
      <c r="C57" s="9"/>
      <c r="D57" s="9">
        <f>AVERAGE(D54:D56)</f>
        <v>1.6333333333333335E-2</v>
      </c>
      <c r="E57" s="9">
        <f t="shared" ref="E57:K57" si="20">AVERAGE(E54:E56)</f>
        <v>3.7999999999999999E-2</v>
      </c>
      <c r="F57" s="9">
        <f t="shared" si="20"/>
        <v>1.7486666666666668</v>
      </c>
      <c r="G57" s="9">
        <f t="shared" si="20"/>
        <v>14</v>
      </c>
      <c r="H57" s="9">
        <f t="shared" si="20"/>
        <v>11.666666666666666</v>
      </c>
      <c r="I57" s="9">
        <f t="shared" si="20"/>
        <v>7.139833499333263E-4</v>
      </c>
      <c r="J57" s="9">
        <f t="shared" si="20"/>
        <v>4.3022151618838329E-2</v>
      </c>
      <c r="K57" s="9">
        <f t="shared" si="20"/>
        <v>-4.5900000000017364E-2</v>
      </c>
      <c r="L57" s="62"/>
      <c r="M57" s="62"/>
      <c r="N57" s="62"/>
      <c r="Q57" s="69"/>
      <c r="R57" s="9"/>
      <c r="S57" s="9"/>
      <c r="T57" s="9">
        <f>AVERAGE(T54:T56)</f>
        <v>2.1666666666666667E-2</v>
      </c>
      <c r="U57" s="9">
        <f t="shared" ref="U57:AA57" si="21">AVERAGE(U54:U56)</f>
        <v>5.1666666666666666E-2</v>
      </c>
      <c r="V57" s="9">
        <f t="shared" si="21"/>
        <v>2.3433333333333333</v>
      </c>
      <c r="W57" s="9">
        <f t="shared" si="21"/>
        <v>14</v>
      </c>
      <c r="X57" s="9">
        <f t="shared" si="21"/>
        <v>8</v>
      </c>
      <c r="Y57" s="9">
        <f t="shared" si="21"/>
        <v>-2.6204853680955897E-3</v>
      </c>
      <c r="Z57" s="9">
        <f t="shared" si="21"/>
        <v>6.4635343079173263E-2</v>
      </c>
      <c r="AA57" s="9">
        <f t="shared" si="21"/>
        <v>-0.12196666666667966</v>
      </c>
      <c r="AB57" s="62"/>
      <c r="AC57" s="62"/>
      <c r="AD57" s="80"/>
      <c r="AF57" s="69"/>
      <c r="AG57" s="9"/>
      <c r="AH57" s="9"/>
      <c r="AI57" s="9">
        <f>AVERAGE(AI54:AI56)</f>
        <v>5.0000000000000001E-3</v>
      </c>
      <c r="AJ57" s="9">
        <f t="shared" ref="AJ57:AP57" si="22">AVERAGE(AJ54:AJ56)</f>
        <v>8.9999999999999993E-3</v>
      </c>
      <c r="AK57" s="9">
        <f t="shared" si="22"/>
        <v>1.5926666666666665</v>
      </c>
      <c r="AL57" s="9">
        <f t="shared" si="22"/>
        <v>14.333333333333334</v>
      </c>
      <c r="AM57" s="9">
        <f t="shared" si="22"/>
        <v>12.666666666666666</v>
      </c>
      <c r="AN57" s="9">
        <f t="shared" si="22"/>
        <v>5.9578172076052286E-4</v>
      </c>
      <c r="AO57" s="9">
        <f t="shared" si="22"/>
        <v>4.7499600753553506E-3</v>
      </c>
      <c r="AP57" s="9">
        <f t="shared" si="22"/>
        <v>3.2699999999986566E-2</v>
      </c>
      <c r="AQ57" s="62"/>
      <c r="AR57" s="62"/>
      <c r="AS57" s="80"/>
    </row>
    <row r="58" spans="1:45" ht="15" customHeight="1">
      <c r="A58" s="64" t="s">
        <v>15343</v>
      </c>
      <c r="B58" s="65" t="s">
        <v>15441</v>
      </c>
      <c r="C58" s="65" t="s">
        <v>15446</v>
      </c>
      <c r="D58" s="65">
        <v>8.0000000000000002E-3</v>
      </c>
      <c r="E58" s="65">
        <v>2.3E-2</v>
      </c>
      <c r="F58" s="65">
        <v>3.4780000000000002</v>
      </c>
      <c r="G58" s="65">
        <v>19</v>
      </c>
      <c r="H58" s="65">
        <v>10</v>
      </c>
      <c r="I58" s="66">
        <v>-2.38060700786373E-2</v>
      </c>
      <c r="J58" s="66">
        <v>-1.4143456498535E-3</v>
      </c>
      <c r="K58" s="66">
        <v>-1.53999999999996E-2</v>
      </c>
      <c r="L58" s="78">
        <v>9.3306006786424338E-7</v>
      </c>
      <c r="M58" s="78">
        <v>2.0670890721381839E-6</v>
      </c>
      <c r="N58" s="79">
        <v>9.80433333333875E-5</v>
      </c>
      <c r="O58" s="9"/>
      <c r="Q58" s="64" t="s">
        <v>15343</v>
      </c>
      <c r="R58" s="65" t="s">
        <v>15441</v>
      </c>
      <c r="S58" s="65" t="s">
        <v>15447</v>
      </c>
      <c r="T58" s="65">
        <v>1.0999999999999999E-2</v>
      </c>
      <c r="U58" s="65">
        <v>2.7E-2</v>
      </c>
      <c r="V58" s="65">
        <v>2.552</v>
      </c>
      <c r="W58" s="65">
        <v>24</v>
      </c>
      <c r="X58" s="65">
        <v>7</v>
      </c>
      <c r="Y58" s="66">
        <v>-1.55989122280376E-2</v>
      </c>
      <c r="Z58" s="66">
        <v>1.03731482685539E-2</v>
      </c>
      <c r="AA58" s="66">
        <v>9.5000000000027302E-3</v>
      </c>
      <c r="AB58" s="78">
        <v>1.2321677377784597E-6</v>
      </c>
      <c r="AC58" s="78">
        <v>1.0969557906027281E-7</v>
      </c>
      <c r="AD58" s="79">
        <v>5.6829999999686242E-5</v>
      </c>
      <c r="AF58" s="64" t="s">
        <v>15343</v>
      </c>
      <c r="AG58" s="65" t="s">
        <v>15442</v>
      </c>
      <c r="AH58" s="65" t="s">
        <v>15445</v>
      </c>
      <c r="AI58" s="65">
        <v>8.0000000000000002E-3</v>
      </c>
      <c r="AJ58" s="65">
        <v>1.9E-2</v>
      </c>
      <c r="AK58" s="65">
        <v>2.3839999999999999</v>
      </c>
      <c r="AL58" s="65">
        <v>24</v>
      </c>
      <c r="AM58" s="65">
        <v>11</v>
      </c>
      <c r="AN58" s="66">
        <v>-1.8544175967330798E-2</v>
      </c>
      <c r="AO58" s="66">
        <v>-1.37223361447045E-2</v>
      </c>
      <c r="AP58" s="66">
        <v>5.2399999999977402E-2</v>
      </c>
      <c r="AQ58" s="78">
        <v>2.712946413589928E-6</v>
      </c>
      <c r="AR58" s="78">
        <v>1.3362304910526251E-8</v>
      </c>
      <c r="AS58" s="79">
        <v>3.403333333341346E-6</v>
      </c>
    </row>
    <row r="59" spans="1:45" ht="15" customHeight="1">
      <c r="A59" s="69" t="s">
        <v>15343</v>
      </c>
      <c r="B59" s="9" t="s">
        <v>15441</v>
      </c>
      <c r="C59" s="9" t="s">
        <v>15446</v>
      </c>
      <c r="D59" s="9">
        <v>8.0000000000000002E-3</v>
      </c>
      <c r="E59" s="9">
        <v>2.3E-2</v>
      </c>
      <c r="F59" s="9">
        <v>3.4750000000000001</v>
      </c>
      <c r="G59" s="9">
        <v>10</v>
      </c>
      <c r="H59" s="9">
        <v>10</v>
      </c>
      <c r="I59" s="63">
        <v>-2.5338113240257001E-2</v>
      </c>
      <c r="J59" s="63">
        <v>-2.8811842992002398E-3</v>
      </c>
      <c r="K59" s="63">
        <v>-2.7000000000043701E-2</v>
      </c>
      <c r="L59" s="62"/>
      <c r="M59" s="62"/>
      <c r="N59" s="80"/>
      <c r="O59" s="62"/>
      <c r="Q59" s="69" t="s">
        <v>15343</v>
      </c>
      <c r="R59" s="9" t="s">
        <v>15441</v>
      </c>
      <c r="S59" s="9" t="s">
        <v>15447</v>
      </c>
      <c r="T59" s="9">
        <v>0.01</v>
      </c>
      <c r="U59" s="9">
        <v>2.3E-2</v>
      </c>
      <c r="V59" s="9">
        <v>2.552</v>
      </c>
      <c r="W59" s="9">
        <v>10</v>
      </c>
      <c r="X59" s="9">
        <v>7</v>
      </c>
      <c r="Y59" s="63">
        <v>-1.7522932223189999E-2</v>
      </c>
      <c r="Z59" s="63">
        <v>9.8875497837258106E-3</v>
      </c>
      <c r="AA59" s="63">
        <v>2.2799999999961101E-2</v>
      </c>
      <c r="AB59" s="62"/>
      <c r="AC59" s="62"/>
      <c r="AD59" s="80"/>
      <c r="AF59" s="69" t="s">
        <v>15343</v>
      </c>
      <c r="AG59" s="9" t="s">
        <v>15442</v>
      </c>
      <c r="AH59" s="9" t="s">
        <v>15445</v>
      </c>
      <c r="AI59" s="9">
        <v>8.0000000000000002E-3</v>
      </c>
      <c r="AJ59" s="9">
        <v>0.02</v>
      </c>
      <c r="AK59" s="9">
        <v>3.09</v>
      </c>
      <c r="AL59" s="9">
        <v>10</v>
      </c>
      <c r="AM59" s="9">
        <v>11</v>
      </c>
      <c r="AN59" s="63">
        <v>-1.6691789796623901E-2</v>
      </c>
      <c r="AO59" s="63">
        <v>-1.3772536350143701E-2</v>
      </c>
      <c r="AP59" s="63">
        <v>5.4899999999975101E-2</v>
      </c>
      <c r="AQ59" s="62"/>
      <c r="AR59" s="62"/>
      <c r="AS59" s="80"/>
    </row>
    <row r="60" spans="1:45" ht="15" customHeight="1">
      <c r="A60" s="71" t="s">
        <v>15343</v>
      </c>
      <c r="B60" s="72" t="s">
        <v>15441</v>
      </c>
      <c r="C60" s="72" t="s">
        <v>15446</v>
      </c>
      <c r="D60" s="72">
        <v>8.0000000000000002E-3</v>
      </c>
      <c r="E60" s="72">
        <v>2.3E-2</v>
      </c>
      <c r="F60" s="72">
        <v>3.4729999999999999</v>
      </c>
      <c r="G60" s="72">
        <v>10</v>
      </c>
      <c r="H60" s="72">
        <v>10</v>
      </c>
      <c r="I60" s="73">
        <v>-2.5591313429619601E-2</v>
      </c>
      <c r="J60" s="73">
        <v>-4.2896229294346003E-3</v>
      </c>
      <c r="K60" s="73">
        <v>-3.5099999999999902E-2</v>
      </c>
      <c r="L60" s="81"/>
      <c r="M60" s="81"/>
      <c r="N60" s="82"/>
      <c r="O60" s="62"/>
      <c r="Q60" s="71" t="s">
        <v>15343</v>
      </c>
      <c r="R60" s="72" t="s">
        <v>15441</v>
      </c>
      <c r="S60" s="72" t="s">
        <v>15447</v>
      </c>
      <c r="T60" s="72">
        <v>0.01</v>
      </c>
      <c r="U60" s="72">
        <v>2.3E-2</v>
      </c>
      <c r="V60" s="72">
        <v>2.552</v>
      </c>
      <c r="W60" s="72">
        <v>10</v>
      </c>
      <c r="X60" s="72">
        <v>7</v>
      </c>
      <c r="Y60" s="73">
        <v>-1.7520147698078799E-2</v>
      </c>
      <c r="Z60" s="73">
        <v>9.7401794209291005E-3</v>
      </c>
      <c r="AA60" s="73">
        <v>2.2299999999972901E-2</v>
      </c>
      <c r="AB60" s="81"/>
      <c r="AC60" s="81"/>
      <c r="AD60" s="82"/>
      <c r="AF60" s="71" t="s">
        <v>15343</v>
      </c>
      <c r="AG60" s="72" t="s">
        <v>15442</v>
      </c>
      <c r="AH60" s="72" t="s">
        <v>15445</v>
      </c>
      <c r="AI60" s="72">
        <v>8.0000000000000002E-3</v>
      </c>
      <c r="AJ60" s="72">
        <v>2.1000000000000001E-2</v>
      </c>
      <c r="AK60" s="72">
        <v>3.0939999999999999</v>
      </c>
      <c r="AL60" s="72">
        <v>10</v>
      </c>
      <c r="AM60" s="72">
        <v>11</v>
      </c>
      <c r="AN60" s="73">
        <v>-1.52588859474068E-2</v>
      </c>
      <c r="AO60" s="73">
        <v>-1.3551996053855901E-2</v>
      </c>
      <c r="AP60" s="73">
        <v>5.5999999999983202E-2</v>
      </c>
      <c r="AQ60" s="81"/>
      <c r="AR60" s="81"/>
      <c r="AS60" s="82"/>
    </row>
    <row r="61" spans="1:45" ht="15" customHeight="1">
      <c r="D61">
        <f>AVERAGE(D58:D60)</f>
        <v>8.0000000000000002E-3</v>
      </c>
      <c r="E61">
        <f t="shared" ref="E61:K61" si="23">AVERAGE(E58:E60)</f>
        <v>2.3000000000000003E-2</v>
      </c>
      <c r="F61">
        <f t="shared" si="23"/>
        <v>3.4753333333333334</v>
      </c>
      <c r="G61">
        <f t="shared" si="23"/>
        <v>13</v>
      </c>
      <c r="H61">
        <f t="shared" si="23"/>
        <v>10</v>
      </c>
      <c r="I61">
        <f t="shared" si="23"/>
        <v>-2.4911832249504634E-2</v>
      </c>
      <c r="J61">
        <f t="shared" si="23"/>
        <v>-2.8617176261627798E-3</v>
      </c>
      <c r="K61">
        <f t="shared" si="23"/>
        <v>-2.5833333333347735E-2</v>
      </c>
      <c r="O61" s="62"/>
      <c r="T61">
        <f>AVERAGE(T58:T60)</f>
        <v>1.0333333333333333E-2</v>
      </c>
      <c r="U61">
        <f t="shared" ref="U61:AA61" si="24">AVERAGE(U58:U60)</f>
        <v>2.4333333333333335E-2</v>
      </c>
      <c r="V61">
        <f t="shared" si="24"/>
        <v>2.552</v>
      </c>
      <c r="W61">
        <f t="shared" si="24"/>
        <v>14.666666666666666</v>
      </c>
      <c r="X61">
        <f t="shared" si="24"/>
        <v>7</v>
      </c>
      <c r="Y61">
        <f t="shared" si="24"/>
        <v>-1.68806640497688E-2</v>
      </c>
      <c r="Z61">
        <f t="shared" si="24"/>
        <v>1.0000292491069603E-2</v>
      </c>
      <c r="AA61">
        <f t="shared" si="24"/>
        <v>1.819999999997891E-2</v>
      </c>
      <c r="AI61">
        <f>AVERAGE(AI58:AI60)</f>
        <v>8.0000000000000002E-3</v>
      </c>
      <c r="AJ61">
        <f t="shared" ref="AJ61:AP61" si="25">AVERAGE(AJ58:AJ60)</f>
        <v>0.02</v>
      </c>
      <c r="AK61">
        <f t="shared" si="25"/>
        <v>2.8559999999999999</v>
      </c>
      <c r="AL61">
        <f t="shared" si="25"/>
        <v>14.666666666666666</v>
      </c>
      <c r="AM61">
        <f t="shared" si="25"/>
        <v>11</v>
      </c>
      <c r="AN61">
        <f t="shared" si="25"/>
        <v>-1.68316172371205E-2</v>
      </c>
      <c r="AO61">
        <f t="shared" si="25"/>
        <v>-1.3682289516234701E-2</v>
      </c>
      <c r="AP61">
        <f t="shared" si="25"/>
        <v>5.4433333333311906E-2</v>
      </c>
    </row>
    <row r="62" spans="1:45" ht="15" customHeight="1">
      <c r="A62" s="9"/>
      <c r="B62" s="9"/>
      <c r="C62" s="9"/>
      <c r="D62" s="9"/>
      <c r="E62" s="9"/>
      <c r="F62" s="9"/>
      <c r="G62" s="9"/>
      <c r="H62" s="9"/>
      <c r="L62" s="9"/>
      <c r="M62" s="9"/>
      <c r="N62" s="9"/>
      <c r="O62" s="62"/>
    </row>
    <row r="63" spans="1:45" ht="15" customHeight="1">
      <c r="A63" s="9"/>
      <c r="B63" s="9"/>
      <c r="C63" s="9"/>
      <c r="D63" s="9"/>
      <c r="I63"/>
      <c r="J63"/>
      <c r="K63"/>
    </row>
    <row r="64" spans="1:45" ht="15" customHeight="1">
      <c r="A64" s="62"/>
      <c r="B64" s="62"/>
      <c r="C64" s="62"/>
      <c r="I64"/>
      <c r="J64"/>
      <c r="K64"/>
    </row>
    <row r="65" spans="1:16" ht="15" customHeight="1">
      <c r="A65" s="62"/>
      <c r="B65" s="62"/>
      <c r="C65" s="9"/>
      <c r="I65"/>
      <c r="J65"/>
      <c r="K65"/>
    </row>
    <row r="66" spans="1:16" ht="15" customHeight="1">
      <c r="A66" s="62"/>
      <c r="B66" s="62"/>
      <c r="C66" s="9"/>
      <c r="I66"/>
      <c r="J66"/>
      <c r="K66"/>
    </row>
    <row r="67" spans="1:16" ht="15" customHeight="1">
      <c r="A67" s="62"/>
      <c r="B67" s="62"/>
      <c r="C67" s="9"/>
      <c r="I67"/>
      <c r="J67"/>
      <c r="K67"/>
    </row>
    <row r="68" spans="1:16" ht="15" customHeight="1">
      <c r="A68" s="62"/>
      <c r="B68" s="62"/>
      <c r="C68" s="9"/>
      <c r="I68"/>
      <c r="J68"/>
      <c r="K68"/>
    </row>
    <row r="69" spans="1:16" ht="15" customHeight="1">
      <c r="A69" s="9"/>
      <c r="B69" s="9"/>
      <c r="I69"/>
      <c r="J69"/>
      <c r="K69"/>
    </row>
    <row r="70" spans="1:16" ht="15" customHeight="1">
      <c r="A70" s="9"/>
      <c r="B70" s="9"/>
      <c r="I70"/>
      <c r="J70"/>
      <c r="K70"/>
    </row>
    <row r="71" spans="1:16" ht="15" customHeight="1">
      <c r="A71" s="9"/>
      <c r="B71" s="9"/>
      <c r="I71"/>
      <c r="J71"/>
      <c r="K71"/>
    </row>
    <row r="72" spans="1:16" ht="15" customHeight="1">
      <c r="A72" s="9"/>
      <c r="B72" s="9"/>
      <c r="I72"/>
      <c r="J72"/>
      <c r="K72"/>
    </row>
    <row r="73" spans="1:16" ht="15" customHeight="1">
      <c r="I73"/>
      <c r="J73"/>
      <c r="K73"/>
    </row>
    <row r="74" spans="1:16" ht="15" customHeight="1">
      <c r="I74"/>
      <c r="J74"/>
      <c r="K74"/>
    </row>
    <row r="75" spans="1:16" ht="15" customHeight="1">
      <c r="I75"/>
      <c r="J75"/>
      <c r="K75"/>
    </row>
    <row r="76" spans="1:16" ht="15" customHeight="1">
      <c r="I76"/>
      <c r="J76"/>
      <c r="K76"/>
    </row>
    <row r="77" spans="1:16" ht="15" customHeight="1">
      <c r="I77"/>
      <c r="J77"/>
      <c r="K77"/>
    </row>
    <row r="78" spans="1:16" ht="15" customHeight="1">
      <c r="P78" s="9"/>
    </row>
    <row r="79" spans="1:16" ht="15" customHeight="1">
      <c r="P79" s="9"/>
    </row>
    <row r="80" spans="1:16" ht="15" customHeight="1">
      <c r="P80" s="9"/>
    </row>
    <row r="81" spans="16:16" ht="15" customHeight="1">
      <c r="P81" s="9"/>
    </row>
    <row r="82" spans="16:16" ht="15" customHeight="1">
      <c r="P82" s="9"/>
    </row>
    <row r="83" spans="16:16" ht="15" customHeight="1">
      <c r="P83" s="9"/>
    </row>
    <row r="84" spans="16:16" ht="15" customHeight="1">
      <c r="P84" s="9"/>
    </row>
    <row r="85" spans="16:16" ht="15" customHeight="1">
      <c r="P85" s="9"/>
    </row>
    <row r="86" spans="16:16" ht="15" customHeight="1">
      <c r="P86" s="9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9281-7D84-724B-9BE0-E81FDB98A02C}">
  <dimension ref="A1:S21"/>
  <sheetViews>
    <sheetView workbookViewId="0">
      <selection activeCell="A12" sqref="A12:K20"/>
    </sheetView>
  </sheetViews>
  <sheetFormatPr defaultColWidth="11.5546875" defaultRowHeight="14.4"/>
  <cols>
    <col min="9" max="11" width="14.44140625" bestFit="1" customWidth="1"/>
    <col min="12" max="13" width="14.6640625" bestFit="1" customWidth="1"/>
    <col min="14" max="18" width="14.44140625" bestFit="1" customWidth="1"/>
    <col min="19" max="19" width="14" bestFit="1" customWidth="1"/>
  </cols>
  <sheetData>
    <row r="1" spans="1:19" ht="17.399999999999999">
      <c r="A1" s="111" t="s">
        <v>15538</v>
      </c>
      <c r="B1" s="111" t="s">
        <v>15531</v>
      </c>
      <c r="C1" s="111" t="s">
        <v>15532</v>
      </c>
      <c r="D1" s="112" t="s">
        <v>15529</v>
      </c>
      <c r="E1" s="112" t="s">
        <v>3601</v>
      </c>
      <c r="F1" s="112" t="s">
        <v>15533</v>
      </c>
      <c r="G1" s="112" t="s">
        <v>11883</v>
      </c>
      <c r="H1" s="112" t="s">
        <v>11884</v>
      </c>
      <c r="I1" s="113" t="s">
        <v>15537</v>
      </c>
      <c r="J1" s="113" t="s">
        <v>15535</v>
      </c>
      <c r="K1" s="113" t="s">
        <v>15536</v>
      </c>
      <c r="L1" s="21"/>
      <c r="M1" s="21"/>
      <c r="N1" s="21"/>
      <c r="O1" s="21">
        <v>-1.9080207980438E-3</v>
      </c>
      <c r="P1" s="21">
        <v>-2.9699999999991199E-2</v>
      </c>
      <c r="Q1" s="118">
        <v>-3.5873384690002799E-2</v>
      </c>
      <c r="R1" s="118">
        <v>-5.9557823918549399E-2</v>
      </c>
      <c r="S1" s="118">
        <v>7.9999999999813597E-4</v>
      </c>
    </row>
    <row r="2" spans="1:19">
      <c r="A2" s="65" t="s">
        <v>15370</v>
      </c>
      <c r="B2" s="65" t="s">
        <v>15441</v>
      </c>
      <c r="C2" s="65" t="s">
        <v>15445</v>
      </c>
      <c r="D2" s="65">
        <v>6.0000000000000001E-3</v>
      </c>
      <c r="E2" s="65">
        <v>1.4E-2</v>
      </c>
      <c r="F2" s="65">
        <v>1.7470000000000001</v>
      </c>
      <c r="G2" s="65">
        <v>10</v>
      </c>
      <c r="H2" s="65">
        <v>13</v>
      </c>
      <c r="I2" s="119">
        <v>0.14494828958288999</v>
      </c>
      <c r="J2" s="119">
        <v>-1.9080207980438E-3</v>
      </c>
      <c r="K2" s="119">
        <v>-2.9699999999991199E-2</v>
      </c>
      <c r="L2" s="21"/>
      <c r="M2" s="21"/>
      <c r="N2" s="21"/>
      <c r="O2" s="118">
        <v>-3.6616339243158998E-2</v>
      </c>
      <c r="P2" s="118">
        <v>-6.3947391919316698E-2</v>
      </c>
      <c r="Q2" s="118">
        <v>-1.06999999999857E-2</v>
      </c>
    </row>
    <row r="3" spans="1:19">
      <c r="A3" t="s">
        <v>15370</v>
      </c>
      <c r="B3" t="s">
        <v>15441</v>
      </c>
      <c r="C3" t="s">
        <v>15446</v>
      </c>
      <c r="D3">
        <v>8.9999999999999993E-3</v>
      </c>
      <c r="E3">
        <v>0.02</v>
      </c>
      <c r="F3">
        <v>1.7490000000000001</v>
      </c>
      <c r="G3">
        <v>10</v>
      </c>
      <c r="H3">
        <v>13</v>
      </c>
      <c r="I3" s="11">
        <v>0.144266066465918</v>
      </c>
      <c r="J3" s="11">
        <v>-3.4255826666070902E-3</v>
      </c>
      <c r="K3" s="11">
        <v>-2.5599999999997201E-2</v>
      </c>
      <c r="L3" s="21"/>
      <c r="M3" s="21"/>
      <c r="N3" s="21"/>
      <c r="O3" s="118">
        <v>-2.45210067187141E-2</v>
      </c>
      <c r="P3" s="118">
        <v>-5.4774666245629801E-2</v>
      </c>
      <c r="Q3" s="118">
        <v>-2.7400000000000101E-2</v>
      </c>
    </row>
    <row r="4" spans="1:19">
      <c r="A4" t="s">
        <v>15370</v>
      </c>
      <c r="B4" t="s">
        <v>15441</v>
      </c>
      <c r="C4" t="s">
        <v>15447</v>
      </c>
      <c r="D4">
        <v>8.0000000000000002E-3</v>
      </c>
      <c r="E4">
        <v>1.7000000000000001E-2</v>
      </c>
      <c r="F4">
        <v>2.2890000000000001</v>
      </c>
      <c r="G4">
        <v>10</v>
      </c>
      <c r="H4">
        <v>8</v>
      </c>
      <c r="I4" s="11">
        <v>0.14436997826717299</v>
      </c>
      <c r="J4" s="11">
        <v>-8.8233997682204898E-3</v>
      </c>
      <c r="K4" s="11">
        <v>-1.5599999999977901E-2</v>
      </c>
      <c r="L4" s="21"/>
      <c r="M4" s="21"/>
      <c r="N4" s="21"/>
      <c r="O4" s="118">
        <v>-2.9209171728914001E-2</v>
      </c>
      <c r="P4" s="118">
        <v>-4.4446533844155603E-2</v>
      </c>
      <c r="Q4" s="118">
        <v>-6.90000000000168E-3</v>
      </c>
    </row>
    <row r="5" spans="1:19">
      <c r="A5" t="s">
        <v>15370</v>
      </c>
      <c r="B5" t="s">
        <v>15441</v>
      </c>
      <c r="C5" t="s">
        <v>15448</v>
      </c>
      <c r="D5">
        <v>1.6E-2</v>
      </c>
      <c r="E5">
        <v>3.4000000000000002E-2</v>
      </c>
      <c r="F5">
        <v>1.2509999999999999</v>
      </c>
      <c r="G5">
        <v>10</v>
      </c>
      <c r="H5">
        <v>27</v>
      </c>
      <c r="I5" s="11">
        <v>0.14603074509047401</v>
      </c>
      <c r="J5" s="11">
        <v>-2.22497307580297E-2</v>
      </c>
      <c r="K5" s="11">
        <v>-1.2299999999982001E-2</v>
      </c>
      <c r="L5" s="21"/>
      <c r="M5" s="21"/>
      <c r="N5" s="21"/>
      <c r="O5" s="118">
        <v>-2.53582018530236E-2</v>
      </c>
      <c r="P5" s="118">
        <v>-4.3616005806780503E-2</v>
      </c>
      <c r="Q5" s="118">
        <v>-2.1399999999999898E-2</v>
      </c>
    </row>
    <row r="6" spans="1:19">
      <c r="A6" t="s">
        <v>15370</v>
      </c>
      <c r="B6" t="s">
        <v>15441</v>
      </c>
      <c r="C6" t="s">
        <v>15449</v>
      </c>
      <c r="D6">
        <v>1.2E-2</v>
      </c>
      <c r="E6">
        <v>2.4E-2</v>
      </c>
      <c r="F6">
        <v>1.3260000000000001</v>
      </c>
      <c r="G6">
        <v>10</v>
      </c>
      <c r="H6">
        <v>24</v>
      </c>
      <c r="I6" s="11">
        <v>0.14491709916262799</v>
      </c>
      <c r="J6" s="11">
        <v>-9.1041271918945905E-3</v>
      </c>
      <c r="K6" s="11">
        <v>-1.12000000000023E-2</v>
      </c>
      <c r="L6" s="21"/>
      <c r="M6" s="21"/>
      <c r="N6" s="21"/>
      <c r="O6" s="118">
        <v>-2.2507716585824501E-2</v>
      </c>
      <c r="P6" s="118">
        <v>-7.2311580034014195E-2</v>
      </c>
      <c r="Q6" s="118">
        <v>7.0000000000049996E-3</v>
      </c>
    </row>
    <row r="7" spans="1:19">
      <c r="A7" t="s">
        <v>15370</v>
      </c>
      <c r="B7" t="s">
        <v>15442</v>
      </c>
      <c r="C7" t="s">
        <v>15450</v>
      </c>
      <c r="D7">
        <v>1.7999999999999999E-2</v>
      </c>
      <c r="E7">
        <v>4.3999999999999997E-2</v>
      </c>
      <c r="F7">
        <v>1.78</v>
      </c>
      <c r="G7">
        <v>10</v>
      </c>
      <c r="H7">
        <v>12</v>
      </c>
      <c r="I7" s="11">
        <v>0.13738725031250301</v>
      </c>
      <c r="J7" s="11">
        <v>-7.8853223576683899E-3</v>
      </c>
      <c r="K7" s="11">
        <v>-9.5599999999990401E-2</v>
      </c>
      <c r="L7" s="118"/>
      <c r="M7" s="118"/>
      <c r="N7" s="118"/>
      <c r="O7" s="118">
        <v>-2.3307396541259701E-2</v>
      </c>
      <c r="P7" s="118">
        <v>-7.3012461690052696E-2</v>
      </c>
      <c r="Q7" s="118">
        <v>-3.5899999999998003E-2</v>
      </c>
    </row>
    <row r="8" spans="1:19">
      <c r="A8" t="s">
        <v>15370</v>
      </c>
      <c r="B8" t="s">
        <v>15442</v>
      </c>
      <c r="C8" t="s">
        <v>15445</v>
      </c>
      <c r="D8">
        <v>7.0000000000000001E-3</v>
      </c>
      <c r="E8">
        <v>1.4E-2</v>
      </c>
      <c r="F8">
        <v>1.7789999999999999</v>
      </c>
      <c r="G8">
        <v>10</v>
      </c>
      <c r="H8">
        <v>12</v>
      </c>
      <c r="I8" s="11">
        <v>0.133244219032081</v>
      </c>
      <c r="J8" s="11">
        <v>-4.0750656886925198E-3</v>
      </c>
      <c r="K8" s="11">
        <v>-1.0999999999995701E-2</v>
      </c>
      <c r="L8" s="21"/>
      <c r="M8" s="21"/>
      <c r="N8" s="21"/>
      <c r="O8" s="118">
        <v>-3.5487001397804703E-2</v>
      </c>
      <c r="P8" s="118">
        <v>-6.8322702452470796E-2</v>
      </c>
      <c r="Q8" s="118">
        <v>-5.37999999999954E-2</v>
      </c>
    </row>
    <row r="9" spans="1:19">
      <c r="A9" t="s">
        <v>15370</v>
      </c>
      <c r="B9" t="s">
        <v>15442</v>
      </c>
      <c r="C9" t="s">
        <v>15451</v>
      </c>
      <c r="D9">
        <v>5.0000000000000001E-3</v>
      </c>
      <c r="E9">
        <v>1.0999999999999999E-2</v>
      </c>
      <c r="F9">
        <v>1.361</v>
      </c>
      <c r="G9">
        <v>10</v>
      </c>
      <c r="H9">
        <v>23</v>
      </c>
      <c r="I9" s="11">
        <v>0.138207023878642</v>
      </c>
      <c r="J9" s="11">
        <v>-1.07055334510329E-2</v>
      </c>
      <c r="K9" s="11">
        <v>-1.7799999999994001E-2</v>
      </c>
    </row>
    <row r="10" spans="1:19">
      <c r="A10" t="s">
        <v>15370</v>
      </c>
      <c r="B10" t="s">
        <v>15443</v>
      </c>
      <c r="C10" t="s">
        <v>15452</v>
      </c>
      <c r="D10">
        <v>1.7000000000000001E-2</v>
      </c>
      <c r="E10">
        <v>2.3E-2</v>
      </c>
      <c r="F10">
        <v>1.663</v>
      </c>
      <c r="G10">
        <v>10</v>
      </c>
      <c r="H10">
        <v>16</v>
      </c>
      <c r="I10" s="11">
        <v>0.12510414042038701</v>
      </c>
      <c r="J10" s="11">
        <v>-5.6021571564553903E-3</v>
      </c>
      <c r="K10" s="11">
        <v>0.17190000000002201</v>
      </c>
    </row>
    <row r="11" spans="1:19">
      <c r="I11" s="11">
        <f>AVERAGE(I2:I10)</f>
        <v>0.13983053469029955</v>
      </c>
      <c r="J11" s="11">
        <f t="shared" ref="J11:K11" si="0">AVERAGE(J2:J10)</f>
        <v>-8.1976599818494294E-3</v>
      </c>
      <c r="K11" s="11">
        <f t="shared" si="0"/>
        <v>-5.2111111111009679E-3</v>
      </c>
    </row>
    <row r="12" spans="1:19" ht="17.399999999999999">
      <c r="A12" s="111" t="s">
        <v>15530</v>
      </c>
      <c r="B12" s="111" t="s">
        <v>15531</v>
      </c>
      <c r="C12" s="111" t="s">
        <v>15532</v>
      </c>
      <c r="D12" s="112" t="s">
        <v>15529</v>
      </c>
      <c r="E12" s="112" t="s">
        <v>3601</v>
      </c>
      <c r="F12" s="112" t="s">
        <v>15533</v>
      </c>
      <c r="G12" s="112" t="s">
        <v>11883</v>
      </c>
      <c r="H12" s="112" t="s">
        <v>11884</v>
      </c>
      <c r="I12" s="113" t="s">
        <v>15534</v>
      </c>
      <c r="J12" s="113" t="s">
        <v>15535</v>
      </c>
      <c r="K12" s="113" t="s">
        <v>15536</v>
      </c>
    </row>
    <row r="13" spans="1:19">
      <c r="A13" s="65" t="s">
        <v>15369</v>
      </c>
      <c r="B13" s="65" t="s">
        <v>15441</v>
      </c>
      <c r="C13" s="65" t="s">
        <v>15445</v>
      </c>
      <c r="D13" s="65">
        <v>8.9999999999999993E-3</v>
      </c>
      <c r="E13" s="65">
        <v>1.2999999999999999E-2</v>
      </c>
      <c r="F13" s="65">
        <v>1.165</v>
      </c>
      <c r="G13" s="65">
        <v>10</v>
      </c>
      <c r="H13" s="65">
        <v>18</v>
      </c>
      <c r="I13" s="66">
        <v>-3.5873384690002799E-2</v>
      </c>
      <c r="J13" s="66">
        <v>-5.9557823918549399E-2</v>
      </c>
      <c r="K13" s="66">
        <v>7.9999999999813597E-4</v>
      </c>
    </row>
    <row r="14" spans="1:19">
      <c r="A14" t="s">
        <v>15369</v>
      </c>
      <c r="B14" t="s">
        <v>15441</v>
      </c>
      <c r="C14" t="s">
        <v>15446</v>
      </c>
      <c r="D14">
        <v>1.0999999999999999E-2</v>
      </c>
      <c r="E14">
        <v>1.4999999999999999E-2</v>
      </c>
      <c r="F14">
        <v>1.157</v>
      </c>
      <c r="G14">
        <v>10</v>
      </c>
      <c r="H14">
        <v>18</v>
      </c>
      <c r="I14" s="118">
        <v>-3.6616339243158998E-2</v>
      </c>
      <c r="J14" s="118">
        <v>-6.3947391919316698E-2</v>
      </c>
      <c r="K14" s="118">
        <v>-1.06999999999857E-2</v>
      </c>
    </row>
    <row r="15" spans="1:19">
      <c r="A15" t="s">
        <v>15369</v>
      </c>
      <c r="B15" t="s">
        <v>15441</v>
      </c>
      <c r="C15" t="s">
        <v>15447</v>
      </c>
      <c r="D15">
        <v>1.6E-2</v>
      </c>
      <c r="E15">
        <v>1.9E-2</v>
      </c>
      <c r="F15">
        <v>1.4319999999999999</v>
      </c>
      <c r="G15">
        <v>10</v>
      </c>
      <c r="H15">
        <v>10</v>
      </c>
      <c r="I15" s="118">
        <v>-2.45210067187141E-2</v>
      </c>
      <c r="J15" s="118">
        <v>-5.4774666245629801E-2</v>
      </c>
      <c r="K15" s="118">
        <v>-2.7400000000000101E-2</v>
      </c>
    </row>
    <row r="16" spans="1:19">
      <c r="A16" t="s">
        <v>15369</v>
      </c>
      <c r="B16" t="s">
        <v>15441</v>
      </c>
      <c r="C16" t="s">
        <v>15448</v>
      </c>
      <c r="D16">
        <v>1.7999999999999999E-2</v>
      </c>
      <c r="E16">
        <v>3.4000000000000002E-2</v>
      </c>
      <c r="F16">
        <v>0.98699999999999999</v>
      </c>
      <c r="G16">
        <v>10</v>
      </c>
      <c r="H16">
        <v>30</v>
      </c>
      <c r="I16" s="118">
        <v>-2.9209171728914001E-2</v>
      </c>
      <c r="J16" s="118">
        <v>-4.4446533844155603E-2</v>
      </c>
      <c r="K16" s="118">
        <v>-6.90000000000168E-3</v>
      </c>
    </row>
    <row r="17" spans="1:11">
      <c r="A17" t="s">
        <v>15369</v>
      </c>
      <c r="B17" t="s">
        <v>15441</v>
      </c>
      <c r="C17" t="s">
        <v>15449</v>
      </c>
      <c r="D17">
        <v>1.2999999999999999E-2</v>
      </c>
      <c r="E17">
        <v>2.4E-2</v>
      </c>
      <c r="F17">
        <v>1.161</v>
      </c>
      <c r="G17">
        <v>10</v>
      </c>
      <c r="H17">
        <v>27</v>
      </c>
      <c r="I17" s="118">
        <v>-2.53582018530236E-2</v>
      </c>
      <c r="J17" s="118">
        <v>-4.3616005806780503E-2</v>
      </c>
      <c r="K17" s="118">
        <v>-2.1399999999999898E-2</v>
      </c>
    </row>
    <row r="18" spans="1:11">
      <c r="A18" t="s">
        <v>15369</v>
      </c>
      <c r="B18" t="s">
        <v>15442</v>
      </c>
      <c r="C18" t="s">
        <v>15450</v>
      </c>
      <c r="D18">
        <v>2.5000000000000001E-2</v>
      </c>
      <c r="E18">
        <v>3.3000000000000002E-2</v>
      </c>
      <c r="F18">
        <v>1.3089999999999999</v>
      </c>
      <c r="G18">
        <v>74</v>
      </c>
      <c r="H18">
        <v>16</v>
      </c>
      <c r="I18" s="118">
        <v>-2.2507716585824501E-2</v>
      </c>
      <c r="J18" s="118">
        <v>-7.2311580034014195E-2</v>
      </c>
      <c r="K18" s="118">
        <v>7.0000000000049996E-3</v>
      </c>
    </row>
    <row r="19" spans="1:11">
      <c r="A19" t="s">
        <v>15369</v>
      </c>
      <c r="B19" t="s">
        <v>15442</v>
      </c>
      <c r="C19" t="s">
        <v>15445</v>
      </c>
      <c r="D19">
        <v>0.01</v>
      </c>
      <c r="E19">
        <v>1.6E-2</v>
      </c>
      <c r="F19">
        <v>1.32</v>
      </c>
      <c r="G19">
        <v>10</v>
      </c>
      <c r="H19">
        <v>17</v>
      </c>
      <c r="I19" s="118">
        <v>-2.3307396541259701E-2</v>
      </c>
      <c r="J19" s="118">
        <v>-7.3012461690052696E-2</v>
      </c>
      <c r="K19" s="118">
        <v>-3.5899999999998003E-2</v>
      </c>
    </row>
    <row r="20" spans="1:11">
      <c r="A20" t="s">
        <v>15369</v>
      </c>
      <c r="B20" t="s">
        <v>15442</v>
      </c>
      <c r="C20" t="s">
        <v>15451</v>
      </c>
      <c r="D20">
        <v>8.0000000000000002E-3</v>
      </c>
      <c r="E20">
        <v>1.4999999999999999E-2</v>
      </c>
      <c r="F20">
        <v>1.1830000000000001</v>
      </c>
      <c r="G20">
        <v>10</v>
      </c>
      <c r="H20">
        <v>25</v>
      </c>
      <c r="I20" s="118">
        <v>-3.5487001397804703E-2</v>
      </c>
      <c r="J20" s="118">
        <v>-6.8322702452470796E-2</v>
      </c>
      <c r="K20" s="118">
        <v>-5.37999999999954E-2</v>
      </c>
    </row>
    <row r="21" spans="1:11">
      <c r="I21" s="118">
        <f>AVERAGE(I13:I20)</f>
        <v>-2.9110027344837801E-2</v>
      </c>
      <c r="J21" s="118">
        <f t="shared" ref="J21:K21" si="1">AVERAGE(J13:J20)</f>
        <v>-5.999864573887121E-2</v>
      </c>
      <c r="K21" s="118">
        <f t="shared" si="1"/>
        <v>-1.8537499999997206E-2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5DFA-F00E-FF4F-8AD9-29232E030528}">
  <dimension ref="A1:L34"/>
  <sheetViews>
    <sheetView workbookViewId="0">
      <selection activeCell="C8" sqref="C8"/>
    </sheetView>
  </sheetViews>
  <sheetFormatPr defaultColWidth="11.5546875" defaultRowHeight="14.4"/>
  <cols>
    <col min="9" max="10" width="14.44140625" bestFit="1" customWidth="1"/>
    <col min="11" max="11" width="14" bestFit="1" customWidth="1"/>
  </cols>
  <sheetData>
    <row r="1" spans="1:12" ht="17.399999999999999">
      <c r="A1" s="115" t="s">
        <v>15530</v>
      </c>
      <c r="B1" s="115" t="s">
        <v>15531</v>
      </c>
      <c r="C1" s="115" t="s">
        <v>15532</v>
      </c>
      <c r="D1" s="114" t="s">
        <v>15529</v>
      </c>
      <c r="E1" s="114" t="s">
        <v>3601</v>
      </c>
      <c r="F1" s="114" t="s">
        <v>15533</v>
      </c>
      <c r="G1" s="114" t="s">
        <v>11883</v>
      </c>
      <c r="H1" s="114" t="s">
        <v>11884</v>
      </c>
      <c r="I1" s="116" t="s">
        <v>15534</v>
      </c>
      <c r="J1" s="116" t="s">
        <v>15535</v>
      </c>
      <c r="K1" s="116" t="s">
        <v>15536</v>
      </c>
      <c r="L1" s="113"/>
    </row>
    <row r="2" spans="1:12">
      <c r="A2" t="s">
        <v>15376</v>
      </c>
      <c r="B2" t="s">
        <v>15441</v>
      </c>
      <c r="C2" t="s">
        <v>15445</v>
      </c>
      <c r="D2">
        <v>1.2E-2</v>
      </c>
      <c r="E2" t="s">
        <v>3453</v>
      </c>
      <c r="F2" t="s">
        <v>10850</v>
      </c>
      <c r="G2" t="s">
        <v>3366</v>
      </c>
      <c r="H2" t="s">
        <v>11890</v>
      </c>
      <c r="I2" s="11">
        <v>7.6166366455750201E-2</v>
      </c>
      <c r="J2" s="11">
        <v>-0.152579848902298</v>
      </c>
      <c r="K2" s="11">
        <v>1.56000000000063E-2</v>
      </c>
    </row>
    <row r="3" spans="1:12">
      <c r="A3" t="s">
        <v>15376</v>
      </c>
      <c r="B3" t="s">
        <v>15441</v>
      </c>
      <c r="C3" t="s">
        <v>15446</v>
      </c>
      <c r="D3">
        <v>1.4E-2</v>
      </c>
      <c r="E3" t="s">
        <v>3463</v>
      </c>
      <c r="F3" t="s">
        <v>10851</v>
      </c>
      <c r="G3" t="s">
        <v>3366</v>
      </c>
      <c r="H3" t="s">
        <v>11890</v>
      </c>
      <c r="I3" s="11">
        <v>8.9865134322827597E-2</v>
      </c>
      <c r="J3" s="11">
        <v>-0.15663667119803801</v>
      </c>
      <c r="K3" s="11">
        <v>1.53000000000247E-2</v>
      </c>
    </row>
    <row r="4" spans="1:12">
      <c r="A4" t="s">
        <v>15376</v>
      </c>
      <c r="B4" t="s">
        <v>15441</v>
      </c>
      <c r="C4" t="s">
        <v>15447</v>
      </c>
      <c r="D4">
        <v>1.6E-2</v>
      </c>
      <c r="E4" t="s">
        <v>3460</v>
      </c>
      <c r="F4" t="s">
        <v>10852</v>
      </c>
      <c r="G4" t="s">
        <v>3366</v>
      </c>
      <c r="H4" t="s">
        <v>11892</v>
      </c>
      <c r="I4" s="11">
        <v>9.0700936162500106E-2</v>
      </c>
      <c r="J4" s="11">
        <v>-0.14616237919158301</v>
      </c>
      <c r="K4" s="11">
        <v>1.62000000000262E-2</v>
      </c>
    </row>
    <row r="5" spans="1:12">
      <c r="A5" t="s">
        <v>15376</v>
      </c>
      <c r="B5" t="s">
        <v>15441</v>
      </c>
      <c r="C5" t="s">
        <v>15448</v>
      </c>
      <c r="D5">
        <v>2.3E-2</v>
      </c>
      <c r="E5" t="s">
        <v>3458</v>
      </c>
      <c r="F5" t="s">
        <v>10853</v>
      </c>
      <c r="G5" t="s">
        <v>3366</v>
      </c>
      <c r="H5" t="s">
        <v>11891</v>
      </c>
      <c r="I5" s="11">
        <v>8.4379668754793399E-2</v>
      </c>
      <c r="J5" s="11">
        <v>-0.14730332604520599</v>
      </c>
      <c r="K5" s="11">
        <v>3.72000000000412E-2</v>
      </c>
    </row>
    <row r="6" spans="1:12">
      <c r="A6" t="s">
        <v>15376</v>
      </c>
      <c r="B6" t="s">
        <v>15441</v>
      </c>
      <c r="C6" t="s">
        <v>15449</v>
      </c>
      <c r="D6">
        <v>1.4E-2</v>
      </c>
      <c r="E6" t="s">
        <v>3450</v>
      </c>
      <c r="F6" t="s">
        <v>10854</v>
      </c>
      <c r="G6" t="s">
        <v>3366</v>
      </c>
      <c r="H6" t="s">
        <v>11891</v>
      </c>
      <c r="I6" s="11">
        <v>8.2169397956281004E-2</v>
      </c>
      <c r="J6" s="11">
        <v>-0.148609291854676</v>
      </c>
      <c r="K6" s="11">
        <v>4.8800000000028397E-2</v>
      </c>
    </row>
    <row r="7" spans="1:12">
      <c r="A7" t="s">
        <v>15376</v>
      </c>
      <c r="B7" t="s">
        <v>15442</v>
      </c>
      <c r="C7" t="s">
        <v>15445</v>
      </c>
      <c r="D7">
        <v>1.6E-2</v>
      </c>
      <c r="E7" t="s">
        <v>3477</v>
      </c>
      <c r="F7" t="s">
        <v>10855</v>
      </c>
      <c r="G7" t="s">
        <v>3375</v>
      </c>
      <c r="H7" t="s">
        <v>11885</v>
      </c>
      <c r="I7" s="11">
        <v>0.10637206525453601</v>
      </c>
      <c r="J7" s="11">
        <v>-0.15173946142150699</v>
      </c>
      <c r="K7" s="11">
        <v>3.1800000000032497E-2</v>
      </c>
    </row>
    <row r="8" spans="1:12">
      <c r="A8" t="s">
        <v>15376</v>
      </c>
      <c r="B8" t="s">
        <v>15442</v>
      </c>
      <c r="C8" t="s">
        <v>15451</v>
      </c>
      <c r="D8">
        <v>8.0000000000000002E-3</v>
      </c>
      <c r="E8" t="s">
        <v>3442</v>
      </c>
      <c r="F8" t="s">
        <v>3652</v>
      </c>
      <c r="G8" t="s">
        <v>3366</v>
      </c>
      <c r="H8" t="s">
        <v>11908</v>
      </c>
      <c r="I8" s="11">
        <v>9.4041155173089905E-2</v>
      </c>
      <c r="J8" s="11">
        <v>-0.138887701447416</v>
      </c>
      <c r="K8" s="11">
        <v>1.9900000000006898E-2</v>
      </c>
    </row>
    <row r="9" spans="1:12">
      <c r="A9" t="s">
        <v>15376</v>
      </c>
      <c r="B9" t="s">
        <v>15442</v>
      </c>
      <c r="C9" t="s">
        <v>15450</v>
      </c>
      <c r="D9">
        <v>1.4E-2</v>
      </c>
      <c r="E9" t="s">
        <v>3460</v>
      </c>
      <c r="F9" t="s">
        <v>10856</v>
      </c>
      <c r="G9" t="s">
        <v>3402</v>
      </c>
      <c r="H9" t="s">
        <v>11890</v>
      </c>
      <c r="I9" s="11">
        <v>0.14178628877252999</v>
      </c>
      <c r="J9" s="11">
        <v>-0.163261911314248</v>
      </c>
      <c r="K9" s="11">
        <v>-4.7899999999970098E-2</v>
      </c>
    </row>
    <row r="10" spans="1:12">
      <c r="A10" t="s">
        <v>15376</v>
      </c>
      <c r="B10" t="s">
        <v>15443</v>
      </c>
      <c r="C10" t="s">
        <v>15452</v>
      </c>
      <c r="D10">
        <v>1.4E-2</v>
      </c>
      <c r="E10" t="s">
        <v>3463</v>
      </c>
      <c r="F10" t="s">
        <v>10857</v>
      </c>
      <c r="G10" t="s">
        <v>3366</v>
      </c>
      <c r="H10" t="s">
        <v>11898</v>
      </c>
      <c r="I10" s="11">
        <v>8.4392528175214004E-2</v>
      </c>
      <c r="J10" s="11">
        <v>-0.14270269203386801</v>
      </c>
      <c r="K10" s="11">
        <v>0.20730000000003199</v>
      </c>
    </row>
    <row r="11" spans="1:12">
      <c r="A11" s="6" t="s">
        <v>15376</v>
      </c>
      <c r="B11" t="s">
        <v>15443</v>
      </c>
      <c r="C11" t="s">
        <v>15463</v>
      </c>
      <c r="D11">
        <v>1.7999999999999999E-2</v>
      </c>
      <c r="E11" t="s">
        <v>3466</v>
      </c>
      <c r="F11" t="s">
        <v>10858</v>
      </c>
      <c r="G11" t="s">
        <v>3366</v>
      </c>
      <c r="H11" t="s">
        <v>11901</v>
      </c>
      <c r="I11" s="11">
        <v>8.39809211900822E-2</v>
      </c>
      <c r="J11" s="11">
        <v>-0.15240485476587401</v>
      </c>
      <c r="K11" s="11">
        <v>0.25760000000002498</v>
      </c>
    </row>
    <row r="12" spans="1:12">
      <c r="A12" s="6"/>
      <c r="D12">
        <f>AVERAGE(D2:D11)</f>
        <v>1.49E-2</v>
      </c>
      <c r="E12" t="e">
        <f t="shared" ref="E12:K12" si="0">AVERAGE(E2:E11)</f>
        <v>#DIV/0!</v>
      </c>
      <c r="F12" t="e">
        <f t="shared" si="0"/>
        <v>#DIV/0!</v>
      </c>
      <c r="G12" t="e">
        <f t="shared" si="0"/>
        <v>#DIV/0!</v>
      </c>
      <c r="H12" t="e">
        <f t="shared" si="0"/>
        <v>#DIV/0!</v>
      </c>
      <c r="I12">
        <f t="shared" si="0"/>
        <v>9.338544622176044E-2</v>
      </c>
      <c r="J12">
        <f t="shared" si="0"/>
        <v>-0.15002881381747141</v>
      </c>
      <c r="K12">
        <f t="shared" si="0"/>
        <v>6.0180000000025304E-2</v>
      </c>
    </row>
    <row r="13" spans="1:12" ht="17.399999999999999">
      <c r="A13" s="115" t="s">
        <v>15530</v>
      </c>
      <c r="B13" s="115" t="s">
        <v>15531</v>
      </c>
      <c r="C13" s="115" t="s">
        <v>15532</v>
      </c>
      <c r="D13" s="114" t="s">
        <v>15529</v>
      </c>
      <c r="E13" s="114" t="s">
        <v>3601</v>
      </c>
      <c r="F13" s="114" t="s">
        <v>15533</v>
      </c>
      <c r="G13" s="114" t="s">
        <v>11883</v>
      </c>
      <c r="H13" s="114" t="s">
        <v>11884</v>
      </c>
      <c r="I13" s="116" t="s">
        <v>15534</v>
      </c>
      <c r="J13" s="116" t="s">
        <v>15535</v>
      </c>
      <c r="K13" s="116" t="s">
        <v>15536</v>
      </c>
    </row>
    <row r="14" spans="1:12">
      <c r="A14" t="s">
        <v>15375</v>
      </c>
      <c r="B14" t="s">
        <v>15441</v>
      </c>
      <c r="C14" t="s">
        <v>15445</v>
      </c>
      <c r="D14" t="s">
        <v>3427</v>
      </c>
      <c r="E14" t="s">
        <v>3434</v>
      </c>
      <c r="F14" t="s">
        <v>10835</v>
      </c>
      <c r="G14" t="s">
        <v>3366</v>
      </c>
      <c r="H14" t="s">
        <v>11885</v>
      </c>
      <c r="I14" s="11">
        <v>-4.1336518236623002E-2</v>
      </c>
      <c r="J14" s="11">
        <v>-0.113378232859007</v>
      </c>
      <c r="K14" s="11">
        <v>3.8600000000002403E-2</v>
      </c>
    </row>
    <row r="15" spans="1:12">
      <c r="A15" t="s">
        <v>15375</v>
      </c>
      <c r="B15" t="s">
        <v>15441</v>
      </c>
      <c r="C15" t="s">
        <v>15446</v>
      </c>
      <c r="D15" t="s">
        <v>3438</v>
      </c>
      <c r="E15" t="s">
        <v>3431</v>
      </c>
      <c r="F15" t="s">
        <v>10710</v>
      </c>
      <c r="G15" t="s">
        <v>3366</v>
      </c>
      <c r="H15" t="s">
        <v>11885</v>
      </c>
      <c r="I15" s="11">
        <v>-4.8229881552762699E-2</v>
      </c>
      <c r="J15" s="11">
        <v>-0.111281430065635</v>
      </c>
      <c r="K15" s="11">
        <v>4.4600000000002603E-2</v>
      </c>
    </row>
    <row r="16" spans="1:12">
      <c r="A16" t="s">
        <v>15375</v>
      </c>
      <c r="B16" t="s">
        <v>15441</v>
      </c>
      <c r="C16" t="s">
        <v>15447</v>
      </c>
      <c r="D16" t="s">
        <v>3462</v>
      </c>
      <c r="E16" t="s">
        <v>3467</v>
      </c>
      <c r="F16" t="s">
        <v>10836</v>
      </c>
      <c r="G16" t="s">
        <v>3383</v>
      </c>
      <c r="H16" t="s">
        <v>11887</v>
      </c>
      <c r="I16" s="11">
        <v>-5.38572074828935E-2</v>
      </c>
      <c r="J16" s="11">
        <v>-0.110422209049568</v>
      </c>
      <c r="K16" s="11">
        <v>7.5999999999993406E-2</v>
      </c>
    </row>
    <row r="17" spans="1:11">
      <c r="A17" t="s">
        <v>15375</v>
      </c>
      <c r="B17" t="s">
        <v>15441</v>
      </c>
      <c r="C17" t="s">
        <v>15448</v>
      </c>
      <c r="D17" t="s">
        <v>3462</v>
      </c>
      <c r="E17" t="s">
        <v>3477</v>
      </c>
      <c r="F17" t="s">
        <v>10837</v>
      </c>
      <c r="G17" t="s">
        <v>3366</v>
      </c>
      <c r="H17" t="s">
        <v>11914</v>
      </c>
      <c r="I17" s="11">
        <v>-4.8235323592825202E-2</v>
      </c>
      <c r="J17" s="11">
        <v>-0.109664674739803</v>
      </c>
      <c r="K17" s="11">
        <v>5.0099999999986301E-2</v>
      </c>
    </row>
    <row r="18" spans="1:11">
      <c r="A18" t="s">
        <v>15375</v>
      </c>
      <c r="B18" t="s">
        <v>15441</v>
      </c>
      <c r="C18" t="s">
        <v>15449</v>
      </c>
      <c r="D18" t="s">
        <v>3453</v>
      </c>
      <c r="E18" t="s">
        <v>3460</v>
      </c>
      <c r="F18" t="s">
        <v>10838</v>
      </c>
      <c r="G18" t="s">
        <v>3366</v>
      </c>
      <c r="H18" t="s">
        <v>11889</v>
      </c>
      <c r="I18" s="11">
        <v>-5.0887489314286098E-2</v>
      </c>
      <c r="J18" s="11">
        <v>-0.110911100210436</v>
      </c>
      <c r="K18" s="11">
        <v>3.07999999999993E-2</v>
      </c>
    </row>
    <row r="19" spans="1:11">
      <c r="A19" t="s">
        <v>15375</v>
      </c>
      <c r="B19" t="s">
        <v>15442</v>
      </c>
      <c r="C19" t="s">
        <v>15450</v>
      </c>
      <c r="D19" t="s">
        <v>3436</v>
      </c>
      <c r="E19" t="s">
        <v>3442</v>
      </c>
      <c r="F19" t="s">
        <v>10839</v>
      </c>
      <c r="G19" t="s">
        <v>3366</v>
      </c>
      <c r="H19" t="s">
        <v>11885</v>
      </c>
      <c r="I19" s="11">
        <v>-4.9469705113865697E-2</v>
      </c>
      <c r="J19" s="11">
        <v>-8.3768268895447598E-2</v>
      </c>
      <c r="K19" s="11">
        <v>-8.5000000000008E-2</v>
      </c>
    </row>
    <row r="20" spans="1:11">
      <c r="A20" t="s">
        <v>15375</v>
      </c>
      <c r="B20" t="s">
        <v>15442</v>
      </c>
      <c r="C20" t="s">
        <v>15445</v>
      </c>
      <c r="D20" t="s">
        <v>3436</v>
      </c>
      <c r="E20" t="s">
        <v>3435</v>
      </c>
      <c r="F20" t="s">
        <v>10840</v>
      </c>
      <c r="G20" t="s">
        <v>3366</v>
      </c>
      <c r="H20" t="s">
        <v>11885</v>
      </c>
      <c r="I20" s="11">
        <v>-4.91799081022158E-2</v>
      </c>
      <c r="J20" s="11">
        <v>-8.3845967733985602E-2</v>
      </c>
      <c r="K20" s="11">
        <v>-7.6200000000000004E-2</v>
      </c>
    </row>
    <row r="21" spans="1:11">
      <c r="A21" t="s">
        <v>15375</v>
      </c>
      <c r="B21" t="s">
        <v>15442</v>
      </c>
      <c r="C21" t="s">
        <v>15451</v>
      </c>
      <c r="D21" t="s">
        <v>3438</v>
      </c>
      <c r="E21" t="s">
        <v>3431</v>
      </c>
      <c r="F21" t="s">
        <v>3637</v>
      </c>
      <c r="G21" t="s">
        <v>3366</v>
      </c>
      <c r="H21" t="s">
        <v>11893</v>
      </c>
      <c r="I21" s="11">
        <v>-4.68549092705417E-2</v>
      </c>
      <c r="J21" s="11">
        <v>-9.2578390403175795E-2</v>
      </c>
      <c r="K21" s="11">
        <v>-8.69999999999891E-2</v>
      </c>
    </row>
    <row r="22" spans="1:11">
      <c r="A22" t="s">
        <v>15375</v>
      </c>
      <c r="B22" t="s">
        <v>15443</v>
      </c>
      <c r="C22" t="s">
        <v>15452</v>
      </c>
      <c r="D22" t="s">
        <v>3435</v>
      </c>
      <c r="E22" t="s">
        <v>3426</v>
      </c>
      <c r="F22" t="s">
        <v>10562</v>
      </c>
      <c r="G22" t="s">
        <v>3366</v>
      </c>
      <c r="H22" t="s">
        <v>11901</v>
      </c>
      <c r="I22" s="11">
        <v>-3.61032980936093E-2</v>
      </c>
      <c r="J22" s="11">
        <v>-8.8522938947050794E-2</v>
      </c>
      <c r="K22" s="11">
        <v>0.11899999999999999</v>
      </c>
    </row>
    <row r="23" spans="1:11">
      <c r="I23" s="11">
        <f>AVERAGE(I14:I22)</f>
        <v>-4.7128248973291445E-2</v>
      </c>
      <c r="J23" s="11">
        <f t="shared" ref="J23:K23" si="1">AVERAGE(J14:J22)</f>
        <v>-0.10048591254490098</v>
      </c>
      <c r="K23" s="11">
        <f t="shared" si="1"/>
        <v>1.2322222222220763E-2</v>
      </c>
    </row>
    <row r="24" spans="1:11" ht="17.399999999999999">
      <c r="A24" s="115" t="s">
        <v>15530</v>
      </c>
      <c r="B24" s="115" t="s">
        <v>15531</v>
      </c>
      <c r="C24" s="115" t="s">
        <v>15532</v>
      </c>
      <c r="D24" s="114" t="s">
        <v>15529</v>
      </c>
      <c r="E24" s="114" t="s">
        <v>3601</v>
      </c>
      <c r="F24" s="114" t="s">
        <v>15533</v>
      </c>
      <c r="G24" s="114" t="s">
        <v>11883</v>
      </c>
      <c r="H24" s="114" t="s">
        <v>11884</v>
      </c>
      <c r="I24" s="116" t="s">
        <v>15534</v>
      </c>
      <c r="J24" s="116" t="s">
        <v>15535</v>
      </c>
      <c r="K24" s="116" t="s">
        <v>15536</v>
      </c>
    </row>
    <row r="25" spans="1:11">
      <c r="A25" t="s">
        <v>15374</v>
      </c>
      <c r="B25" t="s">
        <v>15441</v>
      </c>
      <c r="C25" t="s">
        <v>15445</v>
      </c>
      <c r="D25" t="s">
        <v>3452</v>
      </c>
      <c r="E25" t="s">
        <v>3460</v>
      </c>
      <c r="F25" t="s">
        <v>10828</v>
      </c>
      <c r="G25" t="s">
        <v>3387</v>
      </c>
      <c r="H25" t="s">
        <v>11902</v>
      </c>
      <c r="I25" s="11">
        <v>5.4099763813193001E-2</v>
      </c>
      <c r="J25" s="11">
        <v>-8.9206941419140998E-2</v>
      </c>
      <c r="K25" s="11">
        <v>-6.4499999999952706E-2</v>
      </c>
    </row>
    <row r="26" spans="1:11">
      <c r="A26" t="s">
        <v>15374</v>
      </c>
      <c r="B26" t="s">
        <v>15441</v>
      </c>
      <c r="C26" t="s">
        <v>15446</v>
      </c>
      <c r="D26" t="s">
        <v>3436</v>
      </c>
      <c r="E26" t="s">
        <v>3426</v>
      </c>
      <c r="F26" t="s">
        <v>10829</v>
      </c>
      <c r="G26" t="s">
        <v>3366</v>
      </c>
      <c r="H26" t="s">
        <v>11902</v>
      </c>
      <c r="I26" s="11">
        <v>5.3397262366008301E-2</v>
      </c>
      <c r="J26" s="11">
        <v>-8.9418155841814603E-2</v>
      </c>
      <c r="K26" s="11">
        <v>-6.8699999999978403E-2</v>
      </c>
    </row>
    <row r="27" spans="1:11">
      <c r="A27" t="s">
        <v>15374</v>
      </c>
      <c r="B27" t="s">
        <v>15441</v>
      </c>
      <c r="C27" t="s">
        <v>15448</v>
      </c>
      <c r="D27" t="s">
        <v>3433</v>
      </c>
      <c r="E27" t="s">
        <v>3458</v>
      </c>
      <c r="F27" t="s">
        <v>10830</v>
      </c>
      <c r="G27" t="s">
        <v>3366</v>
      </c>
      <c r="H27" t="s">
        <v>11910</v>
      </c>
      <c r="I27" s="11">
        <v>5.05230025153902E-2</v>
      </c>
      <c r="J27" s="11">
        <v>-8.2716390055178404E-2</v>
      </c>
      <c r="K27" s="11">
        <v>-6.1000000000035496E-3</v>
      </c>
    </row>
    <row r="28" spans="1:11">
      <c r="A28" t="s">
        <v>15374</v>
      </c>
      <c r="B28" t="s">
        <v>15441</v>
      </c>
      <c r="C28" t="s">
        <v>15449</v>
      </c>
      <c r="D28" t="s">
        <v>3442</v>
      </c>
      <c r="E28" t="s">
        <v>3466</v>
      </c>
      <c r="F28" t="s">
        <v>10831</v>
      </c>
      <c r="G28" t="s">
        <v>3366</v>
      </c>
      <c r="H28" t="s">
        <v>11896</v>
      </c>
      <c r="I28" s="11">
        <v>5.4287255213231599E-2</v>
      </c>
      <c r="J28" s="11">
        <v>-8.2884378056639701E-2</v>
      </c>
      <c r="K28" s="11">
        <v>1.0000000000332E-3</v>
      </c>
    </row>
    <row r="29" spans="1:11">
      <c r="A29" t="s">
        <v>15374</v>
      </c>
      <c r="B29" t="s">
        <v>15442</v>
      </c>
      <c r="C29" t="s">
        <v>15450</v>
      </c>
      <c r="D29" t="s">
        <v>3461</v>
      </c>
      <c r="E29" t="s">
        <v>3458</v>
      </c>
      <c r="F29" t="s">
        <v>10651</v>
      </c>
      <c r="G29" t="s">
        <v>3400</v>
      </c>
      <c r="H29" t="s">
        <v>11885</v>
      </c>
      <c r="I29" s="11">
        <v>4.6618539440664498E-2</v>
      </c>
      <c r="J29" s="11">
        <v>-9.5012224876312196E-2</v>
      </c>
      <c r="K29" s="11">
        <v>1.4100000000041701E-2</v>
      </c>
    </row>
    <row r="30" spans="1:11">
      <c r="A30" t="s">
        <v>15374</v>
      </c>
      <c r="B30" t="s">
        <v>15442</v>
      </c>
      <c r="C30" t="s">
        <v>15445</v>
      </c>
      <c r="D30" t="s">
        <v>3425</v>
      </c>
      <c r="E30" t="s">
        <v>3433</v>
      </c>
      <c r="F30" t="s">
        <v>10832</v>
      </c>
      <c r="G30" t="s">
        <v>3366</v>
      </c>
      <c r="H30" t="s">
        <v>11885</v>
      </c>
      <c r="I30" s="11">
        <v>6.0889830469911699E-2</v>
      </c>
      <c r="J30" s="11">
        <v>-9.9356360380015898E-2</v>
      </c>
      <c r="K30" s="11">
        <v>-5.2899999999965502E-2</v>
      </c>
    </row>
    <row r="31" spans="1:11">
      <c r="A31" t="s">
        <v>15374</v>
      </c>
      <c r="B31" t="s">
        <v>15442</v>
      </c>
      <c r="C31" t="s">
        <v>15451</v>
      </c>
      <c r="D31" t="s">
        <v>3427</v>
      </c>
      <c r="E31" t="s">
        <v>3435</v>
      </c>
      <c r="F31" t="s">
        <v>10833</v>
      </c>
      <c r="G31" t="s">
        <v>3366</v>
      </c>
      <c r="H31" t="s">
        <v>11896</v>
      </c>
      <c r="I31" s="11">
        <v>6.0734647296158198E-2</v>
      </c>
      <c r="J31" s="11">
        <v>-8.6728120749570897E-2</v>
      </c>
      <c r="K31" s="11">
        <v>-1.0299999999972401E-2</v>
      </c>
    </row>
    <row r="32" spans="1:11">
      <c r="A32" t="s">
        <v>15374</v>
      </c>
      <c r="B32" t="s">
        <v>15441</v>
      </c>
      <c r="C32" t="s">
        <v>15447</v>
      </c>
      <c r="D32" t="s">
        <v>3436</v>
      </c>
      <c r="E32" t="s">
        <v>3441</v>
      </c>
      <c r="F32" t="s">
        <v>10834</v>
      </c>
      <c r="G32" t="s">
        <v>3366</v>
      </c>
      <c r="H32" t="s">
        <v>11892</v>
      </c>
      <c r="I32" s="11">
        <v>4.9884388870454099E-2</v>
      </c>
      <c r="J32" s="11">
        <v>-7.5170742546433203E-2</v>
      </c>
      <c r="K32" s="11">
        <v>-5.3799999999966999E-2</v>
      </c>
    </row>
    <row r="33" spans="1:11">
      <c r="A33" t="s">
        <v>15374</v>
      </c>
      <c r="B33" t="s">
        <v>15443</v>
      </c>
      <c r="C33" t="s">
        <v>15452</v>
      </c>
      <c r="D33" t="s">
        <v>3435</v>
      </c>
      <c r="E33" t="s">
        <v>3465</v>
      </c>
      <c r="F33" t="s">
        <v>10654</v>
      </c>
      <c r="G33" t="s">
        <v>3392</v>
      </c>
      <c r="H33" t="s">
        <v>11903</v>
      </c>
      <c r="I33" s="11">
        <v>7.8237664996162901E-2</v>
      </c>
      <c r="J33" s="11">
        <v>-7.494653623177E-2</v>
      </c>
      <c r="K33" s="11">
        <v>0.12440000000003699</v>
      </c>
    </row>
    <row r="34" spans="1:11">
      <c r="I34" s="118">
        <f>AVERAGE(I25:I33)</f>
        <v>5.6519150553463827E-2</v>
      </c>
      <c r="J34" s="118">
        <f t="shared" ref="J34:K34" si="2">AVERAGE(J25:J33)</f>
        <v>-8.6159983350763997E-2</v>
      </c>
      <c r="K34" s="118">
        <f t="shared" si="2"/>
        <v>-1.2977777777747512E-2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2725-8EB1-7F43-A74D-D5E617DA5DA6}">
  <sheetPr filterMode="1"/>
  <dimension ref="A1:Q239"/>
  <sheetViews>
    <sheetView workbookViewId="0">
      <selection activeCell="I1" sqref="I1:K1"/>
    </sheetView>
  </sheetViews>
  <sheetFormatPr defaultColWidth="11.5546875" defaultRowHeight="14.4"/>
  <cols>
    <col min="9" max="11" width="14.6640625" style="118" bestFit="1" customWidth="1"/>
    <col min="13" max="13" width="14.44140625" bestFit="1" customWidth="1"/>
    <col min="14" max="15" width="14" bestFit="1" customWidth="1"/>
  </cols>
  <sheetData>
    <row r="1" spans="1:17" ht="17.399999999999999">
      <c r="A1" s="115" t="s">
        <v>15530</v>
      </c>
      <c r="B1" s="115" t="s">
        <v>15531</v>
      </c>
      <c r="C1" s="115" t="s">
        <v>15532</v>
      </c>
      <c r="D1" s="114" t="s">
        <v>15529</v>
      </c>
      <c r="E1" s="114" t="s">
        <v>3601</v>
      </c>
      <c r="F1" s="114" t="s">
        <v>15533</v>
      </c>
      <c r="G1" s="114" t="s">
        <v>11883</v>
      </c>
      <c r="H1" s="114" t="s">
        <v>11884</v>
      </c>
      <c r="I1" s="116" t="s">
        <v>15534</v>
      </c>
      <c r="J1" s="116" t="s">
        <v>15535</v>
      </c>
      <c r="K1" s="116" t="s">
        <v>15536</v>
      </c>
    </row>
    <row r="2" spans="1:17" hidden="1">
      <c r="A2" t="s">
        <v>15304</v>
      </c>
      <c r="B2" t="s">
        <v>15441</v>
      </c>
      <c r="C2" t="s">
        <v>15445</v>
      </c>
      <c r="D2" t="s">
        <v>3428</v>
      </c>
      <c r="E2" t="s">
        <v>3430</v>
      </c>
      <c r="F2" t="s">
        <v>10933</v>
      </c>
      <c r="G2" t="s">
        <v>3366</v>
      </c>
      <c r="H2" t="s">
        <v>11895</v>
      </c>
      <c r="I2">
        <v>-1.2829948875257799E-2</v>
      </c>
      <c r="J2">
        <v>-2.6642113883736E-2</v>
      </c>
      <c r="K2">
        <v>-8.8000000000079091E-3</v>
      </c>
      <c r="M2" s="118"/>
      <c r="N2" s="118"/>
      <c r="O2" s="118"/>
    </row>
    <row r="3" spans="1:17" hidden="1">
      <c r="A3" t="s">
        <v>15304</v>
      </c>
      <c r="B3" t="s">
        <v>15441</v>
      </c>
      <c r="C3" t="s">
        <v>15445</v>
      </c>
      <c r="D3" t="s">
        <v>3428</v>
      </c>
      <c r="E3" t="s">
        <v>3430</v>
      </c>
      <c r="F3" t="s">
        <v>10933</v>
      </c>
      <c r="G3" t="s">
        <v>3366</v>
      </c>
      <c r="H3" t="s">
        <v>11895</v>
      </c>
      <c r="I3">
        <v>-1.23561721724233E-2</v>
      </c>
      <c r="J3">
        <v>-2.92151964079038E-2</v>
      </c>
      <c r="K3">
        <v>-1.6500000000007699E-2</v>
      </c>
      <c r="M3" s="118"/>
      <c r="N3" s="6"/>
    </row>
    <row r="4" spans="1:17" hidden="1">
      <c r="A4" t="s">
        <v>15304</v>
      </c>
      <c r="B4" t="s">
        <v>15441</v>
      </c>
      <c r="C4" t="s">
        <v>15445</v>
      </c>
      <c r="D4" t="s">
        <v>3428</v>
      </c>
      <c r="E4" t="s">
        <v>3430</v>
      </c>
      <c r="F4" t="s">
        <v>10939</v>
      </c>
      <c r="G4" t="s">
        <v>3366</v>
      </c>
      <c r="H4" t="s">
        <v>11895</v>
      </c>
      <c r="I4">
        <v>-1.28682819891528E-2</v>
      </c>
      <c r="J4">
        <v>-2.9830850493058302E-2</v>
      </c>
      <c r="K4">
        <v>-2.0300000000020201E-2</v>
      </c>
      <c r="M4" s="118"/>
    </row>
    <row r="5" spans="1:17" hidden="1">
      <c r="A5" t="s">
        <v>15304</v>
      </c>
      <c r="B5" t="s">
        <v>15441</v>
      </c>
      <c r="C5" t="s">
        <v>15446</v>
      </c>
      <c r="D5" t="s">
        <v>3428</v>
      </c>
      <c r="E5" t="s">
        <v>3430</v>
      </c>
      <c r="F5" t="s">
        <v>10530</v>
      </c>
      <c r="G5" t="s">
        <v>3366</v>
      </c>
      <c r="H5" t="s">
        <v>11895</v>
      </c>
      <c r="I5">
        <v>-7.49369073030635E-3</v>
      </c>
      <c r="J5">
        <v>-2.81656103341529E-2</v>
      </c>
      <c r="K5">
        <v>-2.4500000000017501E-2</v>
      </c>
    </row>
    <row r="6" spans="1:17" hidden="1">
      <c r="A6" t="s">
        <v>15304</v>
      </c>
      <c r="B6" t="s">
        <v>15441</v>
      </c>
      <c r="C6" t="s">
        <v>15446</v>
      </c>
      <c r="D6" t="s">
        <v>3428</v>
      </c>
      <c r="E6" t="s">
        <v>3430</v>
      </c>
      <c r="F6" t="s">
        <v>10530</v>
      </c>
      <c r="G6" t="s">
        <v>3366</v>
      </c>
      <c r="H6" t="s">
        <v>11895</v>
      </c>
      <c r="I6">
        <v>-6.2205706989346497E-3</v>
      </c>
      <c r="J6">
        <v>-2.75688579337196E-2</v>
      </c>
      <c r="K6">
        <v>-2.2500000000008E-2</v>
      </c>
    </row>
    <row r="7" spans="1:17" hidden="1">
      <c r="A7" t="s">
        <v>15304</v>
      </c>
      <c r="B7" t="s">
        <v>15441</v>
      </c>
      <c r="C7" t="s">
        <v>15446</v>
      </c>
      <c r="D7" t="s">
        <v>3428</v>
      </c>
      <c r="E7" t="s">
        <v>3430</v>
      </c>
      <c r="F7" t="s">
        <v>10530</v>
      </c>
      <c r="G7" t="s">
        <v>3366</v>
      </c>
      <c r="H7" t="s">
        <v>11895</v>
      </c>
      <c r="I7">
        <v>-1.1375144444080399E-2</v>
      </c>
      <c r="J7">
        <v>-2.7046478867844299E-2</v>
      </c>
      <c r="K7">
        <v>-2.9500000000012998E-2</v>
      </c>
    </row>
    <row r="8" spans="1:17" hidden="1">
      <c r="A8" t="s">
        <v>15304</v>
      </c>
      <c r="B8" t="s">
        <v>15441</v>
      </c>
      <c r="C8" t="s">
        <v>15448</v>
      </c>
      <c r="D8" t="s">
        <v>3426</v>
      </c>
      <c r="E8" t="s">
        <v>3484</v>
      </c>
      <c r="F8" t="s">
        <v>10940</v>
      </c>
      <c r="G8" t="s">
        <v>3392</v>
      </c>
      <c r="H8" t="s">
        <v>11907</v>
      </c>
      <c r="I8">
        <v>3.3920425228362102E-3</v>
      </c>
      <c r="J8">
        <v>-2.5769521330876202E-2</v>
      </c>
      <c r="K8">
        <v>-2.28000000000179E-2</v>
      </c>
    </row>
    <row r="9" spans="1:17" hidden="1">
      <c r="A9" t="s">
        <v>15304</v>
      </c>
      <c r="B9" t="s">
        <v>15441</v>
      </c>
      <c r="C9" t="s">
        <v>15448</v>
      </c>
      <c r="D9" t="s">
        <v>3433</v>
      </c>
      <c r="E9" t="s">
        <v>3484</v>
      </c>
      <c r="F9" t="s">
        <v>10940</v>
      </c>
      <c r="G9" t="s">
        <v>3366</v>
      </c>
      <c r="H9" t="s">
        <v>11907</v>
      </c>
      <c r="I9">
        <v>9.3835860456098208E-3</v>
      </c>
      <c r="J9">
        <v>-2.9753568721699E-2</v>
      </c>
      <c r="K9">
        <v>-2.24000000000046E-2</v>
      </c>
    </row>
    <row r="10" spans="1:17" hidden="1">
      <c r="A10" t="s">
        <v>15304</v>
      </c>
      <c r="B10" t="s">
        <v>15441</v>
      </c>
      <c r="C10" t="s">
        <v>15448</v>
      </c>
      <c r="D10" t="s">
        <v>3426</v>
      </c>
      <c r="E10" t="s">
        <v>3484</v>
      </c>
      <c r="F10" t="s">
        <v>10940</v>
      </c>
      <c r="G10" t="s">
        <v>3368</v>
      </c>
      <c r="H10" t="s">
        <v>11907</v>
      </c>
      <c r="I10">
        <v>1.0450819349011899E-2</v>
      </c>
      <c r="J10">
        <v>-2.6942870538530801E-2</v>
      </c>
      <c r="K10">
        <v>-3.3400000000000298E-2</v>
      </c>
    </row>
    <row r="11" spans="1:17" hidden="1">
      <c r="A11" t="s">
        <v>15304</v>
      </c>
      <c r="B11" t="s">
        <v>15441</v>
      </c>
      <c r="C11" t="s">
        <v>15449</v>
      </c>
      <c r="D11" t="s">
        <v>3427</v>
      </c>
      <c r="E11" t="s">
        <v>3429</v>
      </c>
      <c r="F11" t="s">
        <v>10811</v>
      </c>
      <c r="G11" t="s">
        <v>3371</v>
      </c>
      <c r="H11" t="s">
        <v>11896</v>
      </c>
      <c r="I11">
        <v>-2.0832128235863102E-2</v>
      </c>
      <c r="J11">
        <v>-2.79397151707436E-2</v>
      </c>
      <c r="K11">
        <v>1.05999999999824E-2</v>
      </c>
      <c r="M11" cm="1">
        <f t="array" ref="M11">_xlfn.LET(_xlpm.x, _xlfn.TOCOL(_xlfn.VSTACK(I2:I19,I23:I37,I41:I64,I66:I86,I90:I119,I123:I137,I141:I167,I171:I200,I204:I230,I234:I239),1),
     AVERAGE(ABS(_xlpm.x)))</f>
        <v>1.12218311771306E-2</v>
      </c>
      <c r="N11" cm="1">
        <f t="array" ref="N11">_xlfn.LET(_xlpm.x, _xlfn.TOCOL(_xlfn.VSTACK(J2:J19,J23:J37,J41:J64,J66:J86,J90:J119,J123:J137,J141:J167,J171:J200,J204:J230,J234:J239),1),
     AVERAGE(ABS(_xlpm.x)))</f>
        <v>1.7273909797153441E-2</v>
      </c>
      <c r="O11" cm="1">
        <f t="array" ref="O11">_xlfn.LET(_xlpm.x, _xlfn.TOCOL(_xlfn.VSTACK(K2:K19,K23:K37,K41:K64,K66:K86,K90:K119,K123:K137,K141:K167,K171:K200,K204:K230,K234:K239),1),
     AVERAGE(ABS(_xlpm.x)))</f>
        <v>4.0764788732392726E-2</v>
      </c>
      <c r="Q11">
        <f>AVERAGE(M11:N11)</f>
        <v>1.424787048714202E-2</v>
      </c>
    </row>
    <row r="12" spans="1:17" hidden="1">
      <c r="A12" t="s">
        <v>15304</v>
      </c>
      <c r="B12" t="s">
        <v>15441</v>
      </c>
      <c r="C12" t="s">
        <v>15449</v>
      </c>
      <c r="D12" t="s">
        <v>3427</v>
      </c>
      <c r="E12" t="s">
        <v>3429</v>
      </c>
      <c r="F12" t="s">
        <v>10941</v>
      </c>
      <c r="G12" t="s">
        <v>3366</v>
      </c>
      <c r="H12" t="s">
        <v>11896</v>
      </c>
      <c r="I12">
        <v>-1.91815061087942E-2</v>
      </c>
      <c r="J12">
        <v>-2.7882644984736499E-2</v>
      </c>
      <c r="K12">
        <v>1.38000000000034E-2</v>
      </c>
    </row>
    <row r="13" spans="1:17" hidden="1">
      <c r="A13" t="s">
        <v>15304</v>
      </c>
      <c r="B13" t="s">
        <v>15441</v>
      </c>
      <c r="C13" t="s">
        <v>15449</v>
      </c>
      <c r="D13" t="s">
        <v>3427</v>
      </c>
      <c r="E13" t="s">
        <v>3429</v>
      </c>
      <c r="F13" t="s">
        <v>10941</v>
      </c>
      <c r="G13" t="s">
        <v>3366</v>
      </c>
      <c r="H13" t="s">
        <v>11896</v>
      </c>
      <c r="I13">
        <v>-2.1226589031685901E-2</v>
      </c>
      <c r="J13">
        <v>-2.68774425398286E-2</v>
      </c>
      <c r="K13">
        <v>1.31999999999834E-2</v>
      </c>
      <c r="M13" cm="1">
        <f t="array" ref="M13">_xlfn.LET(
  _xlpm.x, _xlfn.TOCOL(_xlfn.VSTACK(I2:I19,I23:I37,I41:I64,I66:I86,I90:I119,I123:I137,I141:I167,I171:I200,I204:I230,I234:I239), 1),
  MAX(ABS(_xlpm.x))
)</f>
        <v>4.9370042637431798E-2</v>
      </c>
      <c r="N13" cm="1">
        <f t="array" ref="N13">_xlfn.LET(
  _xlpm.x, _xlfn.TOCOL(_xlfn.VSTACK(J2:J19,J23:J37,J41:J64,J66:J86,J90:J119,J123:J137,J141:J167,J171:J200,J204:J230,J234:J239), 1),
  MAX(ABS(_xlpm.x))
)</f>
        <v>7.3620701250011494E-2</v>
      </c>
      <c r="O13" cm="1">
        <f t="array" ref="O13">_xlfn.LET(
  _xlpm.x, _xlfn.TOCOL(_xlfn.VSTACK(K2:K19,K23:K37,K41:K64,K66:K86,K90:K119,K123:K137,K141:K167,K171:K200,K204:K230,K234:K239), 1),
  MAX(ABS(_xlpm.x))
)</f>
        <v>0.20700000000005001</v>
      </c>
    </row>
    <row r="14" spans="1:17" hidden="1">
      <c r="A14" t="s">
        <v>15304</v>
      </c>
      <c r="B14" t="s">
        <v>15442</v>
      </c>
      <c r="C14" t="s">
        <v>15445</v>
      </c>
      <c r="D14" t="s">
        <v>3436</v>
      </c>
      <c r="E14" t="s">
        <v>3441</v>
      </c>
      <c r="F14" t="s">
        <v>10942</v>
      </c>
      <c r="G14" t="s">
        <v>3366</v>
      </c>
      <c r="H14" t="s">
        <v>11894</v>
      </c>
      <c r="I14">
        <v>-6.2532517495726102E-3</v>
      </c>
      <c r="J14">
        <v>-3.6537149778392002E-2</v>
      </c>
      <c r="K14">
        <v>-4.8599999999993301E-2</v>
      </c>
    </row>
    <row r="15" spans="1:17" hidden="1">
      <c r="A15" t="s">
        <v>15304</v>
      </c>
      <c r="B15" t="s">
        <v>15442</v>
      </c>
      <c r="C15" t="s">
        <v>15445</v>
      </c>
      <c r="D15" t="s">
        <v>3430</v>
      </c>
      <c r="E15" t="s">
        <v>3432</v>
      </c>
      <c r="F15" t="s">
        <v>10803</v>
      </c>
      <c r="G15" t="s">
        <v>3366</v>
      </c>
      <c r="H15" t="s">
        <v>11895</v>
      </c>
      <c r="I15">
        <v>-6.0523116752330304E-3</v>
      </c>
      <c r="J15">
        <v>-3.8630972704954802E-2</v>
      </c>
      <c r="K15">
        <v>-5.5900000000008297E-2</v>
      </c>
    </row>
    <row r="16" spans="1:17" hidden="1">
      <c r="A16" t="s">
        <v>15304</v>
      </c>
      <c r="B16" t="s">
        <v>15442</v>
      </c>
      <c r="C16" t="s">
        <v>15445</v>
      </c>
      <c r="D16" t="s">
        <v>3452</v>
      </c>
      <c r="E16" t="s">
        <v>3461</v>
      </c>
      <c r="F16" t="s">
        <v>10803</v>
      </c>
      <c r="G16" t="s">
        <v>3374</v>
      </c>
      <c r="H16" t="s">
        <v>11895</v>
      </c>
      <c r="I16">
        <v>-5.4956054100200203E-4</v>
      </c>
      <c r="J16">
        <v>-4.0949503130658302E-2</v>
      </c>
      <c r="K16">
        <v>-5.6299999999993099E-2</v>
      </c>
    </row>
    <row r="17" spans="1:17" hidden="1">
      <c r="A17" t="s">
        <v>15304</v>
      </c>
      <c r="B17" t="s">
        <v>15442</v>
      </c>
      <c r="C17" t="s">
        <v>15451</v>
      </c>
      <c r="D17" t="s">
        <v>3438</v>
      </c>
      <c r="E17" t="s">
        <v>3434</v>
      </c>
      <c r="F17" t="s">
        <v>10943</v>
      </c>
      <c r="G17" t="s">
        <v>3366</v>
      </c>
      <c r="H17" t="s">
        <v>11914</v>
      </c>
      <c r="I17">
        <v>-1.24434383722776E-2</v>
      </c>
      <c r="J17">
        <v>-3.1807447170924798E-2</v>
      </c>
      <c r="K17">
        <v>-7.3700000000002305E-2</v>
      </c>
    </row>
    <row r="18" spans="1:17" hidden="1">
      <c r="A18" t="s">
        <v>15304</v>
      </c>
      <c r="B18" t="s">
        <v>15442</v>
      </c>
      <c r="C18" t="s">
        <v>15451</v>
      </c>
      <c r="D18" t="s">
        <v>3438</v>
      </c>
      <c r="E18" t="s">
        <v>3434</v>
      </c>
      <c r="F18" t="s">
        <v>10944</v>
      </c>
      <c r="G18" t="s">
        <v>3366</v>
      </c>
      <c r="H18" t="s">
        <v>11912</v>
      </c>
      <c r="I18">
        <v>-1.2846113048170099E-2</v>
      </c>
      <c r="J18">
        <v>-2.8817202698447501E-2</v>
      </c>
      <c r="K18">
        <v>-7.0800000000019694E-2</v>
      </c>
    </row>
    <row r="19" spans="1:17" hidden="1">
      <c r="A19" t="s">
        <v>15304</v>
      </c>
      <c r="B19" t="s">
        <v>15442</v>
      </c>
      <c r="C19" t="s">
        <v>15451</v>
      </c>
      <c r="D19" t="s">
        <v>3438</v>
      </c>
      <c r="E19" t="s">
        <v>3431</v>
      </c>
      <c r="F19" t="s">
        <v>10819</v>
      </c>
      <c r="G19" t="s">
        <v>3366</v>
      </c>
      <c r="H19" t="s">
        <v>11912</v>
      </c>
      <c r="I19">
        <v>-1.00294211937491E-2</v>
      </c>
      <c r="J19">
        <v>-2.8411405577345901E-2</v>
      </c>
      <c r="K19">
        <v>-7.8599999999994494E-2</v>
      </c>
    </row>
    <row r="20" spans="1:17">
      <c r="A20" t="s">
        <v>15304</v>
      </c>
      <c r="B20" t="s">
        <v>15442</v>
      </c>
      <c r="C20" t="s">
        <v>15450</v>
      </c>
      <c r="D20" t="s">
        <v>3430</v>
      </c>
      <c r="E20" t="s">
        <v>3463</v>
      </c>
      <c r="F20" t="s">
        <v>10945</v>
      </c>
      <c r="G20" t="s">
        <v>3414</v>
      </c>
      <c r="H20" t="s">
        <v>11885</v>
      </c>
      <c r="I20">
        <v>7.5799137523295701E-2</v>
      </c>
      <c r="J20">
        <v>1.25410893474265</v>
      </c>
      <c r="K20">
        <v>-0.84929999999999894</v>
      </c>
      <c r="M20" cm="1">
        <f t="array" ref="M20">_xlfn.LET(
_xlpm.x, _xlfn.TOCOL(_xlfn.VSTACK(I20:I22,I38:I40,I65,I87:I89,I120:I122,I138:I140,I168:I170,I201:I203,I231:I233), 1),
AVERAGE(ABS(_xlpm.x))
)</f>
        <v>8.6841042280751304E-2</v>
      </c>
      <c r="N20" cm="1">
        <f t="array" ref="N20">_xlfn.LET(
_xlpm.x, _xlfn.TOCOL(_xlfn.VSTACK(J20:J22,J38:J40,J65,J87:J89,J120:J122,J138:J140,J168:J170,J201:J203,J231:J233), 1),
AVERAGE(ABS(_xlpm.x))
)</f>
        <v>0.22136596779594409</v>
      </c>
      <c r="O20" cm="1">
        <f t="array" ref="O20">_xlfn.LET(
_xlpm.x, _xlfn.TOCOL(_xlfn.VSTACK(K20:K22,K38:K40,K65,K87:K89,K120:K122,K138:K140,K168:K170,K201:K203,K231:K233), 1),
AVERAGE(ABS(_xlpm.x))
)</f>
        <v>0.23044800000000298</v>
      </c>
      <c r="Q20">
        <f>AVERAGE(M20:N20)</f>
        <v>0.15410350503834769</v>
      </c>
    </row>
    <row r="21" spans="1:17">
      <c r="A21" t="s">
        <v>15304</v>
      </c>
      <c r="B21" t="s">
        <v>15442</v>
      </c>
      <c r="C21" t="s">
        <v>15450</v>
      </c>
      <c r="D21" t="s">
        <v>3429</v>
      </c>
      <c r="E21" t="s">
        <v>3463</v>
      </c>
      <c r="F21" t="s">
        <v>10946</v>
      </c>
      <c r="G21" t="s">
        <v>3366</v>
      </c>
      <c r="H21" t="s">
        <v>11885</v>
      </c>
      <c r="I21">
        <v>7.5081319213769301E-2</v>
      </c>
      <c r="J21">
        <v>1.25529913206414</v>
      </c>
      <c r="K21">
        <v>-0.85540000000000305</v>
      </c>
    </row>
    <row r="22" spans="1:17">
      <c r="A22" t="s">
        <v>15304</v>
      </c>
      <c r="B22" t="s">
        <v>15442</v>
      </c>
      <c r="C22" t="s">
        <v>15450</v>
      </c>
      <c r="D22" t="s">
        <v>3442</v>
      </c>
      <c r="E22" t="s">
        <v>3484</v>
      </c>
      <c r="F22" t="s">
        <v>10946</v>
      </c>
      <c r="G22" t="s">
        <v>3366</v>
      </c>
      <c r="H22" t="s">
        <v>11885</v>
      </c>
      <c r="I22">
        <v>7.3598249445597799E-2</v>
      </c>
      <c r="J22">
        <v>1.2549292408886901</v>
      </c>
      <c r="K22">
        <v>-0.86199999999999499</v>
      </c>
      <c r="M22" cm="1">
        <f t="array" ref="M22">_xlfn.LET(
_xlpm.x, _xlfn.TOCOL(_xlfn.VSTACK(I20:I22,I38:I40,I65,I87:I89,I120:I122,I138:I140,I168:I170,I201:I203,I231:I233), 1),
MAX(ABS(_xlpm.x))
)</f>
        <v>0.15921439945426</v>
      </c>
      <c r="N22" cm="1">
        <f t="array" ref="N22">_xlfn.LET(
_xlpm.x, _xlfn.TOCOL(_xlfn.VSTACK(J20:J22,J38:J40,J65,J87:J89,J120:J122,J138:J140,J168:J170,J201:J203,J231:J233), 1),
MAX(ABS(_xlpm.x))
)</f>
        <v>1.25529913206414</v>
      </c>
      <c r="O22" cm="1">
        <f t="array" ref="O22">_xlfn.LET(
_xlpm.x, _xlfn.TOCOL(_xlfn.VSTACK(K20:K22,K38:K40,K65,K87:K89,K120:K122,K138:K140,K168:K170,K201:K203,K231:K233), 1),
MAX(ABS(_xlpm.x))
)</f>
        <v>0.86199999999999499</v>
      </c>
    </row>
    <row r="23" spans="1:17" hidden="1">
      <c r="A23" t="s">
        <v>15310</v>
      </c>
      <c r="B23" t="s">
        <v>15441</v>
      </c>
      <c r="C23" t="s">
        <v>15445</v>
      </c>
      <c r="D23" t="s">
        <v>3435</v>
      </c>
      <c r="E23" t="s">
        <v>3484</v>
      </c>
      <c r="F23" t="s">
        <v>11112</v>
      </c>
      <c r="G23" t="s">
        <v>3366</v>
      </c>
      <c r="H23" t="s">
        <v>11885</v>
      </c>
      <c r="I23">
        <v>5.6044928206889196E-3</v>
      </c>
      <c r="J23">
        <v>6.2606964854791001E-3</v>
      </c>
      <c r="K23">
        <v>6.94999999999482E-2</v>
      </c>
    </row>
    <row r="24" spans="1:17" hidden="1">
      <c r="A24" t="s">
        <v>15310</v>
      </c>
      <c r="B24" t="s">
        <v>15441</v>
      </c>
      <c r="C24" t="s">
        <v>15445</v>
      </c>
      <c r="D24" t="s">
        <v>3435</v>
      </c>
      <c r="E24" t="s">
        <v>3484</v>
      </c>
      <c r="F24" t="s">
        <v>11142</v>
      </c>
      <c r="G24" t="s">
        <v>3366</v>
      </c>
      <c r="H24" t="s">
        <v>11885</v>
      </c>
      <c r="I24">
        <v>2.29838556215776E-3</v>
      </c>
      <c r="J24">
        <v>2.9128483799092599E-3</v>
      </c>
      <c r="K24">
        <v>7.5400000000001896E-2</v>
      </c>
    </row>
    <row r="25" spans="1:17" hidden="1">
      <c r="A25" t="s">
        <v>15310</v>
      </c>
      <c r="B25" t="s">
        <v>15441</v>
      </c>
      <c r="C25" t="s">
        <v>15445</v>
      </c>
      <c r="D25" t="s">
        <v>3435</v>
      </c>
      <c r="E25" t="s">
        <v>3511</v>
      </c>
      <c r="F25" t="s">
        <v>11126</v>
      </c>
      <c r="G25" t="s">
        <v>3366</v>
      </c>
      <c r="H25" t="s">
        <v>11885</v>
      </c>
      <c r="I25">
        <v>1.1676006057742799E-2</v>
      </c>
      <c r="J25">
        <v>6.1901065340212698E-3</v>
      </c>
      <c r="K25">
        <v>5.8399999999949201E-2</v>
      </c>
    </row>
    <row r="26" spans="1:17" hidden="1">
      <c r="A26" t="s">
        <v>15310</v>
      </c>
      <c r="B26" t="s">
        <v>15441</v>
      </c>
      <c r="C26" t="s">
        <v>15446</v>
      </c>
      <c r="D26" t="s">
        <v>3427</v>
      </c>
      <c r="E26" t="s">
        <v>3435</v>
      </c>
      <c r="F26" t="s">
        <v>11143</v>
      </c>
      <c r="G26" t="s">
        <v>3366</v>
      </c>
      <c r="H26" t="s">
        <v>11885</v>
      </c>
      <c r="I26">
        <v>2.2445409157563299E-2</v>
      </c>
      <c r="J26">
        <v>4.0332361135410897E-3</v>
      </c>
      <c r="K26">
        <v>3.7199999999984398E-2</v>
      </c>
    </row>
    <row r="27" spans="1:17" hidden="1">
      <c r="A27" t="s">
        <v>15310</v>
      </c>
      <c r="B27" t="s">
        <v>15441</v>
      </c>
      <c r="C27" t="s">
        <v>15446</v>
      </c>
      <c r="D27" t="s">
        <v>3427</v>
      </c>
      <c r="E27" t="s">
        <v>3429</v>
      </c>
      <c r="F27" t="s">
        <v>10717</v>
      </c>
      <c r="G27" t="s">
        <v>3366</v>
      </c>
      <c r="H27" t="s">
        <v>11885</v>
      </c>
      <c r="I27">
        <v>2.4390273984754199E-2</v>
      </c>
      <c r="J27">
        <v>5.7367744078866004E-3</v>
      </c>
      <c r="K27">
        <v>3.01999999999794E-2</v>
      </c>
    </row>
    <row r="28" spans="1:17" hidden="1">
      <c r="A28" t="s">
        <v>15310</v>
      </c>
      <c r="B28" t="s">
        <v>15441</v>
      </c>
      <c r="C28" t="s">
        <v>15446</v>
      </c>
      <c r="D28" t="s">
        <v>3436</v>
      </c>
      <c r="E28" t="s">
        <v>3433</v>
      </c>
      <c r="F28" t="s">
        <v>11144</v>
      </c>
      <c r="G28" t="s">
        <v>3366</v>
      </c>
      <c r="H28" t="s">
        <v>11885</v>
      </c>
      <c r="I28">
        <v>2.0606714575725899E-2</v>
      </c>
      <c r="J28">
        <v>1.06678842406352E-2</v>
      </c>
      <c r="K28">
        <v>3.1899999999950503E-2</v>
      </c>
    </row>
    <row r="29" spans="1:17" hidden="1">
      <c r="A29" t="s">
        <v>15310</v>
      </c>
      <c r="B29" t="s">
        <v>15441</v>
      </c>
      <c r="C29" t="s">
        <v>15447</v>
      </c>
      <c r="D29" t="s">
        <v>3427</v>
      </c>
      <c r="E29" t="s">
        <v>3435</v>
      </c>
      <c r="F29" t="s">
        <v>11145</v>
      </c>
      <c r="G29" t="s">
        <v>3366</v>
      </c>
      <c r="H29" t="s">
        <v>11892</v>
      </c>
      <c r="I29">
        <v>-1.0623163644275501E-2</v>
      </c>
      <c r="J29">
        <v>-7.07593919390567E-3</v>
      </c>
      <c r="K29">
        <v>0.11769999999995701</v>
      </c>
    </row>
    <row r="30" spans="1:17" hidden="1">
      <c r="A30" t="s">
        <v>15310</v>
      </c>
      <c r="B30" t="s">
        <v>15441</v>
      </c>
      <c r="C30" t="s">
        <v>15447</v>
      </c>
      <c r="D30" t="s">
        <v>3436</v>
      </c>
      <c r="E30" t="s">
        <v>3441</v>
      </c>
      <c r="F30" t="s">
        <v>10768</v>
      </c>
      <c r="G30" t="s">
        <v>3366</v>
      </c>
      <c r="H30" t="s">
        <v>11892</v>
      </c>
      <c r="I30">
        <v>-1.1141185789837501E-2</v>
      </c>
      <c r="J30">
        <v>-5.44879812155909E-4</v>
      </c>
      <c r="K30">
        <v>0.115399999999966</v>
      </c>
    </row>
    <row r="31" spans="1:17" hidden="1">
      <c r="A31" t="s">
        <v>15310</v>
      </c>
      <c r="B31" t="s">
        <v>15441</v>
      </c>
      <c r="C31" t="s">
        <v>15447</v>
      </c>
      <c r="D31" t="s">
        <v>3428</v>
      </c>
      <c r="E31" t="s">
        <v>3442</v>
      </c>
      <c r="F31" t="s">
        <v>3659</v>
      </c>
      <c r="G31" t="s">
        <v>3366</v>
      </c>
      <c r="H31" t="s">
        <v>11892</v>
      </c>
      <c r="I31">
        <v>-1.04705488120729E-2</v>
      </c>
      <c r="J31">
        <v>5.3467199288018399E-3</v>
      </c>
      <c r="K31">
        <v>0.101199999999949</v>
      </c>
    </row>
    <row r="32" spans="1:17" hidden="1">
      <c r="A32" t="s">
        <v>15310</v>
      </c>
      <c r="B32" t="s">
        <v>15441</v>
      </c>
      <c r="C32" t="s">
        <v>15448</v>
      </c>
      <c r="D32" t="s">
        <v>3434</v>
      </c>
      <c r="E32" t="s">
        <v>3452</v>
      </c>
      <c r="F32" t="s">
        <v>11146</v>
      </c>
      <c r="G32" t="s">
        <v>3366</v>
      </c>
      <c r="H32" t="s">
        <v>11914</v>
      </c>
      <c r="I32">
        <v>8.9463818004568794E-3</v>
      </c>
      <c r="J32">
        <v>-4.1381619659771902E-3</v>
      </c>
      <c r="K32">
        <v>4.0599999999983503E-2</v>
      </c>
    </row>
    <row r="33" spans="1:11" hidden="1">
      <c r="A33" t="s">
        <v>15310</v>
      </c>
      <c r="B33" t="s">
        <v>15441</v>
      </c>
      <c r="C33" t="s">
        <v>15448</v>
      </c>
      <c r="D33" t="s">
        <v>3435</v>
      </c>
      <c r="E33" t="s">
        <v>3465</v>
      </c>
      <c r="F33" t="s">
        <v>10741</v>
      </c>
      <c r="G33" t="s">
        <v>3366</v>
      </c>
      <c r="H33" t="s">
        <v>11912</v>
      </c>
      <c r="I33">
        <v>9.9084229279291607E-3</v>
      </c>
      <c r="J33">
        <v>-2.64987820368529E-3</v>
      </c>
      <c r="K33">
        <v>4.6699999999987099E-2</v>
      </c>
    </row>
    <row r="34" spans="1:11" hidden="1">
      <c r="A34" t="s">
        <v>15310</v>
      </c>
      <c r="B34" t="s">
        <v>15441</v>
      </c>
      <c r="C34" t="s">
        <v>15448</v>
      </c>
      <c r="D34" t="s">
        <v>3430</v>
      </c>
      <c r="E34" t="s">
        <v>3460</v>
      </c>
      <c r="F34" t="s">
        <v>10741</v>
      </c>
      <c r="G34" t="s">
        <v>3366</v>
      </c>
      <c r="H34" t="s">
        <v>11912</v>
      </c>
      <c r="I34">
        <v>8.3069193230937803E-3</v>
      </c>
      <c r="J34">
        <v>-2.0980172103399301E-3</v>
      </c>
      <c r="K34">
        <v>4.89999999999782E-2</v>
      </c>
    </row>
    <row r="35" spans="1:11" hidden="1">
      <c r="A35" t="s">
        <v>15310</v>
      </c>
      <c r="B35" t="s">
        <v>15441</v>
      </c>
      <c r="C35" t="s">
        <v>15449</v>
      </c>
      <c r="D35" t="s">
        <v>3436</v>
      </c>
      <c r="E35" t="s">
        <v>3442</v>
      </c>
      <c r="F35" t="s">
        <v>11147</v>
      </c>
      <c r="G35" t="s">
        <v>3366</v>
      </c>
      <c r="H35" t="s">
        <v>11891</v>
      </c>
      <c r="I35">
        <v>7.6120661865405901E-3</v>
      </c>
      <c r="J35">
        <v>-1.7045054894988899E-2</v>
      </c>
      <c r="K35">
        <v>8.9199999999948404E-2</v>
      </c>
    </row>
    <row r="36" spans="1:11" hidden="1">
      <c r="A36" t="s">
        <v>15310</v>
      </c>
      <c r="B36" t="s">
        <v>15441</v>
      </c>
      <c r="C36" t="s">
        <v>15449</v>
      </c>
      <c r="D36" t="s">
        <v>3425</v>
      </c>
      <c r="E36" t="s">
        <v>3453</v>
      </c>
      <c r="F36" t="s">
        <v>11148</v>
      </c>
      <c r="G36" t="s">
        <v>3366</v>
      </c>
      <c r="H36" t="s">
        <v>11891</v>
      </c>
      <c r="I36">
        <v>7.8259437015898697E-3</v>
      </c>
      <c r="J36">
        <v>-1.9231605781673398E-2</v>
      </c>
      <c r="K36">
        <v>8.7499999999977304E-2</v>
      </c>
    </row>
    <row r="37" spans="1:11" hidden="1">
      <c r="A37" t="s">
        <v>15310</v>
      </c>
      <c r="B37" t="s">
        <v>15441</v>
      </c>
      <c r="C37" t="s">
        <v>15449</v>
      </c>
      <c r="D37" t="s">
        <v>3434</v>
      </c>
      <c r="E37" t="s">
        <v>3433</v>
      </c>
      <c r="F37" t="s">
        <v>11149</v>
      </c>
      <c r="G37" t="s">
        <v>3366</v>
      </c>
      <c r="H37" t="s">
        <v>11893</v>
      </c>
      <c r="I37">
        <v>8.3503810297865903E-3</v>
      </c>
      <c r="J37">
        <v>-1.99002034773023E-2</v>
      </c>
      <c r="K37">
        <v>9.0399999999988295E-2</v>
      </c>
    </row>
    <row r="38" spans="1:11">
      <c r="A38" t="s">
        <v>15310</v>
      </c>
      <c r="B38" t="s">
        <v>15442</v>
      </c>
      <c r="C38" t="s">
        <v>15450</v>
      </c>
      <c r="D38" t="s">
        <v>3433</v>
      </c>
      <c r="E38" t="s">
        <v>3613</v>
      </c>
      <c r="F38" t="s">
        <v>11150</v>
      </c>
      <c r="G38" t="s">
        <v>3385</v>
      </c>
      <c r="H38" t="s">
        <v>11885</v>
      </c>
      <c r="I38">
        <v>-3.4879937370225898E-2</v>
      </c>
      <c r="J38">
        <v>0.125728007178534</v>
      </c>
      <c r="K38">
        <v>1.6999999999711701E-3</v>
      </c>
    </row>
    <row r="39" spans="1:11">
      <c r="A39" t="s">
        <v>15310</v>
      </c>
      <c r="B39" t="s">
        <v>15442</v>
      </c>
      <c r="C39" t="s">
        <v>15450</v>
      </c>
      <c r="D39" t="s">
        <v>3452</v>
      </c>
      <c r="E39" t="s">
        <v>3458</v>
      </c>
      <c r="F39" t="s">
        <v>11093</v>
      </c>
      <c r="G39" t="s">
        <v>3366</v>
      </c>
      <c r="H39" t="s">
        <v>11885</v>
      </c>
      <c r="I39">
        <v>-2.8976219167357702E-2</v>
      </c>
      <c r="J39">
        <v>0.12742995923498501</v>
      </c>
      <c r="K39">
        <v>-1.1300000000005601E-2</v>
      </c>
    </row>
    <row r="40" spans="1:11">
      <c r="A40" t="s">
        <v>15310</v>
      </c>
      <c r="B40" t="s">
        <v>15442</v>
      </c>
      <c r="C40" t="s">
        <v>15450</v>
      </c>
      <c r="D40" t="s">
        <v>3432</v>
      </c>
      <c r="E40" t="s">
        <v>3515</v>
      </c>
      <c r="F40" t="s">
        <v>10690</v>
      </c>
      <c r="G40" t="s">
        <v>3366</v>
      </c>
      <c r="H40" t="s">
        <v>11885</v>
      </c>
      <c r="I40">
        <v>-2.23445780493985E-2</v>
      </c>
      <c r="J40">
        <v>0.13046092872758699</v>
      </c>
      <c r="K40">
        <v>-2.73000000000252E-2</v>
      </c>
    </row>
    <row r="41" spans="1:11" hidden="1">
      <c r="A41" t="s">
        <v>15310</v>
      </c>
      <c r="B41" t="s">
        <v>15442</v>
      </c>
      <c r="C41" t="s">
        <v>15445</v>
      </c>
      <c r="D41" t="s">
        <v>3438</v>
      </c>
      <c r="E41" t="s">
        <v>3431</v>
      </c>
      <c r="F41" t="s">
        <v>11151</v>
      </c>
      <c r="G41" t="s">
        <v>3366</v>
      </c>
      <c r="H41" t="s">
        <v>11890</v>
      </c>
      <c r="I41">
        <v>-1.1356683793374599E-3</v>
      </c>
      <c r="J41">
        <v>-8.8765415294144306E-3</v>
      </c>
      <c r="K41">
        <v>-1.1000000000080899E-3</v>
      </c>
    </row>
    <row r="42" spans="1:11" hidden="1">
      <c r="A42" t="s">
        <v>15310</v>
      </c>
      <c r="B42" t="s">
        <v>15442</v>
      </c>
      <c r="C42" t="s">
        <v>15445</v>
      </c>
      <c r="D42" t="s">
        <v>3438</v>
      </c>
      <c r="E42" t="s">
        <v>3431</v>
      </c>
      <c r="F42" t="s">
        <v>11152</v>
      </c>
      <c r="G42" t="s">
        <v>3366</v>
      </c>
      <c r="H42" t="s">
        <v>11890</v>
      </c>
      <c r="I42">
        <v>1.98764469601764E-3</v>
      </c>
      <c r="J42">
        <v>-8.2326211858364407E-3</v>
      </c>
      <c r="K42">
        <v>3.8999999999873602E-3</v>
      </c>
    </row>
    <row r="43" spans="1:11" hidden="1">
      <c r="A43" t="s">
        <v>15310</v>
      </c>
      <c r="B43" t="s">
        <v>15442</v>
      </c>
      <c r="C43" t="s">
        <v>15445</v>
      </c>
      <c r="D43" t="s">
        <v>3438</v>
      </c>
      <c r="E43" t="s">
        <v>3431</v>
      </c>
      <c r="F43" t="s">
        <v>11153</v>
      </c>
      <c r="G43" t="s">
        <v>3366</v>
      </c>
      <c r="H43" t="s">
        <v>11890</v>
      </c>
      <c r="I43">
        <v>-8.6558867679039405E-4</v>
      </c>
      <c r="J43">
        <v>-1.1132806467805E-2</v>
      </c>
      <c r="K43">
        <v>7.0999999999799002E-3</v>
      </c>
    </row>
    <row r="44" spans="1:11" hidden="1">
      <c r="A44" t="s">
        <v>15310</v>
      </c>
      <c r="B44" t="s">
        <v>15442</v>
      </c>
      <c r="C44" t="s">
        <v>15451</v>
      </c>
      <c r="D44" t="s">
        <v>3440</v>
      </c>
      <c r="E44" t="s">
        <v>3431</v>
      </c>
      <c r="F44" t="s">
        <v>11154</v>
      </c>
      <c r="G44" t="s">
        <v>3366</v>
      </c>
      <c r="H44" t="s">
        <v>11912</v>
      </c>
      <c r="I44">
        <v>5.1479144109663599E-3</v>
      </c>
      <c r="J44">
        <v>-1.10676422067984E-2</v>
      </c>
      <c r="K44">
        <v>1.5499999999974499E-2</v>
      </c>
    </row>
    <row r="45" spans="1:11" hidden="1">
      <c r="A45" t="s">
        <v>15310</v>
      </c>
      <c r="B45" t="s">
        <v>15442</v>
      </c>
      <c r="C45" t="s">
        <v>15451</v>
      </c>
      <c r="D45" t="s">
        <v>3438</v>
      </c>
      <c r="E45" t="s">
        <v>3434</v>
      </c>
      <c r="F45" t="s">
        <v>11155</v>
      </c>
      <c r="G45" t="s">
        <v>3366</v>
      </c>
      <c r="H45" t="s">
        <v>11893</v>
      </c>
      <c r="I45">
        <v>6.9328452424203399E-3</v>
      </c>
      <c r="J45">
        <v>-1.03652699428854E-2</v>
      </c>
      <c r="K45">
        <v>9.5999999999776299E-3</v>
      </c>
    </row>
    <row r="46" spans="1:11" hidden="1">
      <c r="A46" t="s">
        <v>15310</v>
      </c>
      <c r="B46" t="s">
        <v>15442</v>
      </c>
      <c r="C46" t="s">
        <v>15451</v>
      </c>
      <c r="D46" t="s">
        <v>3427</v>
      </c>
      <c r="E46" t="s">
        <v>3435</v>
      </c>
      <c r="F46" t="s">
        <v>10943</v>
      </c>
      <c r="G46" t="s">
        <v>3366</v>
      </c>
      <c r="H46" t="s">
        <v>11893</v>
      </c>
      <c r="I46">
        <v>3.7113128446248801E-3</v>
      </c>
      <c r="J46">
        <v>-1.47189434556048E-2</v>
      </c>
      <c r="K46">
        <v>1.2999999999976799E-2</v>
      </c>
    </row>
    <row r="47" spans="1:11" hidden="1">
      <c r="A47" t="s">
        <v>15310</v>
      </c>
      <c r="B47" t="s">
        <v>15443</v>
      </c>
      <c r="C47" t="s">
        <v>15452</v>
      </c>
      <c r="D47" t="s">
        <v>3437</v>
      </c>
      <c r="E47" t="s">
        <v>3436</v>
      </c>
      <c r="F47" t="s">
        <v>11156</v>
      </c>
      <c r="G47" t="s">
        <v>3366</v>
      </c>
      <c r="H47" t="s">
        <v>11890</v>
      </c>
      <c r="I47">
        <v>2.75756625553275E-2</v>
      </c>
      <c r="J47">
        <v>-5.0412314815157198E-2</v>
      </c>
      <c r="K47">
        <v>0.13069999999998999</v>
      </c>
    </row>
    <row r="48" spans="1:11" hidden="1">
      <c r="A48" t="s">
        <v>15310</v>
      </c>
      <c r="B48" t="s">
        <v>15443</v>
      </c>
      <c r="C48" t="s">
        <v>15452</v>
      </c>
      <c r="D48" t="s">
        <v>3440</v>
      </c>
      <c r="E48" t="s">
        <v>3436</v>
      </c>
      <c r="F48" t="s">
        <v>11157</v>
      </c>
      <c r="G48" t="s">
        <v>3366</v>
      </c>
      <c r="H48" t="s">
        <v>11894</v>
      </c>
      <c r="I48">
        <v>2.8445176615087098E-2</v>
      </c>
      <c r="J48">
        <v>-4.9905545708670097E-2</v>
      </c>
      <c r="K48">
        <v>0.12719999999995901</v>
      </c>
    </row>
    <row r="49" spans="1:11" hidden="1">
      <c r="A49" t="s">
        <v>15310</v>
      </c>
      <c r="B49" t="s">
        <v>15443</v>
      </c>
      <c r="C49" t="s">
        <v>15452</v>
      </c>
      <c r="D49" t="s">
        <v>3440</v>
      </c>
      <c r="E49" t="s">
        <v>3425</v>
      </c>
      <c r="F49" t="s">
        <v>10965</v>
      </c>
      <c r="G49" t="s">
        <v>3366</v>
      </c>
      <c r="H49" t="s">
        <v>11894</v>
      </c>
      <c r="I49">
        <v>2.9235990405895199E-2</v>
      </c>
      <c r="J49">
        <v>-4.9045882032096998E-2</v>
      </c>
      <c r="K49">
        <v>0.11979999999999801</v>
      </c>
    </row>
    <row r="50" spans="1:11" hidden="1">
      <c r="A50" t="s">
        <v>15313</v>
      </c>
      <c r="B50" t="s">
        <v>15441</v>
      </c>
      <c r="C50" t="s">
        <v>15445</v>
      </c>
      <c r="D50" t="s">
        <v>3452</v>
      </c>
      <c r="E50" t="s">
        <v>3613</v>
      </c>
      <c r="F50" t="s">
        <v>10787</v>
      </c>
      <c r="G50" t="s">
        <v>3366</v>
      </c>
      <c r="H50" t="s">
        <v>11886</v>
      </c>
      <c r="I50">
        <v>-2.5416699829365699E-2</v>
      </c>
      <c r="J50">
        <v>-2.19274663434493E-2</v>
      </c>
      <c r="K50">
        <v>-6.5800000000024297E-2</v>
      </c>
    </row>
    <row r="51" spans="1:11" hidden="1">
      <c r="A51" t="s">
        <v>15313</v>
      </c>
      <c r="B51" t="s">
        <v>15441</v>
      </c>
      <c r="C51" t="s">
        <v>15445</v>
      </c>
      <c r="D51" t="s">
        <v>3452</v>
      </c>
      <c r="E51" t="s">
        <v>3543</v>
      </c>
      <c r="F51" t="s">
        <v>10728</v>
      </c>
      <c r="G51" t="s">
        <v>3366</v>
      </c>
      <c r="H51" t="s">
        <v>11886</v>
      </c>
      <c r="I51">
        <v>-2.4269204224657601E-2</v>
      </c>
      <c r="J51">
        <v>-1.6108403984913401E-2</v>
      </c>
      <c r="K51">
        <v>-7.2400000000015993E-2</v>
      </c>
    </row>
    <row r="52" spans="1:11" hidden="1">
      <c r="A52" t="s">
        <v>15313</v>
      </c>
      <c r="B52" t="s">
        <v>15441</v>
      </c>
      <c r="C52" t="s">
        <v>15445</v>
      </c>
      <c r="D52" t="s">
        <v>3452</v>
      </c>
      <c r="E52" t="s">
        <v>3543</v>
      </c>
      <c r="F52" t="s">
        <v>11193</v>
      </c>
      <c r="G52" t="s">
        <v>3366</v>
      </c>
      <c r="H52" t="s">
        <v>11886</v>
      </c>
      <c r="I52">
        <v>-2.3405227235257099E-2</v>
      </c>
      <c r="J52">
        <v>-1.5316770127954699E-2</v>
      </c>
      <c r="K52">
        <v>-7.7400000000011501E-2</v>
      </c>
    </row>
    <row r="53" spans="1:11" hidden="1">
      <c r="A53" t="s">
        <v>15313</v>
      </c>
      <c r="B53" t="s">
        <v>15441</v>
      </c>
      <c r="C53" t="s">
        <v>15446</v>
      </c>
      <c r="D53" t="s">
        <v>3430</v>
      </c>
      <c r="E53" t="s">
        <v>3453</v>
      </c>
      <c r="F53" t="s">
        <v>11194</v>
      </c>
      <c r="G53" t="s">
        <v>3366</v>
      </c>
      <c r="H53" t="s">
        <v>11886</v>
      </c>
      <c r="I53">
        <v>-2.53622842173052E-2</v>
      </c>
      <c r="J53">
        <v>-9.8803537564290892E-3</v>
      </c>
      <c r="K53">
        <v>-3.0300000000011099E-2</v>
      </c>
    </row>
    <row r="54" spans="1:11" hidden="1">
      <c r="A54" t="s">
        <v>15313</v>
      </c>
      <c r="B54" t="s">
        <v>15441</v>
      </c>
      <c r="C54" t="s">
        <v>15446</v>
      </c>
      <c r="D54" t="s">
        <v>3436</v>
      </c>
      <c r="E54" t="s">
        <v>3442</v>
      </c>
      <c r="F54" t="s">
        <v>10817</v>
      </c>
      <c r="G54" t="s">
        <v>3366</v>
      </c>
      <c r="H54" t="s">
        <v>11885</v>
      </c>
      <c r="I54">
        <v>-1.8569386828470001E-2</v>
      </c>
      <c r="J54">
        <v>-1.318323844754E-2</v>
      </c>
      <c r="K54">
        <v>-3.5099999999999902E-2</v>
      </c>
    </row>
    <row r="55" spans="1:11" hidden="1">
      <c r="A55" t="s">
        <v>15313</v>
      </c>
      <c r="B55" t="s">
        <v>15441</v>
      </c>
      <c r="C55" t="s">
        <v>15446</v>
      </c>
      <c r="D55" t="s">
        <v>3428</v>
      </c>
      <c r="E55" t="s">
        <v>3430</v>
      </c>
      <c r="F55" t="s">
        <v>11195</v>
      </c>
      <c r="G55" t="s">
        <v>3366</v>
      </c>
      <c r="H55" t="s">
        <v>11885</v>
      </c>
      <c r="I55">
        <v>-1.1125398185101E-2</v>
      </c>
      <c r="J55">
        <v>-1.27907056803661E-2</v>
      </c>
      <c r="K55">
        <v>-4.6600000000012201E-2</v>
      </c>
    </row>
    <row r="56" spans="1:11" hidden="1">
      <c r="A56" t="s">
        <v>15313</v>
      </c>
      <c r="B56" t="s">
        <v>15441</v>
      </c>
      <c r="C56" t="s">
        <v>15447</v>
      </c>
      <c r="D56" t="s">
        <v>3452</v>
      </c>
      <c r="E56" t="s">
        <v>3540</v>
      </c>
      <c r="F56" t="s">
        <v>11021</v>
      </c>
      <c r="G56" t="s">
        <v>3407</v>
      </c>
      <c r="H56" t="s">
        <v>11892</v>
      </c>
      <c r="I56">
        <v>-1.2863082268874801E-2</v>
      </c>
      <c r="J56">
        <v>-1.9931603740504698E-2</v>
      </c>
      <c r="K56">
        <v>-4.2600000000049897E-2</v>
      </c>
    </row>
    <row r="57" spans="1:11" hidden="1">
      <c r="A57" t="s">
        <v>15313</v>
      </c>
      <c r="B57" t="s">
        <v>15441</v>
      </c>
      <c r="C57" t="s">
        <v>15447</v>
      </c>
      <c r="D57" t="s">
        <v>3432</v>
      </c>
      <c r="E57" t="s">
        <v>3476</v>
      </c>
      <c r="F57" t="s">
        <v>11021</v>
      </c>
      <c r="G57" t="s">
        <v>3366</v>
      </c>
      <c r="H57" t="s">
        <v>11892</v>
      </c>
      <c r="I57">
        <v>-8.1864340611048705E-3</v>
      </c>
      <c r="J57">
        <v>-2.3189782682364199E-2</v>
      </c>
      <c r="K57">
        <v>-4.2100000000004897E-2</v>
      </c>
    </row>
    <row r="58" spans="1:11" hidden="1">
      <c r="A58" t="s">
        <v>15313</v>
      </c>
      <c r="B58" t="s">
        <v>15441</v>
      </c>
      <c r="C58" t="s">
        <v>15447</v>
      </c>
      <c r="D58" t="s">
        <v>3452</v>
      </c>
      <c r="E58" t="s">
        <v>3467</v>
      </c>
      <c r="F58" t="s">
        <v>11021</v>
      </c>
      <c r="G58" t="s">
        <v>3366</v>
      </c>
      <c r="H58" t="s">
        <v>11892</v>
      </c>
      <c r="I58">
        <v>-4.1561912941581597E-3</v>
      </c>
      <c r="J58">
        <v>-1.6416929080637101E-2</v>
      </c>
      <c r="K58">
        <v>-5.06000000000313E-2</v>
      </c>
    </row>
    <row r="59" spans="1:11" hidden="1">
      <c r="A59" t="s">
        <v>15313</v>
      </c>
      <c r="B59" t="s">
        <v>15441</v>
      </c>
      <c r="C59" t="s">
        <v>15448</v>
      </c>
      <c r="D59" t="s">
        <v>3429</v>
      </c>
      <c r="E59" t="s">
        <v>3484</v>
      </c>
      <c r="F59" t="s">
        <v>10875</v>
      </c>
      <c r="G59" t="s">
        <v>3366</v>
      </c>
      <c r="H59" t="s">
        <v>11889</v>
      </c>
      <c r="I59">
        <v>-1.2974346019239099E-2</v>
      </c>
      <c r="J59">
        <v>-1.2425957603761899E-2</v>
      </c>
      <c r="K59">
        <v>-0.110600000000034</v>
      </c>
    </row>
    <row r="60" spans="1:11" hidden="1">
      <c r="A60" t="s">
        <v>15313</v>
      </c>
      <c r="B60" t="s">
        <v>15441</v>
      </c>
      <c r="C60" t="s">
        <v>15448</v>
      </c>
      <c r="D60" t="s">
        <v>3442</v>
      </c>
      <c r="E60" t="s">
        <v>3515</v>
      </c>
      <c r="F60" t="s">
        <v>11196</v>
      </c>
      <c r="G60" t="s">
        <v>3366</v>
      </c>
      <c r="H60" t="s">
        <v>11889</v>
      </c>
      <c r="I60">
        <v>-1.56357384144537E-2</v>
      </c>
      <c r="J60">
        <v>-9.8375670201695294E-3</v>
      </c>
      <c r="K60">
        <v>-0.111199999999997</v>
      </c>
    </row>
    <row r="61" spans="1:11" hidden="1">
      <c r="A61" t="s">
        <v>15313</v>
      </c>
      <c r="B61" t="s">
        <v>15441</v>
      </c>
      <c r="C61" t="s">
        <v>15448</v>
      </c>
      <c r="D61" t="s">
        <v>3453</v>
      </c>
      <c r="E61" t="s">
        <v>3611</v>
      </c>
      <c r="F61" t="s">
        <v>11086</v>
      </c>
      <c r="G61" t="s">
        <v>3366</v>
      </c>
      <c r="H61" t="s">
        <v>11889</v>
      </c>
      <c r="I61">
        <v>-1.7797662756704601E-2</v>
      </c>
      <c r="J61">
        <v>-1.1913354858544599E-2</v>
      </c>
      <c r="K61">
        <v>-0.100200000000029</v>
      </c>
    </row>
    <row r="62" spans="1:11" hidden="1">
      <c r="A62" t="s">
        <v>15313</v>
      </c>
      <c r="B62" t="s">
        <v>15441</v>
      </c>
      <c r="C62" t="s">
        <v>15449</v>
      </c>
      <c r="D62" t="s">
        <v>3434</v>
      </c>
      <c r="E62" t="s">
        <v>3450</v>
      </c>
      <c r="F62" t="s">
        <v>10779</v>
      </c>
      <c r="G62" t="s">
        <v>3366</v>
      </c>
      <c r="H62" t="s">
        <v>11903</v>
      </c>
      <c r="I62">
        <v>-1.8200192078322699E-2</v>
      </c>
      <c r="J62">
        <v>-1.46486011832806E-2</v>
      </c>
      <c r="K62">
        <v>-6.4999999999997699E-2</v>
      </c>
    </row>
    <row r="63" spans="1:11" hidden="1">
      <c r="A63" t="s">
        <v>15313</v>
      </c>
      <c r="B63" t="s">
        <v>15441</v>
      </c>
      <c r="C63" t="s">
        <v>15449</v>
      </c>
      <c r="D63" t="s">
        <v>3429</v>
      </c>
      <c r="E63" t="s">
        <v>3511</v>
      </c>
      <c r="F63" t="s">
        <v>11197</v>
      </c>
      <c r="G63" t="s">
        <v>3366</v>
      </c>
      <c r="H63" t="s">
        <v>11903</v>
      </c>
      <c r="I63">
        <v>-1.6364938086656899E-2</v>
      </c>
      <c r="J63">
        <v>-1.33094778079423E-2</v>
      </c>
      <c r="K63">
        <v>-7.2500000000047707E-2</v>
      </c>
    </row>
    <row r="64" spans="1:11" hidden="1">
      <c r="A64" t="s">
        <v>15313</v>
      </c>
      <c r="B64" t="s">
        <v>15441</v>
      </c>
      <c r="C64" t="s">
        <v>15449</v>
      </c>
      <c r="D64" t="s">
        <v>3430</v>
      </c>
      <c r="E64" t="s">
        <v>3484</v>
      </c>
      <c r="F64" t="s">
        <v>10780</v>
      </c>
      <c r="G64" t="s">
        <v>3366</v>
      </c>
      <c r="H64" t="s">
        <v>11903</v>
      </c>
      <c r="I64">
        <v>-1.6691069440637599E-2</v>
      </c>
      <c r="J64">
        <v>-1.11949541325485E-2</v>
      </c>
      <c r="K64">
        <v>-6.8200000000047098E-2</v>
      </c>
    </row>
    <row r="65" spans="1:11">
      <c r="A65" t="s">
        <v>15313</v>
      </c>
      <c r="B65" t="s">
        <v>15442</v>
      </c>
      <c r="C65" t="s">
        <v>15450</v>
      </c>
      <c r="D65" t="s">
        <v>3461</v>
      </c>
      <c r="E65" t="s">
        <v>3458</v>
      </c>
      <c r="F65" t="s">
        <v>11198</v>
      </c>
      <c r="G65" t="s">
        <v>3397</v>
      </c>
      <c r="H65" t="s">
        <v>11886</v>
      </c>
      <c r="I65">
        <v>-0.146217936216056</v>
      </c>
      <c r="J65">
        <v>1.1340303204083401E-2</v>
      </c>
      <c r="K65">
        <v>-7.0300000000031601E-2</v>
      </c>
    </row>
    <row r="66" spans="1:11" hidden="1">
      <c r="A66" t="s">
        <v>15313</v>
      </c>
      <c r="B66" t="s">
        <v>15442</v>
      </c>
      <c r="C66" t="s">
        <v>15445</v>
      </c>
      <c r="D66" t="s">
        <v>3427</v>
      </c>
      <c r="E66" t="s">
        <v>3442</v>
      </c>
      <c r="F66" t="s">
        <v>11105</v>
      </c>
      <c r="G66" t="s">
        <v>3366</v>
      </c>
      <c r="H66" t="s">
        <v>11886</v>
      </c>
      <c r="I66">
        <v>-1.3038670975048201E-2</v>
      </c>
      <c r="J66">
        <v>-1.39298338422306E-2</v>
      </c>
      <c r="K66">
        <v>-0.20700000000005001</v>
      </c>
    </row>
    <row r="67" spans="1:11" hidden="1">
      <c r="A67" t="s">
        <v>15313</v>
      </c>
      <c r="B67" t="s">
        <v>15442</v>
      </c>
      <c r="C67" t="s">
        <v>15445</v>
      </c>
      <c r="D67" t="s">
        <v>3428</v>
      </c>
      <c r="E67" t="s">
        <v>3441</v>
      </c>
      <c r="F67" t="s">
        <v>10886</v>
      </c>
      <c r="G67" t="s">
        <v>3366</v>
      </c>
      <c r="H67" t="s">
        <v>11886</v>
      </c>
      <c r="I67">
        <v>-1.0748095440902E-2</v>
      </c>
      <c r="J67">
        <v>-9.8083844618782196E-3</v>
      </c>
      <c r="K67">
        <v>-0.201099999999997</v>
      </c>
    </row>
    <row r="68" spans="1:11" hidden="1">
      <c r="A68" t="s">
        <v>15313</v>
      </c>
      <c r="B68" t="s">
        <v>15442</v>
      </c>
      <c r="C68" t="s">
        <v>15445</v>
      </c>
      <c r="D68" t="s">
        <v>3425</v>
      </c>
      <c r="E68" t="s">
        <v>3452</v>
      </c>
      <c r="F68" t="s">
        <v>11199</v>
      </c>
      <c r="G68" t="s">
        <v>3366</v>
      </c>
      <c r="H68" t="s">
        <v>11886</v>
      </c>
      <c r="I68">
        <v>-1.24962304255828E-2</v>
      </c>
      <c r="J68">
        <v>-1.27029143838757E-2</v>
      </c>
      <c r="K68">
        <v>-0.189999999999998</v>
      </c>
    </row>
    <row r="69" spans="1:11" hidden="1">
      <c r="A69" t="s">
        <v>15313</v>
      </c>
      <c r="B69" t="s">
        <v>15442</v>
      </c>
      <c r="C69" t="s">
        <v>15451</v>
      </c>
      <c r="D69" t="s">
        <v>3436</v>
      </c>
      <c r="E69" t="s">
        <v>3433</v>
      </c>
      <c r="F69" t="s">
        <v>11200</v>
      </c>
      <c r="G69" t="s">
        <v>3366</v>
      </c>
      <c r="H69" t="s">
        <v>11908</v>
      </c>
      <c r="I69">
        <v>-1.2387760239567201E-2</v>
      </c>
      <c r="J69">
        <v>-6.3567131903397899E-3</v>
      </c>
      <c r="K69">
        <v>-0.20510000000001599</v>
      </c>
    </row>
    <row r="70" spans="1:11" hidden="1">
      <c r="A70" t="s">
        <v>15313</v>
      </c>
      <c r="B70" t="s">
        <v>15442</v>
      </c>
      <c r="C70" t="s">
        <v>15451</v>
      </c>
      <c r="D70" t="s">
        <v>3425</v>
      </c>
      <c r="E70" t="s">
        <v>3452</v>
      </c>
      <c r="F70" t="s">
        <v>11201</v>
      </c>
      <c r="G70" t="s">
        <v>3366</v>
      </c>
      <c r="H70" t="s">
        <v>11899</v>
      </c>
      <c r="I70">
        <v>-1.02093472102183E-2</v>
      </c>
      <c r="J70">
        <v>-7.3688253986232098E-3</v>
      </c>
      <c r="K70">
        <v>-0.19720000000000901</v>
      </c>
    </row>
    <row r="71" spans="1:11" hidden="1">
      <c r="A71" t="s">
        <v>15313</v>
      </c>
      <c r="B71" t="s">
        <v>15442</v>
      </c>
      <c r="C71" t="s">
        <v>15451</v>
      </c>
      <c r="D71" t="s">
        <v>3431</v>
      </c>
      <c r="E71" t="s">
        <v>3426</v>
      </c>
      <c r="F71" t="s">
        <v>10557</v>
      </c>
      <c r="G71" t="s">
        <v>3366</v>
      </c>
      <c r="H71" t="s">
        <v>11899</v>
      </c>
      <c r="I71">
        <v>-1.24714545056572E-2</v>
      </c>
      <c r="J71">
        <v>-9.1488707861543308E-3</v>
      </c>
      <c r="K71">
        <v>-0.19250000000005199</v>
      </c>
    </row>
    <row r="72" spans="1:11" hidden="1">
      <c r="A72" t="s">
        <v>15327</v>
      </c>
      <c r="B72" t="s">
        <v>15441</v>
      </c>
      <c r="C72" t="s">
        <v>15445</v>
      </c>
      <c r="D72" t="s">
        <v>3438</v>
      </c>
      <c r="E72" t="s">
        <v>3431</v>
      </c>
      <c r="F72" t="s">
        <v>11095</v>
      </c>
      <c r="G72" t="s">
        <v>3366</v>
      </c>
      <c r="H72" t="s">
        <v>11890</v>
      </c>
      <c r="I72">
        <v>4.1234649314481602E-3</v>
      </c>
      <c r="J72">
        <v>1.86474623297159E-2</v>
      </c>
      <c r="K72">
        <v>-1.8000000000029099E-3</v>
      </c>
    </row>
    <row r="73" spans="1:11" hidden="1">
      <c r="A73" t="s">
        <v>15327</v>
      </c>
      <c r="B73" t="s">
        <v>15441</v>
      </c>
      <c r="C73" t="s">
        <v>15445</v>
      </c>
      <c r="D73" t="s">
        <v>3438</v>
      </c>
      <c r="E73" t="s">
        <v>3431</v>
      </c>
      <c r="F73" t="s">
        <v>3628</v>
      </c>
      <c r="G73" t="s">
        <v>3366</v>
      </c>
      <c r="H73" t="s">
        <v>11890</v>
      </c>
      <c r="I73">
        <v>3.0426392440890001E-3</v>
      </c>
      <c r="J73">
        <v>1.3402296978142599E-2</v>
      </c>
      <c r="K73">
        <v>6.1999999999997604E-3</v>
      </c>
    </row>
    <row r="74" spans="1:11" hidden="1">
      <c r="A74" t="s">
        <v>15327</v>
      </c>
      <c r="B74" t="s">
        <v>15441</v>
      </c>
      <c r="C74" t="s">
        <v>15445</v>
      </c>
      <c r="D74" t="s">
        <v>3438</v>
      </c>
      <c r="E74" t="s">
        <v>3431</v>
      </c>
      <c r="F74" t="s">
        <v>10595</v>
      </c>
      <c r="G74" t="s">
        <v>3366</v>
      </c>
      <c r="H74" t="s">
        <v>11890</v>
      </c>
      <c r="I74">
        <v>2.6516855268491702E-3</v>
      </c>
      <c r="J74">
        <v>1.3054037069064699E-2</v>
      </c>
      <c r="K74">
        <v>1.26999999999953E-2</v>
      </c>
    </row>
    <row r="75" spans="1:11" hidden="1">
      <c r="A75" t="s">
        <v>15327</v>
      </c>
      <c r="B75" t="s">
        <v>15441</v>
      </c>
      <c r="C75" t="s">
        <v>15446</v>
      </c>
      <c r="D75" t="s">
        <v>3427</v>
      </c>
      <c r="E75" t="s">
        <v>3434</v>
      </c>
      <c r="F75" t="s">
        <v>11348</v>
      </c>
      <c r="G75" t="s">
        <v>3366</v>
      </c>
      <c r="H75" t="s">
        <v>11890</v>
      </c>
      <c r="I75">
        <v>-4.2443648508471902E-4</v>
      </c>
      <c r="J75">
        <v>1.67464207605347E-3</v>
      </c>
      <c r="K75">
        <v>2.6699999999998201E-2</v>
      </c>
    </row>
    <row r="76" spans="1:11" hidden="1">
      <c r="A76" t="s">
        <v>15327</v>
      </c>
      <c r="B76" t="s">
        <v>15441</v>
      </c>
      <c r="C76" t="s">
        <v>15446</v>
      </c>
      <c r="D76" t="s">
        <v>3427</v>
      </c>
      <c r="E76" t="s">
        <v>3434</v>
      </c>
      <c r="F76" t="s">
        <v>10557</v>
      </c>
      <c r="G76" t="s">
        <v>3366</v>
      </c>
      <c r="H76" t="s">
        <v>11890</v>
      </c>
      <c r="I76">
        <v>1.9814043476961501E-3</v>
      </c>
      <c r="J76">
        <v>4.5382270268608501E-3</v>
      </c>
      <c r="K76">
        <v>1.6700000000000201E-2</v>
      </c>
    </row>
    <row r="77" spans="1:11" hidden="1">
      <c r="A77" t="s">
        <v>15327</v>
      </c>
      <c r="B77" t="s">
        <v>15441</v>
      </c>
      <c r="C77" t="s">
        <v>15446</v>
      </c>
      <c r="D77" t="s">
        <v>3427</v>
      </c>
      <c r="E77" t="s">
        <v>3434</v>
      </c>
      <c r="F77" t="s">
        <v>11349</v>
      </c>
      <c r="G77" t="s">
        <v>3366</v>
      </c>
      <c r="H77" t="s">
        <v>11890</v>
      </c>
      <c r="I77">
        <v>-3.9071488303221002E-3</v>
      </c>
      <c r="J77">
        <v>1.8733782029755001E-3</v>
      </c>
      <c r="K77">
        <v>2.4099999999997099E-2</v>
      </c>
    </row>
    <row r="78" spans="1:11" hidden="1">
      <c r="A78" t="s">
        <v>15327</v>
      </c>
      <c r="B78" t="s">
        <v>15441</v>
      </c>
      <c r="C78" t="s">
        <v>15447</v>
      </c>
      <c r="D78" t="s">
        <v>3427</v>
      </c>
      <c r="E78" t="s">
        <v>3431</v>
      </c>
      <c r="F78" t="s">
        <v>11269</v>
      </c>
      <c r="G78" t="s">
        <v>3366</v>
      </c>
      <c r="H78" t="s">
        <v>11900</v>
      </c>
      <c r="I78">
        <v>-1.6555323134389199E-3</v>
      </c>
      <c r="J78">
        <v>6.1724897026731703E-3</v>
      </c>
      <c r="K78">
        <v>6.6999999999950398E-3</v>
      </c>
    </row>
    <row r="79" spans="1:11" hidden="1">
      <c r="A79" t="s">
        <v>15327</v>
      </c>
      <c r="B79" t="s">
        <v>15441</v>
      </c>
      <c r="C79" t="s">
        <v>15447</v>
      </c>
      <c r="D79" t="s">
        <v>3427</v>
      </c>
      <c r="E79" t="s">
        <v>3431</v>
      </c>
      <c r="F79" t="s">
        <v>10892</v>
      </c>
      <c r="G79" t="s">
        <v>3366</v>
      </c>
      <c r="H79" t="s">
        <v>11900</v>
      </c>
      <c r="I79">
        <v>9.9449670021621497E-4</v>
      </c>
      <c r="J79">
        <v>8.5059008708399109E-3</v>
      </c>
      <c r="K79">
        <v>3.2999999999958601E-3</v>
      </c>
    </row>
    <row r="80" spans="1:11" hidden="1">
      <c r="A80" t="s">
        <v>15327</v>
      </c>
      <c r="B80" t="s">
        <v>15441</v>
      </c>
      <c r="C80" t="s">
        <v>15447</v>
      </c>
      <c r="D80" t="s">
        <v>3427</v>
      </c>
      <c r="E80" t="s">
        <v>3431</v>
      </c>
      <c r="F80" t="s">
        <v>11270</v>
      </c>
      <c r="G80" t="s">
        <v>3366</v>
      </c>
      <c r="H80" t="s">
        <v>11900</v>
      </c>
      <c r="I80">
        <v>7.6981118431720702E-4</v>
      </c>
      <c r="J80">
        <v>1.0383051781086E-2</v>
      </c>
      <c r="K80">
        <v>1.7799999999994001E-2</v>
      </c>
    </row>
    <row r="81" spans="1:11" hidden="1">
      <c r="A81" t="s">
        <v>15327</v>
      </c>
      <c r="B81" t="s">
        <v>15441</v>
      </c>
      <c r="C81" t="s">
        <v>15448</v>
      </c>
      <c r="D81" t="s">
        <v>3434</v>
      </c>
      <c r="E81" t="s">
        <v>3461</v>
      </c>
      <c r="F81" t="s">
        <v>10806</v>
      </c>
      <c r="G81" t="s">
        <v>3366</v>
      </c>
      <c r="H81" t="s">
        <v>11910</v>
      </c>
      <c r="I81">
        <v>4.1036033765673302E-3</v>
      </c>
      <c r="J81">
        <v>1.3761919161928199E-2</v>
      </c>
      <c r="K81">
        <v>2.7699999999995801E-2</v>
      </c>
    </row>
    <row r="82" spans="1:11" hidden="1">
      <c r="A82" t="s">
        <v>15327</v>
      </c>
      <c r="B82" t="s">
        <v>15441</v>
      </c>
      <c r="C82" t="s">
        <v>15448</v>
      </c>
      <c r="D82" t="s">
        <v>3429</v>
      </c>
      <c r="E82" t="s">
        <v>3460</v>
      </c>
      <c r="F82" t="s">
        <v>11350</v>
      </c>
      <c r="G82" t="s">
        <v>3366</v>
      </c>
      <c r="H82" t="s">
        <v>11914</v>
      </c>
      <c r="I82">
        <v>1.01130322074074E-3</v>
      </c>
      <c r="J82">
        <v>1.6839997304401999E-2</v>
      </c>
      <c r="K82">
        <v>1.6199999999997799E-2</v>
      </c>
    </row>
    <row r="83" spans="1:11" hidden="1">
      <c r="A83" t="s">
        <v>15327</v>
      </c>
      <c r="B83" t="s">
        <v>15441</v>
      </c>
      <c r="C83" t="s">
        <v>15448</v>
      </c>
      <c r="D83" t="s">
        <v>3442</v>
      </c>
      <c r="E83" t="s">
        <v>3484</v>
      </c>
      <c r="F83" t="s">
        <v>10806</v>
      </c>
      <c r="G83" t="s">
        <v>3366</v>
      </c>
      <c r="H83" t="s">
        <v>11910</v>
      </c>
      <c r="I83">
        <v>-3.8857584810748401E-3</v>
      </c>
      <c r="J83">
        <v>1.60008226331897E-2</v>
      </c>
      <c r="K83">
        <v>1.0999999999995701E-2</v>
      </c>
    </row>
    <row r="84" spans="1:11" hidden="1">
      <c r="A84" t="s">
        <v>15327</v>
      </c>
      <c r="B84" t="s">
        <v>15441</v>
      </c>
      <c r="C84" t="s">
        <v>15449</v>
      </c>
      <c r="D84" t="s">
        <v>3425</v>
      </c>
      <c r="E84" t="s">
        <v>3432</v>
      </c>
      <c r="F84" t="s">
        <v>10758</v>
      </c>
      <c r="G84" t="s">
        <v>3366</v>
      </c>
      <c r="H84" t="s">
        <v>11910</v>
      </c>
      <c r="I84">
        <v>4.1337105357986299E-3</v>
      </c>
      <c r="J84">
        <v>1.37617859147957E-2</v>
      </c>
      <c r="K84">
        <v>1.14999999999981E-2</v>
      </c>
    </row>
    <row r="85" spans="1:11" hidden="1">
      <c r="A85" t="s">
        <v>15327</v>
      </c>
      <c r="B85" t="s">
        <v>15441</v>
      </c>
      <c r="C85" t="s">
        <v>15449</v>
      </c>
      <c r="D85" t="s">
        <v>3431</v>
      </c>
      <c r="E85" t="s">
        <v>3432</v>
      </c>
      <c r="F85" t="s">
        <v>11351</v>
      </c>
      <c r="G85" t="s">
        <v>3366</v>
      </c>
      <c r="H85" t="s">
        <v>11914</v>
      </c>
      <c r="I85">
        <v>3.9594445814731902E-3</v>
      </c>
      <c r="J85">
        <v>1.03963457449917E-2</v>
      </c>
      <c r="K85">
        <v>1.71999999999954E-2</v>
      </c>
    </row>
    <row r="86" spans="1:11" hidden="1">
      <c r="A86" t="s">
        <v>15327</v>
      </c>
      <c r="B86" t="s">
        <v>15441</v>
      </c>
      <c r="C86" t="s">
        <v>15449</v>
      </c>
      <c r="D86" t="s">
        <v>3434</v>
      </c>
      <c r="E86" t="s">
        <v>3452</v>
      </c>
      <c r="F86" t="s">
        <v>10758</v>
      </c>
      <c r="G86" t="s">
        <v>3366</v>
      </c>
      <c r="H86" t="s">
        <v>11910</v>
      </c>
      <c r="I86">
        <v>2.7656464823444301E-3</v>
      </c>
      <c r="J86">
        <v>9.7455769999367295E-3</v>
      </c>
      <c r="K86">
        <v>1.9499999999993599E-2</v>
      </c>
    </row>
    <row r="87" spans="1:11">
      <c r="A87" t="s">
        <v>15327</v>
      </c>
      <c r="B87" t="s">
        <v>15442</v>
      </c>
      <c r="C87" t="s">
        <v>15450</v>
      </c>
      <c r="D87" t="s">
        <v>3461</v>
      </c>
      <c r="E87" t="s">
        <v>3613</v>
      </c>
      <c r="F87" t="s">
        <v>11352</v>
      </c>
      <c r="G87" t="s">
        <v>3370</v>
      </c>
      <c r="H87" t="s">
        <v>11890</v>
      </c>
      <c r="I87">
        <v>-3.6440686081873501E-2</v>
      </c>
      <c r="J87">
        <v>-0.125986996066695</v>
      </c>
      <c r="K87">
        <v>-4.8100000000005097E-2</v>
      </c>
    </row>
    <row r="88" spans="1:11">
      <c r="A88" t="s">
        <v>15327</v>
      </c>
      <c r="B88" t="s">
        <v>15442</v>
      </c>
      <c r="C88" t="s">
        <v>15450</v>
      </c>
      <c r="D88" t="s">
        <v>3461</v>
      </c>
      <c r="E88" t="s">
        <v>3564</v>
      </c>
      <c r="F88" t="s">
        <v>11353</v>
      </c>
      <c r="G88" t="s">
        <v>3366</v>
      </c>
      <c r="H88" t="s">
        <v>11894</v>
      </c>
      <c r="I88">
        <v>-3.4964684292833899E-2</v>
      </c>
      <c r="J88">
        <v>-0.119901835273111</v>
      </c>
      <c r="K88">
        <v>-3.9200000000000998E-2</v>
      </c>
    </row>
    <row r="89" spans="1:11">
      <c r="A89" t="s">
        <v>15327</v>
      </c>
      <c r="B89" t="s">
        <v>15442</v>
      </c>
      <c r="C89" t="s">
        <v>15450</v>
      </c>
      <c r="D89" t="s">
        <v>3452</v>
      </c>
      <c r="E89" t="s">
        <v>3611</v>
      </c>
      <c r="F89" t="s">
        <v>10552</v>
      </c>
      <c r="G89" t="s">
        <v>3366</v>
      </c>
      <c r="H89" t="s">
        <v>11894</v>
      </c>
      <c r="I89">
        <v>-3.1378165916084097E-2</v>
      </c>
      <c r="J89">
        <v>-0.112244750962138</v>
      </c>
      <c r="K89">
        <v>-3.2900000000005002E-2</v>
      </c>
    </row>
    <row r="90" spans="1:11" hidden="1">
      <c r="A90" t="s">
        <v>15327</v>
      </c>
      <c r="B90" t="s">
        <v>15442</v>
      </c>
      <c r="C90" t="s">
        <v>15445</v>
      </c>
      <c r="D90" t="s">
        <v>3438</v>
      </c>
      <c r="E90" t="s">
        <v>3425</v>
      </c>
      <c r="F90" t="s">
        <v>3759</v>
      </c>
      <c r="G90" t="s">
        <v>3366</v>
      </c>
      <c r="H90" t="s">
        <v>11894</v>
      </c>
      <c r="I90">
        <v>-4.5942365299996499E-3</v>
      </c>
      <c r="J90">
        <v>-7.4717966830926399E-3</v>
      </c>
      <c r="K90">
        <v>-4.7900000000005598E-2</v>
      </c>
    </row>
    <row r="91" spans="1:11" hidden="1">
      <c r="A91" t="s">
        <v>15327</v>
      </c>
      <c r="B91" t="s">
        <v>15442</v>
      </c>
      <c r="C91" t="s">
        <v>15445</v>
      </c>
      <c r="D91" t="s">
        <v>3438</v>
      </c>
      <c r="E91" t="s">
        <v>3425</v>
      </c>
      <c r="F91" t="s">
        <v>10632</v>
      </c>
      <c r="G91" t="s">
        <v>3366</v>
      </c>
      <c r="H91" t="s">
        <v>11895</v>
      </c>
      <c r="I91">
        <v>-1.6797976134955699E-3</v>
      </c>
      <c r="J91">
        <v>-4.9008342617908804E-3</v>
      </c>
      <c r="K91">
        <v>-5.74000000000012E-2</v>
      </c>
    </row>
    <row r="92" spans="1:11" hidden="1">
      <c r="A92" t="s">
        <v>15327</v>
      </c>
      <c r="B92" t="s">
        <v>15442</v>
      </c>
      <c r="C92" t="s">
        <v>15445</v>
      </c>
      <c r="D92" t="s">
        <v>3438</v>
      </c>
      <c r="E92" t="s">
        <v>3425</v>
      </c>
      <c r="F92" t="s">
        <v>11248</v>
      </c>
      <c r="G92" t="s">
        <v>3366</v>
      </c>
      <c r="H92" t="s">
        <v>11895</v>
      </c>
      <c r="I92">
        <v>-2.28518996509567E-3</v>
      </c>
      <c r="J92">
        <v>-6.5479903716669898E-3</v>
      </c>
      <c r="K92">
        <v>-5.2600000000005302E-2</v>
      </c>
    </row>
    <row r="93" spans="1:11" hidden="1">
      <c r="A93" t="s">
        <v>15327</v>
      </c>
      <c r="B93" t="s">
        <v>15442</v>
      </c>
      <c r="C93" t="s">
        <v>15451</v>
      </c>
      <c r="D93" t="s">
        <v>3427</v>
      </c>
      <c r="E93" t="s">
        <v>3435</v>
      </c>
      <c r="F93" t="s">
        <v>11320</v>
      </c>
      <c r="G93" t="s">
        <v>3366</v>
      </c>
      <c r="H93" t="s">
        <v>11914</v>
      </c>
      <c r="I93">
        <v>-4.3002584413719003E-3</v>
      </c>
      <c r="J93">
        <v>2.5902927168403398E-3</v>
      </c>
      <c r="K93">
        <v>-7.7400000000004396E-2</v>
      </c>
    </row>
    <row r="94" spans="1:11" hidden="1">
      <c r="A94" t="s">
        <v>15327</v>
      </c>
      <c r="B94" t="s">
        <v>15442</v>
      </c>
      <c r="C94" t="s">
        <v>15451</v>
      </c>
      <c r="D94" t="s">
        <v>3427</v>
      </c>
      <c r="E94" t="s">
        <v>3435</v>
      </c>
      <c r="F94" t="s">
        <v>11320</v>
      </c>
      <c r="G94" t="s">
        <v>3366</v>
      </c>
      <c r="H94" t="s">
        <v>11914</v>
      </c>
      <c r="I94">
        <v>-4.1315635823065897E-3</v>
      </c>
      <c r="J94">
        <v>4.4506103355030496E-3</v>
      </c>
      <c r="K94">
        <v>-7.7600000000003902E-2</v>
      </c>
    </row>
    <row r="95" spans="1:11" hidden="1">
      <c r="A95" t="s">
        <v>15327</v>
      </c>
      <c r="B95" t="s">
        <v>15442</v>
      </c>
      <c r="C95" t="s">
        <v>15451</v>
      </c>
      <c r="D95" t="s">
        <v>3428</v>
      </c>
      <c r="E95" t="s">
        <v>3429</v>
      </c>
      <c r="F95" t="s">
        <v>11320</v>
      </c>
      <c r="G95" t="s">
        <v>3366</v>
      </c>
      <c r="H95" t="s">
        <v>11914</v>
      </c>
      <c r="I95">
        <v>-2.4433684558959998E-3</v>
      </c>
      <c r="J95">
        <v>6.2814669343389503E-3</v>
      </c>
      <c r="K95">
        <v>-7.3300000000003293E-2</v>
      </c>
    </row>
    <row r="96" spans="1:11" hidden="1">
      <c r="A96" t="s">
        <v>15328</v>
      </c>
      <c r="B96" t="s">
        <v>15441</v>
      </c>
      <c r="C96" t="s">
        <v>15445</v>
      </c>
      <c r="D96" t="s">
        <v>3431</v>
      </c>
      <c r="E96" t="s">
        <v>3434</v>
      </c>
      <c r="F96" t="s">
        <v>11174</v>
      </c>
      <c r="G96" t="s">
        <v>3366</v>
      </c>
      <c r="H96" t="s">
        <v>11886</v>
      </c>
      <c r="I96">
        <v>2.0150157798899799E-2</v>
      </c>
      <c r="J96">
        <v>5.36306154471939E-2</v>
      </c>
      <c r="K96">
        <v>7.7999999999960297E-3</v>
      </c>
    </row>
    <row r="97" spans="1:11" hidden="1">
      <c r="A97" t="s">
        <v>15328</v>
      </c>
      <c r="B97" t="s">
        <v>15441</v>
      </c>
      <c r="C97" t="s">
        <v>15445</v>
      </c>
      <c r="D97" t="s">
        <v>3431</v>
      </c>
      <c r="E97" t="s">
        <v>3434</v>
      </c>
      <c r="F97" t="s">
        <v>11354</v>
      </c>
      <c r="G97" t="s">
        <v>3366</v>
      </c>
      <c r="H97" t="s">
        <v>11886</v>
      </c>
      <c r="I97">
        <v>1.84063676612547E-2</v>
      </c>
      <c r="J97">
        <v>5.0355998365562898E-2</v>
      </c>
      <c r="K97">
        <v>3.3999999999991802E-3</v>
      </c>
    </row>
    <row r="98" spans="1:11" hidden="1">
      <c r="A98" t="s">
        <v>15328</v>
      </c>
      <c r="B98" t="s">
        <v>15441</v>
      </c>
      <c r="C98" t="s">
        <v>15445</v>
      </c>
      <c r="D98" t="s">
        <v>3431</v>
      </c>
      <c r="E98" t="s">
        <v>3435</v>
      </c>
      <c r="F98" t="s">
        <v>11120</v>
      </c>
      <c r="G98" t="s">
        <v>3366</v>
      </c>
      <c r="H98" t="s">
        <v>11885</v>
      </c>
      <c r="I98">
        <v>2.22953019628233E-2</v>
      </c>
      <c r="J98">
        <v>5.4428303519641202E-2</v>
      </c>
      <c r="K98">
        <v>8.8999999999970197E-3</v>
      </c>
    </row>
    <row r="99" spans="1:11" hidden="1">
      <c r="A99" t="s">
        <v>15328</v>
      </c>
      <c r="B99" t="s">
        <v>15441</v>
      </c>
      <c r="C99" t="s">
        <v>15446</v>
      </c>
      <c r="D99" t="s">
        <v>3435</v>
      </c>
      <c r="E99" t="s">
        <v>3429</v>
      </c>
      <c r="F99" t="s">
        <v>10747</v>
      </c>
      <c r="G99" t="s">
        <v>3366</v>
      </c>
      <c r="H99" t="s">
        <v>11886</v>
      </c>
      <c r="I99">
        <v>1.9269277030189401E-2</v>
      </c>
      <c r="J99">
        <v>5.3291676072703097E-2</v>
      </c>
      <c r="K99">
        <v>1.08999999999995E-2</v>
      </c>
    </row>
    <row r="100" spans="1:11" hidden="1">
      <c r="A100" t="s">
        <v>15328</v>
      </c>
      <c r="B100" t="s">
        <v>15441</v>
      </c>
      <c r="C100" t="s">
        <v>15446</v>
      </c>
      <c r="D100" t="s">
        <v>3431</v>
      </c>
      <c r="E100" t="s">
        <v>3434</v>
      </c>
      <c r="F100" t="s">
        <v>11119</v>
      </c>
      <c r="G100" t="s">
        <v>3366</v>
      </c>
      <c r="H100" t="s">
        <v>11886</v>
      </c>
      <c r="I100">
        <v>1.8280488699288201E-2</v>
      </c>
      <c r="J100">
        <v>5.0009701199299601E-2</v>
      </c>
      <c r="K100">
        <v>1.2899999999994799E-2</v>
      </c>
    </row>
    <row r="101" spans="1:11" hidden="1">
      <c r="A101" t="s">
        <v>15328</v>
      </c>
      <c r="B101" t="s">
        <v>15441</v>
      </c>
      <c r="C101" t="s">
        <v>15446</v>
      </c>
      <c r="D101" t="s">
        <v>3434</v>
      </c>
      <c r="E101" t="s">
        <v>3435</v>
      </c>
      <c r="F101" t="s">
        <v>10988</v>
      </c>
      <c r="G101" t="s">
        <v>3366</v>
      </c>
      <c r="H101" t="s">
        <v>11886</v>
      </c>
      <c r="I101">
        <v>1.8455335416337801E-2</v>
      </c>
      <c r="J101">
        <v>4.5279744916034301E-2</v>
      </c>
      <c r="K101">
        <v>1.2299999999996199E-2</v>
      </c>
    </row>
    <row r="102" spans="1:11" hidden="1">
      <c r="A102" t="s">
        <v>15328</v>
      </c>
      <c r="B102" t="s">
        <v>15441</v>
      </c>
      <c r="C102" t="s">
        <v>15447</v>
      </c>
      <c r="D102" t="s">
        <v>3431</v>
      </c>
      <c r="E102" t="s">
        <v>3434</v>
      </c>
      <c r="F102" t="s">
        <v>10511</v>
      </c>
      <c r="G102" t="s">
        <v>3366</v>
      </c>
      <c r="H102" t="s">
        <v>11887</v>
      </c>
      <c r="I102">
        <v>3.9955214925689202E-2</v>
      </c>
      <c r="J102">
        <v>7.3620701250011494E-2</v>
      </c>
      <c r="K102">
        <v>2.57000000000005E-2</v>
      </c>
    </row>
    <row r="103" spans="1:11" hidden="1">
      <c r="A103" t="s">
        <v>15328</v>
      </c>
      <c r="B103" t="s">
        <v>15441</v>
      </c>
      <c r="C103" t="s">
        <v>15447</v>
      </c>
      <c r="D103" t="s">
        <v>3434</v>
      </c>
      <c r="E103" t="s">
        <v>3435</v>
      </c>
      <c r="F103" t="s">
        <v>10713</v>
      </c>
      <c r="G103" t="s">
        <v>3366</v>
      </c>
      <c r="H103" t="s">
        <v>11887</v>
      </c>
      <c r="I103">
        <v>3.7757148660316403E-2</v>
      </c>
      <c r="J103">
        <v>6.8866754875633707E-2</v>
      </c>
      <c r="K103">
        <v>2.28999999999999E-2</v>
      </c>
    </row>
    <row r="104" spans="1:11" hidden="1">
      <c r="A104" t="s">
        <v>15328</v>
      </c>
      <c r="B104" t="s">
        <v>15441</v>
      </c>
      <c r="C104" t="s">
        <v>15447</v>
      </c>
      <c r="D104" t="s">
        <v>3434</v>
      </c>
      <c r="E104" t="s">
        <v>3434</v>
      </c>
      <c r="F104" t="s">
        <v>11355</v>
      </c>
      <c r="G104" t="s">
        <v>3366</v>
      </c>
      <c r="H104" t="s">
        <v>11887</v>
      </c>
      <c r="I104">
        <v>2.98289625451802E-2</v>
      </c>
      <c r="J104">
        <v>5.5625284254921602E-2</v>
      </c>
      <c r="K104">
        <v>1.59999999999982E-2</v>
      </c>
    </row>
    <row r="105" spans="1:11" hidden="1">
      <c r="A105" t="s">
        <v>15328</v>
      </c>
      <c r="B105" t="s">
        <v>15441</v>
      </c>
      <c r="C105" t="s">
        <v>15448</v>
      </c>
      <c r="D105" t="s">
        <v>3441</v>
      </c>
      <c r="E105" t="s">
        <v>3579</v>
      </c>
      <c r="F105" t="s">
        <v>11106</v>
      </c>
      <c r="G105" t="s">
        <v>3366</v>
      </c>
      <c r="H105" t="s">
        <v>11912</v>
      </c>
      <c r="I105">
        <v>1.9773599835402399E-2</v>
      </c>
      <c r="J105">
        <v>4.6605654946644197E-2</v>
      </c>
      <c r="K105">
        <v>-3.1000000000034299E-3</v>
      </c>
    </row>
    <row r="106" spans="1:11" hidden="1">
      <c r="A106" t="s">
        <v>15328</v>
      </c>
      <c r="B106" t="s">
        <v>15441</v>
      </c>
      <c r="C106" t="s">
        <v>15448</v>
      </c>
      <c r="D106" t="s">
        <v>3441</v>
      </c>
      <c r="E106" t="s">
        <v>3579</v>
      </c>
      <c r="F106" t="s">
        <v>11106</v>
      </c>
      <c r="G106" t="s">
        <v>3366</v>
      </c>
      <c r="H106" t="s">
        <v>11912</v>
      </c>
      <c r="I106">
        <v>1.8827580243888999E-2</v>
      </c>
      <c r="J106">
        <v>4.48438777520501E-2</v>
      </c>
      <c r="K106">
        <v>-2.6000000000010498E-3</v>
      </c>
    </row>
    <row r="107" spans="1:11" hidden="1">
      <c r="A107" t="s">
        <v>15328</v>
      </c>
      <c r="B107" t="s">
        <v>15441</v>
      </c>
      <c r="C107" t="s">
        <v>15448</v>
      </c>
      <c r="D107" t="s">
        <v>3453</v>
      </c>
      <c r="E107" t="s">
        <v>3464</v>
      </c>
      <c r="F107" t="s">
        <v>11356</v>
      </c>
      <c r="G107" t="s">
        <v>3366</v>
      </c>
      <c r="H107" t="s">
        <v>11912</v>
      </c>
      <c r="I107">
        <v>2.0289064270060699E-2</v>
      </c>
      <c r="J107">
        <v>4.1053199726004803E-2</v>
      </c>
      <c r="K107">
        <v>-1.9999999999953399E-4</v>
      </c>
    </row>
    <row r="108" spans="1:11" hidden="1">
      <c r="A108" t="s">
        <v>15328</v>
      </c>
      <c r="B108" t="s">
        <v>15441</v>
      </c>
      <c r="C108" t="s">
        <v>15449</v>
      </c>
      <c r="D108" t="s">
        <v>3425</v>
      </c>
      <c r="E108" t="s">
        <v>3453</v>
      </c>
      <c r="F108" t="s">
        <v>11357</v>
      </c>
      <c r="G108" t="s">
        <v>3366</v>
      </c>
      <c r="H108" t="s">
        <v>11914</v>
      </c>
      <c r="I108">
        <v>1.35812057869917E-2</v>
      </c>
      <c r="J108">
        <v>4.4014765317313298E-2</v>
      </c>
      <c r="K108">
        <v>-1.21000000000038E-2</v>
      </c>
    </row>
    <row r="109" spans="1:11" hidden="1">
      <c r="A109" t="s">
        <v>15328</v>
      </c>
      <c r="B109" t="s">
        <v>15441</v>
      </c>
      <c r="C109" t="s">
        <v>15449</v>
      </c>
      <c r="D109" t="s">
        <v>3434</v>
      </c>
      <c r="E109" t="s">
        <v>3452</v>
      </c>
      <c r="F109" t="s">
        <v>10751</v>
      </c>
      <c r="G109" t="s">
        <v>3366</v>
      </c>
      <c r="H109" t="s">
        <v>11914</v>
      </c>
      <c r="I109">
        <v>1.61398364276851E-2</v>
      </c>
      <c r="J109">
        <v>4.4565924000771001E-2</v>
      </c>
      <c r="K109">
        <v>-1.25999999999991E-2</v>
      </c>
    </row>
    <row r="110" spans="1:11" hidden="1">
      <c r="A110" t="s">
        <v>15328</v>
      </c>
      <c r="B110" t="s">
        <v>15441</v>
      </c>
      <c r="C110" t="s">
        <v>15449</v>
      </c>
      <c r="D110" t="s">
        <v>3431</v>
      </c>
      <c r="E110" t="s">
        <v>3433</v>
      </c>
      <c r="F110" t="s">
        <v>11358</v>
      </c>
      <c r="G110" t="s">
        <v>3367</v>
      </c>
      <c r="H110" t="s">
        <v>11914</v>
      </c>
      <c r="I110">
        <v>1.57512392223771E-2</v>
      </c>
      <c r="J110">
        <v>4.3823973645187503E-2</v>
      </c>
      <c r="K110">
        <v>-1.0400000000004199E-2</v>
      </c>
    </row>
    <row r="111" spans="1:11" hidden="1">
      <c r="A111" t="s">
        <v>15328</v>
      </c>
      <c r="B111" t="s">
        <v>15442</v>
      </c>
      <c r="C111" t="s">
        <v>15445</v>
      </c>
      <c r="D111" t="s">
        <v>3427</v>
      </c>
      <c r="E111" t="s">
        <v>3425</v>
      </c>
      <c r="F111" t="s">
        <v>11281</v>
      </c>
      <c r="G111" t="s">
        <v>3366</v>
      </c>
      <c r="H111" t="s">
        <v>11885</v>
      </c>
      <c r="I111">
        <v>6.7823309422741099E-3</v>
      </c>
      <c r="J111">
        <v>1.2092386492225099E-2</v>
      </c>
      <c r="K111">
        <v>-2.2500000000000901E-2</v>
      </c>
    </row>
    <row r="112" spans="1:11" hidden="1">
      <c r="A112" t="s">
        <v>15328</v>
      </c>
      <c r="B112" t="s">
        <v>15442</v>
      </c>
      <c r="C112" t="s">
        <v>15445</v>
      </c>
      <c r="D112" t="s">
        <v>3428</v>
      </c>
      <c r="E112" t="s">
        <v>3431</v>
      </c>
      <c r="F112" t="s">
        <v>10953</v>
      </c>
      <c r="G112" t="s">
        <v>3366</v>
      </c>
      <c r="H112" t="s">
        <v>11885</v>
      </c>
      <c r="I112">
        <v>9.3076273496501202E-3</v>
      </c>
      <c r="J112">
        <v>1.35340871295558E-2</v>
      </c>
      <c r="K112">
        <v>-1.55999999999992E-2</v>
      </c>
    </row>
    <row r="113" spans="1:11" hidden="1">
      <c r="A113" t="s">
        <v>15328</v>
      </c>
      <c r="B113" t="s">
        <v>15442</v>
      </c>
      <c r="C113" t="s">
        <v>15445</v>
      </c>
      <c r="D113" t="s">
        <v>3428</v>
      </c>
      <c r="E113" t="s">
        <v>3431</v>
      </c>
      <c r="F113" t="s">
        <v>11200</v>
      </c>
      <c r="G113" t="s">
        <v>3366</v>
      </c>
      <c r="H113" t="s">
        <v>11885</v>
      </c>
      <c r="I113">
        <v>1.00802392129272E-2</v>
      </c>
      <c r="J113">
        <v>1.1795268736785901E-2</v>
      </c>
      <c r="K113">
        <v>-7.8999999999993503E-3</v>
      </c>
    </row>
    <row r="114" spans="1:11" hidden="1">
      <c r="A114" t="s">
        <v>15328</v>
      </c>
      <c r="B114" t="s">
        <v>15442</v>
      </c>
      <c r="C114" t="s">
        <v>15451</v>
      </c>
      <c r="D114" t="s">
        <v>3440</v>
      </c>
      <c r="E114" t="s">
        <v>3425</v>
      </c>
      <c r="F114" t="s">
        <v>11359</v>
      </c>
      <c r="G114" t="s">
        <v>3366</v>
      </c>
      <c r="H114" t="s">
        <v>11893</v>
      </c>
      <c r="I114">
        <v>1.29781392374344E-2</v>
      </c>
      <c r="J114">
        <v>2.9150744709717701E-2</v>
      </c>
      <c r="K114">
        <v>9.9999999999766899E-4</v>
      </c>
    </row>
    <row r="115" spans="1:11" hidden="1">
      <c r="A115" t="s">
        <v>15328</v>
      </c>
      <c r="B115" t="s">
        <v>15442</v>
      </c>
      <c r="C115" t="s">
        <v>15451</v>
      </c>
      <c r="D115" t="s">
        <v>3438</v>
      </c>
      <c r="E115" t="s">
        <v>3434</v>
      </c>
      <c r="F115" t="s">
        <v>11359</v>
      </c>
      <c r="G115" t="s">
        <v>3366</v>
      </c>
      <c r="H115" t="s">
        <v>11891</v>
      </c>
      <c r="I115">
        <v>8.9361920331083207E-3</v>
      </c>
      <c r="J115">
        <v>2.9944991997414201E-2</v>
      </c>
      <c r="K115">
        <v>-5.0999999999987696E-3</v>
      </c>
    </row>
    <row r="116" spans="1:11" hidden="1">
      <c r="A116" t="s">
        <v>15328</v>
      </c>
      <c r="B116" t="s">
        <v>15442</v>
      </c>
      <c r="C116" t="s">
        <v>15451</v>
      </c>
      <c r="D116" t="s">
        <v>3427</v>
      </c>
      <c r="E116" t="s">
        <v>3429</v>
      </c>
      <c r="F116" t="s">
        <v>11360</v>
      </c>
      <c r="G116" t="s">
        <v>3366</v>
      </c>
      <c r="H116" t="s">
        <v>11893</v>
      </c>
      <c r="I116">
        <v>8.6644887282946604E-3</v>
      </c>
      <c r="J116">
        <v>2.7024527384171399E-2</v>
      </c>
      <c r="K116">
        <v>-1.5000000000000601E-3</v>
      </c>
    </row>
    <row r="117" spans="1:11" hidden="1">
      <c r="A117" t="s">
        <v>15328</v>
      </c>
      <c r="B117" t="s">
        <v>15443</v>
      </c>
      <c r="C117" t="s">
        <v>15452</v>
      </c>
      <c r="D117" t="s">
        <v>3435</v>
      </c>
      <c r="E117" t="s">
        <v>3462</v>
      </c>
      <c r="F117" t="s">
        <v>10771</v>
      </c>
      <c r="G117" t="s">
        <v>3366</v>
      </c>
      <c r="H117" t="s">
        <v>11901</v>
      </c>
      <c r="I117">
        <v>2.8015360382374802E-2</v>
      </c>
      <c r="J117">
        <v>3.6734198820521001E-2</v>
      </c>
      <c r="K117">
        <v>9.1400000000000106E-2</v>
      </c>
    </row>
    <row r="118" spans="1:11" hidden="1">
      <c r="A118" t="s">
        <v>15328</v>
      </c>
      <c r="B118" t="s">
        <v>15443</v>
      </c>
      <c r="C118" t="s">
        <v>15452</v>
      </c>
      <c r="D118" t="s">
        <v>3429</v>
      </c>
      <c r="E118" t="s">
        <v>3465</v>
      </c>
      <c r="F118" t="s">
        <v>11127</v>
      </c>
      <c r="G118" t="s">
        <v>3366</v>
      </c>
      <c r="H118" t="s">
        <v>11898</v>
      </c>
      <c r="I118">
        <v>2.7053436580871601E-2</v>
      </c>
      <c r="J118">
        <v>3.5327029028504098E-2</v>
      </c>
      <c r="K118">
        <v>8.8899999999995302E-2</v>
      </c>
    </row>
    <row r="119" spans="1:11" hidden="1">
      <c r="A119" t="s">
        <v>15328</v>
      </c>
      <c r="B119" t="s">
        <v>15443</v>
      </c>
      <c r="C119" t="s">
        <v>15452</v>
      </c>
      <c r="D119" t="s">
        <v>3442</v>
      </c>
      <c r="E119" t="s">
        <v>3460</v>
      </c>
      <c r="F119" t="s">
        <v>11128</v>
      </c>
      <c r="G119" t="s">
        <v>3366</v>
      </c>
      <c r="H119" t="s">
        <v>11898</v>
      </c>
      <c r="I119">
        <v>2.8374487045713201E-2</v>
      </c>
      <c r="J119">
        <v>4.3325933456104603E-2</v>
      </c>
      <c r="K119">
        <v>9.3799999999994596E-2</v>
      </c>
    </row>
    <row r="120" spans="1:11">
      <c r="A120" t="s">
        <v>15328</v>
      </c>
      <c r="B120" t="s">
        <v>15442</v>
      </c>
      <c r="C120" t="s">
        <v>15450</v>
      </c>
      <c r="D120" t="s">
        <v>3452</v>
      </c>
      <c r="E120" t="s">
        <v>3463</v>
      </c>
      <c r="F120" t="s">
        <v>11361</v>
      </c>
      <c r="G120" t="s">
        <v>3370</v>
      </c>
      <c r="H120" t="s">
        <v>11885</v>
      </c>
      <c r="I120">
        <v>-0.11995347289109699</v>
      </c>
      <c r="J120">
        <v>-1.21327668293049E-2</v>
      </c>
      <c r="K120">
        <v>-0.15830000000000399</v>
      </c>
    </row>
    <row r="121" spans="1:11">
      <c r="A121" t="s">
        <v>15328</v>
      </c>
      <c r="B121" t="s">
        <v>15442</v>
      </c>
      <c r="C121" t="s">
        <v>15450</v>
      </c>
      <c r="D121" t="s">
        <v>3452</v>
      </c>
      <c r="E121" t="s">
        <v>3463</v>
      </c>
      <c r="F121" t="s">
        <v>11005</v>
      </c>
      <c r="G121" t="s">
        <v>3366</v>
      </c>
      <c r="H121" t="s">
        <v>11885</v>
      </c>
      <c r="I121">
        <v>-0.11512678392666501</v>
      </c>
      <c r="J121">
        <v>1.19071652014616E-3</v>
      </c>
      <c r="K121">
        <v>-0.15409999999999999</v>
      </c>
    </row>
    <row r="122" spans="1:11">
      <c r="A122" t="s">
        <v>15328</v>
      </c>
      <c r="B122" t="s">
        <v>15442</v>
      </c>
      <c r="C122" t="s">
        <v>15450</v>
      </c>
      <c r="D122" t="s">
        <v>3442</v>
      </c>
      <c r="E122" t="s">
        <v>3462</v>
      </c>
      <c r="F122" t="s">
        <v>10661</v>
      </c>
      <c r="G122" t="s">
        <v>3366</v>
      </c>
      <c r="H122" t="s">
        <v>11885</v>
      </c>
      <c r="I122">
        <v>-0.110438821400188</v>
      </c>
      <c r="J122">
        <v>-1.4556112160107599E-3</v>
      </c>
      <c r="K122">
        <v>-0.14750000000000099</v>
      </c>
    </row>
    <row r="123" spans="1:11" hidden="1">
      <c r="A123" t="s">
        <v>15343</v>
      </c>
      <c r="B123" t="s">
        <v>15441</v>
      </c>
      <c r="C123" t="s">
        <v>15445</v>
      </c>
      <c r="D123" t="s">
        <v>3438</v>
      </c>
      <c r="E123" t="s">
        <v>3441</v>
      </c>
      <c r="F123" t="s">
        <v>10711</v>
      </c>
      <c r="G123" t="s">
        <v>3366</v>
      </c>
      <c r="H123" t="s">
        <v>11886</v>
      </c>
      <c r="I123">
        <v>-2.0394403492423999E-2</v>
      </c>
      <c r="J123">
        <v>2.6172717192432999E-3</v>
      </c>
      <c r="K123">
        <v>6.0499999999990499E-2</v>
      </c>
    </row>
    <row r="124" spans="1:11" hidden="1">
      <c r="A124" t="s">
        <v>15343</v>
      </c>
      <c r="B124" t="s">
        <v>15441</v>
      </c>
      <c r="C124" t="s">
        <v>15445</v>
      </c>
      <c r="D124" t="s">
        <v>3438</v>
      </c>
      <c r="E124" t="s">
        <v>3441</v>
      </c>
      <c r="F124" t="s">
        <v>10732</v>
      </c>
      <c r="G124" t="s">
        <v>3366</v>
      </c>
      <c r="H124" t="s">
        <v>11886</v>
      </c>
      <c r="I124">
        <v>-2.1573210484100502E-2</v>
      </c>
      <c r="J124">
        <v>4.1404564920660198E-4</v>
      </c>
      <c r="K124">
        <v>5.7999999999992703E-2</v>
      </c>
    </row>
    <row r="125" spans="1:11" hidden="1">
      <c r="A125" t="s">
        <v>15343</v>
      </c>
      <c r="B125" t="s">
        <v>15441</v>
      </c>
      <c r="C125" t="s">
        <v>15445</v>
      </c>
      <c r="D125" t="s">
        <v>3438</v>
      </c>
      <c r="E125" t="s">
        <v>3441</v>
      </c>
      <c r="F125" t="s">
        <v>11489</v>
      </c>
      <c r="G125" t="s">
        <v>3366</v>
      </c>
      <c r="H125" t="s">
        <v>11886</v>
      </c>
      <c r="I125">
        <v>-2.50498612444248E-2</v>
      </c>
      <c r="J125">
        <v>5.1535513558175004E-4</v>
      </c>
      <c r="K125">
        <v>4.1499999999985E-2</v>
      </c>
    </row>
    <row r="126" spans="1:11" hidden="1">
      <c r="A126" t="s">
        <v>15343</v>
      </c>
      <c r="B126" t="s">
        <v>15441</v>
      </c>
      <c r="C126" t="s">
        <v>15447</v>
      </c>
      <c r="D126" t="s">
        <v>3436</v>
      </c>
      <c r="E126" t="s">
        <v>3465</v>
      </c>
      <c r="F126" t="s">
        <v>11490</v>
      </c>
      <c r="G126" t="s">
        <v>3380</v>
      </c>
      <c r="H126" t="s">
        <v>11887</v>
      </c>
      <c r="I126">
        <v>-1.55989122280376E-2</v>
      </c>
      <c r="J126">
        <v>1.03731482685539E-2</v>
      </c>
      <c r="K126">
        <v>9.5000000000027302E-3</v>
      </c>
    </row>
    <row r="127" spans="1:11" hidden="1">
      <c r="A127" t="s">
        <v>15343</v>
      </c>
      <c r="B127" t="s">
        <v>15441</v>
      </c>
      <c r="C127" t="s">
        <v>15447</v>
      </c>
      <c r="D127" t="s">
        <v>3428</v>
      </c>
      <c r="E127" t="s">
        <v>3452</v>
      </c>
      <c r="F127" t="s">
        <v>11490</v>
      </c>
      <c r="G127" t="s">
        <v>3366</v>
      </c>
      <c r="H127" t="s">
        <v>11887</v>
      </c>
      <c r="I127">
        <v>-1.7522932223189999E-2</v>
      </c>
      <c r="J127">
        <v>9.8875497837258106E-3</v>
      </c>
      <c r="K127">
        <v>2.2799999999961101E-2</v>
      </c>
    </row>
    <row r="128" spans="1:11" hidden="1">
      <c r="A128" t="s">
        <v>15343</v>
      </c>
      <c r="B128" t="s">
        <v>15441</v>
      </c>
      <c r="C128" t="s">
        <v>15447</v>
      </c>
      <c r="D128" t="s">
        <v>3428</v>
      </c>
      <c r="E128" t="s">
        <v>3452</v>
      </c>
      <c r="F128" t="s">
        <v>11490</v>
      </c>
      <c r="G128" t="s">
        <v>3366</v>
      </c>
      <c r="H128" t="s">
        <v>11887</v>
      </c>
      <c r="I128">
        <v>-1.7520147698078799E-2</v>
      </c>
      <c r="J128">
        <v>9.7401794209291005E-3</v>
      </c>
      <c r="K128">
        <v>2.2299999999972901E-2</v>
      </c>
    </row>
    <row r="129" spans="1:11" hidden="1">
      <c r="A129" t="s">
        <v>15343</v>
      </c>
      <c r="B129" t="s">
        <v>15441</v>
      </c>
      <c r="C129" t="s">
        <v>15448</v>
      </c>
      <c r="D129" t="s">
        <v>3428</v>
      </c>
      <c r="E129" t="s">
        <v>3452</v>
      </c>
      <c r="F129" t="s">
        <v>11461</v>
      </c>
      <c r="G129" t="s">
        <v>3376</v>
      </c>
      <c r="H129" t="s">
        <v>11891</v>
      </c>
      <c r="I129">
        <v>-1.9279773418037102E-2</v>
      </c>
      <c r="J129">
        <v>6.5820448380316402E-3</v>
      </c>
      <c r="K129">
        <v>-2.9200000000003001E-2</v>
      </c>
    </row>
    <row r="130" spans="1:11" hidden="1">
      <c r="A130" t="s">
        <v>15343</v>
      </c>
      <c r="B130" t="s">
        <v>15441</v>
      </c>
      <c r="C130" t="s">
        <v>15448</v>
      </c>
      <c r="D130" t="s">
        <v>3436</v>
      </c>
      <c r="E130" t="s">
        <v>3462</v>
      </c>
      <c r="F130" t="s">
        <v>11491</v>
      </c>
      <c r="G130" t="s">
        <v>3366</v>
      </c>
      <c r="H130" t="s">
        <v>11891</v>
      </c>
      <c r="I130">
        <v>-1.8001017302526599E-2</v>
      </c>
      <c r="J130">
        <v>7.8767898979135598E-3</v>
      </c>
      <c r="K130">
        <v>-3.1300000000044299E-2</v>
      </c>
    </row>
    <row r="131" spans="1:11" hidden="1">
      <c r="A131" t="s">
        <v>15343</v>
      </c>
      <c r="B131" t="s">
        <v>15441</v>
      </c>
      <c r="C131" t="s">
        <v>15448</v>
      </c>
      <c r="D131" t="s">
        <v>3436</v>
      </c>
      <c r="E131" t="s">
        <v>3465</v>
      </c>
      <c r="F131" t="s">
        <v>10620</v>
      </c>
      <c r="G131" t="s">
        <v>3366</v>
      </c>
      <c r="H131" t="s">
        <v>11891</v>
      </c>
      <c r="I131">
        <v>-1.6769628769230199E-2</v>
      </c>
      <c r="J131">
        <v>5.5051767118810199E-3</v>
      </c>
      <c r="K131">
        <v>-2.9500000000041399E-2</v>
      </c>
    </row>
    <row r="132" spans="1:11" hidden="1">
      <c r="A132" t="s">
        <v>15343</v>
      </c>
      <c r="B132" t="s">
        <v>15441</v>
      </c>
      <c r="C132" t="s">
        <v>15446</v>
      </c>
      <c r="D132" t="s">
        <v>3438</v>
      </c>
      <c r="E132" t="s">
        <v>3452</v>
      </c>
      <c r="F132" t="s">
        <v>11492</v>
      </c>
      <c r="G132" t="s">
        <v>3375</v>
      </c>
      <c r="H132" t="s">
        <v>11902</v>
      </c>
      <c r="I132">
        <v>-2.38060700786373E-2</v>
      </c>
      <c r="J132">
        <v>-1.4143456498535E-3</v>
      </c>
      <c r="K132">
        <v>-1.53999999999996E-2</v>
      </c>
    </row>
    <row r="133" spans="1:11" hidden="1">
      <c r="A133" t="s">
        <v>15343</v>
      </c>
      <c r="B133" t="s">
        <v>15441</v>
      </c>
      <c r="C133" t="s">
        <v>15446</v>
      </c>
      <c r="D133" t="s">
        <v>3438</v>
      </c>
      <c r="E133" t="s">
        <v>3452</v>
      </c>
      <c r="F133" t="s">
        <v>11493</v>
      </c>
      <c r="G133" t="s">
        <v>3366</v>
      </c>
      <c r="H133" t="s">
        <v>11902</v>
      </c>
      <c r="I133">
        <v>-2.5338113240257001E-2</v>
      </c>
      <c r="J133">
        <v>-2.8811842992002398E-3</v>
      </c>
      <c r="K133">
        <v>-2.7000000000043701E-2</v>
      </c>
    </row>
    <row r="134" spans="1:11" hidden="1">
      <c r="A134" t="s">
        <v>15343</v>
      </c>
      <c r="B134" t="s">
        <v>15441</v>
      </c>
      <c r="C134" t="s">
        <v>15446</v>
      </c>
      <c r="D134" t="s">
        <v>3438</v>
      </c>
      <c r="E134" t="s">
        <v>3452</v>
      </c>
      <c r="F134" t="s">
        <v>11494</v>
      </c>
      <c r="G134" t="s">
        <v>3366</v>
      </c>
      <c r="H134" t="s">
        <v>11902</v>
      </c>
      <c r="I134">
        <v>-2.5591313429619601E-2</v>
      </c>
      <c r="J134">
        <v>-4.2896229294346003E-3</v>
      </c>
      <c r="K134">
        <v>-3.5099999999999902E-2</v>
      </c>
    </row>
    <row r="135" spans="1:11" hidden="1">
      <c r="A135" t="s">
        <v>15343</v>
      </c>
      <c r="B135" t="s">
        <v>15441</v>
      </c>
      <c r="C135" t="s">
        <v>15449</v>
      </c>
      <c r="D135" t="s">
        <v>3439</v>
      </c>
      <c r="E135" t="s">
        <v>3434</v>
      </c>
      <c r="F135" t="s">
        <v>11495</v>
      </c>
      <c r="G135" t="s">
        <v>3379</v>
      </c>
      <c r="H135" t="s">
        <v>11891</v>
      </c>
      <c r="I135">
        <v>-1.3206512117675E-2</v>
      </c>
      <c r="J135">
        <v>-8.9220075317295207E-3</v>
      </c>
      <c r="K135">
        <v>1.7899999999997401E-2</v>
      </c>
    </row>
    <row r="136" spans="1:11" hidden="1">
      <c r="A136" t="s">
        <v>15343</v>
      </c>
      <c r="B136" t="s">
        <v>15441</v>
      </c>
      <c r="C136" t="s">
        <v>15449</v>
      </c>
      <c r="D136" t="s">
        <v>3437</v>
      </c>
      <c r="E136" t="s">
        <v>3430</v>
      </c>
      <c r="F136" t="s">
        <v>10957</v>
      </c>
      <c r="G136" t="s">
        <v>3366</v>
      </c>
      <c r="H136" t="s">
        <v>11893</v>
      </c>
      <c r="I136">
        <v>-1.20705791488817E-2</v>
      </c>
      <c r="J136">
        <v>-1.08285840541629E-2</v>
      </c>
      <c r="K136">
        <v>3.2299999999963802E-2</v>
      </c>
    </row>
    <row r="137" spans="1:11" hidden="1">
      <c r="A137" t="s">
        <v>15343</v>
      </c>
      <c r="B137" t="s">
        <v>15441</v>
      </c>
      <c r="C137" t="s">
        <v>15449</v>
      </c>
      <c r="D137" t="s">
        <v>3440</v>
      </c>
      <c r="E137" t="s">
        <v>3442</v>
      </c>
      <c r="F137" t="s">
        <v>10957</v>
      </c>
      <c r="G137" t="s">
        <v>3366</v>
      </c>
      <c r="H137" t="s">
        <v>11893</v>
      </c>
      <c r="I137">
        <v>-1.0064405444505599E-2</v>
      </c>
      <c r="J137">
        <v>-1.02644006050449E-2</v>
      </c>
      <c r="K137">
        <v>3.2299999999963802E-2</v>
      </c>
    </row>
    <row r="138" spans="1:11">
      <c r="A138" t="s">
        <v>15343</v>
      </c>
      <c r="B138" t="s">
        <v>15442</v>
      </c>
      <c r="C138" t="s">
        <v>15450</v>
      </c>
      <c r="D138" t="s">
        <v>3530</v>
      </c>
      <c r="E138" t="s">
        <v>3685</v>
      </c>
      <c r="F138" t="s">
        <v>11496</v>
      </c>
      <c r="G138" t="s">
        <v>3374</v>
      </c>
      <c r="H138" t="s">
        <v>11895</v>
      </c>
      <c r="I138">
        <v>9.3143997368449902E-2</v>
      </c>
      <c r="J138">
        <v>6.7319411376614902E-2</v>
      </c>
      <c r="K138">
        <v>0.77809999999999502</v>
      </c>
    </row>
    <row r="139" spans="1:11">
      <c r="A139" t="s">
        <v>15343</v>
      </c>
      <c r="B139" t="s">
        <v>15442</v>
      </c>
      <c r="C139" t="s">
        <v>15450</v>
      </c>
      <c r="D139" t="s">
        <v>3531</v>
      </c>
      <c r="E139" t="s">
        <v>3686</v>
      </c>
      <c r="F139" t="s">
        <v>11497</v>
      </c>
      <c r="G139" t="s">
        <v>3366</v>
      </c>
      <c r="H139" t="s">
        <v>11885</v>
      </c>
      <c r="I139">
        <v>2.6352960240472501E-2</v>
      </c>
      <c r="J139">
        <v>1.34830474475192E-2</v>
      </c>
      <c r="K139">
        <v>0.50459999999998195</v>
      </c>
    </row>
    <row r="140" spans="1:11">
      <c r="A140" t="s">
        <v>15343</v>
      </c>
      <c r="B140" t="s">
        <v>15442</v>
      </c>
      <c r="C140" t="s">
        <v>15450</v>
      </c>
      <c r="D140" t="s">
        <v>3464</v>
      </c>
      <c r="E140" t="s">
        <v>3687</v>
      </c>
      <c r="F140" t="s">
        <v>11497</v>
      </c>
      <c r="G140" t="s">
        <v>3366</v>
      </c>
      <c r="H140" t="s">
        <v>11885</v>
      </c>
      <c r="I140">
        <v>-1.5978305051755501E-2</v>
      </c>
      <c r="J140">
        <v>-2.0903911147890702E-3</v>
      </c>
      <c r="K140">
        <v>4.5299999999997502E-2</v>
      </c>
    </row>
    <row r="141" spans="1:11" hidden="1">
      <c r="A141" t="s">
        <v>15343</v>
      </c>
      <c r="B141" t="s">
        <v>15442</v>
      </c>
      <c r="C141" t="s">
        <v>15445</v>
      </c>
      <c r="D141" t="s">
        <v>3438</v>
      </c>
      <c r="E141" t="s">
        <v>3441</v>
      </c>
      <c r="F141" t="s">
        <v>11498</v>
      </c>
      <c r="G141" t="s">
        <v>3380</v>
      </c>
      <c r="H141" t="s">
        <v>11886</v>
      </c>
      <c r="I141">
        <v>-1.8544175967330798E-2</v>
      </c>
      <c r="J141">
        <v>-1.37223361447045E-2</v>
      </c>
      <c r="K141">
        <v>5.2399999999977402E-2</v>
      </c>
    </row>
    <row r="142" spans="1:11" hidden="1">
      <c r="A142" t="s">
        <v>15343</v>
      </c>
      <c r="B142" t="s">
        <v>15442</v>
      </c>
      <c r="C142" t="s">
        <v>15445</v>
      </c>
      <c r="D142" t="s">
        <v>3438</v>
      </c>
      <c r="E142" t="s">
        <v>3453</v>
      </c>
      <c r="F142" t="s">
        <v>11499</v>
      </c>
      <c r="G142" t="s">
        <v>3366</v>
      </c>
      <c r="H142" t="s">
        <v>11886</v>
      </c>
      <c r="I142">
        <v>-1.6691789796623901E-2</v>
      </c>
      <c r="J142">
        <v>-1.3772536350143701E-2</v>
      </c>
      <c r="K142">
        <v>5.4899999999975101E-2</v>
      </c>
    </row>
    <row r="143" spans="1:11" hidden="1">
      <c r="A143" t="s">
        <v>15343</v>
      </c>
      <c r="B143" t="s">
        <v>15442</v>
      </c>
      <c r="C143" t="s">
        <v>15445</v>
      </c>
      <c r="D143" t="s">
        <v>3438</v>
      </c>
      <c r="E143" t="s">
        <v>3432</v>
      </c>
      <c r="F143" t="s">
        <v>11500</v>
      </c>
      <c r="G143" t="s">
        <v>3366</v>
      </c>
      <c r="H143" t="s">
        <v>11886</v>
      </c>
      <c r="I143">
        <v>-1.52588859474068E-2</v>
      </c>
      <c r="J143">
        <v>-1.3551996053855901E-2</v>
      </c>
      <c r="K143">
        <v>5.5999999999983202E-2</v>
      </c>
    </row>
    <row r="144" spans="1:11" hidden="1">
      <c r="A144" t="s">
        <v>15343</v>
      </c>
      <c r="B144" t="s">
        <v>15442</v>
      </c>
      <c r="C144" t="s">
        <v>15451</v>
      </c>
      <c r="D144" t="s">
        <v>3439</v>
      </c>
      <c r="E144" t="s">
        <v>3425</v>
      </c>
      <c r="F144" t="s">
        <v>11250</v>
      </c>
      <c r="G144" t="s">
        <v>3381</v>
      </c>
      <c r="H144" t="s">
        <v>11888</v>
      </c>
      <c r="I144">
        <v>-2.0038112008689001E-2</v>
      </c>
      <c r="J144">
        <v>-8.9992277001089797E-3</v>
      </c>
      <c r="K144">
        <v>9.0999999999894499E-3</v>
      </c>
    </row>
    <row r="145" spans="1:11" hidden="1">
      <c r="A145" t="s">
        <v>15343</v>
      </c>
      <c r="B145" t="s">
        <v>15442</v>
      </c>
      <c r="C145" t="s">
        <v>15451</v>
      </c>
      <c r="D145" t="s">
        <v>3439</v>
      </c>
      <c r="E145" t="s">
        <v>3425</v>
      </c>
      <c r="F145" t="s">
        <v>11379</v>
      </c>
      <c r="G145" t="s">
        <v>3366</v>
      </c>
      <c r="H145" t="s">
        <v>11888</v>
      </c>
      <c r="I145">
        <v>-1.9478054597452499E-2</v>
      </c>
      <c r="J145">
        <v>-1.01002971032497E-2</v>
      </c>
      <c r="K145">
        <v>1.5899999999987799E-2</v>
      </c>
    </row>
    <row r="146" spans="1:11" hidden="1">
      <c r="A146" t="s">
        <v>15343</v>
      </c>
      <c r="B146" t="s">
        <v>15442</v>
      </c>
      <c r="C146" t="s">
        <v>15451</v>
      </c>
      <c r="D146" t="s">
        <v>3439</v>
      </c>
      <c r="E146" t="s">
        <v>3425</v>
      </c>
      <c r="F146" t="s">
        <v>11379</v>
      </c>
      <c r="G146" t="s">
        <v>3366</v>
      </c>
      <c r="H146" t="s">
        <v>11888</v>
      </c>
      <c r="I146">
        <v>-1.9110974994868898E-2</v>
      </c>
      <c r="J146">
        <v>-1.04765518611902E-2</v>
      </c>
      <c r="K146">
        <v>1.9799999999975199E-2</v>
      </c>
    </row>
    <row r="147" spans="1:11" hidden="1">
      <c r="A147" t="s">
        <v>15343</v>
      </c>
      <c r="B147" t="s">
        <v>15443</v>
      </c>
      <c r="C147" t="s">
        <v>15452</v>
      </c>
      <c r="D147" t="s">
        <v>3439</v>
      </c>
      <c r="E147" t="s">
        <v>3436</v>
      </c>
      <c r="F147" t="s">
        <v>10952</v>
      </c>
      <c r="G147" t="s">
        <v>3377</v>
      </c>
      <c r="H147" t="s">
        <v>11903</v>
      </c>
      <c r="I147">
        <v>1.47684825377155E-3</v>
      </c>
      <c r="J147">
        <v>-2.7149949698018799E-2</v>
      </c>
      <c r="K147">
        <v>4.7699999999963397E-2</v>
      </c>
    </row>
    <row r="148" spans="1:11" hidden="1">
      <c r="A148" t="s">
        <v>15343</v>
      </c>
      <c r="B148" t="s">
        <v>15443</v>
      </c>
      <c r="C148" t="s">
        <v>15452</v>
      </c>
      <c r="D148" t="s">
        <v>3437</v>
      </c>
      <c r="E148" t="s">
        <v>3436</v>
      </c>
      <c r="F148" t="s">
        <v>10952</v>
      </c>
      <c r="G148" t="s">
        <v>3366</v>
      </c>
      <c r="H148" t="s">
        <v>11903</v>
      </c>
      <c r="I148">
        <v>1.34310419168321E-3</v>
      </c>
      <c r="J148">
        <v>-2.7997666935081201E-2</v>
      </c>
      <c r="K148">
        <v>4.0999999999996803E-2</v>
      </c>
    </row>
    <row r="149" spans="1:11" hidden="1">
      <c r="A149" t="s">
        <v>15343</v>
      </c>
      <c r="B149" t="s">
        <v>15443</v>
      </c>
      <c r="C149" t="s">
        <v>15452</v>
      </c>
      <c r="D149" t="s">
        <v>3437</v>
      </c>
      <c r="E149" t="s">
        <v>3425</v>
      </c>
      <c r="F149" t="s">
        <v>11388</v>
      </c>
      <c r="G149" t="s">
        <v>3366</v>
      </c>
      <c r="H149" t="s">
        <v>11903</v>
      </c>
      <c r="I149">
        <v>5.9851706770479003E-4</v>
      </c>
      <c r="J149">
        <v>-2.7206330513014201E-2</v>
      </c>
      <c r="K149">
        <v>4.4299999999964298E-2</v>
      </c>
    </row>
    <row r="150" spans="1:11" hidden="1">
      <c r="A150" t="s">
        <v>15343</v>
      </c>
      <c r="B150" t="s">
        <v>15443</v>
      </c>
      <c r="C150" t="s">
        <v>15479</v>
      </c>
      <c r="D150" t="s">
        <v>3435</v>
      </c>
      <c r="E150" t="s">
        <v>3449</v>
      </c>
      <c r="F150" t="s">
        <v>11480</v>
      </c>
      <c r="G150" t="s">
        <v>3379</v>
      </c>
      <c r="H150" t="s">
        <v>11903</v>
      </c>
      <c r="I150">
        <v>-4.2614219026518201E-3</v>
      </c>
      <c r="J150">
        <v>-3.0294102810160001E-2</v>
      </c>
      <c r="K150">
        <v>3.1599999999969E-2</v>
      </c>
    </row>
    <row r="151" spans="1:11" hidden="1">
      <c r="A151" t="s">
        <v>15343</v>
      </c>
      <c r="B151" t="s">
        <v>15443</v>
      </c>
      <c r="C151" t="s">
        <v>15479</v>
      </c>
      <c r="D151" t="s">
        <v>3432</v>
      </c>
      <c r="E151" t="s">
        <v>3477</v>
      </c>
      <c r="F151" t="s">
        <v>11501</v>
      </c>
      <c r="G151" t="s">
        <v>3366</v>
      </c>
      <c r="H151" t="s">
        <v>11903</v>
      </c>
      <c r="I151">
        <v>-5.4352831689930704E-3</v>
      </c>
      <c r="J151">
        <v>-2.9862510348136501E-2</v>
      </c>
      <c r="K151">
        <v>2.9299999999977899E-2</v>
      </c>
    </row>
    <row r="152" spans="1:11" hidden="1">
      <c r="A152" t="s">
        <v>15343</v>
      </c>
      <c r="B152" t="s">
        <v>15443</v>
      </c>
      <c r="C152" t="s">
        <v>15479</v>
      </c>
      <c r="D152" t="s">
        <v>3452</v>
      </c>
      <c r="E152" t="s">
        <v>3563</v>
      </c>
      <c r="F152" t="s">
        <v>10763</v>
      </c>
      <c r="G152" t="s">
        <v>3366</v>
      </c>
      <c r="H152" t="s">
        <v>11903</v>
      </c>
      <c r="I152">
        <v>-6.5283446695133199E-3</v>
      </c>
      <c r="J152">
        <v>-2.8552817974060798E-2</v>
      </c>
      <c r="K152">
        <v>2.7400000000000101E-2</v>
      </c>
    </row>
    <row r="153" spans="1:11" ht="17.399999999999999" hidden="1">
      <c r="A153" t="s">
        <v>15398</v>
      </c>
      <c r="B153" t="s">
        <v>15441</v>
      </c>
      <c r="C153" t="s">
        <v>15445</v>
      </c>
      <c r="D153" t="s">
        <v>3438</v>
      </c>
      <c r="E153" t="s">
        <v>3425</v>
      </c>
      <c r="F153" t="s">
        <v>11019</v>
      </c>
      <c r="G153" t="s">
        <v>3366</v>
      </c>
      <c r="H153" t="s">
        <v>11903</v>
      </c>
      <c r="I153">
        <v>-6.6845994478195898E-3</v>
      </c>
      <c r="J153">
        <v>-1.43850494176992E-2</v>
      </c>
      <c r="K153">
        <v>3.3600000000006999E-2</v>
      </c>
    </row>
    <row r="154" spans="1:11" ht="17.399999999999999" hidden="1">
      <c r="A154" t="s">
        <v>15398</v>
      </c>
      <c r="B154" t="s">
        <v>15441</v>
      </c>
      <c r="C154" t="s">
        <v>15445</v>
      </c>
      <c r="D154" t="s">
        <v>3427</v>
      </c>
      <c r="E154" t="s">
        <v>3425</v>
      </c>
      <c r="F154" t="s">
        <v>10816</v>
      </c>
      <c r="G154" t="s">
        <v>3366</v>
      </c>
      <c r="H154" t="s">
        <v>11903</v>
      </c>
      <c r="I154">
        <v>-7.6450234000945104E-3</v>
      </c>
      <c r="J154">
        <v>-1.48342077684785E-2</v>
      </c>
      <c r="K154">
        <v>3.3200000000007897E-2</v>
      </c>
    </row>
    <row r="155" spans="1:11" ht="17.399999999999999" hidden="1">
      <c r="A155" t="s">
        <v>15398</v>
      </c>
      <c r="B155" t="s">
        <v>15441</v>
      </c>
      <c r="C155" t="s">
        <v>15445</v>
      </c>
      <c r="D155" t="s">
        <v>3427</v>
      </c>
      <c r="E155" t="s">
        <v>3425</v>
      </c>
      <c r="F155" t="s">
        <v>11208</v>
      </c>
      <c r="G155" t="s">
        <v>3366</v>
      </c>
      <c r="H155" t="s">
        <v>11903</v>
      </c>
      <c r="I155">
        <v>-1.1074795615451201E-2</v>
      </c>
      <c r="J155">
        <v>-9.2301752471611702E-3</v>
      </c>
      <c r="K155">
        <v>2.8600000000011502E-2</v>
      </c>
    </row>
    <row r="156" spans="1:11" ht="17.399999999999999" hidden="1">
      <c r="A156" t="s">
        <v>15398</v>
      </c>
      <c r="B156" t="s">
        <v>15441</v>
      </c>
      <c r="C156" t="s">
        <v>15446</v>
      </c>
      <c r="D156" t="s">
        <v>3428</v>
      </c>
      <c r="E156" t="s">
        <v>3434</v>
      </c>
      <c r="F156" t="s">
        <v>10866</v>
      </c>
      <c r="G156" t="s">
        <v>3366</v>
      </c>
      <c r="H156" t="s">
        <v>11903</v>
      </c>
      <c r="I156">
        <v>-1.00370670146929E-2</v>
      </c>
      <c r="J156">
        <v>-1.2395484968467801E-2</v>
      </c>
      <c r="K156">
        <v>4.0199999999998702E-2</v>
      </c>
    </row>
    <row r="157" spans="1:11" ht="17.399999999999999" hidden="1">
      <c r="A157" t="s">
        <v>15398</v>
      </c>
      <c r="B157" t="s">
        <v>15441</v>
      </c>
      <c r="C157" t="s">
        <v>15446</v>
      </c>
      <c r="D157" t="s">
        <v>3436</v>
      </c>
      <c r="E157" t="s">
        <v>3435</v>
      </c>
      <c r="F157" t="s">
        <v>3685</v>
      </c>
      <c r="G157" t="s">
        <v>3366</v>
      </c>
      <c r="H157" t="s">
        <v>11901</v>
      </c>
      <c r="I157">
        <v>-7.2499782362668496E-3</v>
      </c>
      <c r="J157">
        <v>-7.39480770067433E-3</v>
      </c>
      <c r="K157">
        <v>4.1700000000005802E-2</v>
      </c>
    </row>
    <row r="158" spans="1:11" ht="17.399999999999999" hidden="1">
      <c r="A158" t="s">
        <v>15398</v>
      </c>
      <c r="B158" t="s">
        <v>15441</v>
      </c>
      <c r="C158" t="s">
        <v>15446</v>
      </c>
      <c r="D158" t="s">
        <v>3436</v>
      </c>
      <c r="E158" t="s">
        <v>3429</v>
      </c>
      <c r="F158" t="s">
        <v>11042</v>
      </c>
      <c r="G158" t="s">
        <v>3366</v>
      </c>
      <c r="H158" t="s">
        <v>11903</v>
      </c>
      <c r="I158">
        <v>-1.07685153103195E-2</v>
      </c>
      <c r="J158">
        <v>-7.1533257084457104E-3</v>
      </c>
      <c r="K158">
        <v>3.9200000000008103E-2</v>
      </c>
    </row>
    <row r="159" spans="1:11" ht="17.399999999999999" hidden="1">
      <c r="A159" t="s">
        <v>15398</v>
      </c>
      <c r="B159" t="s">
        <v>15441</v>
      </c>
      <c r="C159" t="s">
        <v>15447</v>
      </c>
      <c r="D159" t="s">
        <v>3427</v>
      </c>
      <c r="E159" t="s">
        <v>3431</v>
      </c>
      <c r="F159" t="s">
        <v>11585</v>
      </c>
      <c r="G159" t="s">
        <v>3366</v>
      </c>
      <c r="H159" t="s">
        <v>11886</v>
      </c>
      <c r="I159">
        <v>-6.77709556711253E-3</v>
      </c>
      <c r="J159">
        <v>-1.6685290558108998E-2</v>
      </c>
      <c r="K159">
        <v>5.3000000000011503E-2</v>
      </c>
    </row>
    <row r="160" spans="1:11" ht="17.399999999999999" hidden="1">
      <c r="A160" t="s">
        <v>15398</v>
      </c>
      <c r="B160" t="s">
        <v>15441</v>
      </c>
      <c r="C160" t="s">
        <v>15447</v>
      </c>
      <c r="D160" t="s">
        <v>3427</v>
      </c>
      <c r="E160" t="s">
        <v>3425</v>
      </c>
      <c r="F160" t="s">
        <v>11585</v>
      </c>
      <c r="G160" t="s">
        <v>3366</v>
      </c>
      <c r="H160" t="s">
        <v>11886</v>
      </c>
      <c r="I160">
        <v>-5.7440768147558399E-3</v>
      </c>
      <c r="J160">
        <v>-1.29505305757119E-2</v>
      </c>
      <c r="K160">
        <v>4.2799999999999699E-2</v>
      </c>
    </row>
    <row r="161" spans="1:11" ht="17.399999999999999" hidden="1">
      <c r="A161" t="s">
        <v>15398</v>
      </c>
      <c r="B161" t="s">
        <v>15441</v>
      </c>
      <c r="C161" t="s">
        <v>15447</v>
      </c>
      <c r="D161" t="s">
        <v>3428</v>
      </c>
      <c r="E161" t="s">
        <v>3431</v>
      </c>
      <c r="F161" t="s">
        <v>11585</v>
      </c>
      <c r="G161" t="s">
        <v>3366</v>
      </c>
      <c r="H161" t="s">
        <v>11886</v>
      </c>
      <c r="I161">
        <v>-9.0451880936425599E-3</v>
      </c>
      <c r="J161">
        <v>-1.3348649280122899E-2</v>
      </c>
      <c r="K161">
        <v>4.4900000000012603E-2</v>
      </c>
    </row>
    <row r="162" spans="1:11" ht="17.399999999999999" hidden="1">
      <c r="A162" t="s">
        <v>15398</v>
      </c>
      <c r="B162" t="s">
        <v>15441</v>
      </c>
      <c r="C162" t="s">
        <v>15448</v>
      </c>
      <c r="D162" t="s">
        <v>3453</v>
      </c>
      <c r="E162" t="s">
        <v>3478</v>
      </c>
      <c r="F162" t="s">
        <v>11506</v>
      </c>
      <c r="G162" t="s">
        <v>3366</v>
      </c>
      <c r="H162" t="s">
        <v>11906</v>
      </c>
      <c r="I162">
        <v>8.0878539534423605E-3</v>
      </c>
      <c r="J162">
        <v>-1.1102000359821E-2</v>
      </c>
      <c r="K162">
        <v>4.5100000000004997E-2</v>
      </c>
    </row>
    <row r="163" spans="1:11" ht="17.399999999999999" hidden="1">
      <c r="A163" t="s">
        <v>15398</v>
      </c>
      <c r="B163" t="s">
        <v>15441</v>
      </c>
      <c r="C163" t="s">
        <v>15448</v>
      </c>
      <c r="D163" t="s">
        <v>3432</v>
      </c>
      <c r="E163" t="s">
        <v>3464</v>
      </c>
      <c r="F163" t="s">
        <v>11284</v>
      </c>
      <c r="G163" t="s">
        <v>3366</v>
      </c>
      <c r="H163" t="s">
        <v>11904</v>
      </c>
      <c r="I163">
        <v>9.5407083397791703E-3</v>
      </c>
      <c r="J163">
        <v>-7.4646143233873998E-3</v>
      </c>
      <c r="K163">
        <v>3.7500000000008499E-2</v>
      </c>
    </row>
    <row r="164" spans="1:11" ht="17.399999999999999" hidden="1">
      <c r="A164" t="s">
        <v>15398</v>
      </c>
      <c r="B164" t="s">
        <v>15441</v>
      </c>
      <c r="C164" t="s">
        <v>15448</v>
      </c>
      <c r="D164" t="s">
        <v>3432</v>
      </c>
      <c r="E164" t="s">
        <v>3515</v>
      </c>
      <c r="F164" t="s">
        <v>11284</v>
      </c>
      <c r="G164" t="s">
        <v>3366</v>
      </c>
      <c r="H164" t="s">
        <v>11904</v>
      </c>
      <c r="I164">
        <v>8.0186368596539704E-3</v>
      </c>
      <c r="J164">
        <v>-9.0432956223868103E-3</v>
      </c>
      <c r="K164">
        <v>4.7100000000000398E-2</v>
      </c>
    </row>
    <row r="165" spans="1:11" ht="17.399999999999999" hidden="1">
      <c r="A165" t="s">
        <v>15398</v>
      </c>
      <c r="B165" t="s">
        <v>15441</v>
      </c>
      <c r="C165" t="s">
        <v>15449</v>
      </c>
      <c r="D165" t="s">
        <v>3425</v>
      </c>
      <c r="E165" t="s">
        <v>3433</v>
      </c>
      <c r="F165" t="s">
        <v>3528</v>
      </c>
      <c r="G165" t="s">
        <v>3366</v>
      </c>
      <c r="H165" t="s">
        <v>11914</v>
      </c>
      <c r="I165">
        <v>-2.6047696629142299E-3</v>
      </c>
      <c r="J165">
        <v>-1.8104405638765201E-2</v>
      </c>
      <c r="K165">
        <v>3.4900000000007501E-2</v>
      </c>
    </row>
    <row r="166" spans="1:11" ht="17.399999999999999" hidden="1">
      <c r="A166" t="s">
        <v>15398</v>
      </c>
      <c r="B166" t="s">
        <v>15441</v>
      </c>
      <c r="C166" t="s">
        <v>15449</v>
      </c>
      <c r="D166" t="s">
        <v>3434</v>
      </c>
      <c r="E166" t="s">
        <v>3461</v>
      </c>
      <c r="F166" t="s">
        <v>11586</v>
      </c>
      <c r="G166" t="s">
        <v>3366</v>
      </c>
      <c r="H166" t="s">
        <v>11912</v>
      </c>
      <c r="I166">
        <v>-2.35944338241807E-3</v>
      </c>
      <c r="J166">
        <v>-2.14090060838238E-2</v>
      </c>
      <c r="K166">
        <v>4.1499999999999197E-2</v>
      </c>
    </row>
    <row r="167" spans="1:11" ht="17.399999999999999" hidden="1">
      <c r="A167" t="s">
        <v>15398</v>
      </c>
      <c r="B167" t="s">
        <v>15441</v>
      </c>
      <c r="C167" t="s">
        <v>15449</v>
      </c>
      <c r="D167" t="s">
        <v>3434</v>
      </c>
      <c r="E167" t="s">
        <v>3461</v>
      </c>
      <c r="F167" t="s">
        <v>11587</v>
      </c>
      <c r="G167" t="s">
        <v>3366</v>
      </c>
      <c r="H167" t="s">
        <v>11912</v>
      </c>
      <c r="I167">
        <v>-2.2085691341301398E-3</v>
      </c>
      <c r="J167">
        <v>-2.11108580585627E-2</v>
      </c>
      <c r="K167">
        <v>4.7800000000009397E-2</v>
      </c>
    </row>
    <row r="168" spans="1:11" ht="17.399999999999999">
      <c r="A168" t="s">
        <v>15398</v>
      </c>
      <c r="B168" t="s">
        <v>15442</v>
      </c>
      <c r="C168" t="s">
        <v>15450</v>
      </c>
      <c r="D168" t="s">
        <v>3432</v>
      </c>
      <c r="E168" t="s">
        <v>3450</v>
      </c>
      <c r="F168" t="s">
        <v>10634</v>
      </c>
      <c r="G168" t="s">
        <v>3366</v>
      </c>
      <c r="H168" t="s">
        <v>11903</v>
      </c>
      <c r="I168">
        <v>-9.4492438414363999E-2</v>
      </c>
      <c r="J168">
        <v>-0.113865111593367</v>
      </c>
      <c r="K168">
        <v>5.0900000000012803E-2</v>
      </c>
    </row>
    <row r="169" spans="1:11" ht="17.399999999999999">
      <c r="A169" t="s">
        <v>15398</v>
      </c>
      <c r="B169" t="s">
        <v>15442</v>
      </c>
      <c r="C169" t="s">
        <v>15450</v>
      </c>
      <c r="D169" t="s">
        <v>3453</v>
      </c>
      <c r="E169" t="s">
        <v>3450</v>
      </c>
      <c r="F169" t="s">
        <v>11588</v>
      </c>
      <c r="G169" t="s">
        <v>3366</v>
      </c>
      <c r="H169" t="s">
        <v>11903</v>
      </c>
      <c r="I169">
        <v>-0.10329540140383101</v>
      </c>
      <c r="J169">
        <v>-0.114452052149652</v>
      </c>
      <c r="K169">
        <v>4.2300000000011599E-2</v>
      </c>
    </row>
    <row r="170" spans="1:11" ht="17.399999999999999">
      <c r="A170" t="s">
        <v>15398</v>
      </c>
      <c r="B170" t="s">
        <v>15442</v>
      </c>
      <c r="C170" t="s">
        <v>15450</v>
      </c>
      <c r="D170" t="s">
        <v>3432</v>
      </c>
      <c r="E170" t="s">
        <v>3460</v>
      </c>
      <c r="F170" t="s">
        <v>11589</v>
      </c>
      <c r="G170" t="s">
        <v>3366</v>
      </c>
      <c r="H170" t="s">
        <v>11901</v>
      </c>
      <c r="I170">
        <v>-0.104088779786509</v>
      </c>
      <c r="J170">
        <v>-0.114406373144705</v>
      </c>
      <c r="K170">
        <v>5.8100000000010303E-2</v>
      </c>
    </row>
    <row r="171" spans="1:11" ht="17.399999999999999" hidden="1">
      <c r="A171" t="s">
        <v>15398</v>
      </c>
      <c r="B171" t="s">
        <v>15442</v>
      </c>
      <c r="C171" t="s">
        <v>15445</v>
      </c>
      <c r="D171" t="s">
        <v>3436</v>
      </c>
      <c r="E171" t="s">
        <v>3435</v>
      </c>
      <c r="F171" t="s">
        <v>11344</v>
      </c>
      <c r="G171" t="s">
        <v>3366</v>
      </c>
      <c r="H171" t="s">
        <v>11903</v>
      </c>
      <c r="I171">
        <v>-6.7247606913213099E-3</v>
      </c>
      <c r="J171">
        <v>-1.8577569380270501E-2</v>
      </c>
      <c r="K171">
        <v>4.76000000000028E-2</v>
      </c>
    </row>
    <row r="172" spans="1:11" ht="17.399999999999999" hidden="1">
      <c r="A172" t="s">
        <v>15398</v>
      </c>
      <c r="B172" t="s">
        <v>15442</v>
      </c>
      <c r="C172" t="s">
        <v>15445</v>
      </c>
      <c r="D172" t="s">
        <v>3434</v>
      </c>
      <c r="E172" t="s">
        <v>3441</v>
      </c>
      <c r="F172" t="s">
        <v>11344</v>
      </c>
      <c r="G172" t="s">
        <v>3366</v>
      </c>
      <c r="H172" t="s">
        <v>11903</v>
      </c>
      <c r="I172">
        <v>-3.2882368514597E-3</v>
      </c>
      <c r="J172">
        <v>-1.5370996598701E-2</v>
      </c>
      <c r="K172">
        <v>3.9900000000002898E-2</v>
      </c>
    </row>
    <row r="173" spans="1:11" ht="17.399999999999999" hidden="1">
      <c r="A173" t="s">
        <v>15398</v>
      </c>
      <c r="B173" t="s">
        <v>15442</v>
      </c>
      <c r="C173" t="s">
        <v>15445</v>
      </c>
      <c r="D173" t="s">
        <v>3431</v>
      </c>
      <c r="E173" t="s">
        <v>3442</v>
      </c>
      <c r="F173" t="s">
        <v>11344</v>
      </c>
      <c r="G173" t="s">
        <v>3366</v>
      </c>
      <c r="H173" t="s">
        <v>11903</v>
      </c>
      <c r="I173">
        <v>-7.0114048429695498E-3</v>
      </c>
      <c r="J173">
        <v>-2.10768978668208E-2</v>
      </c>
      <c r="K173">
        <v>4.6000000000006501E-2</v>
      </c>
    </row>
    <row r="174" spans="1:11" ht="17.399999999999999" hidden="1">
      <c r="A174" t="s">
        <v>15398</v>
      </c>
      <c r="B174" t="s">
        <v>15442</v>
      </c>
      <c r="C174" t="s">
        <v>15451</v>
      </c>
      <c r="D174" t="s">
        <v>3439</v>
      </c>
      <c r="E174" t="s">
        <v>3427</v>
      </c>
      <c r="F174" t="s">
        <v>10848</v>
      </c>
      <c r="G174" t="s">
        <v>3371</v>
      </c>
      <c r="H174" t="s">
        <v>11911</v>
      </c>
      <c r="I174">
        <v>-8.6902157847407006E-3</v>
      </c>
      <c r="J174">
        <v>-8.3783694829852907E-3</v>
      </c>
      <c r="K174">
        <v>2.0500000000012598E-2</v>
      </c>
    </row>
    <row r="175" spans="1:11" ht="17.399999999999999" hidden="1">
      <c r="A175" t="s">
        <v>15398</v>
      </c>
      <c r="B175" t="s">
        <v>15442</v>
      </c>
      <c r="C175" t="s">
        <v>15451</v>
      </c>
      <c r="D175" t="s">
        <v>3437</v>
      </c>
      <c r="E175" t="s">
        <v>3428</v>
      </c>
      <c r="F175" t="s">
        <v>10848</v>
      </c>
      <c r="G175" t="s">
        <v>3366</v>
      </c>
      <c r="H175" t="s">
        <v>11911</v>
      </c>
      <c r="I175">
        <v>-1.19178433270109E-2</v>
      </c>
      <c r="J175">
        <v>-7.8034142737094803E-3</v>
      </c>
      <c r="K175">
        <v>1.4099999999999099E-2</v>
      </c>
    </row>
    <row r="176" spans="1:11" ht="17.399999999999999" hidden="1">
      <c r="A176" t="s">
        <v>15398</v>
      </c>
      <c r="B176" t="s">
        <v>15442</v>
      </c>
      <c r="C176" t="s">
        <v>15451</v>
      </c>
      <c r="D176" t="s">
        <v>3437</v>
      </c>
      <c r="E176" t="s">
        <v>3428</v>
      </c>
      <c r="F176" t="s">
        <v>10848</v>
      </c>
      <c r="G176" t="s">
        <v>3366</v>
      </c>
      <c r="H176" t="s">
        <v>11911</v>
      </c>
      <c r="I176">
        <v>-1.1004156728284699E-2</v>
      </c>
      <c r="J176">
        <v>-6.0175991465063004E-3</v>
      </c>
      <c r="K176">
        <v>8.9000000000112305E-3</v>
      </c>
    </row>
    <row r="177" spans="1:11" ht="17.399999999999999" hidden="1">
      <c r="A177" t="s">
        <v>15398</v>
      </c>
      <c r="B177" t="s">
        <v>15443</v>
      </c>
      <c r="C177" t="s">
        <v>15452</v>
      </c>
      <c r="D177" t="s">
        <v>3450</v>
      </c>
      <c r="E177" t="s">
        <v>3476</v>
      </c>
      <c r="F177" t="s">
        <v>11428</v>
      </c>
      <c r="G177" t="s">
        <v>3404</v>
      </c>
      <c r="H177" t="s">
        <v>11903</v>
      </c>
      <c r="I177">
        <v>-1.3023367228179501E-2</v>
      </c>
      <c r="J177">
        <v>-8.0091712734457494E-3</v>
      </c>
      <c r="K177">
        <v>-1.6799999999989299E-2</v>
      </c>
    </row>
    <row r="178" spans="1:11" ht="17.399999999999999" hidden="1">
      <c r="A178" t="s">
        <v>15398</v>
      </c>
      <c r="B178" t="s">
        <v>15443</v>
      </c>
      <c r="C178" t="s">
        <v>15452</v>
      </c>
      <c r="D178" t="s">
        <v>3452</v>
      </c>
      <c r="E178" t="s">
        <v>3511</v>
      </c>
      <c r="F178" t="s">
        <v>3638</v>
      </c>
      <c r="G178" t="s">
        <v>3366</v>
      </c>
      <c r="H178" t="s">
        <v>11903</v>
      </c>
      <c r="I178">
        <v>-1.68952780406041E-2</v>
      </c>
      <c r="J178">
        <v>-7.2467379211786096E-3</v>
      </c>
      <c r="K178">
        <v>-1.8299999999996399E-2</v>
      </c>
    </row>
    <row r="179" spans="1:11" ht="17.399999999999999" hidden="1">
      <c r="A179" t="s">
        <v>15398</v>
      </c>
      <c r="B179" t="s">
        <v>15443</v>
      </c>
      <c r="C179" t="s">
        <v>15452</v>
      </c>
      <c r="D179" t="s">
        <v>3453</v>
      </c>
      <c r="E179" t="s">
        <v>3465</v>
      </c>
      <c r="F179" t="s">
        <v>10564</v>
      </c>
      <c r="G179" t="s">
        <v>3366</v>
      </c>
      <c r="H179" t="s">
        <v>11895</v>
      </c>
      <c r="I179">
        <v>-2.0594632887072199E-2</v>
      </c>
      <c r="J179">
        <v>-1.2120609760252201E-2</v>
      </c>
      <c r="K179">
        <v>-2.41999999999933E-2</v>
      </c>
    </row>
    <row r="180" spans="1:11" ht="17.399999999999999" hidden="1">
      <c r="A180" t="s">
        <v>15398</v>
      </c>
      <c r="B180" t="s">
        <v>15443</v>
      </c>
      <c r="C180" t="s">
        <v>15488</v>
      </c>
      <c r="D180" t="s">
        <v>3536</v>
      </c>
      <c r="E180" t="s">
        <v>3695</v>
      </c>
      <c r="F180" t="s">
        <v>11590</v>
      </c>
      <c r="G180" t="s">
        <v>3366</v>
      </c>
      <c r="H180" t="s">
        <v>11895</v>
      </c>
      <c r="I180">
        <v>4.9370042637431798E-2</v>
      </c>
      <c r="J180">
        <v>3.3211216769631798E-2</v>
      </c>
      <c r="K180">
        <v>-1.5899999999987799E-2</v>
      </c>
    </row>
    <row r="181" spans="1:11" ht="17.399999999999999" hidden="1">
      <c r="A181" t="s">
        <v>15398</v>
      </c>
      <c r="B181" t="s">
        <v>15443</v>
      </c>
      <c r="C181" t="s">
        <v>15488</v>
      </c>
      <c r="D181" t="s">
        <v>3539</v>
      </c>
      <c r="E181" t="s">
        <v>3699</v>
      </c>
      <c r="F181" t="s">
        <v>10536</v>
      </c>
      <c r="G181" t="s">
        <v>3366</v>
      </c>
      <c r="H181" t="s">
        <v>11895</v>
      </c>
      <c r="I181">
        <v>4.14789908990097E-2</v>
      </c>
      <c r="J181">
        <v>3.0260731717332699E-2</v>
      </c>
      <c r="K181">
        <v>-4.8599999999993301E-2</v>
      </c>
    </row>
    <row r="182" spans="1:11" ht="17.399999999999999" hidden="1">
      <c r="A182" t="s">
        <v>15398</v>
      </c>
      <c r="B182" t="s">
        <v>15443</v>
      </c>
      <c r="C182" t="s">
        <v>15488</v>
      </c>
      <c r="D182" t="s">
        <v>3545</v>
      </c>
      <c r="E182" t="s">
        <v>3701</v>
      </c>
      <c r="F182" t="s">
        <v>10536</v>
      </c>
      <c r="G182" t="s">
        <v>3366</v>
      </c>
      <c r="H182" t="s">
        <v>11895</v>
      </c>
      <c r="I182">
        <v>3.65264363068388E-2</v>
      </c>
      <c r="J182">
        <v>2.3746927849371598E-2</v>
      </c>
      <c r="K182">
        <v>-6.8199999999990296E-2</v>
      </c>
    </row>
    <row r="183" spans="1:11" ht="17.399999999999999" hidden="1">
      <c r="A183" t="s">
        <v>15398</v>
      </c>
      <c r="B183" t="s">
        <v>15443</v>
      </c>
      <c r="C183" t="s">
        <v>15489</v>
      </c>
      <c r="D183" t="s">
        <v>3427</v>
      </c>
      <c r="E183" t="s">
        <v>3435</v>
      </c>
      <c r="F183" t="s">
        <v>10535</v>
      </c>
      <c r="G183" t="s">
        <v>3366</v>
      </c>
      <c r="H183" t="s">
        <v>11895</v>
      </c>
      <c r="I183">
        <v>-1.92690125930515E-3</v>
      </c>
      <c r="J183">
        <v>-6.1426957623458298E-3</v>
      </c>
      <c r="K183">
        <v>5.2500000000009102E-2</v>
      </c>
    </row>
    <row r="184" spans="1:11" ht="17.399999999999999" hidden="1">
      <c r="A184" t="s">
        <v>15398</v>
      </c>
      <c r="B184" t="s">
        <v>15443</v>
      </c>
      <c r="C184" t="s">
        <v>15489</v>
      </c>
      <c r="D184" t="s">
        <v>3427</v>
      </c>
      <c r="E184" t="s">
        <v>3435</v>
      </c>
      <c r="F184" t="s">
        <v>11541</v>
      </c>
      <c r="G184" t="s">
        <v>3366</v>
      </c>
      <c r="H184" t="s">
        <v>11895</v>
      </c>
      <c r="I184">
        <v>-6.4553459985041296E-4</v>
      </c>
      <c r="J184">
        <v>-5.4706891287806996E-3</v>
      </c>
      <c r="K184">
        <v>5.2800000000004801E-2</v>
      </c>
    </row>
    <row r="185" spans="1:11" ht="17.399999999999999" hidden="1">
      <c r="A185" t="s">
        <v>15398</v>
      </c>
      <c r="B185" t="s">
        <v>15443</v>
      </c>
      <c r="C185" t="s">
        <v>15489</v>
      </c>
      <c r="D185" t="s">
        <v>3428</v>
      </c>
      <c r="E185" t="s">
        <v>3429</v>
      </c>
      <c r="F185" t="s">
        <v>11054</v>
      </c>
      <c r="G185" t="s">
        <v>3366</v>
      </c>
      <c r="H185" t="s">
        <v>11894</v>
      </c>
      <c r="I185">
        <v>-4.7555705492231099E-4</v>
      </c>
      <c r="J185">
        <v>-2.33912826472037E-3</v>
      </c>
      <c r="K185">
        <v>4.7200000000003697E-2</v>
      </c>
    </row>
    <row r="186" spans="1:11" ht="17.399999999999999" hidden="1">
      <c r="A186" t="s">
        <v>15399</v>
      </c>
      <c r="B186" t="s">
        <v>15441</v>
      </c>
      <c r="C186" t="s">
        <v>15445</v>
      </c>
      <c r="D186" t="s">
        <v>3427</v>
      </c>
      <c r="E186" t="s">
        <v>3429</v>
      </c>
      <c r="F186" t="s">
        <v>11093</v>
      </c>
      <c r="G186" t="s">
        <v>3366</v>
      </c>
      <c r="H186" t="s">
        <v>11894</v>
      </c>
      <c r="I186">
        <v>6.3781217282989798E-3</v>
      </c>
      <c r="J186">
        <v>5.0729637354483799E-3</v>
      </c>
      <c r="K186">
        <v>-5.8999999999969103E-3</v>
      </c>
    </row>
    <row r="187" spans="1:11" ht="17.399999999999999" hidden="1">
      <c r="A187" t="s">
        <v>15399</v>
      </c>
      <c r="B187" t="s">
        <v>15441</v>
      </c>
      <c r="C187" t="s">
        <v>15445</v>
      </c>
      <c r="D187" t="s">
        <v>3427</v>
      </c>
      <c r="E187" t="s">
        <v>3435</v>
      </c>
      <c r="F187" t="s">
        <v>10594</v>
      </c>
      <c r="G187" t="s">
        <v>3366</v>
      </c>
      <c r="H187" t="s">
        <v>11894</v>
      </c>
      <c r="I187">
        <v>7.7885238933959001E-3</v>
      </c>
      <c r="J187">
        <v>1.06295770473285E-2</v>
      </c>
      <c r="K187">
        <v>-1.56000000000063E-2</v>
      </c>
    </row>
    <row r="188" spans="1:11" ht="17.399999999999999" hidden="1">
      <c r="A188" t="s">
        <v>15399</v>
      </c>
      <c r="B188" t="s">
        <v>15441</v>
      </c>
      <c r="C188" t="s">
        <v>15445</v>
      </c>
      <c r="D188" t="s">
        <v>3427</v>
      </c>
      <c r="E188" t="s">
        <v>3435</v>
      </c>
      <c r="F188" t="s">
        <v>11091</v>
      </c>
      <c r="G188" t="s">
        <v>3366</v>
      </c>
      <c r="H188" t="s">
        <v>11890</v>
      </c>
      <c r="I188">
        <v>5.6736343850824498E-3</v>
      </c>
      <c r="J188">
        <v>1.2075507629287699E-2</v>
      </c>
      <c r="K188">
        <v>-9.3999999999994106E-3</v>
      </c>
    </row>
    <row r="189" spans="1:11" ht="17.399999999999999" hidden="1">
      <c r="A189" t="s">
        <v>15399</v>
      </c>
      <c r="B189" t="s">
        <v>15441</v>
      </c>
      <c r="C189" t="s">
        <v>15446</v>
      </c>
      <c r="D189" t="s">
        <v>3440</v>
      </c>
      <c r="E189" t="s">
        <v>3431</v>
      </c>
      <c r="F189" t="s">
        <v>10812</v>
      </c>
      <c r="G189" t="s">
        <v>3366</v>
      </c>
      <c r="H189" t="s">
        <v>11885</v>
      </c>
      <c r="I189">
        <v>3.18549216748985E-3</v>
      </c>
      <c r="J189">
        <v>1.58073060419683E-3</v>
      </c>
      <c r="K189">
        <v>9.7999999999984801E-3</v>
      </c>
    </row>
    <row r="190" spans="1:11" ht="17.399999999999999" hidden="1">
      <c r="A190" t="s">
        <v>15399</v>
      </c>
      <c r="B190" t="s">
        <v>15441</v>
      </c>
      <c r="C190" t="s">
        <v>15446</v>
      </c>
      <c r="D190" t="s">
        <v>3440</v>
      </c>
      <c r="E190" t="s">
        <v>3431</v>
      </c>
      <c r="F190" t="s">
        <v>11034</v>
      </c>
      <c r="G190" t="s">
        <v>3366</v>
      </c>
      <c r="H190" t="s">
        <v>11890</v>
      </c>
      <c r="I190">
        <v>2.9242876591220701E-3</v>
      </c>
      <c r="J190">
        <v>7.4507108159703103E-4</v>
      </c>
      <c r="K190">
        <v>2.7000000000043699E-3</v>
      </c>
    </row>
    <row r="191" spans="1:11" ht="17.399999999999999" hidden="1">
      <c r="A191" t="s">
        <v>15399</v>
      </c>
      <c r="B191" t="s">
        <v>15441</v>
      </c>
      <c r="C191" t="s">
        <v>15446</v>
      </c>
      <c r="D191" t="s">
        <v>3440</v>
      </c>
      <c r="E191" t="s">
        <v>3431</v>
      </c>
      <c r="F191" t="s">
        <v>10577</v>
      </c>
      <c r="G191" t="s">
        <v>3366</v>
      </c>
      <c r="H191" t="s">
        <v>11885</v>
      </c>
      <c r="I191">
        <v>3.6807828928412801E-3</v>
      </c>
      <c r="J191">
        <v>-1.8573847571050101E-4</v>
      </c>
      <c r="K191">
        <v>4.8999999999921303E-3</v>
      </c>
    </row>
    <row r="192" spans="1:11" ht="17.399999999999999" hidden="1">
      <c r="A192" t="s">
        <v>15399</v>
      </c>
      <c r="B192" t="s">
        <v>15441</v>
      </c>
      <c r="C192" t="s">
        <v>15447</v>
      </c>
      <c r="D192" t="s">
        <v>3436</v>
      </c>
      <c r="E192" t="s">
        <v>3441</v>
      </c>
      <c r="F192" t="s">
        <v>11210</v>
      </c>
      <c r="G192" t="s">
        <v>3366</v>
      </c>
      <c r="H192" t="s">
        <v>11892</v>
      </c>
      <c r="I192">
        <v>3.4328706702554902E-3</v>
      </c>
      <c r="J192">
        <v>-6.1709129247812002E-3</v>
      </c>
      <c r="K192">
        <v>1.9999999999953401E-3</v>
      </c>
    </row>
    <row r="193" spans="1:11" ht="17.399999999999999" hidden="1">
      <c r="A193" t="s">
        <v>15399</v>
      </c>
      <c r="B193" t="s">
        <v>15441</v>
      </c>
      <c r="C193" t="s">
        <v>15447</v>
      </c>
      <c r="D193" t="s">
        <v>3425</v>
      </c>
      <c r="E193" t="s">
        <v>3432</v>
      </c>
      <c r="F193" t="s">
        <v>11770</v>
      </c>
      <c r="G193" t="s">
        <v>3366</v>
      </c>
      <c r="H193" t="s">
        <v>11892</v>
      </c>
      <c r="I193">
        <v>-9.9664886889575498E-4</v>
      </c>
      <c r="J193">
        <v>-1.4388505311869601E-2</v>
      </c>
      <c r="K193">
        <v>-2.4999999999977302E-3</v>
      </c>
    </row>
    <row r="194" spans="1:11" ht="17.399999999999999" hidden="1">
      <c r="A194" t="s">
        <v>15399</v>
      </c>
      <c r="B194" t="s">
        <v>15441</v>
      </c>
      <c r="C194" t="s">
        <v>15447</v>
      </c>
      <c r="D194" t="s">
        <v>3431</v>
      </c>
      <c r="E194" t="s">
        <v>3433</v>
      </c>
      <c r="F194" t="s">
        <v>11105</v>
      </c>
      <c r="G194" t="s">
        <v>3366</v>
      </c>
      <c r="H194" t="s">
        <v>11892</v>
      </c>
      <c r="I194">
        <v>2.8547037791028002E-4</v>
      </c>
      <c r="J194">
        <v>-6.3906871188462496E-3</v>
      </c>
      <c r="K194">
        <v>-8.7000000000045895E-3</v>
      </c>
    </row>
    <row r="195" spans="1:11" ht="17.399999999999999" hidden="1">
      <c r="A195" t="s">
        <v>15399</v>
      </c>
      <c r="B195" t="s">
        <v>15441</v>
      </c>
      <c r="C195" t="s">
        <v>15448</v>
      </c>
      <c r="D195" t="s">
        <v>3428</v>
      </c>
      <c r="E195" t="s">
        <v>3452</v>
      </c>
      <c r="F195" t="s">
        <v>11762</v>
      </c>
      <c r="G195" t="s">
        <v>3366</v>
      </c>
      <c r="H195" t="s">
        <v>11910</v>
      </c>
      <c r="I195">
        <v>1.3766094601519801E-2</v>
      </c>
      <c r="J195">
        <v>-8.9585694679047596E-3</v>
      </c>
      <c r="K195">
        <v>1.5799999999998701E-2</v>
      </c>
    </row>
    <row r="196" spans="1:11" ht="17.399999999999999" hidden="1">
      <c r="A196" t="s">
        <v>15399</v>
      </c>
      <c r="B196" t="s">
        <v>15441</v>
      </c>
      <c r="C196" t="s">
        <v>15448</v>
      </c>
      <c r="D196" t="s">
        <v>3436</v>
      </c>
      <c r="E196" t="s">
        <v>3465</v>
      </c>
      <c r="F196" t="s">
        <v>10738</v>
      </c>
      <c r="G196" t="s">
        <v>3366</v>
      </c>
      <c r="H196" t="s">
        <v>11910</v>
      </c>
      <c r="I196">
        <v>1.4805385275333399E-2</v>
      </c>
      <c r="J196">
        <v>-7.88495797774285E-3</v>
      </c>
      <c r="K196">
        <v>2.7299999999996799E-2</v>
      </c>
    </row>
    <row r="197" spans="1:11" ht="17.399999999999999" hidden="1">
      <c r="A197" t="s">
        <v>15399</v>
      </c>
      <c r="B197" t="s">
        <v>15441</v>
      </c>
      <c r="C197" t="s">
        <v>15448</v>
      </c>
      <c r="D197" t="s">
        <v>3425</v>
      </c>
      <c r="E197" t="s">
        <v>3460</v>
      </c>
      <c r="F197" t="s">
        <v>10738</v>
      </c>
      <c r="G197" t="s">
        <v>3366</v>
      </c>
      <c r="H197" t="s">
        <v>11910</v>
      </c>
      <c r="I197">
        <v>1.30622309878793E-2</v>
      </c>
      <c r="J197">
        <v>-8.6401276471669303E-3</v>
      </c>
      <c r="K197">
        <v>2.1299999999996499E-2</v>
      </c>
    </row>
    <row r="198" spans="1:11" ht="17.399999999999999" hidden="1">
      <c r="A198" t="s">
        <v>15399</v>
      </c>
      <c r="B198" t="s">
        <v>15441</v>
      </c>
      <c r="C198" t="s">
        <v>15449</v>
      </c>
      <c r="D198" t="s">
        <v>3436</v>
      </c>
      <c r="E198" t="s">
        <v>3449</v>
      </c>
      <c r="F198" t="s">
        <v>3636</v>
      </c>
      <c r="G198" t="s">
        <v>3366</v>
      </c>
      <c r="H198" t="s">
        <v>11891</v>
      </c>
      <c r="I198">
        <v>1.1871999024407999E-2</v>
      </c>
      <c r="J198">
        <v>-8.5862606268798294E-3</v>
      </c>
      <c r="K198">
        <v>3.8799999999994797E-2</v>
      </c>
    </row>
    <row r="199" spans="1:11" ht="17.399999999999999" hidden="1">
      <c r="A199" t="s">
        <v>15399</v>
      </c>
      <c r="B199" t="s">
        <v>15441</v>
      </c>
      <c r="C199" t="s">
        <v>15449</v>
      </c>
      <c r="D199" t="s">
        <v>3428</v>
      </c>
      <c r="E199" t="s">
        <v>3465</v>
      </c>
      <c r="F199" t="s">
        <v>11104</v>
      </c>
      <c r="G199" t="s">
        <v>3366</v>
      </c>
      <c r="H199" t="s">
        <v>11891</v>
      </c>
      <c r="I199">
        <v>1.18740502326479E-2</v>
      </c>
      <c r="J199">
        <v>-8.6905882569431395E-3</v>
      </c>
      <c r="K199">
        <v>2.9699999999991199E-2</v>
      </c>
    </row>
    <row r="200" spans="1:11" ht="17.399999999999999" hidden="1">
      <c r="A200" t="s">
        <v>15399</v>
      </c>
      <c r="B200" t="s">
        <v>15441</v>
      </c>
      <c r="C200" t="s">
        <v>15449</v>
      </c>
      <c r="D200" t="s">
        <v>3428</v>
      </c>
      <c r="E200" t="s">
        <v>3462</v>
      </c>
      <c r="F200" t="s">
        <v>11771</v>
      </c>
      <c r="G200" t="s">
        <v>3366</v>
      </c>
      <c r="H200" t="s">
        <v>11891</v>
      </c>
      <c r="I200">
        <v>1.16387152887692E-2</v>
      </c>
      <c r="J200">
        <v>-8.1694405666584407E-3</v>
      </c>
      <c r="K200">
        <v>3.1499999999994102E-2</v>
      </c>
    </row>
    <row r="201" spans="1:11" ht="17.399999999999999">
      <c r="A201" t="s">
        <v>15399</v>
      </c>
      <c r="B201" t="s">
        <v>15442</v>
      </c>
      <c r="C201" t="s">
        <v>15450</v>
      </c>
      <c r="D201" t="s">
        <v>3430</v>
      </c>
      <c r="E201" t="s">
        <v>3611</v>
      </c>
      <c r="F201" t="s">
        <v>10572</v>
      </c>
      <c r="G201" t="s">
        <v>3366</v>
      </c>
      <c r="H201" t="s">
        <v>11890</v>
      </c>
      <c r="I201">
        <v>-0.15617636988952399</v>
      </c>
      <c r="J201">
        <v>0.16462288447141701</v>
      </c>
      <c r="K201">
        <v>-0.233100000000007</v>
      </c>
    </row>
    <row r="202" spans="1:11" ht="17.399999999999999">
      <c r="A202" t="s">
        <v>15399</v>
      </c>
      <c r="B202" t="s">
        <v>15442</v>
      </c>
      <c r="C202" t="s">
        <v>15450</v>
      </c>
      <c r="D202" t="s">
        <v>3429</v>
      </c>
      <c r="E202" t="s">
        <v>3467</v>
      </c>
      <c r="F202" t="s">
        <v>3717</v>
      </c>
      <c r="G202" t="s">
        <v>3366</v>
      </c>
      <c r="H202" t="s">
        <v>11894</v>
      </c>
      <c r="I202">
        <v>-0.15921439945426</v>
      </c>
      <c r="J202">
        <v>0.15509591598372399</v>
      </c>
      <c r="K202">
        <v>-0.235900000000001</v>
      </c>
    </row>
    <row r="203" spans="1:11" ht="17.399999999999999">
      <c r="A203" t="s">
        <v>15399</v>
      </c>
      <c r="B203" t="s">
        <v>15442</v>
      </c>
      <c r="C203" t="s">
        <v>15450</v>
      </c>
      <c r="D203" t="s">
        <v>3430</v>
      </c>
      <c r="E203" t="s">
        <v>3590</v>
      </c>
      <c r="F203" t="s">
        <v>3717</v>
      </c>
      <c r="G203" t="s">
        <v>3366</v>
      </c>
      <c r="H203" t="s">
        <v>11894</v>
      </c>
      <c r="I203">
        <v>-0.15715562278841499</v>
      </c>
      <c r="J203">
        <v>0.159868316822491</v>
      </c>
      <c r="K203">
        <v>-0.233100000000007</v>
      </c>
    </row>
    <row r="204" spans="1:11" ht="17.399999999999999" hidden="1">
      <c r="A204" t="s">
        <v>15399</v>
      </c>
      <c r="B204" t="s">
        <v>15442</v>
      </c>
      <c r="C204" t="s">
        <v>15445</v>
      </c>
      <c r="D204" t="s">
        <v>3440</v>
      </c>
      <c r="E204" t="s">
        <v>3425</v>
      </c>
      <c r="F204" t="s">
        <v>3721</v>
      </c>
      <c r="G204" t="s">
        <v>3366</v>
      </c>
      <c r="H204" t="s">
        <v>11894</v>
      </c>
      <c r="I204">
        <v>7.5313330594950602E-3</v>
      </c>
      <c r="J204">
        <v>-1.11062466362967E-2</v>
      </c>
      <c r="K204">
        <v>-4.6700000000001303E-2</v>
      </c>
    </row>
    <row r="205" spans="1:11" ht="17.399999999999999" hidden="1">
      <c r="A205" t="s">
        <v>15399</v>
      </c>
      <c r="B205" t="s">
        <v>15442</v>
      </c>
      <c r="C205" t="s">
        <v>15445</v>
      </c>
      <c r="D205" t="s">
        <v>3440</v>
      </c>
      <c r="E205" t="s">
        <v>3425</v>
      </c>
      <c r="F205" t="s">
        <v>3721</v>
      </c>
      <c r="G205" t="s">
        <v>3366</v>
      </c>
      <c r="H205" t="s">
        <v>11894</v>
      </c>
      <c r="I205">
        <v>4.6042804528011599E-3</v>
      </c>
      <c r="J205">
        <v>-1.0057427033373799E-2</v>
      </c>
      <c r="K205">
        <v>-4.7100000000000398E-2</v>
      </c>
    </row>
    <row r="206" spans="1:11" ht="17.399999999999999" hidden="1">
      <c r="A206" t="s">
        <v>15399</v>
      </c>
      <c r="B206" t="s">
        <v>15442</v>
      </c>
      <c r="C206" t="s">
        <v>15445</v>
      </c>
      <c r="D206" t="s">
        <v>3440</v>
      </c>
      <c r="E206" t="s">
        <v>3425</v>
      </c>
      <c r="F206" t="s">
        <v>3721</v>
      </c>
      <c r="G206" t="s">
        <v>3366</v>
      </c>
      <c r="H206" t="s">
        <v>11894</v>
      </c>
      <c r="I206">
        <v>3.1301830741091402E-3</v>
      </c>
      <c r="J206">
        <v>-1.2273554128531599E-2</v>
      </c>
      <c r="K206">
        <v>-4.4200000000003598E-2</v>
      </c>
    </row>
    <row r="207" spans="1:11" ht="17.399999999999999" hidden="1">
      <c r="A207" t="s">
        <v>15399</v>
      </c>
      <c r="B207" t="s">
        <v>15442</v>
      </c>
      <c r="C207" t="s">
        <v>15451</v>
      </c>
      <c r="D207" t="s">
        <v>3438</v>
      </c>
      <c r="E207" t="s">
        <v>3429</v>
      </c>
      <c r="F207" t="s">
        <v>3626</v>
      </c>
      <c r="G207" t="s">
        <v>3366</v>
      </c>
      <c r="H207" t="s">
        <v>11893</v>
      </c>
      <c r="I207">
        <v>9.3961678594838994E-3</v>
      </c>
      <c r="J207">
        <v>-6.4553071993502104E-3</v>
      </c>
      <c r="K207">
        <v>-1.9500000000007799E-2</v>
      </c>
    </row>
    <row r="208" spans="1:11" ht="17.399999999999999" hidden="1">
      <c r="A208" t="s">
        <v>15399</v>
      </c>
      <c r="B208" t="s">
        <v>15442</v>
      </c>
      <c r="C208" t="s">
        <v>15451</v>
      </c>
      <c r="D208" t="s">
        <v>3437</v>
      </c>
      <c r="E208" t="s">
        <v>3431</v>
      </c>
      <c r="F208" t="s">
        <v>10746</v>
      </c>
      <c r="G208" t="s">
        <v>3366</v>
      </c>
      <c r="H208" t="s">
        <v>11893</v>
      </c>
      <c r="I208">
        <v>7.5876233859892899E-3</v>
      </c>
      <c r="J208">
        <v>-6.5320239797725596E-3</v>
      </c>
      <c r="K208">
        <v>-2.80999999999949E-2</v>
      </c>
    </row>
    <row r="209" spans="1:11" ht="17.399999999999999" hidden="1">
      <c r="A209" t="s">
        <v>15399</v>
      </c>
      <c r="B209" t="s">
        <v>15442</v>
      </c>
      <c r="C209" t="s">
        <v>15451</v>
      </c>
      <c r="D209" t="s">
        <v>3440</v>
      </c>
      <c r="E209" t="s">
        <v>3435</v>
      </c>
      <c r="F209" t="s">
        <v>10746</v>
      </c>
      <c r="G209" t="s">
        <v>3366</v>
      </c>
      <c r="H209" t="s">
        <v>11893</v>
      </c>
      <c r="I209">
        <v>7.2125869622518502E-3</v>
      </c>
      <c r="J209">
        <v>-6.9248398851855701E-3</v>
      </c>
      <c r="K209">
        <v>-2.7900000000002499E-2</v>
      </c>
    </row>
    <row r="210" spans="1:11" ht="17.399999999999999" hidden="1">
      <c r="A210" t="s">
        <v>15399</v>
      </c>
      <c r="B210" t="s">
        <v>15443</v>
      </c>
      <c r="C210" t="s">
        <v>15452</v>
      </c>
      <c r="D210" t="s">
        <v>3427</v>
      </c>
      <c r="E210" t="s">
        <v>3430</v>
      </c>
      <c r="F210" t="s">
        <v>11772</v>
      </c>
      <c r="G210" t="s">
        <v>3366</v>
      </c>
      <c r="H210" t="s">
        <v>11885</v>
      </c>
      <c r="I210">
        <v>1.4490475368531401E-2</v>
      </c>
      <c r="J210">
        <v>-5.0667486921600197E-2</v>
      </c>
      <c r="K210">
        <v>2.1599999999992299E-2</v>
      </c>
    </row>
    <row r="211" spans="1:11" ht="17.399999999999999" hidden="1">
      <c r="A211" t="s">
        <v>15399</v>
      </c>
      <c r="B211" t="s">
        <v>15443</v>
      </c>
      <c r="C211" t="s">
        <v>15452</v>
      </c>
      <c r="D211" t="s">
        <v>3428</v>
      </c>
      <c r="E211" t="s">
        <v>3441</v>
      </c>
      <c r="F211" t="s">
        <v>11773</v>
      </c>
      <c r="G211" t="s">
        <v>3366</v>
      </c>
      <c r="H211" t="s">
        <v>11885</v>
      </c>
      <c r="I211">
        <v>1.2966510049589401E-2</v>
      </c>
      <c r="J211">
        <v>-5.0390317075989698E-2</v>
      </c>
      <c r="K211">
        <v>2.80999999999949E-2</v>
      </c>
    </row>
    <row r="212" spans="1:11" ht="17.399999999999999" hidden="1">
      <c r="A212" t="s">
        <v>15399</v>
      </c>
      <c r="B212" t="s">
        <v>15443</v>
      </c>
      <c r="C212" t="s">
        <v>15452</v>
      </c>
      <c r="D212" t="s">
        <v>3427</v>
      </c>
      <c r="E212" t="s">
        <v>3442</v>
      </c>
      <c r="F212" t="s">
        <v>11774</v>
      </c>
      <c r="G212" t="s">
        <v>3366</v>
      </c>
      <c r="H212" t="s">
        <v>11885</v>
      </c>
      <c r="I212">
        <v>1.2841438324420701E-2</v>
      </c>
      <c r="J212">
        <v>-5.0417305782599897E-2</v>
      </c>
      <c r="K212">
        <v>2.3499999999998501E-2</v>
      </c>
    </row>
    <row r="213" spans="1:11" ht="17.399999999999999" hidden="1">
      <c r="A213" t="s">
        <v>15399</v>
      </c>
      <c r="B213" t="s">
        <v>15443</v>
      </c>
      <c r="C213" t="s">
        <v>15492</v>
      </c>
      <c r="D213" t="s">
        <v>3436</v>
      </c>
      <c r="E213" t="s">
        <v>3453</v>
      </c>
      <c r="F213" t="s">
        <v>11527</v>
      </c>
      <c r="G213" t="s">
        <v>3366</v>
      </c>
      <c r="H213" t="s">
        <v>11894</v>
      </c>
      <c r="I213">
        <v>3.4656101342822E-3</v>
      </c>
      <c r="J213">
        <v>-3.2235572333315803E-2</v>
      </c>
      <c r="K213">
        <v>1.31999999999977E-2</v>
      </c>
    </row>
    <row r="214" spans="1:11" ht="17.399999999999999" hidden="1">
      <c r="A214" t="s">
        <v>15399</v>
      </c>
      <c r="B214" t="s">
        <v>15443</v>
      </c>
      <c r="C214" t="s">
        <v>15492</v>
      </c>
      <c r="D214" t="s">
        <v>3436</v>
      </c>
      <c r="E214" t="s">
        <v>3453</v>
      </c>
      <c r="F214" t="s">
        <v>10730</v>
      </c>
      <c r="G214" t="s">
        <v>3366</v>
      </c>
      <c r="H214" t="s">
        <v>11894</v>
      </c>
      <c r="I214">
        <v>4.93899377364229E-3</v>
      </c>
      <c r="J214">
        <v>-3.0537497195186801E-2</v>
      </c>
      <c r="K214">
        <v>7.40000000000407E-3</v>
      </c>
    </row>
    <row r="215" spans="1:11" ht="17.399999999999999" hidden="1">
      <c r="A215" t="s">
        <v>15399</v>
      </c>
      <c r="B215" t="s">
        <v>15443</v>
      </c>
      <c r="C215" t="s">
        <v>15492</v>
      </c>
      <c r="D215" t="s">
        <v>3436</v>
      </c>
      <c r="E215" t="s">
        <v>3453</v>
      </c>
      <c r="F215" t="s">
        <v>10966</v>
      </c>
      <c r="G215" t="s">
        <v>3366</v>
      </c>
      <c r="H215" t="s">
        <v>11894</v>
      </c>
      <c r="I215">
        <v>5.5750572217218202E-3</v>
      </c>
      <c r="J215">
        <v>-3.06350766629464E-2</v>
      </c>
      <c r="K215">
        <v>1.37E-2</v>
      </c>
    </row>
    <row r="216" spans="1:11" ht="17.399999999999999" hidden="1">
      <c r="A216" t="s">
        <v>15399</v>
      </c>
      <c r="B216" t="s">
        <v>15443</v>
      </c>
      <c r="C216" t="s">
        <v>15493</v>
      </c>
      <c r="D216" t="s">
        <v>3436</v>
      </c>
      <c r="E216" t="s">
        <v>3452</v>
      </c>
      <c r="F216" t="s">
        <v>11738</v>
      </c>
      <c r="G216" t="s">
        <v>3366</v>
      </c>
      <c r="H216" t="s">
        <v>11894</v>
      </c>
      <c r="I216">
        <v>1.56774961388805E-2</v>
      </c>
      <c r="J216">
        <v>-1.9201134124024001E-2</v>
      </c>
      <c r="K216">
        <v>5.3600000000002999E-2</v>
      </c>
    </row>
    <row r="217" spans="1:11" ht="17.399999999999999" hidden="1">
      <c r="A217" t="s">
        <v>15399</v>
      </c>
      <c r="B217" t="s">
        <v>15443</v>
      </c>
      <c r="C217" t="s">
        <v>15493</v>
      </c>
      <c r="D217" t="s">
        <v>3436</v>
      </c>
      <c r="E217" t="s">
        <v>3452</v>
      </c>
      <c r="F217" t="s">
        <v>11775</v>
      </c>
      <c r="G217" t="s">
        <v>3366</v>
      </c>
      <c r="H217" t="s">
        <v>11890</v>
      </c>
      <c r="I217">
        <v>1.14292511771225E-2</v>
      </c>
      <c r="J217">
        <v>-2.0063239062298299E-2</v>
      </c>
      <c r="K217">
        <v>3.9599999999993002E-2</v>
      </c>
    </row>
    <row r="218" spans="1:11" ht="17.399999999999999" hidden="1">
      <c r="A218" t="s">
        <v>15399</v>
      </c>
      <c r="B218" t="s">
        <v>15443</v>
      </c>
      <c r="C218" t="s">
        <v>15493</v>
      </c>
      <c r="D218" t="s">
        <v>3428</v>
      </c>
      <c r="E218" t="s">
        <v>3432</v>
      </c>
      <c r="F218" t="s">
        <v>11134</v>
      </c>
      <c r="G218" t="s">
        <v>3366</v>
      </c>
      <c r="H218" t="s">
        <v>11894</v>
      </c>
      <c r="I218">
        <v>4.9285564451880103E-3</v>
      </c>
      <c r="J218">
        <v>-1.46355449833988E-2</v>
      </c>
      <c r="K218">
        <v>2.7699999999995801E-2</v>
      </c>
    </row>
    <row r="219" spans="1:11" hidden="1">
      <c r="A219" t="s">
        <v>15325</v>
      </c>
      <c r="B219" t="s">
        <v>15441</v>
      </c>
      <c r="C219" t="s">
        <v>15445</v>
      </c>
      <c r="D219" t="s">
        <v>3427</v>
      </c>
      <c r="E219" t="s">
        <v>3435</v>
      </c>
      <c r="F219" t="s">
        <v>11334</v>
      </c>
      <c r="G219" t="s">
        <v>3366</v>
      </c>
      <c r="H219" t="s">
        <v>11886</v>
      </c>
      <c r="I219">
        <v>-4.0515729089740599E-3</v>
      </c>
      <c r="J219">
        <v>-7.7910745940352197E-3</v>
      </c>
      <c r="K219">
        <v>-5.7600000000000803E-2</v>
      </c>
    </row>
    <row r="220" spans="1:11" hidden="1">
      <c r="A220" t="s">
        <v>15325</v>
      </c>
      <c r="B220" t="s">
        <v>15441</v>
      </c>
      <c r="C220" t="s">
        <v>15445</v>
      </c>
      <c r="D220" t="s">
        <v>3438</v>
      </c>
      <c r="E220" t="s">
        <v>3434</v>
      </c>
      <c r="F220" t="s">
        <v>11335</v>
      </c>
      <c r="G220" t="s">
        <v>3366</v>
      </c>
      <c r="H220" t="s">
        <v>11885</v>
      </c>
      <c r="I220">
        <v>-4.5223472863452196E-3</v>
      </c>
      <c r="J220">
        <v>-9.2702418180680302E-3</v>
      </c>
      <c r="K220">
        <v>-5.5300000000002597E-2</v>
      </c>
    </row>
    <row r="221" spans="1:11" hidden="1">
      <c r="A221" t="s">
        <v>15325</v>
      </c>
      <c r="B221" t="s">
        <v>15441</v>
      </c>
      <c r="C221" t="s">
        <v>15445</v>
      </c>
      <c r="D221" t="s">
        <v>3427</v>
      </c>
      <c r="E221" t="s">
        <v>3435</v>
      </c>
      <c r="F221" t="s">
        <v>3629</v>
      </c>
      <c r="G221" t="s">
        <v>3366</v>
      </c>
      <c r="H221" t="s">
        <v>11885</v>
      </c>
      <c r="I221">
        <v>-6.8988423095825901E-3</v>
      </c>
      <c r="J221">
        <v>-1.1082731751950599E-2</v>
      </c>
      <c r="K221">
        <v>-5.5599999999998297E-2</v>
      </c>
    </row>
    <row r="222" spans="1:11" hidden="1">
      <c r="A222" t="s">
        <v>15325</v>
      </c>
      <c r="B222" t="s">
        <v>15441</v>
      </c>
      <c r="C222" t="s">
        <v>15446</v>
      </c>
      <c r="D222" t="s">
        <v>3427</v>
      </c>
      <c r="E222" t="s">
        <v>3434</v>
      </c>
      <c r="F222" t="s">
        <v>11181</v>
      </c>
      <c r="G222" t="s">
        <v>3366</v>
      </c>
      <c r="H222" t="s">
        <v>11885</v>
      </c>
      <c r="I222">
        <v>-1.11180546829552E-2</v>
      </c>
      <c r="J222">
        <v>-1.0626898896685499E-2</v>
      </c>
      <c r="K222">
        <v>-6.9800000000000806E-2</v>
      </c>
    </row>
    <row r="223" spans="1:11" hidden="1">
      <c r="A223" t="s">
        <v>15325</v>
      </c>
      <c r="B223" t="s">
        <v>15441</v>
      </c>
      <c r="C223" t="s">
        <v>15446</v>
      </c>
      <c r="D223" t="s">
        <v>3427</v>
      </c>
      <c r="E223" t="s">
        <v>3434</v>
      </c>
      <c r="F223" t="s">
        <v>11334</v>
      </c>
      <c r="G223" t="s">
        <v>3366</v>
      </c>
      <c r="H223" t="s">
        <v>11885</v>
      </c>
      <c r="I223">
        <v>-8.5925661581947293E-3</v>
      </c>
      <c r="J223">
        <v>-9.8889965784954605E-3</v>
      </c>
      <c r="K223">
        <v>-7.9500000000002999E-2</v>
      </c>
    </row>
    <row r="224" spans="1:11" hidden="1">
      <c r="A224" t="s">
        <v>15325</v>
      </c>
      <c r="B224" t="s">
        <v>15441</v>
      </c>
      <c r="C224" t="s">
        <v>15446</v>
      </c>
      <c r="D224" t="s">
        <v>3427</v>
      </c>
      <c r="E224" t="s">
        <v>3434</v>
      </c>
      <c r="F224" t="s">
        <v>11099</v>
      </c>
      <c r="G224" t="s">
        <v>3366</v>
      </c>
      <c r="H224" t="s">
        <v>11886</v>
      </c>
      <c r="I224">
        <v>-5.9816305263751604E-3</v>
      </c>
      <c r="J224">
        <v>-1.34791679480491E-2</v>
      </c>
      <c r="K224">
        <v>-7.7700000000000102E-2</v>
      </c>
    </row>
    <row r="225" spans="1:11" hidden="1">
      <c r="A225" t="s">
        <v>15325</v>
      </c>
      <c r="B225" t="s">
        <v>15441</v>
      </c>
      <c r="C225" t="s">
        <v>15447</v>
      </c>
      <c r="D225" t="s">
        <v>3436</v>
      </c>
      <c r="E225" t="s">
        <v>3430</v>
      </c>
      <c r="F225" t="s">
        <v>11336</v>
      </c>
      <c r="G225" t="s">
        <v>3366</v>
      </c>
      <c r="H225" t="s">
        <v>11892</v>
      </c>
      <c r="I225">
        <v>-6.5962594615958997E-3</v>
      </c>
      <c r="J225">
        <v>7.5862658056796801E-3</v>
      </c>
      <c r="K225">
        <v>-4.2499999999996901E-2</v>
      </c>
    </row>
    <row r="226" spans="1:11" hidden="1">
      <c r="A226" t="s">
        <v>15325</v>
      </c>
      <c r="B226" t="s">
        <v>15441</v>
      </c>
      <c r="C226" t="s">
        <v>15447</v>
      </c>
      <c r="D226" t="s">
        <v>3428</v>
      </c>
      <c r="E226" t="s">
        <v>3435</v>
      </c>
      <c r="F226" t="s">
        <v>11292</v>
      </c>
      <c r="G226" t="s">
        <v>3366</v>
      </c>
      <c r="H226" t="s">
        <v>11892</v>
      </c>
      <c r="I226">
        <v>-1.0132879985396699E-2</v>
      </c>
      <c r="J226">
        <v>5.2742254349730502E-3</v>
      </c>
      <c r="K226">
        <v>-4.1199999999996399E-2</v>
      </c>
    </row>
    <row r="227" spans="1:11" hidden="1">
      <c r="A227" t="s">
        <v>15325</v>
      </c>
      <c r="B227" t="s">
        <v>15441</v>
      </c>
      <c r="C227" t="s">
        <v>15447</v>
      </c>
      <c r="D227" t="s">
        <v>3428</v>
      </c>
      <c r="E227" t="s">
        <v>3429</v>
      </c>
      <c r="F227" t="s">
        <v>11337</v>
      </c>
      <c r="G227" t="s">
        <v>3366</v>
      </c>
      <c r="H227" t="s">
        <v>11892</v>
      </c>
      <c r="I227">
        <v>-1.0759227812858201E-2</v>
      </c>
      <c r="J227">
        <v>1.32987810858679E-2</v>
      </c>
      <c r="K227">
        <v>-3.9299999999997198E-2</v>
      </c>
    </row>
    <row r="228" spans="1:11" hidden="1">
      <c r="A228" t="s">
        <v>15325</v>
      </c>
      <c r="B228" t="s">
        <v>15441</v>
      </c>
      <c r="C228" t="s">
        <v>15449</v>
      </c>
      <c r="D228" t="s">
        <v>3434</v>
      </c>
      <c r="E228" t="s">
        <v>3465</v>
      </c>
      <c r="F228" t="s">
        <v>10618</v>
      </c>
      <c r="G228" t="s">
        <v>3366</v>
      </c>
      <c r="H228" t="s">
        <v>11888</v>
      </c>
      <c r="I228">
        <v>-3.0619880959947902E-4</v>
      </c>
      <c r="J228">
        <v>-8.5055089675419998E-3</v>
      </c>
      <c r="K228">
        <v>-1.0199999999997499E-2</v>
      </c>
    </row>
    <row r="229" spans="1:11" hidden="1">
      <c r="A229" t="s">
        <v>15325</v>
      </c>
      <c r="B229" t="s">
        <v>15441</v>
      </c>
      <c r="C229" t="s">
        <v>15449</v>
      </c>
      <c r="D229" t="s">
        <v>3434</v>
      </c>
      <c r="E229" t="s">
        <v>3465</v>
      </c>
      <c r="F229" t="s">
        <v>10618</v>
      </c>
      <c r="G229" t="s">
        <v>3366</v>
      </c>
      <c r="H229" t="s">
        <v>11888</v>
      </c>
      <c r="I229">
        <v>1.10594371656736E-3</v>
      </c>
      <c r="J229">
        <v>-7.9760106076247408E-3</v>
      </c>
      <c r="K229">
        <v>-6.9999999999979003E-3</v>
      </c>
    </row>
    <row r="230" spans="1:11" hidden="1">
      <c r="A230" t="s">
        <v>15325</v>
      </c>
      <c r="B230" t="s">
        <v>15441</v>
      </c>
      <c r="C230" t="s">
        <v>15449</v>
      </c>
      <c r="D230" t="s">
        <v>3434</v>
      </c>
      <c r="E230" t="s">
        <v>3450</v>
      </c>
      <c r="F230" t="s">
        <v>11338</v>
      </c>
      <c r="G230" t="s">
        <v>3366</v>
      </c>
      <c r="H230" t="s">
        <v>11888</v>
      </c>
      <c r="I230">
        <v>7.8371196629933295E-4</v>
      </c>
      <c r="J230">
        <v>-9.4289803961293099E-3</v>
      </c>
      <c r="K230">
        <v>-6.30000000000308E-3</v>
      </c>
    </row>
    <row r="231" spans="1:11">
      <c r="A231" t="s">
        <v>15325</v>
      </c>
      <c r="B231" t="s">
        <v>15442</v>
      </c>
      <c r="C231" t="s">
        <v>15450</v>
      </c>
      <c r="D231" t="s">
        <v>3433</v>
      </c>
      <c r="E231" t="s">
        <v>3515</v>
      </c>
      <c r="F231" t="s">
        <v>11033</v>
      </c>
      <c r="G231" t="s">
        <v>3366</v>
      </c>
      <c r="H231" t="s">
        <v>11885</v>
      </c>
      <c r="I231">
        <v>0.12119638775705099</v>
      </c>
      <c r="J231">
        <v>-3.2719950474918803E-2</v>
      </c>
      <c r="K231">
        <v>-0.113900000000001</v>
      </c>
    </row>
    <row r="232" spans="1:11">
      <c r="A232" t="s">
        <v>15325</v>
      </c>
      <c r="B232" t="s">
        <v>15442</v>
      </c>
      <c r="C232" t="s">
        <v>15450</v>
      </c>
      <c r="D232" t="s">
        <v>3453</v>
      </c>
      <c r="E232" t="s">
        <v>3463</v>
      </c>
      <c r="F232" t="s">
        <v>10762</v>
      </c>
      <c r="G232" t="s">
        <v>3366</v>
      </c>
      <c r="H232" t="s">
        <v>11885</v>
      </c>
      <c r="I232">
        <v>0.12119810031131099</v>
      </c>
      <c r="J232">
        <v>-3.3063159113626402E-2</v>
      </c>
      <c r="K232">
        <v>-0.107500000000002</v>
      </c>
    </row>
    <row r="233" spans="1:11">
      <c r="A233" t="s">
        <v>15325</v>
      </c>
      <c r="B233" t="s">
        <v>15442</v>
      </c>
      <c r="C233" t="s">
        <v>15450</v>
      </c>
      <c r="D233" t="s">
        <v>3433</v>
      </c>
      <c r="E233" t="s">
        <v>3463</v>
      </c>
      <c r="F233" t="s">
        <v>11032</v>
      </c>
      <c r="G233" t="s">
        <v>3366</v>
      </c>
      <c r="H233" t="s">
        <v>11885</v>
      </c>
      <c r="I233">
        <v>0.113533303058397</v>
      </c>
      <c r="J233">
        <v>-3.0953398297701901E-2</v>
      </c>
      <c r="K233">
        <v>-0.10099999999999899</v>
      </c>
    </row>
    <row r="234" spans="1:11" hidden="1">
      <c r="A234" t="s">
        <v>15325</v>
      </c>
      <c r="B234" t="s">
        <v>15442</v>
      </c>
      <c r="C234" t="s">
        <v>15445</v>
      </c>
      <c r="D234" t="s">
        <v>3438</v>
      </c>
      <c r="E234" t="s">
        <v>3434</v>
      </c>
      <c r="F234" t="s">
        <v>11339</v>
      </c>
      <c r="G234" t="s">
        <v>3366</v>
      </c>
      <c r="H234" t="s">
        <v>11885</v>
      </c>
      <c r="I234">
        <v>4.0390214361282397E-3</v>
      </c>
      <c r="J234">
        <v>3.7822764357872397E-4</v>
      </c>
      <c r="K234">
        <v>1.76000000000016E-2</v>
      </c>
    </row>
    <row r="235" spans="1:11" hidden="1">
      <c r="A235" t="s">
        <v>15325</v>
      </c>
      <c r="B235" t="s">
        <v>15442</v>
      </c>
      <c r="C235" t="s">
        <v>15445</v>
      </c>
      <c r="D235" t="s">
        <v>3438</v>
      </c>
      <c r="E235" t="s">
        <v>3434</v>
      </c>
      <c r="F235" t="s">
        <v>10505</v>
      </c>
      <c r="G235" t="s">
        <v>3366</v>
      </c>
      <c r="H235" t="s">
        <v>11885</v>
      </c>
      <c r="I235">
        <v>2.6078602071535001E-3</v>
      </c>
      <c r="J235">
        <v>-1.29279944979205E-3</v>
      </c>
      <c r="K235">
        <v>1.05000000000004E-2</v>
      </c>
    </row>
    <row r="236" spans="1:11" hidden="1">
      <c r="A236" t="s">
        <v>15325</v>
      </c>
      <c r="B236" t="s">
        <v>15442</v>
      </c>
      <c r="C236" t="s">
        <v>15445</v>
      </c>
      <c r="D236" t="s">
        <v>3427</v>
      </c>
      <c r="E236" t="s">
        <v>3429</v>
      </c>
      <c r="F236" t="s">
        <v>11195</v>
      </c>
      <c r="G236" t="s">
        <v>3366</v>
      </c>
      <c r="H236" t="s">
        <v>11885</v>
      </c>
      <c r="I236">
        <v>-2.0849227335303599E-4</v>
      </c>
      <c r="J236">
        <v>7.1478868696310104E-3</v>
      </c>
      <c r="K236">
        <v>9.5000000000027302E-3</v>
      </c>
    </row>
    <row r="237" spans="1:11" hidden="1">
      <c r="A237" t="s">
        <v>15325</v>
      </c>
      <c r="B237" t="s">
        <v>15442</v>
      </c>
      <c r="C237" t="s">
        <v>15451</v>
      </c>
      <c r="D237" t="s">
        <v>3427</v>
      </c>
      <c r="E237" t="s">
        <v>3430</v>
      </c>
      <c r="F237" t="s">
        <v>11006</v>
      </c>
      <c r="G237" t="s">
        <v>3366</v>
      </c>
      <c r="H237" t="s">
        <v>11899</v>
      </c>
      <c r="I237">
        <v>-2.4619536583355599E-3</v>
      </c>
      <c r="J237">
        <v>3.65136573434822E-3</v>
      </c>
      <c r="K237">
        <v>1.23000000000033E-2</v>
      </c>
    </row>
    <row r="238" spans="1:11" hidden="1">
      <c r="A238" t="s">
        <v>15325</v>
      </c>
      <c r="B238" t="s">
        <v>15442</v>
      </c>
      <c r="C238" t="s">
        <v>15451</v>
      </c>
      <c r="D238" t="s">
        <v>3427</v>
      </c>
      <c r="E238" t="s">
        <v>3442</v>
      </c>
      <c r="F238" t="s">
        <v>11006</v>
      </c>
      <c r="G238" t="s">
        <v>3366</v>
      </c>
      <c r="H238" t="s">
        <v>11899</v>
      </c>
      <c r="I238">
        <v>-3.2951606202706899E-3</v>
      </c>
      <c r="J238">
        <v>5.79132991964943E-3</v>
      </c>
      <c r="K238">
        <v>1.37E-2</v>
      </c>
    </row>
    <row r="239" spans="1:11" hidden="1">
      <c r="A239" t="s">
        <v>15325</v>
      </c>
      <c r="B239" t="s">
        <v>15442</v>
      </c>
      <c r="C239" t="s">
        <v>15451</v>
      </c>
      <c r="D239" t="s">
        <v>3436</v>
      </c>
      <c r="E239" t="s">
        <v>3433</v>
      </c>
      <c r="F239" t="s">
        <v>11007</v>
      </c>
      <c r="G239" t="s">
        <v>3366</v>
      </c>
      <c r="H239" t="s">
        <v>11899</v>
      </c>
      <c r="I239">
        <v>-4.8070001907768803E-4</v>
      </c>
      <c r="J239">
        <v>2.6724924219710599E-3</v>
      </c>
      <c r="K239">
        <v>1.42000000000024E-2</v>
      </c>
    </row>
  </sheetData>
  <autoFilter ref="A1:I239" xr:uid="{E0482725-8EB1-7F43-A74D-D5E617DA5DA6}">
    <filterColumn colId="2">
      <filters>
        <filter val="FKP-RTCM31"/>
      </filters>
    </filterColumn>
  </autoFilter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93AE-19A4-774C-9D42-26C612582CFD}">
  <dimension ref="A1:N44"/>
  <sheetViews>
    <sheetView workbookViewId="0">
      <selection activeCell="A41" sqref="A41:N44"/>
    </sheetView>
  </sheetViews>
  <sheetFormatPr defaultColWidth="11.5546875" defaultRowHeight="14.4"/>
  <cols>
    <col min="4" max="4" width="9" customWidth="1"/>
    <col min="6" max="6" width="16.6640625" customWidth="1"/>
    <col min="7" max="7" width="17.33203125" customWidth="1"/>
    <col min="8" max="8" width="17.44140625" customWidth="1"/>
    <col min="12" max="14" width="11.44140625" bestFit="1" customWidth="1"/>
  </cols>
  <sheetData>
    <row r="1" spans="1:14" ht="17.399999999999999">
      <c r="A1" s="124" t="s">
        <v>15291</v>
      </c>
      <c r="B1" s="124" t="s">
        <v>15501</v>
      </c>
      <c r="C1" s="124" t="s">
        <v>15502</v>
      </c>
      <c r="D1" s="125" t="s">
        <v>0</v>
      </c>
      <c r="E1" s="125" t="s">
        <v>15529</v>
      </c>
      <c r="F1" s="125" t="s">
        <v>3601</v>
      </c>
      <c r="G1" s="125" t="s">
        <v>3767</v>
      </c>
      <c r="H1" s="125" t="s">
        <v>7126</v>
      </c>
      <c r="I1" s="125" t="s">
        <v>15507</v>
      </c>
      <c r="J1" s="125" t="s">
        <v>11883</v>
      </c>
      <c r="K1" s="125" t="s">
        <v>11884</v>
      </c>
      <c r="L1" s="72"/>
      <c r="M1" s="72"/>
      <c r="N1" s="72"/>
    </row>
    <row r="2" spans="1:14">
      <c r="A2" t="s">
        <v>15308</v>
      </c>
      <c r="B2" t="s">
        <v>15443</v>
      </c>
      <c r="C2" t="s">
        <v>15452</v>
      </c>
      <c r="D2" t="s">
        <v>955</v>
      </c>
      <c r="E2" t="s">
        <v>3431</v>
      </c>
      <c r="F2" t="s">
        <v>3477</v>
      </c>
      <c r="G2" t="s">
        <v>4721</v>
      </c>
      <c r="H2" t="s">
        <v>8080</v>
      </c>
      <c r="I2" t="s">
        <v>10555</v>
      </c>
      <c r="J2" t="s">
        <v>3366</v>
      </c>
      <c r="K2" t="s">
        <v>11898</v>
      </c>
      <c r="L2" s="12">
        <v>-1.7357721834379499E-2</v>
      </c>
      <c r="M2" s="12">
        <v>1.3703707445837999E-2</v>
      </c>
      <c r="N2" s="12">
        <v>0.24160000000000501</v>
      </c>
    </row>
    <row r="3" spans="1:14">
      <c r="A3" t="s">
        <v>15308</v>
      </c>
      <c r="B3" t="s">
        <v>15443</v>
      </c>
      <c r="C3" t="s">
        <v>15452</v>
      </c>
      <c r="D3" t="s">
        <v>956</v>
      </c>
      <c r="E3" t="s">
        <v>3431</v>
      </c>
      <c r="F3" t="s">
        <v>3477</v>
      </c>
      <c r="G3" t="s">
        <v>4722</v>
      </c>
      <c r="H3" t="s">
        <v>8081</v>
      </c>
      <c r="I3" t="s">
        <v>10553</v>
      </c>
      <c r="J3" t="s">
        <v>3366</v>
      </c>
      <c r="K3" t="s">
        <v>11898</v>
      </c>
      <c r="L3" s="12">
        <v>-2.1425547818235701E-2</v>
      </c>
      <c r="M3" s="12">
        <v>1.42410499077552E-2</v>
      </c>
      <c r="N3" s="12">
        <v>0.235000000000014</v>
      </c>
    </row>
    <row r="4" spans="1:14">
      <c r="A4" s="72" t="s">
        <v>15308</v>
      </c>
      <c r="B4" s="72" t="s">
        <v>15443</v>
      </c>
      <c r="C4" s="72" t="s">
        <v>15452</v>
      </c>
      <c r="D4" s="72" t="s">
        <v>957</v>
      </c>
      <c r="E4" s="72" t="s">
        <v>3431</v>
      </c>
      <c r="F4" s="72" t="s">
        <v>3467</v>
      </c>
      <c r="G4" s="72" t="s">
        <v>4723</v>
      </c>
      <c r="H4" s="72" t="s">
        <v>8082</v>
      </c>
      <c r="I4" s="72" t="s">
        <v>10997</v>
      </c>
      <c r="J4" s="72" t="s">
        <v>3366</v>
      </c>
      <c r="K4" s="72" t="s">
        <v>11901</v>
      </c>
      <c r="L4" s="74">
        <v>-2.3610150157951801E-2</v>
      </c>
      <c r="M4" s="74">
        <v>1.75234701128642E-2</v>
      </c>
      <c r="N4" s="74">
        <v>0.23249999999995899</v>
      </c>
    </row>
    <row r="5" spans="1:14">
      <c r="A5" t="s">
        <v>15311</v>
      </c>
      <c r="B5" t="s">
        <v>15443</v>
      </c>
      <c r="C5" t="s">
        <v>15452</v>
      </c>
      <c r="D5" t="s">
        <v>1033</v>
      </c>
      <c r="E5" t="s">
        <v>3425</v>
      </c>
      <c r="F5" t="s">
        <v>3477</v>
      </c>
      <c r="G5" t="s">
        <v>4799</v>
      </c>
      <c r="H5" t="s">
        <v>8158</v>
      </c>
      <c r="I5" t="s">
        <v>11176</v>
      </c>
      <c r="J5" t="s">
        <v>3366</v>
      </c>
      <c r="K5" t="s">
        <v>11885</v>
      </c>
      <c r="L5" s="12">
        <v>1.07631684146756E-3</v>
      </c>
      <c r="M5" s="12">
        <v>1.80252347775442E-2</v>
      </c>
      <c r="N5" s="12">
        <v>0.23320000000001101</v>
      </c>
    </row>
    <row r="6" spans="1:14">
      <c r="A6" t="s">
        <v>15311</v>
      </c>
      <c r="B6" t="s">
        <v>15443</v>
      </c>
      <c r="C6" t="s">
        <v>15452</v>
      </c>
      <c r="D6" t="s">
        <v>1034</v>
      </c>
      <c r="E6" t="s">
        <v>3431</v>
      </c>
      <c r="F6" t="s">
        <v>3467</v>
      </c>
      <c r="G6" t="s">
        <v>4800</v>
      </c>
      <c r="H6" t="s">
        <v>8159</v>
      </c>
      <c r="I6" t="s">
        <v>11177</v>
      </c>
      <c r="J6" t="s">
        <v>3366</v>
      </c>
      <c r="K6" t="s">
        <v>11885</v>
      </c>
      <c r="L6" s="12">
        <v>-1.7701845766759201E-3</v>
      </c>
      <c r="M6" s="12">
        <v>1.5579168851843701E-2</v>
      </c>
      <c r="N6" s="12">
        <v>0.235699999999952</v>
      </c>
    </row>
    <row r="7" spans="1:14">
      <c r="A7" s="72" t="s">
        <v>15311</v>
      </c>
      <c r="B7" s="72" t="s">
        <v>15443</v>
      </c>
      <c r="C7" s="72" t="s">
        <v>15452</v>
      </c>
      <c r="D7" s="72" t="s">
        <v>1035</v>
      </c>
      <c r="E7" s="72" t="s">
        <v>3434</v>
      </c>
      <c r="F7" s="72" t="s">
        <v>3611</v>
      </c>
      <c r="G7" s="72" t="s">
        <v>4801</v>
      </c>
      <c r="H7" s="72" t="s">
        <v>8160</v>
      </c>
      <c r="I7" s="72" t="s">
        <v>11178</v>
      </c>
      <c r="J7" s="72" t="s">
        <v>3366</v>
      </c>
      <c r="K7" s="72" t="s">
        <v>11885</v>
      </c>
      <c r="L7" s="74">
        <v>-5.7002297967587504E-4</v>
      </c>
      <c r="M7" s="74">
        <v>1.55154023193872E-2</v>
      </c>
      <c r="N7" s="74">
        <v>0.224799999999959</v>
      </c>
    </row>
    <row r="8" spans="1:14">
      <c r="A8" t="s">
        <v>15312</v>
      </c>
      <c r="B8" t="s">
        <v>15443</v>
      </c>
      <c r="C8" t="s">
        <v>15452</v>
      </c>
      <c r="D8" t="s">
        <v>1060</v>
      </c>
      <c r="E8" t="s">
        <v>3431</v>
      </c>
      <c r="F8" t="s">
        <v>3462</v>
      </c>
      <c r="G8" t="s">
        <v>4826</v>
      </c>
      <c r="H8" t="s">
        <v>8185</v>
      </c>
      <c r="I8" t="s">
        <v>11190</v>
      </c>
      <c r="J8" t="s">
        <v>3366</v>
      </c>
      <c r="K8" t="s">
        <v>11886</v>
      </c>
      <c r="L8" s="12">
        <v>2.3883590663917901E-3</v>
      </c>
      <c r="M8" s="12">
        <v>-2.21928062717105E-2</v>
      </c>
      <c r="N8" s="12">
        <v>0.22250000000002501</v>
      </c>
    </row>
    <row r="9" spans="1:14">
      <c r="A9" t="s">
        <v>15312</v>
      </c>
      <c r="B9" t="s">
        <v>15443</v>
      </c>
      <c r="C9" t="s">
        <v>15452</v>
      </c>
      <c r="D9" t="s">
        <v>1061</v>
      </c>
      <c r="E9" t="s">
        <v>3431</v>
      </c>
      <c r="F9" t="s">
        <v>3426</v>
      </c>
      <c r="G9" t="s">
        <v>4827</v>
      </c>
      <c r="H9" t="s">
        <v>8186</v>
      </c>
      <c r="I9" t="s">
        <v>11191</v>
      </c>
      <c r="J9" t="s">
        <v>3366</v>
      </c>
      <c r="K9" t="s">
        <v>11885</v>
      </c>
      <c r="L9" s="12">
        <v>2.2800678403434001E-3</v>
      </c>
      <c r="M9" s="12">
        <v>-2.53498556243653E-2</v>
      </c>
      <c r="N9" s="12">
        <v>0.214000000000027</v>
      </c>
    </row>
    <row r="10" spans="1:14">
      <c r="A10" s="72" t="s">
        <v>15312</v>
      </c>
      <c r="B10" s="72" t="s">
        <v>15443</v>
      </c>
      <c r="C10" s="72" t="s">
        <v>15452</v>
      </c>
      <c r="D10" s="72" t="s">
        <v>1062</v>
      </c>
      <c r="E10" s="72" t="s">
        <v>3431</v>
      </c>
      <c r="F10" s="72" t="s">
        <v>3465</v>
      </c>
      <c r="G10" s="72" t="s">
        <v>4828</v>
      </c>
      <c r="H10" s="72" t="s">
        <v>8187</v>
      </c>
      <c r="I10" s="72" t="s">
        <v>11192</v>
      </c>
      <c r="J10" s="72" t="s">
        <v>3366</v>
      </c>
      <c r="K10" s="72" t="s">
        <v>11885</v>
      </c>
      <c r="L10" s="74">
        <v>1.1144472165483101E-3</v>
      </c>
      <c r="M10" s="74">
        <v>-2.85199099537168E-2</v>
      </c>
      <c r="N10" s="74">
        <v>0.20140000000000699</v>
      </c>
    </row>
    <row r="11" spans="1:14">
      <c r="A11" t="s">
        <v>15316</v>
      </c>
      <c r="B11" t="s">
        <v>15443</v>
      </c>
      <c r="C11" t="s">
        <v>15452</v>
      </c>
      <c r="D11" t="s">
        <v>1160</v>
      </c>
      <c r="E11" t="s">
        <v>3431</v>
      </c>
      <c r="F11" t="s">
        <v>3449</v>
      </c>
      <c r="G11" t="s">
        <v>4926</v>
      </c>
      <c r="H11" t="s">
        <v>8285</v>
      </c>
      <c r="I11" t="s">
        <v>10842</v>
      </c>
      <c r="J11" t="s">
        <v>3366</v>
      </c>
      <c r="K11" t="s">
        <v>11894</v>
      </c>
      <c r="L11" s="12">
        <v>7.8779770623814104E-3</v>
      </c>
      <c r="M11" s="12">
        <v>-2.8418420535919999E-2</v>
      </c>
      <c r="N11" s="12">
        <v>0.22899999999998499</v>
      </c>
    </row>
    <row r="12" spans="1:14">
      <c r="A12" t="s">
        <v>15316</v>
      </c>
      <c r="B12" t="s">
        <v>15443</v>
      </c>
      <c r="C12" t="s">
        <v>15452</v>
      </c>
      <c r="D12" t="s">
        <v>1161</v>
      </c>
      <c r="E12" t="s">
        <v>3425</v>
      </c>
      <c r="F12" t="s">
        <v>3465</v>
      </c>
      <c r="G12" t="s">
        <v>4927</v>
      </c>
      <c r="H12" t="s">
        <v>8286</v>
      </c>
      <c r="I12" t="s">
        <v>11236</v>
      </c>
      <c r="J12" t="s">
        <v>3366</v>
      </c>
      <c r="K12" t="s">
        <v>11894</v>
      </c>
      <c r="L12" s="12">
        <v>7.7682853964102603E-3</v>
      </c>
      <c r="M12" s="12">
        <v>-2.8317431288113201E-2</v>
      </c>
      <c r="N12" s="12">
        <v>0.22299999999998499</v>
      </c>
    </row>
    <row r="13" spans="1:14">
      <c r="A13" t="s">
        <v>15316</v>
      </c>
      <c r="B13" t="s">
        <v>15443</v>
      </c>
      <c r="C13" t="s">
        <v>15452</v>
      </c>
      <c r="D13" t="s">
        <v>1162</v>
      </c>
      <c r="E13" t="s">
        <v>3431</v>
      </c>
      <c r="F13" t="s">
        <v>3450</v>
      </c>
      <c r="G13" t="s">
        <v>4928</v>
      </c>
      <c r="H13" t="s">
        <v>8287</v>
      </c>
      <c r="I13" t="s">
        <v>11237</v>
      </c>
      <c r="J13" t="s">
        <v>3366</v>
      </c>
      <c r="K13" t="s">
        <v>11895</v>
      </c>
      <c r="L13" s="12">
        <v>5.7570864028195301E-3</v>
      </c>
      <c r="M13" s="12">
        <v>-2.5888523424478799E-2</v>
      </c>
      <c r="N13" s="12">
        <v>0.21699999999998501</v>
      </c>
    </row>
    <row r="14" spans="1:14">
      <c r="A14" t="s">
        <v>15317</v>
      </c>
      <c r="B14" t="s">
        <v>15443</v>
      </c>
      <c r="C14" t="s">
        <v>15452</v>
      </c>
      <c r="D14" t="s">
        <v>1187</v>
      </c>
      <c r="E14" t="s">
        <v>3440</v>
      </c>
      <c r="F14" t="s">
        <v>3434</v>
      </c>
      <c r="G14" t="s">
        <v>4953</v>
      </c>
      <c r="H14" t="s">
        <v>8312</v>
      </c>
      <c r="I14" t="s">
        <v>11253</v>
      </c>
      <c r="J14" t="s">
        <v>3366</v>
      </c>
      <c r="K14" t="s">
        <v>11895</v>
      </c>
      <c r="L14" s="12">
        <v>-1.29967826750972E-2</v>
      </c>
      <c r="M14" s="12">
        <v>-7.0528863338357201E-2</v>
      </c>
      <c r="N14" s="12">
        <v>0.29219999999997998</v>
      </c>
    </row>
    <row r="15" spans="1:14">
      <c r="A15" t="s">
        <v>15317</v>
      </c>
      <c r="B15" t="s">
        <v>15443</v>
      </c>
      <c r="C15" t="s">
        <v>15452</v>
      </c>
      <c r="D15" t="s">
        <v>1188</v>
      </c>
      <c r="E15" t="s">
        <v>3440</v>
      </c>
      <c r="F15" t="s">
        <v>3435</v>
      </c>
      <c r="G15" t="s">
        <v>4954</v>
      </c>
      <c r="H15" t="s">
        <v>8313</v>
      </c>
      <c r="I15" t="s">
        <v>10977</v>
      </c>
      <c r="J15" t="s">
        <v>3366</v>
      </c>
      <c r="K15" t="s">
        <v>11895</v>
      </c>
      <c r="L15" s="12">
        <v>-1.46320941907173E-2</v>
      </c>
      <c r="M15" s="12">
        <v>-6.9604330411059095E-2</v>
      </c>
      <c r="N15" s="12">
        <v>0.28719999999998402</v>
      </c>
    </row>
    <row r="16" spans="1:14">
      <c r="A16" t="s">
        <v>15317</v>
      </c>
      <c r="B16" t="s">
        <v>15443</v>
      </c>
      <c r="C16" t="s">
        <v>15452</v>
      </c>
      <c r="D16" t="s">
        <v>1189</v>
      </c>
      <c r="E16" t="s">
        <v>3438</v>
      </c>
      <c r="F16" t="s">
        <v>3429</v>
      </c>
      <c r="G16" t="s">
        <v>4955</v>
      </c>
      <c r="H16" t="s">
        <v>8314</v>
      </c>
      <c r="I16" t="s">
        <v>11254</v>
      </c>
      <c r="J16" t="s">
        <v>3366</v>
      </c>
      <c r="K16" t="s">
        <v>11895</v>
      </c>
      <c r="L16" s="12">
        <v>-1.5320546274930499E-2</v>
      </c>
      <c r="M16" s="12">
        <v>-6.9384123778507195E-2</v>
      </c>
      <c r="N16" s="12">
        <v>0.279799999999994</v>
      </c>
    </row>
    <row r="17" spans="1:14" ht="17.399999999999999">
      <c r="A17" t="s">
        <v>15357</v>
      </c>
      <c r="B17" t="s">
        <v>15443</v>
      </c>
      <c r="C17" t="s">
        <v>15452</v>
      </c>
      <c r="D17" t="s">
        <v>2037</v>
      </c>
      <c r="E17" t="s">
        <v>3534</v>
      </c>
      <c r="F17" t="s">
        <v>3580</v>
      </c>
      <c r="G17" t="s">
        <v>5804</v>
      </c>
      <c r="H17" t="s">
        <v>9160</v>
      </c>
      <c r="I17" t="s">
        <v>11558</v>
      </c>
      <c r="J17" t="s">
        <v>3379</v>
      </c>
      <c r="K17" t="s">
        <v>11902</v>
      </c>
      <c r="L17" s="12">
        <v>-0.112647952461929</v>
      </c>
      <c r="M17" s="12">
        <v>4.4352219478743599E-2</v>
      </c>
      <c r="N17" s="12">
        <v>0.23499999999999899</v>
      </c>
    </row>
    <row r="18" spans="1:14" ht="17.399999999999999">
      <c r="A18" t="s">
        <v>15357</v>
      </c>
      <c r="B18" t="s">
        <v>15443</v>
      </c>
      <c r="C18" t="s">
        <v>15452</v>
      </c>
      <c r="D18" t="s">
        <v>2038</v>
      </c>
      <c r="E18" t="s">
        <v>3535</v>
      </c>
      <c r="F18" t="s">
        <v>3695</v>
      </c>
      <c r="G18" t="s">
        <v>5805</v>
      </c>
      <c r="H18" t="s">
        <v>9161</v>
      </c>
      <c r="I18" t="s">
        <v>10600</v>
      </c>
      <c r="J18" t="s">
        <v>3366</v>
      </c>
      <c r="K18" t="s">
        <v>11902</v>
      </c>
      <c r="L18" s="47">
        <v>-0.11119370247065399</v>
      </c>
      <c r="M18" s="47">
        <v>5.9621297038125597E-2</v>
      </c>
      <c r="N18" s="47">
        <v>0.230899999999991</v>
      </c>
    </row>
    <row r="19" spans="1:14" ht="17.399999999999999">
      <c r="A19" t="s">
        <v>15357</v>
      </c>
      <c r="B19" t="s">
        <v>15443</v>
      </c>
      <c r="C19" t="s">
        <v>15452</v>
      </c>
      <c r="D19" t="s">
        <v>2039</v>
      </c>
      <c r="E19" t="s">
        <v>3536</v>
      </c>
      <c r="F19" t="s">
        <v>3690</v>
      </c>
      <c r="G19" t="s">
        <v>5806</v>
      </c>
      <c r="H19" t="s">
        <v>9162</v>
      </c>
      <c r="I19" t="s">
        <v>11559</v>
      </c>
      <c r="J19" t="s">
        <v>3366</v>
      </c>
      <c r="K19" t="s">
        <v>11902</v>
      </c>
      <c r="L19" s="74">
        <v>-0.112547693060737</v>
      </c>
      <c r="M19" s="74">
        <v>6.8049625296650595E-2</v>
      </c>
      <c r="N19" s="74">
        <v>0.167599999999993</v>
      </c>
    </row>
    <row r="20" spans="1:14" ht="17.399999999999999">
      <c r="A20" t="s">
        <v>15403</v>
      </c>
      <c r="B20" t="s">
        <v>15443</v>
      </c>
      <c r="C20" t="s">
        <v>15452</v>
      </c>
      <c r="D20" t="s">
        <v>2848</v>
      </c>
      <c r="E20" t="s">
        <v>3541</v>
      </c>
      <c r="F20" t="s">
        <v>3493</v>
      </c>
      <c r="G20" t="s">
        <v>6618</v>
      </c>
      <c r="H20" t="s">
        <v>9974</v>
      </c>
      <c r="I20" t="s">
        <v>11780</v>
      </c>
      <c r="J20" t="s">
        <v>3366</v>
      </c>
      <c r="K20" t="s">
        <v>11885</v>
      </c>
      <c r="L20" s="47">
        <v>0.109925158562446</v>
      </c>
      <c r="M20" s="47">
        <v>5.5850794220915899E-2</v>
      </c>
      <c r="N20" s="47">
        <v>-0.13739999999999999</v>
      </c>
    </row>
    <row r="21" spans="1:14" ht="17.399999999999999">
      <c r="A21" t="s">
        <v>15403</v>
      </c>
      <c r="B21" t="s">
        <v>15443</v>
      </c>
      <c r="C21" t="s">
        <v>15452</v>
      </c>
      <c r="D21" t="s">
        <v>2849</v>
      </c>
      <c r="E21" t="s">
        <v>3565</v>
      </c>
      <c r="F21" t="s">
        <v>3665</v>
      </c>
      <c r="G21" t="s">
        <v>6619</v>
      </c>
      <c r="H21" t="s">
        <v>9975</v>
      </c>
      <c r="I21" t="s">
        <v>11105</v>
      </c>
      <c r="J21" t="s">
        <v>3366</v>
      </c>
      <c r="K21" t="s">
        <v>11885</v>
      </c>
      <c r="L21" s="47">
        <v>0.11373943041486401</v>
      </c>
      <c r="M21" s="47">
        <v>5.2575567498963402E-2</v>
      </c>
      <c r="N21" s="47">
        <v>-0.13080000000000799</v>
      </c>
    </row>
    <row r="22" spans="1:14" ht="17.399999999999999">
      <c r="A22" t="s">
        <v>15403</v>
      </c>
      <c r="B22" t="s">
        <v>15443</v>
      </c>
      <c r="C22" t="s">
        <v>15452</v>
      </c>
      <c r="D22" t="s">
        <v>2850</v>
      </c>
      <c r="E22" t="s">
        <v>3445</v>
      </c>
      <c r="F22" t="s">
        <v>3553</v>
      </c>
      <c r="G22" t="s">
        <v>6620</v>
      </c>
      <c r="H22" t="s">
        <v>9976</v>
      </c>
      <c r="I22" t="s">
        <v>11740</v>
      </c>
      <c r="J22" t="s">
        <v>3366</v>
      </c>
      <c r="K22" t="s">
        <v>11885</v>
      </c>
      <c r="L22" s="47">
        <v>0.106307435774065</v>
      </c>
      <c r="M22" s="47">
        <v>5.8921066727199697E-2</v>
      </c>
      <c r="N22" s="47">
        <v>-0.13519999999999799</v>
      </c>
    </row>
    <row r="23" spans="1:14" ht="17.399999999999999">
      <c r="A23" t="s">
        <v>15403</v>
      </c>
      <c r="B23" t="s">
        <v>15443</v>
      </c>
      <c r="C23" t="s">
        <v>15452</v>
      </c>
      <c r="D23" t="s">
        <v>2851</v>
      </c>
      <c r="E23" t="s">
        <v>3445</v>
      </c>
      <c r="F23" t="s">
        <v>3701</v>
      </c>
      <c r="G23" t="s">
        <v>6621</v>
      </c>
      <c r="H23" t="s">
        <v>9977</v>
      </c>
      <c r="I23" t="s">
        <v>11740</v>
      </c>
      <c r="J23" t="s">
        <v>3366</v>
      </c>
      <c r="K23" t="s">
        <v>11885</v>
      </c>
      <c r="L23" s="47">
        <v>0.104477528954138</v>
      </c>
      <c r="M23" s="47">
        <v>5.6358323630575802E-2</v>
      </c>
      <c r="N23" s="47">
        <v>-0.13720000000000701</v>
      </c>
    </row>
    <row r="24" spans="1:14" ht="17.399999999999999">
      <c r="A24" t="s">
        <v>15403</v>
      </c>
      <c r="B24" t="s">
        <v>15443</v>
      </c>
      <c r="C24" t="s">
        <v>15452</v>
      </c>
      <c r="D24" t="s">
        <v>2852</v>
      </c>
      <c r="E24" t="s">
        <v>3535</v>
      </c>
      <c r="F24" t="s">
        <v>3552</v>
      </c>
      <c r="G24" t="s">
        <v>6622</v>
      </c>
      <c r="H24" t="s">
        <v>9978</v>
      </c>
      <c r="I24" t="s">
        <v>10653</v>
      </c>
      <c r="J24" t="s">
        <v>3366</v>
      </c>
      <c r="K24" t="s">
        <v>11885</v>
      </c>
      <c r="L24" s="74">
        <v>0.10477953056160599</v>
      </c>
      <c r="M24" s="74">
        <v>6.1823331189258902E-2</v>
      </c>
      <c r="N24" s="74">
        <v>-0.1464</v>
      </c>
    </row>
    <row r="30" spans="1:14" ht="17.399999999999999">
      <c r="A30" s="124" t="s">
        <v>15291</v>
      </c>
      <c r="B30" s="124" t="s">
        <v>15501</v>
      </c>
      <c r="C30" s="124" t="s">
        <v>15502</v>
      </c>
      <c r="D30" s="125" t="s">
        <v>15529</v>
      </c>
      <c r="E30" s="125" t="s">
        <v>3601</v>
      </c>
      <c r="F30" s="125" t="s">
        <v>3767</v>
      </c>
      <c r="G30" s="125" t="s">
        <v>7126</v>
      </c>
      <c r="H30" s="125" t="s">
        <v>15507</v>
      </c>
      <c r="I30" s="125" t="s">
        <v>11883</v>
      </c>
      <c r="J30" s="125" t="s">
        <v>11884</v>
      </c>
      <c r="K30" s="116" t="s">
        <v>15537</v>
      </c>
      <c r="L30" s="116" t="s">
        <v>15535</v>
      </c>
      <c r="M30" s="116" t="s">
        <v>15536</v>
      </c>
    </row>
    <row r="31" spans="1:14">
      <c r="A31" t="s">
        <v>15312</v>
      </c>
      <c r="B31" t="s">
        <v>15443</v>
      </c>
      <c r="C31" t="s">
        <v>15452</v>
      </c>
      <c r="D31" t="s">
        <v>3431</v>
      </c>
      <c r="E31" t="s">
        <v>3462</v>
      </c>
      <c r="F31" t="s">
        <v>4826</v>
      </c>
      <c r="G31" t="s">
        <v>8185</v>
      </c>
      <c r="H31" t="s">
        <v>11190</v>
      </c>
      <c r="I31" t="s">
        <v>3366</v>
      </c>
      <c r="J31" t="s">
        <v>11886</v>
      </c>
      <c r="K31" s="12">
        <v>2.3883590663917901E-3</v>
      </c>
      <c r="L31" s="12">
        <v>-2.21928062717105E-2</v>
      </c>
      <c r="M31" s="12">
        <v>0.22250000000002501</v>
      </c>
    </row>
    <row r="32" spans="1:14">
      <c r="A32" t="s">
        <v>15312</v>
      </c>
      <c r="B32" t="s">
        <v>15443</v>
      </c>
      <c r="C32" t="s">
        <v>15452</v>
      </c>
      <c r="D32" t="s">
        <v>3431</v>
      </c>
      <c r="E32" t="s">
        <v>3426</v>
      </c>
      <c r="F32" t="s">
        <v>4827</v>
      </c>
      <c r="G32" t="s">
        <v>8186</v>
      </c>
      <c r="H32" t="s">
        <v>11191</v>
      </c>
      <c r="I32" t="s">
        <v>3366</v>
      </c>
      <c r="J32" t="s">
        <v>11885</v>
      </c>
      <c r="K32" s="12">
        <v>2.2800678403434001E-3</v>
      </c>
      <c r="L32" s="12">
        <v>-2.53498556243653E-2</v>
      </c>
      <c r="M32" s="12">
        <v>0.214000000000027</v>
      </c>
    </row>
    <row r="33" spans="1:14">
      <c r="A33" s="72" t="s">
        <v>15312</v>
      </c>
      <c r="B33" s="72" t="s">
        <v>15443</v>
      </c>
      <c r="C33" s="72" t="s">
        <v>15452</v>
      </c>
      <c r="D33" s="72" t="s">
        <v>3431</v>
      </c>
      <c r="E33" s="72" t="s">
        <v>3465</v>
      </c>
      <c r="F33" s="72" t="s">
        <v>4828</v>
      </c>
      <c r="G33" s="72" t="s">
        <v>8187</v>
      </c>
      <c r="H33" s="72" t="s">
        <v>11192</v>
      </c>
      <c r="I33" s="72" t="s">
        <v>3366</v>
      </c>
      <c r="J33" s="72" t="s">
        <v>11885</v>
      </c>
      <c r="K33" s="74">
        <v>1.1144472165483101E-3</v>
      </c>
      <c r="L33" s="74">
        <v>-2.85199099537168E-2</v>
      </c>
      <c r="M33" s="74">
        <v>0.20140000000000699</v>
      </c>
    </row>
    <row r="34" spans="1:14">
      <c r="A34" t="s">
        <v>15316</v>
      </c>
      <c r="B34" t="s">
        <v>15443</v>
      </c>
      <c r="C34" t="s">
        <v>15452</v>
      </c>
      <c r="D34" t="s">
        <v>3431</v>
      </c>
      <c r="E34" t="s">
        <v>3449</v>
      </c>
      <c r="F34" t="s">
        <v>4926</v>
      </c>
      <c r="G34" t="s">
        <v>8285</v>
      </c>
      <c r="H34" t="s">
        <v>10842</v>
      </c>
      <c r="I34" t="s">
        <v>3366</v>
      </c>
      <c r="J34" t="s">
        <v>11894</v>
      </c>
      <c r="K34" s="12">
        <v>7.8779770623814104E-3</v>
      </c>
      <c r="L34" s="12">
        <v>-2.8418420535919999E-2</v>
      </c>
      <c r="M34" s="12">
        <v>0.22899999999998499</v>
      </c>
    </row>
    <row r="35" spans="1:14">
      <c r="A35" t="s">
        <v>15316</v>
      </c>
      <c r="B35" t="s">
        <v>15443</v>
      </c>
      <c r="C35" t="s">
        <v>15452</v>
      </c>
      <c r="D35" t="s">
        <v>3425</v>
      </c>
      <c r="E35" t="s">
        <v>3465</v>
      </c>
      <c r="F35" t="s">
        <v>4927</v>
      </c>
      <c r="G35" t="s">
        <v>8286</v>
      </c>
      <c r="H35" t="s">
        <v>11236</v>
      </c>
      <c r="I35" t="s">
        <v>3366</v>
      </c>
      <c r="J35" t="s">
        <v>11894</v>
      </c>
      <c r="K35" s="12">
        <v>7.7682853964102603E-3</v>
      </c>
      <c r="L35" s="12">
        <v>-2.8317431288113201E-2</v>
      </c>
      <c r="M35" s="12">
        <v>0.22299999999998499</v>
      </c>
    </row>
    <row r="36" spans="1:14">
      <c r="A36" s="72" t="s">
        <v>15316</v>
      </c>
      <c r="B36" s="72" t="s">
        <v>15443</v>
      </c>
      <c r="C36" s="72" t="s">
        <v>15452</v>
      </c>
      <c r="D36" s="72" t="s">
        <v>3431</v>
      </c>
      <c r="E36" s="72" t="s">
        <v>3450</v>
      </c>
      <c r="F36" s="72" t="s">
        <v>4928</v>
      </c>
      <c r="G36" s="72" t="s">
        <v>8287</v>
      </c>
      <c r="H36" s="72" t="s">
        <v>11237</v>
      </c>
      <c r="I36" s="72" t="s">
        <v>3366</v>
      </c>
      <c r="J36" s="72" t="s">
        <v>11895</v>
      </c>
      <c r="K36" s="74">
        <v>5.7570864028195301E-3</v>
      </c>
      <c r="L36" s="74">
        <v>-2.5888523424478799E-2</v>
      </c>
      <c r="M36" s="74">
        <v>0.21699999999998501</v>
      </c>
    </row>
    <row r="37" spans="1:14">
      <c r="A37" t="s">
        <v>15317</v>
      </c>
      <c r="B37" t="s">
        <v>15443</v>
      </c>
      <c r="C37" t="s">
        <v>15452</v>
      </c>
      <c r="D37" t="s">
        <v>3440</v>
      </c>
      <c r="E37" t="s">
        <v>3434</v>
      </c>
      <c r="F37" t="s">
        <v>4953</v>
      </c>
      <c r="G37" t="s">
        <v>8312</v>
      </c>
      <c r="H37" t="s">
        <v>11253</v>
      </c>
      <c r="I37" t="s">
        <v>3366</v>
      </c>
      <c r="J37" t="s">
        <v>11895</v>
      </c>
      <c r="K37" s="12">
        <v>-1.29967826750972E-2</v>
      </c>
      <c r="L37" s="12">
        <v>-7.0528863338357201E-2</v>
      </c>
      <c r="M37" s="12">
        <v>0.29219999999997998</v>
      </c>
    </row>
    <row r="38" spans="1:14">
      <c r="A38" t="s">
        <v>15317</v>
      </c>
      <c r="B38" t="s">
        <v>15443</v>
      </c>
      <c r="C38" t="s">
        <v>15452</v>
      </c>
      <c r="D38" t="s">
        <v>3440</v>
      </c>
      <c r="E38" t="s">
        <v>3435</v>
      </c>
      <c r="F38" t="s">
        <v>4954</v>
      </c>
      <c r="G38" t="s">
        <v>8313</v>
      </c>
      <c r="H38" t="s">
        <v>10977</v>
      </c>
      <c r="I38" t="s">
        <v>3366</v>
      </c>
      <c r="J38" t="s">
        <v>11895</v>
      </c>
      <c r="K38" s="12">
        <v>-1.46320941907173E-2</v>
      </c>
      <c r="L38" s="12">
        <v>-6.9604330411059095E-2</v>
      </c>
      <c r="M38" s="12">
        <v>0.28719999999998402</v>
      </c>
    </row>
    <row r="39" spans="1:14">
      <c r="A39" t="s">
        <v>15317</v>
      </c>
      <c r="B39" t="s">
        <v>15443</v>
      </c>
      <c r="C39" t="s">
        <v>15452</v>
      </c>
      <c r="D39" t="s">
        <v>3438</v>
      </c>
      <c r="E39" t="s">
        <v>3429</v>
      </c>
      <c r="F39" t="s">
        <v>4955</v>
      </c>
      <c r="G39" t="s">
        <v>8314</v>
      </c>
      <c r="H39" t="s">
        <v>11254</v>
      </c>
      <c r="I39" t="s">
        <v>3366</v>
      </c>
      <c r="J39" t="s">
        <v>11895</v>
      </c>
      <c r="K39" s="12">
        <v>-1.5320546274930499E-2</v>
      </c>
      <c r="L39" s="12">
        <v>-6.9384123778507195E-2</v>
      </c>
      <c r="M39" s="12">
        <v>0.279799999999994</v>
      </c>
    </row>
    <row r="41" spans="1:14" ht="17.399999999999999">
      <c r="A41" s="124" t="s">
        <v>15291</v>
      </c>
      <c r="B41" s="124" t="s">
        <v>15501</v>
      </c>
      <c r="C41" s="124" t="s">
        <v>15502</v>
      </c>
      <c r="D41" s="125" t="s">
        <v>0</v>
      </c>
      <c r="E41" s="125" t="s">
        <v>15529</v>
      </c>
      <c r="F41" s="125" t="s">
        <v>3601</v>
      </c>
      <c r="G41" s="125" t="s">
        <v>3767</v>
      </c>
      <c r="H41" s="125" t="s">
        <v>7126</v>
      </c>
      <c r="I41" s="125" t="s">
        <v>15507</v>
      </c>
      <c r="J41" s="125" t="s">
        <v>11883</v>
      </c>
      <c r="K41" s="125" t="s">
        <v>11884</v>
      </c>
      <c r="L41" s="116" t="s">
        <v>15537</v>
      </c>
      <c r="M41" s="116" t="s">
        <v>15535</v>
      </c>
      <c r="N41" s="116" t="s">
        <v>15536</v>
      </c>
    </row>
    <row r="42" spans="1:14">
      <c r="A42" t="s">
        <v>15311</v>
      </c>
      <c r="B42" t="s">
        <v>15443</v>
      </c>
      <c r="C42" t="s">
        <v>15452</v>
      </c>
      <c r="D42" t="s">
        <v>1033</v>
      </c>
      <c r="E42" t="s">
        <v>3425</v>
      </c>
      <c r="F42" t="s">
        <v>3477</v>
      </c>
      <c r="G42" t="s">
        <v>4799</v>
      </c>
      <c r="H42" t="s">
        <v>8158</v>
      </c>
      <c r="I42" t="s">
        <v>11176</v>
      </c>
      <c r="J42" t="s">
        <v>3366</v>
      </c>
      <c r="K42" t="s">
        <v>11885</v>
      </c>
      <c r="L42" s="12">
        <v>1.07631684146756E-3</v>
      </c>
      <c r="M42" s="12">
        <v>1.80252347775442E-2</v>
      </c>
      <c r="N42" s="12">
        <v>0.23320000000001101</v>
      </c>
    </row>
    <row r="43" spans="1:14">
      <c r="A43" t="s">
        <v>15311</v>
      </c>
      <c r="B43" t="s">
        <v>15443</v>
      </c>
      <c r="C43" t="s">
        <v>15452</v>
      </c>
      <c r="D43" t="s">
        <v>1034</v>
      </c>
      <c r="E43" t="s">
        <v>3431</v>
      </c>
      <c r="F43" t="s">
        <v>3467</v>
      </c>
      <c r="G43" t="s">
        <v>4800</v>
      </c>
      <c r="H43" t="s">
        <v>8159</v>
      </c>
      <c r="I43" t="s">
        <v>11177</v>
      </c>
      <c r="J43" t="s">
        <v>3366</v>
      </c>
      <c r="K43" t="s">
        <v>11885</v>
      </c>
      <c r="L43" s="12">
        <v>-1.7701845766759201E-3</v>
      </c>
      <c r="M43" s="12">
        <v>1.5579168851843701E-2</v>
      </c>
      <c r="N43" s="12">
        <v>0.235699999999952</v>
      </c>
    </row>
    <row r="44" spans="1:14">
      <c r="A44" s="72" t="s">
        <v>15311</v>
      </c>
      <c r="B44" s="72" t="s">
        <v>15443</v>
      </c>
      <c r="C44" s="72" t="s">
        <v>15452</v>
      </c>
      <c r="D44" s="72" t="s">
        <v>1035</v>
      </c>
      <c r="E44" s="72" t="s">
        <v>3434</v>
      </c>
      <c r="F44" s="72" t="s">
        <v>3611</v>
      </c>
      <c r="G44" s="72" t="s">
        <v>4801</v>
      </c>
      <c r="H44" s="72" t="s">
        <v>8160</v>
      </c>
      <c r="I44" s="72" t="s">
        <v>11178</v>
      </c>
      <c r="J44" s="72" t="s">
        <v>3366</v>
      </c>
      <c r="K44" s="72" t="s">
        <v>11885</v>
      </c>
      <c r="L44" s="74">
        <v>-5.7002297967587504E-4</v>
      </c>
      <c r="M44" s="74">
        <v>1.55154023193872E-2</v>
      </c>
      <c r="N44" s="74">
        <v>0.224799999999959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B55E-FDB2-AA46-9E77-0B1ECBF27B2D}">
  <dimension ref="A1:M4"/>
  <sheetViews>
    <sheetView workbookViewId="0">
      <selection activeCell="K1" sqref="K1:M4"/>
    </sheetView>
  </sheetViews>
  <sheetFormatPr defaultColWidth="11.5546875" defaultRowHeight="14.4"/>
  <cols>
    <col min="6" max="6" width="15.44140625" customWidth="1"/>
    <col min="7" max="7" width="16" customWidth="1"/>
    <col min="11" max="12" width="11.77734375" bestFit="1" customWidth="1"/>
    <col min="13" max="13" width="12.33203125" bestFit="1" customWidth="1"/>
  </cols>
  <sheetData>
    <row r="1" spans="1:13" ht="17.399999999999999">
      <c r="A1" s="1" t="s">
        <v>15291</v>
      </c>
      <c r="B1" s="1" t="s">
        <v>15501</v>
      </c>
      <c r="C1" s="2" t="s">
        <v>0</v>
      </c>
      <c r="D1" s="7" t="s">
        <v>15520</v>
      </c>
      <c r="E1" s="2" t="s">
        <v>3601</v>
      </c>
      <c r="F1" s="2" t="s">
        <v>3767</v>
      </c>
      <c r="G1" s="2" t="s">
        <v>7126</v>
      </c>
      <c r="H1" s="2" t="s">
        <v>15507</v>
      </c>
      <c r="I1" s="2" t="s">
        <v>11883</v>
      </c>
      <c r="J1" s="2" t="s">
        <v>11884</v>
      </c>
      <c r="K1" s="131" t="s">
        <v>15534</v>
      </c>
      <c r="L1" s="131" t="s">
        <v>15535</v>
      </c>
      <c r="M1" s="131" t="s">
        <v>15536</v>
      </c>
    </row>
    <row r="2" spans="1:13" ht="17.399999999999999">
      <c r="A2" t="s">
        <v>15336</v>
      </c>
      <c r="B2" t="s">
        <v>15443</v>
      </c>
      <c r="C2" t="s">
        <v>15472</v>
      </c>
      <c r="D2" t="s">
        <v>3449</v>
      </c>
      <c r="E2" t="s">
        <v>3445</v>
      </c>
      <c r="F2" t="s">
        <v>5405</v>
      </c>
      <c r="G2" t="s">
        <v>8764</v>
      </c>
      <c r="H2" t="s">
        <v>11411</v>
      </c>
      <c r="I2" t="s">
        <v>3375</v>
      </c>
      <c r="J2" t="s">
        <v>11894</v>
      </c>
      <c r="K2" s="132">
        <v>7.4037436505136597E-2</v>
      </c>
      <c r="L2" s="132">
        <v>3.59944743547451E-2</v>
      </c>
      <c r="M2" s="132">
        <v>-0.179600000000008</v>
      </c>
    </row>
    <row r="3" spans="1:13" ht="17.399999999999999">
      <c r="A3" t="s">
        <v>15336</v>
      </c>
      <c r="B3" t="s">
        <v>15443</v>
      </c>
      <c r="C3" t="s">
        <v>15472</v>
      </c>
      <c r="D3" t="s">
        <v>3450</v>
      </c>
      <c r="E3" t="s">
        <v>3491</v>
      </c>
      <c r="F3" t="s">
        <v>5406</v>
      </c>
      <c r="G3" t="s">
        <v>8765</v>
      </c>
      <c r="H3" t="s">
        <v>11411</v>
      </c>
      <c r="I3" t="s">
        <v>3366</v>
      </c>
      <c r="J3" t="s">
        <v>11894</v>
      </c>
      <c r="K3" s="132">
        <v>7.1540118286287993E-2</v>
      </c>
      <c r="L3" s="132">
        <v>4.2393199406496503E-2</v>
      </c>
      <c r="M3" s="132">
        <v>-0.205600000000004</v>
      </c>
    </row>
    <row r="4" spans="1:13" ht="17.399999999999999">
      <c r="A4" t="s">
        <v>15336</v>
      </c>
      <c r="B4" t="s">
        <v>15443</v>
      </c>
      <c r="C4" t="s">
        <v>15472</v>
      </c>
      <c r="D4" t="s">
        <v>3450</v>
      </c>
      <c r="E4" t="s">
        <v>3495</v>
      </c>
      <c r="F4" t="s">
        <v>5407</v>
      </c>
      <c r="G4" t="s">
        <v>8766</v>
      </c>
      <c r="H4" t="s">
        <v>11412</v>
      </c>
      <c r="I4" t="s">
        <v>3366</v>
      </c>
      <c r="J4" t="s">
        <v>11894</v>
      </c>
      <c r="K4" s="132">
        <v>6.71385978548623E-2</v>
      </c>
      <c r="L4" s="132">
        <v>4.4198356890060499E-2</v>
      </c>
      <c r="M4" s="132">
        <v>-0.223500000000001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DE75-62C3-4D36-99D6-CB5D0633EDA0}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B84E-594F-604E-B0BF-1746B7779AED}">
  <dimension ref="A1:AC51"/>
  <sheetViews>
    <sheetView workbookViewId="0">
      <selection activeCell="N36" sqref="N36"/>
    </sheetView>
  </sheetViews>
  <sheetFormatPr defaultColWidth="11.5546875" defaultRowHeight="14.4"/>
  <cols>
    <col min="6" max="6" width="21.77734375" customWidth="1"/>
    <col min="7" max="7" width="20.6640625" customWidth="1"/>
    <col min="11" max="13" width="11.33203125" bestFit="1" customWidth="1"/>
    <col min="14" max="14" width="22.6640625" customWidth="1"/>
    <col min="17" max="17" width="33.77734375" customWidth="1"/>
    <col min="20" max="20" width="15.6640625" customWidth="1"/>
    <col min="21" max="21" width="20.33203125" customWidth="1"/>
    <col min="27" max="29" width="11.33203125" bestFit="1" customWidth="1"/>
  </cols>
  <sheetData>
    <row r="1" spans="1:29" ht="17.399999999999999">
      <c r="A1" s="124" t="s">
        <v>15291</v>
      </c>
      <c r="B1" s="124" t="s">
        <v>15501</v>
      </c>
      <c r="C1" s="124" t="s">
        <v>15502</v>
      </c>
      <c r="D1" s="114" t="s">
        <v>15520</v>
      </c>
      <c r="E1" s="125" t="s">
        <v>3601</v>
      </c>
      <c r="F1" s="125" t="s">
        <v>3767</v>
      </c>
      <c r="G1" s="125" t="s">
        <v>7126</v>
      </c>
      <c r="H1" s="125" t="s">
        <v>15507</v>
      </c>
      <c r="I1" s="125" t="s">
        <v>11883</v>
      </c>
      <c r="J1" s="125" t="s">
        <v>11884</v>
      </c>
      <c r="K1" s="74"/>
      <c r="L1" s="74"/>
      <c r="M1" s="74"/>
      <c r="O1" s="124" t="s">
        <v>15291</v>
      </c>
      <c r="P1" s="124" t="s">
        <v>15501</v>
      </c>
      <c r="Q1" s="124" t="s">
        <v>15502</v>
      </c>
      <c r="R1" s="114" t="s">
        <v>15520</v>
      </c>
      <c r="S1" s="125" t="s">
        <v>3601</v>
      </c>
      <c r="T1" s="125" t="s">
        <v>3767</v>
      </c>
      <c r="U1" s="125" t="s">
        <v>7126</v>
      </c>
      <c r="V1" s="125" t="s">
        <v>15507</v>
      </c>
      <c r="W1" s="125" t="s">
        <v>11883</v>
      </c>
      <c r="X1" s="125" t="s">
        <v>11884</v>
      </c>
      <c r="Y1" s="72"/>
      <c r="Z1" s="72"/>
      <c r="AA1" s="72"/>
      <c r="AB1" s="72"/>
      <c r="AC1" s="72"/>
    </row>
    <row r="2" spans="1:29">
      <c r="A2" t="s">
        <v>15350</v>
      </c>
      <c r="B2" t="s">
        <v>15443</v>
      </c>
      <c r="C2" t="s">
        <v>15452</v>
      </c>
      <c r="D2" t="s">
        <v>3438</v>
      </c>
      <c r="E2" t="s">
        <v>3429</v>
      </c>
      <c r="F2" t="s">
        <v>3970</v>
      </c>
      <c r="G2" t="s">
        <v>7329</v>
      </c>
      <c r="H2" t="s">
        <v>10645</v>
      </c>
      <c r="I2" t="s">
        <v>3374</v>
      </c>
      <c r="J2" t="s">
        <v>11898</v>
      </c>
      <c r="K2" s="12">
        <v>1.6745393358180399E-2</v>
      </c>
      <c r="L2" s="12">
        <v>-4.5174187416932802E-3</v>
      </c>
      <c r="M2" s="12">
        <v>-0.15709999999999999</v>
      </c>
      <c r="O2" t="s">
        <v>15350</v>
      </c>
      <c r="P2" t="s">
        <v>15443</v>
      </c>
      <c r="Q2" t="s">
        <v>15458</v>
      </c>
      <c r="R2" t="s">
        <v>3434</v>
      </c>
      <c r="S2" t="s">
        <v>3465</v>
      </c>
      <c r="T2" t="s">
        <v>3973</v>
      </c>
      <c r="U2" t="s">
        <v>7332</v>
      </c>
      <c r="V2" t="s">
        <v>10646</v>
      </c>
      <c r="W2" t="s">
        <v>3384</v>
      </c>
      <c r="X2" t="s">
        <v>11898</v>
      </c>
      <c r="Y2" s="12">
        <v>1.8848441365556499E-2</v>
      </c>
      <c r="Z2" s="12">
        <v>-2.2052308153648801E-3</v>
      </c>
      <c r="AA2" s="12">
        <v>-0.173400000000001</v>
      </c>
    </row>
    <row r="3" spans="1:29">
      <c r="A3" t="s">
        <v>15350</v>
      </c>
      <c r="B3" t="s">
        <v>15443</v>
      </c>
      <c r="C3" t="s">
        <v>15452</v>
      </c>
      <c r="D3" t="s">
        <v>3428</v>
      </c>
      <c r="E3" t="s">
        <v>3441</v>
      </c>
      <c r="F3" t="s">
        <v>3971</v>
      </c>
      <c r="G3" t="s">
        <v>7330</v>
      </c>
      <c r="H3" t="s">
        <v>10646</v>
      </c>
      <c r="I3" t="s">
        <v>3366</v>
      </c>
      <c r="J3" t="s">
        <v>11898</v>
      </c>
      <c r="K3" s="12">
        <v>1.35709187251494E-2</v>
      </c>
      <c r="L3" s="12">
        <v>-4.3632821827501297E-3</v>
      </c>
      <c r="M3" s="12">
        <v>-0.160799999999995</v>
      </c>
      <c r="O3" t="s">
        <v>15350</v>
      </c>
      <c r="P3" t="s">
        <v>15443</v>
      </c>
      <c r="Q3" t="s">
        <v>15458</v>
      </c>
      <c r="R3" t="s">
        <v>3429</v>
      </c>
      <c r="S3" t="s">
        <v>3463</v>
      </c>
      <c r="T3" t="s">
        <v>3974</v>
      </c>
      <c r="U3" t="s">
        <v>7333</v>
      </c>
      <c r="V3" t="s">
        <v>10646</v>
      </c>
      <c r="W3" t="s">
        <v>3366</v>
      </c>
      <c r="X3" t="s">
        <v>11898</v>
      </c>
      <c r="Y3" s="12">
        <v>2.1476027231081499E-2</v>
      </c>
      <c r="Z3" s="12">
        <v>-3.9467724230522697E-3</v>
      </c>
      <c r="AA3" s="12">
        <v>-0.18009999999999601</v>
      </c>
    </row>
    <row r="4" spans="1:29">
      <c r="A4" s="72" t="s">
        <v>15350</v>
      </c>
      <c r="B4" s="72" t="s">
        <v>15443</v>
      </c>
      <c r="C4" s="72" t="s">
        <v>15452</v>
      </c>
      <c r="D4" s="72" t="s">
        <v>3428</v>
      </c>
      <c r="E4" s="72" t="s">
        <v>3453</v>
      </c>
      <c r="F4" s="72" t="s">
        <v>3972</v>
      </c>
      <c r="G4" s="72" t="s">
        <v>7331</v>
      </c>
      <c r="H4" s="72" t="s">
        <v>10646</v>
      </c>
      <c r="I4" s="72" t="s">
        <v>3366</v>
      </c>
      <c r="J4" s="72" t="s">
        <v>11898</v>
      </c>
      <c r="K4" s="74">
        <v>1.4161604062250199E-2</v>
      </c>
      <c r="L4" s="74">
        <v>-3.4884228718343401E-3</v>
      </c>
      <c r="M4" s="74">
        <v>-0.15899999999999201</v>
      </c>
      <c r="O4" t="s">
        <v>15350</v>
      </c>
      <c r="P4" t="s">
        <v>15443</v>
      </c>
      <c r="Q4" t="s">
        <v>15458</v>
      </c>
      <c r="R4" t="s">
        <v>3430</v>
      </c>
      <c r="S4" t="s">
        <v>3484</v>
      </c>
      <c r="T4" t="s">
        <v>3975</v>
      </c>
      <c r="U4" t="s">
        <v>7334</v>
      </c>
      <c r="V4" t="s">
        <v>10646</v>
      </c>
      <c r="W4" t="s">
        <v>3366</v>
      </c>
      <c r="X4" t="s">
        <v>11898</v>
      </c>
      <c r="Y4" s="12">
        <v>2.1937315950497902E-2</v>
      </c>
      <c r="Z4" s="12">
        <v>-2.2655674354475101E-3</v>
      </c>
      <c r="AA4" s="12">
        <v>-0.18739999999999701</v>
      </c>
    </row>
    <row r="5" spans="1:29">
      <c r="A5" t="s">
        <v>15379</v>
      </c>
      <c r="B5" t="s">
        <v>15443</v>
      </c>
      <c r="C5" t="s">
        <v>15452</v>
      </c>
      <c r="D5" t="s">
        <v>3466</v>
      </c>
      <c r="E5" t="s">
        <v>3600</v>
      </c>
      <c r="F5" t="s">
        <v>4480</v>
      </c>
      <c r="G5" t="s">
        <v>7839</v>
      </c>
      <c r="H5" t="s">
        <v>11016</v>
      </c>
      <c r="I5" t="s">
        <v>3366</v>
      </c>
      <c r="J5" t="s">
        <v>11896</v>
      </c>
      <c r="K5" s="126">
        <v>-0.20668422549920701</v>
      </c>
      <c r="L5" s="126">
        <v>-7.7663735095627202E-3</v>
      </c>
      <c r="M5" s="126">
        <v>0.41830000000004502</v>
      </c>
      <c r="O5" s="72" t="s">
        <v>15350</v>
      </c>
      <c r="P5" s="72" t="s">
        <v>15443</v>
      </c>
      <c r="Q5" s="72" t="s">
        <v>15458</v>
      </c>
      <c r="R5" s="72" t="s">
        <v>3441</v>
      </c>
      <c r="S5" s="72" t="s">
        <v>3515</v>
      </c>
      <c r="T5" s="72" t="s">
        <v>3976</v>
      </c>
      <c r="U5" s="72" t="s">
        <v>7335</v>
      </c>
      <c r="V5" s="72" t="s">
        <v>10646</v>
      </c>
      <c r="W5" s="72" t="s">
        <v>3366</v>
      </c>
      <c r="X5" s="72" t="s">
        <v>11898</v>
      </c>
      <c r="Y5" s="74">
        <v>2.39629985906912E-2</v>
      </c>
      <c r="Z5" s="74">
        <v>-3.6504818001503099E-3</v>
      </c>
      <c r="AA5" s="74">
        <v>-0.186299999999989</v>
      </c>
    </row>
    <row r="6" spans="1:29">
      <c r="A6" t="s">
        <v>15379</v>
      </c>
      <c r="B6" t="s">
        <v>15443</v>
      </c>
      <c r="C6" t="s">
        <v>15452</v>
      </c>
      <c r="D6" t="s">
        <v>3476</v>
      </c>
      <c r="E6" t="s">
        <v>3600</v>
      </c>
      <c r="F6" t="s">
        <v>4481</v>
      </c>
      <c r="G6" t="s">
        <v>7840</v>
      </c>
      <c r="H6" t="s">
        <v>11016</v>
      </c>
      <c r="I6" t="s">
        <v>3366</v>
      </c>
      <c r="J6" t="s">
        <v>11896</v>
      </c>
      <c r="K6" s="126">
        <v>-0.20706073808488301</v>
      </c>
      <c r="L6" s="126">
        <v>-5.4871494101585696E-3</v>
      </c>
      <c r="M6" s="126">
        <v>0.40850000000000403</v>
      </c>
      <c r="O6" t="s">
        <v>15379</v>
      </c>
      <c r="P6" t="s">
        <v>15443</v>
      </c>
      <c r="Q6" t="s">
        <v>15467</v>
      </c>
      <c r="R6" t="s">
        <v>3478</v>
      </c>
      <c r="S6" t="s">
        <v>3551</v>
      </c>
      <c r="T6" t="s">
        <v>4483</v>
      </c>
      <c r="U6" t="s">
        <v>7842</v>
      </c>
      <c r="V6" t="s">
        <v>3667</v>
      </c>
      <c r="W6" t="s">
        <v>3366</v>
      </c>
      <c r="X6" t="s">
        <v>11898</v>
      </c>
      <c r="Y6" s="126">
        <v>-0.22016876900504201</v>
      </c>
      <c r="Z6" s="126">
        <v>1.6643714392955201E-3</v>
      </c>
      <c r="AA6" s="126">
        <v>0.35490000000004301</v>
      </c>
    </row>
    <row r="7" spans="1:29">
      <c r="A7" s="72" t="s">
        <v>15379</v>
      </c>
      <c r="B7" s="72" t="s">
        <v>15443</v>
      </c>
      <c r="C7" s="72" t="s">
        <v>15452</v>
      </c>
      <c r="D7" s="72" t="s">
        <v>3477</v>
      </c>
      <c r="E7" s="72" t="s">
        <v>3496</v>
      </c>
      <c r="F7" s="72" t="s">
        <v>4482</v>
      </c>
      <c r="G7" s="72" t="s">
        <v>7841</v>
      </c>
      <c r="H7" s="72" t="s">
        <v>10502</v>
      </c>
      <c r="I7" s="72" t="s">
        <v>3366</v>
      </c>
      <c r="J7" s="72" t="s">
        <v>11896</v>
      </c>
      <c r="K7" s="127">
        <v>-0.20761699021319699</v>
      </c>
      <c r="L7" s="127">
        <v>-1.1969343662463E-2</v>
      </c>
      <c r="M7" s="127">
        <v>0.41349999999999898</v>
      </c>
      <c r="O7" t="s">
        <v>15379</v>
      </c>
      <c r="P7" t="s">
        <v>15443</v>
      </c>
      <c r="Q7" t="s">
        <v>15467</v>
      </c>
      <c r="R7" t="s">
        <v>3460</v>
      </c>
      <c r="S7" t="s">
        <v>3600</v>
      </c>
      <c r="T7" t="s">
        <v>4484</v>
      </c>
      <c r="U7" t="s">
        <v>7843</v>
      </c>
      <c r="V7" t="s">
        <v>3667</v>
      </c>
      <c r="W7" t="s">
        <v>3366</v>
      </c>
      <c r="X7" t="s">
        <v>11898</v>
      </c>
      <c r="Y7" s="126">
        <v>-0.221978001610737</v>
      </c>
      <c r="Z7" s="126">
        <v>5.5481674119644301E-3</v>
      </c>
      <c r="AA7" s="126">
        <v>0.35019999999997298</v>
      </c>
    </row>
    <row r="8" spans="1:29">
      <c r="A8" s="72" t="s">
        <v>15376</v>
      </c>
      <c r="B8" s="72" t="s">
        <v>15443</v>
      </c>
      <c r="C8" s="72" t="s">
        <v>15452</v>
      </c>
      <c r="D8" s="72" t="s">
        <v>3434</v>
      </c>
      <c r="E8" s="72" t="s">
        <v>3463</v>
      </c>
      <c r="F8" s="72" t="s">
        <v>4270</v>
      </c>
      <c r="G8" s="72" t="s">
        <v>7629</v>
      </c>
      <c r="H8" s="72" t="s">
        <v>10857</v>
      </c>
      <c r="I8" s="72" t="s">
        <v>3366</v>
      </c>
      <c r="J8" s="72" t="s">
        <v>11898</v>
      </c>
      <c r="K8" s="74">
        <v>8.4392528175214004E-2</v>
      </c>
      <c r="L8" s="74">
        <v>-0.14270269203386801</v>
      </c>
      <c r="M8" s="74">
        <v>0.20730000000003199</v>
      </c>
      <c r="O8" s="72" t="s">
        <v>15379</v>
      </c>
      <c r="P8" s="72" t="s">
        <v>15443</v>
      </c>
      <c r="Q8" s="72" t="s">
        <v>15467</v>
      </c>
      <c r="R8" s="72" t="s">
        <v>3461</v>
      </c>
      <c r="S8" s="72" t="s">
        <v>3539</v>
      </c>
      <c r="T8" s="72" t="s">
        <v>4485</v>
      </c>
      <c r="U8" s="72" t="s">
        <v>7844</v>
      </c>
      <c r="V8" s="72" t="s">
        <v>3720</v>
      </c>
      <c r="W8" s="72" t="s">
        <v>3366</v>
      </c>
      <c r="X8" s="72" t="s">
        <v>11898</v>
      </c>
      <c r="Y8" s="127">
        <v>-0.222240069738637</v>
      </c>
      <c r="Z8" s="127">
        <v>7.2078346639470698E-3</v>
      </c>
      <c r="AA8" s="127">
        <v>0.34320000000002399</v>
      </c>
    </row>
    <row r="9" spans="1:29">
      <c r="A9" t="s">
        <v>15352</v>
      </c>
      <c r="B9" t="s">
        <v>15443</v>
      </c>
      <c r="C9" t="s">
        <v>15452</v>
      </c>
      <c r="D9" t="s">
        <v>3439</v>
      </c>
      <c r="E9" t="s">
        <v>3438</v>
      </c>
      <c r="F9" t="s">
        <v>5650</v>
      </c>
      <c r="G9" t="s">
        <v>9009</v>
      </c>
      <c r="H9" t="s">
        <v>10895</v>
      </c>
      <c r="I9" t="s">
        <v>3372</v>
      </c>
      <c r="J9" t="s">
        <v>11894</v>
      </c>
      <c r="K9" s="12">
        <v>1.5513453027657401E-2</v>
      </c>
      <c r="L9" s="12">
        <v>9.8706961979809302E-3</v>
      </c>
      <c r="M9" s="12">
        <v>0.109200000000001</v>
      </c>
      <c r="O9" s="72" t="s">
        <v>15376</v>
      </c>
      <c r="P9" s="72" t="s">
        <v>15443</v>
      </c>
      <c r="Q9" s="72" t="s">
        <v>15463</v>
      </c>
      <c r="R9" s="72" t="s">
        <v>3442</v>
      </c>
      <c r="S9" s="72" t="s">
        <v>3466</v>
      </c>
      <c r="T9" s="72" t="s">
        <v>4271</v>
      </c>
      <c r="U9" s="72" t="s">
        <v>7630</v>
      </c>
      <c r="V9" s="72" t="s">
        <v>10858</v>
      </c>
      <c r="W9" s="72" t="s">
        <v>3366</v>
      </c>
      <c r="X9" s="72" t="s">
        <v>11901</v>
      </c>
      <c r="Y9" s="74">
        <v>8.39809211900822E-2</v>
      </c>
      <c r="Z9" s="74">
        <v>-0.15240485476587401</v>
      </c>
      <c r="AA9" s="74">
        <v>0.25760000000002498</v>
      </c>
    </row>
    <row r="10" spans="1:29">
      <c r="A10" t="s">
        <v>15352</v>
      </c>
      <c r="B10" t="s">
        <v>15443</v>
      </c>
      <c r="C10" t="s">
        <v>15452</v>
      </c>
      <c r="D10" t="s">
        <v>3439</v>
      </c>
      <c r="E10" t="s">
        <v>3438</v>
      </c>
      <c r="F10" t="s">
        <v>5651</v>
      </c>
      <c r="G10" t="s">
        <v>9010</v>
      </c>
      <c r="H10" t="s">
        <v>11427</v>
      </c>
      <c r="I10" t="s">
        <v>3366</v>
      </c>
      <c r="J10" t="s">
        <v>11895</v>
      </c>
      <c r="K10" s="12">
        <v>1.47657398911006E-2</v>
      </c>
      <c r="L10" s="12">
        <v>9.4718152359543391E-3</v>
      </c>
      <c r="M10" s="12">
        <v>0.10439999999999799</v>
      </c>
      <c r="O10" t="s">
        <v>15352</v>
      </c>
      <c r="P10" t="s">
        <v>15443</v>
      </c>
      <c r="Q10" t="s">
        <v>15480</v>
      </c>
      <c r="R10" t="s">
        <v>3442</v>
      </c>
      <c r="S10" t="s">
        <v>3426</v>
      </c>
      <c r="T10" t="s">
        <v>5653</v>
      </c>
      <c r="U10" t="s">
        <v>9012</v>
      </c>
      <c r="V10" t="s">
        <v>11335</v>
      </c>
      <c r="W10" t="s">
        <v>3380</v>
      </c>
      <c r="X10" t="s">
        <v>11895</v>
      </c>
      <c r="Y10" s="12">
        <v>1.17983197664442E-2</v>
      </c>
      <c r="Z10" s="12">
        <v>5.6440656123797504E-3</v>
      </c>
      <c r="AA10" s="12">
        <v>8.8300000000003806E-2</v>
      </c>
    </row>
    <row r="11" spans="1:29">
      <c r="A11" t="s">
        <v>15352</v>
      </c>
      <c r="B11" t="s">
        <v>15443</v>
      </c>
      <c r="C11" t="s">
        <v>15452</v>
      </c>
      <c r="D11" t="s">
        <v>3439</v>
      </c>
      <c r="E11" t="s">
        <v>3438</v>
      </c>
      <c r="F11" t="s">
        <v>5652</v>
      </c>
      <c r="G11" t="s">
        <v>9011</v>
      </c>
      <c r="H11" t="s">
        <v>11509</v>
      </c>
      <c r="I11" t="s">
        <v>3366</v>
      </c>
      <c r="J11" t="s">
        <v>11895</v>
      </c>
      <c r="K11" s="12">
        <v>1.5945478943403001E-2</v>
      </c>
      <c r="L11" s="12">
        <v>8.5486702046014395E-3</v>
      </c>
      <c r="M11" s="12">
        <v>0.10129999999999501</v>
      </c>
      <c r="O11" t="s">
        <v>15352</v>
      </c>
      <c r="P11" t="s">
        <v>15443</v>
      </c>
      <c r="Q11" t="s">
        <v>15480</v>
      </c>
      <c r="R11" t="s">
        <v>3430</v>
      </c>
      <c r="S11" t="s">
        <v>3426</v>
      </c>
      <c r="T11" t="s">
        <v>5654</v>
      </c>
      <c r="U11" t="s">
        <v>9013</v>
      </c>
      <c r="V11" t="s">
        <v>10762</v>
      </c>
      <c r="W11" t="s">
        <v>3366</v>
      </c>
      <c r="X11" t="s">
        <v>11903</v>
      </c>
      <c r="Y11" s="12">
        <v>1.1003834711087899E-2</v>
      </c>
      <c r="Z11" s="12">
        <v>5.7010488321935504E-3</v>
      </c>
      <c r="AA11" s="12">
        <v>8.6799999999996699E-2</v>
      </c>
    </row>
    <row r="12" spans="1:29">
      <c r="A12" t="s">
        <v>15352</v>
      </c>
      <c r="B12" t="s">
        <v>15443</v>
      </c>
      <c r="C12" t="s">
        <v>15452</v>
      </c>
      <c r="D12" t="s">
        <v>3425</v>
      </c>
      <c r="E12" t="s">
        <v>3441</v>
      </c>
      <c r="F12" t="s">
        <v>5656</v>
      </c>
      <c r="G12" t="s">
        <v>9015</v>
      </c>
      <c r="H12" t="s">
        <v>10903</v>
      </c>
      <c r="I12" t="s">
        <v>3374</v>
      </c>
      <c r="J12" t="s">
        <v>11895</v>
      </c>
      <c r="K12" s="12">
        <v>1.08484419802021E-2</v>
      </c>
      <c r="L12" s="12">
        <v>9.8746575814260603E-3</v>
      </c>
      <c r="M12" s="12">
        <v>8.1199999999995498E-2</v>
      </c>
      <c r="O12" s="72" t="s">
        <v>15352</v>
      </c>
      <c r="P12" s="72" t="s">
        <v>15443</v>
      </c>
      <c r="Q12" s="72" t="s">
        <v>15480</v>
      </c>
      <c r="R12" s="72" t="s">
        <v>3435</v>
      </c>
      <c r="S12" s="72" t="s">
        <v>3452</v>
      </c>
      <c r="T12" s="72" t="s">
        <v>5655</v>
      </c>
      <c r="U12" s="72" t="s">
        <v>9014</v>
      </c>
      <c r="V12" s="72" t="s">
        <v>3721</v>
      </c>
      <c r="W12" s="72" t="s">
        <v>3366</v>
      </c>
      <c r="X12" s="72" t="s">
        <v>11901</v>
      </c>
      <c r="Y12" s="74">
        <v>1.08320046965976E-2</v>
      </c>
      <c r="Z12" s="74">
        <v>6.4169429533823897E-3</v>
      </c>
      <c r="AA12" s="74">
        <v>8.1100000000006403E-2</v>
      </c>
    </row>
    <row r="13" spans="1:29">
      <c r="A13" t="s">
        <v>15352</v>
      </c>
      <c r="B13" t="s">
        <v>15443</v>
      </c>
      <c r="C13" t="s">
        <v>15452</v>
      </c>
      <c r="D13" t="s">
        <v>3431</v>
      </c>
      <c r="E13" t="s">
        <v>3453</v>
      </c>
      <c r="F13" t="s">
        <v>5657</v>
      </c>
      <c r="G13" t="s">
        <v>9016</v>
      </c>
      <c r="H13" t="s">
        <v>10791</v>
      </c>
      <c r="I13" t="s">
        <v>3366</v>
      </c>
      <c r="J13" t="s">
        <v>11895</v>
      </c>
      <c r="K13" s="12">
        <v>1.3468389596624801E-2</v>
      </c>
      <c r="L13" s="12">
        <v>1.03677556143106E-2</v>
      </c>
      <c r="M13" s="12">
        <v>7.6800000000005794E-2</v>
      </c>
      <c r="O13" t="s">
        <v>15354</v>
      </c>
      <c r="P13" t="s">
        <v>15443</v>
      </c>
      <c r="Q13" t="s">
        <v>15482</v>
      </c>
      <c r="R13" t="s">
        <v>3533</v>
      </c>
      <c r="S13" t="s">
        <v>3691</v>
      </c>
      <c r="T13" t="s">
        <v>5717</v>
      </c>
      <c r="U13" t="s">
        <v>9075</v>
      </c>
      <c r="V13" t="s">
        <v>10541</v>
      </c>
      <c r="W13" t="s">
        <v>3382</v>
      </c>
      <c r="X13" t="s">
        <v>11885</v>
      </c>
      <c r="Y13" s="12">
        <v>2.78273710881493E-2</v>
      </c>
      <c r="Z13" s="12">
        <v>0.18307539437005199</v>
      </c>
      <c r="AA13" s="12">
        <v>4.8899999999996203E-2</v>
      </c>
    </row>
    <row r="14" spans="1:29">
      <c r="A14" s="72" t="s">
        <v>15352</v>
      </c>
      <c r="B14" s="72" t="s">
        <v>15443</v>
      </c>
      <c r="C14" s="72" t="s">
        <v>15452</v>
      </c>
      <c r="D14" s="72" t="s">
        <v>3425</v>
      </c>
      <c r="E14" s="72" t="s">
        <v>3453</v>
      </c>
      <c r="F14" s="72" t="s">
        <v>5658</v>
      </c>
      <c r="G14" s="72" t="s">
        <v>9017</v>
      </c>
      <c r="H14" s="72" t="s">
        <v>10902</v>
      </c>
      <c r="I14" s="72" t="s">
        <v>3366</v>
      </c>
      <c r="J14" s="72" t="s">
        <v>11895</v>
      </c>
      <c r="K14" s="74">
        <v>1.4643588262328601E-2</v>
      </c>
      <c r="L14" s="74">
        <v>9.2833582325229907E-3</v>
      </c>
      <c r="M14" s="74">
        <v>7.7399999999997193E-2</v>
      </c>
      <c r="O14" t="s">
        <v>15354</v>
      </c>
      <c r="P14" t="s">
        <v>15443</v>
      </c>
      <c r="Q14" t="s">
        <v>15482</v>
      </c>
      <c r="R14" t="s">
        <v>3533</v>
      </c>
      <c r="S14" t="s">
        <v>3692</v>
      </c>
      <c r="T14" t="s">
        <v>5718</v>
      </c>
      <c r="U14" t="s">
        <v>9076</v>
      </c>
      <c r="V14" t="s">
        <v>11212</v>
      </c>
      <c r="W14" t="s">
        <v>3366</v>
      </c>
      <c r="X14" t="s">
        <v>11886</v>
      </c>
      <c r="Y14" s="12">
        <v>3.7497650529650303E-2</v>
      </c>
      <c r="Z14" s="12">
        <v>0.15910151889151999</v>
      </c>
      <c r="AA14" s="12">
        <v>7.5399999999994805E-2</v>
      </c>
    </row>
    <row r="15" spans="1:29">
      <c r="A15" t="s">
        <v>15354</v>
      </c>
      <c r="B15" t="s">
        <v>15443</v>
      </c>
      <c r="C15" t="s">
        <v>15452</v>
      </c>
      <c r="D15" t="s">
        <v>3495</v>
      </c>
      <c r="E15" t="s">
        <v>3688</v>
      </c>
      <c r="F15" t="s">
        <v>5714</v>
      </c>
      <c r="G15" t="s">
        <v>9073</v>
      </c>
      <c r="H15" t="s">
        <v>11527</v>
      </c>
      <c r="I15" t="s">
        <v>3378</v>
      </c>
      <c r="J15" t="s">
        <v>11890</v>
      </c>
      <c r="K15" s="12">
        <v>6.2187502512461502E-2</v>
      </c>
      <c r="L15" s="12">
        <v>0.13360442655195701</v>
      </c>
      <c r="M15" s="12">
        <v>3.8599999999995298E-2</v>
      </c>
      <c r="O15" s="72" t="s">
        <v>15354</v>
      </c>
      <c r="P15" s="72" t="s">
        <v>15443</v>
      </c>
      <c r="Q15" s="72" t="s">
        <v>15482</v>
      </c>
      <c r="R15" s="72" t="s">
        <v>3533</v>
      </c>
      <c r="S15" s="72" t="s">
        <v>3693</v>
      </c>
      <c r="T15" s="72" t="s">
        <v>5719</v>
      </c>
      <c r="U15" s="72" t="s">
        <v>9077</v>
      </c>
      <c r="V15" s="72" t="s">
        <v>11529</v>
      </c>
      <c r="W15" s="72" t="s">
        <v>3366</v>
      </c>
      <c r="X15" s="72" t="s">
        <v>11885</v>
      </c>
      <c r="Y15" s="74">
        <v>4.1753080218975801E-2</v>
      </c>
      <c r="Z15" s="74">
        <v>0.15216749577769201</v>
      </c>
      <c r="AA15" s="74">
        <v>8.2399999999999807E-2</v>
      </c>
    </row>
    <row r="16" spans="1:29" ht="17.399999999999999">
      <c r="A16" t="s">
        <v>15354</v>
      </c>
      <c r="B16" t="s">
        <v>15443</v>
      </c>
      <c r="C16" t="s">
        <v>15452</v>
      </c>
      <c r="D16" t="s">
        <v>3494</v>
      </c>
      <c r="E16" t="s">
        <v>3689</v>
      </c>
      <c r="F16" t="s">
        <v>5715</v>
      </c>
      <c r="G16" t="s">
        <v>9074</v>
      </c>
      <c r="H16" t="s">
        <v>11528</v>
      </c>
      <c r="I16" t="s">
        <v>3366</v>
      </c>
      <c r="J16" t="s">
        <v>11885</v>
      </c>
      <c r="K16" s="12">
        <v>4.6557351432051398E-2</v>
      </c>
      <c r="L16" s="12">
        <v>0.165494833310532</v>
      </c>
      <c r="M16" s="12">
        <v>-3.1900000000000303E-2</v>
      </c>
      <c r="O16" t="s">
        <v>15356</v>
      </c>
      <c r="P16" t="s">
        <v>15443</v>
      </c>
      <c r="Q16" t="s">
        <v>15484</v>
      </c>
      <c r="R16" t="s">
        <v>3434</v>
      </c>
      <c r="S16" t="s">
        <v>3463</v>
      </c>
      <c r="T16" t="s">
        <v>5777</v>
      </c>
      <c r="U16" t="s">
        <v>9133</v>
      </c>
      <c r="V16" t="s">
        <v>11509</v>
      </c>
      <c r="W16" t="s">
        <v>3385</v>
      </c>
      <c r="X16" t="s">
        <v>11886</v>
      </c>
      <c r="Y16" s="12">
        <v>-0.108544436603835</v>
      </c>
      <c r="Z16" s="12">
        <v>3.3355399192536599E-2</v>
      </c>
      <c r="AA16" s="12">
        <v>-2.0700000000004999E-2</v>
      </c>
    </row>
    <row r="17" spans="1:27" ht="17.399999999999999">
      <c r="A17" s="72" t="s">
        <v>15354</v>
      </c>
      <c r="B17" s="72" t="s">
        <v>15443</v>
      </c>
      <c r="C17" s="72" t="s">
        <v>15452</v>
      </c>
      <c r="D17" s="72" t="s">
        <v>3532</v>
      </c>
      <c r="E17" s="72" t="s">
        <v>3690</v>
      </c>
      <c r="F17" s="72" t="s">
        <v>5716</v>
      </c>
      <c r="G17" s="72" t="s">
        <v>6845</v>
      </c>
      <c r="H17" s="72" t="s">
        <v>10726</v>
      </c>
      <c r="I17" s="72" t="s">
        <v>3366</v>
      </c>
      <c r="J17" s="72" t="s">
        <v>11890</v>
      </c>
      <c r="K17" s="74">
        <v>6.0265922726773398E-2</v>
      </c>
      <c r="L17" s="74">
        <v>0.16722302500830699</v>
      </c>
      <c r="M17" s="74">
        <v>-8.9600000000004301E-2</v>
      </c>
      <c r="O17" t="s">
        <v>15356</v>
      </c>
      <c r="P17" t="s">
        <v>15443</v>
      </c>
      <c r="Q17" t="s">
        <v>15484</v>
      </c>
      <c r="R17" t="s">
        <v>3434</v>
      </c>
      <c r="S17" t="s">
        <v>3463</v>
      </c>
      <c r="T17" t="s">
        <v>5778</v>
      </c>
      <c r="U17" t="s">
        <v>9134</v>
      </c>
      <c r="V17" t="s">
        <v>11303</v>
      </c>
      <c r="W17" t="s">
        <v>3366</v>
      </c>
      <c r="X17" t="s">
        <v>11886</v>
      </c>
      <c r="Y17" s="12">
        <v>-0.109077536078117</v>
      </c>
      <c r="Z17" s="12">
        <v>3.5341350441848801E-2</v>
      </c>
      <c r="AA17" s="12">
        <v>-1.44999999999982E-2</v>
      </c>
    </row>
    <row r="18" spans="1:27" ht="17.399999999999999">
      <c r="A18" t="s">
        <v>15356</v>
      </c>
      <c r="B18" t="s">
        <v>15443</v>
      </c>
      <c r="C18" t="s">
        <v>15452</v>
      </c>
      <c r="D18" t="s">
        <v>3436</v>
      </c>
      <c r="E18" t="s">
        <v>3461</v>
      </c>
      <c r="F18" t="s">
        <v>5774</v>
      </c>
      <c r="G18" t="s">
        <v>9130</v>
      </c>
      <c r="H18" t="s">
        <v>11545</v>
      </c>
      <c r="I18" t="s">
        <v>3375</v>
      </c>
      <c r="J18" t="s">
        <v>11885</v>
      </c>
      <c r="K18" s="12">
        <v>-0.104821529111048</v>
      </c>
      <c r="L18" s="12">
        <v>4.4030128293457101E-2</v>
      </c>
      <c r="M18" s="128">
        <v>3.4599999999997501E-2</v>
      </c>
      <c r="O18" s="72" t="s">
        <v>15356</v>
      </c>
      <c r="P18" s="72" t="s">
        <v>15443</v>
      </c>
      <c r="Q18" s="72" t="s">
        <v>15484</v>
      </c>
      <c r="R18" s="72" t="s">
        <v>3429</v>
      </c>
      <c r="S18" s="72" t="s">
        <v>3579</v>
      </c>
      <c r="T18" s="72" t="s">
        <v>5779</v>
      </c>
      <c r="U18" s="72" t="s">
        <v>9135</v>
      </c>
      <c r="V18" s="72" t="s">
        <v>10807</v>
      </c>
      <c r="W18" s="72" t="s">
        <v>3366</v>
      </c>
      <c r="X18" s="72" t="s">
        <v>11886</v>
      </c>
      <c r="Y18" s="74">
        <v>-0.107628176232998</v>
      </c>
      <c r="Z18" s="74">
        <v>3.79372826073383E-2</v>
      </c>
      <c r="AA18" s="74">
        <v>-7.6999999999998198E-3</v>
      </c>
    </row>
    <row r="19" spans="1:27" ht="17.399999999999999">
      <c r="A19" t="s">
        <v>15356</v>
      </c>
      <c r="B19" t="s">
        <v>15443</v>
      </c>
      <c r="C19" t="s">
        <v>15452</v>
      </c>
      <c r="D19" t="s">
        <v>3429</v>
      </c>
      <c r="E19" t="s">
        <v>3466</v>
      </c>
      <c r="F19" t="s">
        <v>5775</v>
      </c>
      <c r="G19" t="s">
        <v>9131</v>
      </c>
      <c r="H19" t="s">
        <v>10786</v>
      </c>
      <c r="I19" t="s">
        <v>3366</v>
      </c>
      <c r="J19" t="s">
        <v>11890</v>
      </c>
      <c r="K19" s="12">
        <v>-0.102730306443895</v>
      </c>
      <c r="L19" s="12">
        <v>4.4844579811492299E-2</v>
      </c>
      <c r="M19" s="128">
        <v>-9.7999999999984801E-3</v>
      </c>
      <c r="O19" t="s">
        <v>15357</v>
      </c>
      <c r="P19" t="s">
        <v>15443</v>
      </c>
      <c r="Q19" t="s">
        <v>15485</v>
      </c>
      <c r="R19" t="s">
        <v>3532</v>
      </c>
      <c r="S19" t="s">
        <v>3696</v>
      </c>
      <c r="T19" t="s">
        <v>5807</v>
      </c>
      <c r="U19" t="s">
        <v>9163</v>
      </c>
      <c r="V19" t="s">
        <v>10761</v>
      </c>
      <c r="W19" t="s">
        <v>3384</v>
      </c>
      <c r="X19" t="s">
        <v>11900</v>
      </c>
      <c r="Y19" s="12">
        <v>-0.100453862499003</v>
      </c>
      <c r="Z19" s="12">
        <v>0.15204393286578999</v>
      </c>
      <c r="AA19" s="12">
        <v>4.5899999999988901E-2</v>
      </c>
    </row>
    <row r="20" spans="1:27" ht="17.399999999999999">
      <c r="A20" s="72" t="s">
        <v>15356</v>
      </c>
      <c r="B20" s="72" t="s">
        <v>15443</v>
      </c>
      <c r="C20" s="72" t="s">
        <v>15452</v>
      </c>
      <c r="D20" s="72" t="s">
        <v>3431</v>
      </c>
      <c r="E20" s="72" t="s">
        <v>3579</v>
      </c>
      <c r="F20" s="72" t="s">
        <v>5776</v>
      </c>
      <c r="G20" s="72" t="s">
        <v>9132</v>
      </c>
      <c r="H20" s="72" t="s">
        <v>11546</v>
      </c>
      <c r="I20" s="72" t="s">
        <v>3366</v>
      </c>
      <c r="J20" s="72" t="s">
        <v>11894</v>
      </c>
      <c r="K20" s="74">
        <v>-0.10223920462137499</v>
      </c>
      <c r="L20" s="74">
        <v>4.5837394219034003E-2</v>
      </c>
      <c r="M20" s="129">
        <v>-3.0699999999996001E-2</v>
      </c>
      <c r="O20" t="s">
        <v>15357</v>
      </c>
      <c r="P20" t="s">
        <v>15443</v>
      </c>
      <c r="Q20" t="s">
        <v>15485</v>
      </c>
      <c r="R20" t="s">
        <v>3537</v>
      </c>
      <c r="S20" t="s">
        <v>3697</v>
      </c>
      <c r="T20" t="s">
        <v>5808</v>
      </c>
      <c r="U20" t="s">
        <v>9164</v>
      </c>
      <c r="V20" t="s">
        <v>11560</v>
      </c>
      <c r="W20" t="s">
        <v>3366</v>
      </c>
      <c r="X20" t="s">
        <v>11892</v>
      </c>
      <c r="Y20" s="12">
        <v>-0.10132153091125699</v>
      </c>
      <c r="Z20" s="12">
        <v>0.149604947434404</v>
      </c>
      <c r="AA20" s="12">
        <v>4.20999999999907E-2</v>
      </c>
    </row>
    <row r="21" spans="1:27" ht="17.399999999999999">
      <c r="A21" t="s">
        <v>15357</v>
      </c>
      <c r="B21" t="s">
        <v>15443</v>
      </c>
      <c r="C21" t="s">
        <v>15452</v>
      </c>
      <c r="D21" t="s">
        <v>3534</v>
      </c>
      <c r="E21" t="s">
        <v>3580</v>
      </c>
      <c r="F21" t="s">
        <v>5804</v>
      </c>
      <c r="G21" t="s">
        <v>9160</v>
      </c>
      <c r="H21" t="s">
        <v>11558</v>
      </c>
      <c r="I21" t="s">
        <v>3379</v>
      </c>
      <c r="J21" t="s">
        <v>11902</v>
      </c>
      <c r="K21" s="12">
        <v>-0.112647952461929</v>
      </c>
      <c r="L21" s="12">
        <v>4.4352219478743599E-2</v>
      </c>
      <c r="M21" s="12">
        <v>0.23499999999999899</v>
      </c>
      <c r="O21" s="72" t="s">
        <v>15357</v>
      </c>
      <c r="P21" s="72" t="s">
        <v>15443</v>
      </c>
      <c r="Q21" s="72" t="s">
        <v>15485</v>
      </c>
      <c r="R21" s="72" t="s">
        <v>3538</v>
      </c>
      <c r="S21" s="72" t="s">
        <v>3698</v>
      </c>
      <c r="T21" s="72" t="s">
        <v>5809</v>
      </c>
      <c r="U21" s="72" t="s">
        <v>9165</v>
      </c>
      <c r="V21" s="72" t="s">
        <v>11561</v>
      </c>
      <c r="W21" s="72" t="s">
        <v>3366</v>
      </c>
      <c r="X21" s="72" t="s">
        <v>11892</v>
      </c>
      <c r="Y21" s="74">
        <v>-9.7503986398442599E-2</v>
      </c>
      <c r="Z21" s="74">
        <v>0.14960003210228801</v>
      </c>
      <c r="AA21" s="74">
        <v>5.1099999999991E-2</v>
      </c>
    </row>
    <row r="22" spans="1:27" ht="17.399999999999999">
      <c r="A22" s="9" t="s">
        <v>15357</v>
      </c>
      <c r="B22" s="9" t="s">
        <v>15443</v>
      </c>
      <c r="C22" s="9" t="s">
        <v>15452</v>
      </c>
      <c r="D22" s="9" t="s">
        <v>3535</v>
      </c>
      <c r="E22" s="9" t="s">
        <v>3695</v>
      </c>
      <c r="F22" s="9" t="s">
        <v>5805</v>
      </c>
      <c r="G22" s="9" t="s">
        <v>9161</v>
      </c>
      <c r="H22" s="9" t="s">
        <v>10600</v>
      </c>
      <c r="I22" s="9" t="s">
        <v>3366</v>
      </c>
      <c r="J22" s="9" t="s">
        <v>11902</v>
      </c>
      <c r="K22" s="47">
        <v>-0.11119370247065399</v>
      </c>
      <c r="L22" s="47">
        <v>5.9621297038125597E-2</v>
      </c>
      <c r="M22" s="47">
        <v>0.230899999999991</v>
      </c>
      <c r="O22" t="s">
        <v>15403</v>
      </c>
      <c r="P22" t="s">
        <v>15443</v>
      </c>
      <c r="Q22" t="s">
        <v>15494</v>
      </c>
      <c r="R22" t="s">
        <v>3441</v>
      </c>
      <c r="S22" t="s">
        <v>3449</v>
      </c>
      <c r="T22" t="s">
        <v>6623</v>
      </c>
      <c r="U22" t="s">
        <v>9979</v>
      </c>
      <c r="V22" t="s">
        <v>10603</v>
      </c>
      <c r="W22" t="s">
        <v>3366</v>
      </c>
      <c r="X22" t="s">
        <v>11890</v>
      </c>
      <c r="Y22" s="12">
        <v>9.1186551760566295E-2</v>
      </c>
      <c r="Z22" s="12">
        <v>4.72409215462525E-2</v>
      </c>
      <c r="AA22" s="12">
        <v>-1.6900000000006798E-2</v>
      </c>
    </row>
    <row r="23" spans="1:27" ht="17.399999999999999">
      <c r="A23" s="72" t="s">
        <v>15357</v>
      </c>
      <c r="B23" s="72" t="s">
        <v>15443</v>
      </c>
      <c r="C23" s="72" t="s">
        <v>15452</v>
      </c>
      <c r="D23" s="72" t="s">
        <v>3536</v>
      </c>
      <c r="E23" s="72" t="s">
        <v>3690</v>
      </c>
      <c r="F23" s="72" t="s">
        <v>5806</v>
      </c>
      <c r="G23" s="72" t="s">
        <v>9162</v>
      </c>
      <c r="H23" s="72" t="s">
        <v>11559</v>
      </c>
      <c r="I23" s="72" t="s">
        <v>3366</v>
      </c>
      <c r="J23" s="72" t="s">
        <v>11902</v>
      </c>
      <c r="K23" s="74">
        <v>-0.112547693060737</v>
      </c>
      <c r="L23" s="74">
        <v>6.8049625296650595E-2</v>
      </c>
      <c r="M23" s="74">
        <v>0.167599999999993</v>
      </c>
      <c r="O23" t="s">
        <v>15403</v>
      </c>
      <c r="P23" t="s">
        <v>15443</v>
      </c>
      <c r="Q23" t="s">
        <v>15494</v>
      </c>
      <c r="R23" t="s">
        <v>3441</v>
      </c>
      <c r="S23" t="s">
        <v>3460</v>
      </c>
      <c r="T23" t="s">
        <v>6624</v>
      </c>
      <c r="U23" t="s">
        <v>9980</v>
      </c>
      <c r="V23" t="s">
        <v>11728</v>
      </c>
      <c r="W23" t="s">
        <v>3366</v>
      </c>
      <c r="X23" t="s">
        <v>11890</v>
      </c>
      <c r="Y23" s="12">
        <v>9.0814987666723399E-2</v>
      </c>
      <c r="Z23" s="12">
        <v>4.8283704780194503E-2</v>
      </c>
      <c r="AA23" s="12">
        <v>-2.42000000000075E-2</v>
      </c>
    </row>
    <row r="24" spans="1:27" ht="17.399999999999999">
      <c r="A24" s="9" t="s">
        <v>15403</v>
      </c>
      <c r="B24" s="9" t="s">
        <v>15443</v>
      </c>
      <c r="C24" s="9" t="s">
        <v>15452</v>
      </c>
      <c r="D24" s="9" t="s">
        <v>3541</v>
      </c>
      <c r="E24" s="9" t="s">
        <v>3493</v>
      </c>
      <c r="F24" s="130" t="s">
        <v>6618</v>
      </c>
      <c r="G24" s="130" t="s">
        <v>9974</v>
      </c>
      <c r="H24" s="9" t="s">
        <v>11780</v>
      </c>
      <c r="I24" s="9" t="s">
        <v>3366</v>
      </c>
      <c r="J24" s="9" t="s">
        <v>11885</v>
      </c>
      <c r="K24" s="47">
        <v>0.109925158562446</v>
      </c>
      <c r="L24" s="47">
        <v>5.5850794220915899E-2</v>
      </c>
      <c r="M24" s="47">
        <v>-0.13739999999999999</v>
      </c>
      <c r="O24" s="72" t="s">
        <v>15403</v>
      </c>
      <c r="P24" s="72" t="s">
        <v>15443</v>
      </c>
      <c r="Q24" s="72" t="s">
        <v>15494</v>
      </c>
      <c r="R24" s="72" t="s">
        <v>3432</v>
      </c>
      <c r="S24" s="72" t="s">
        <v>3449</v>
      </c>
      <c r="T24" s="72" t="s">
        <v>6625</v>
      </c>
      <c r="U24" s="72" t="s">
        <v>9981</v>
      </c>
      <c r="V24" s="72" t="s">
        <v>11353</v>
      </c>
      <c r="W24" s="72" t="s">
        <v>3366</v>
      </c>
      <c r="X24" s="72" t="s">
        <v>11890</v>
      </c>
      <c r="Y24" s="74">
        <v>9.0757299122382798E-2</v>
      </c>
      <c r="Z24" s="74">
        <v>5.2498111523522101E-2</v>
      </c>
      <c r="AA24" s="74">
        <v>-2.2000000000005598E-2</v>
      </c>
    </row>
    <row r="25" spans="1:27" ht="17.399999999999999">
      <c r="A25" s="9" t="s">
        <v>15403</v>
      </c>
      <c r="B25" s="9" t="s">
        <v>15443</v>
      </c>
      <c r="C25" s="9" t="s">
        <v>15452</v>
      </c>
      <c r="D25" s="9" t="s">
        <v>3565</v>
      </c>
      <c r="E25" s="9" t="s">
        <v>3665</v>
      </c>
      <c r="F25" s="9" t="s">
        <v>6619</v>
      </c>
      <c r="G25" s="9" t="s">
        <v>9975</v>
      </c>
      <c r="H25" s="9" t="s">
        <v>11105</v>
      </c>
      <c r="I25" s="9" t="s">
        <v>3366</v>
      </c>
      <c r="J25" s="9" t="s">
        <v>11885</v>
      </c>
      <c r="K25" s="47">
        <v>0.11373943041486401</v>
      </c>
      <c r="L25" s="47">
        <v>5.2575567498963402E-2</v>
      </c>
      <c r="M25" s="47">
        <v>-0.13080000000000799</v>
      </c>
      <c r="O25" t="s">
        <v>15344</v>
      </c>
      <c r="P25" t="s">
        <v>15443</v>
      </c>
      <c r="Q25" t="s">
        <v>15453</v>
      </c>
      <c r="R25" t="s">
        <v>3425</v>
      </c>
      <c r="S25" t="s">
        <v>3461</v>
      </c>
      <c r="T25" t="s">
        <v>3795</v>
      </c>
      <c r="U25" t="s">
        <v>7154</v>
      </c>
      <c r="V25" t="s">
        <v>10504</v>
      </c>
      <c r="W25" t="s">
        <v>3382</v>
      </c>
      <c r="X25" t="s">
        <v>11890</v>
      </c>
      <c r="Y25" s="12">
        <v>2.3690266042021301E-2</v>
      </c>
      <c r="Z25" s="12">
        <v>-3.6775043525011999E-2</v>
      </c>
      <c r="AA25" s="12">
        <v>-0.2301</v>
      </c>
    </row>
    <row r="26" spans="1:27" ht="17.399999999999999">
      <c r="A26" s="9" t="s">
        <v>15403</v>
      </c>
      <c r="B26" s="9" t="s">
        <v>15443</v>
      </c>
      <c r="C26" s="9" t="s">
        <v>15452</v>
      </c>
      <c r="D26" s="9" t="s">
        <v>3445</v>
      </c>
      <c r="E26" s="9" t="s">
        <v>3553</v>
      </c>
      <c r="F26" s="9" t="s">
        <v>6620</v>
      </c>
      <c r="G26" s="9" t="s">
        <v>9976</v>
      </c>
      <c r="H26" s="9" t="s">
        <v>11740</v>
      </c>
      <c r="I26" s="9" t="s">
        <v>3366</v>
      </c>
      <c r="J26" s="9" t="s">
        <v>11885</v>
      </c>
      <c r="K26" s="47">
        <v>0.106307435774065</v>
      </c>
      <c r="L26" s="47">
        <v>5.8921066727199697E-2</v>
      </c>
      <c r="M26" s="47">
        <v>-0.13519999999999799</v>
      </c>
      <c r="O26" t="s">
        <v>15344</v>
      </c>
      <c r="P26" t="s">
        <v>15443</v>
      </c>
      <c r="Q26" t="s">
        <v>15453</v>
      </c>
      <c r="R26" t="s">
        <v>3431</v>
      </c>
      <c r="S26" t="s">
        <v>3426</v>
      </c>
      <c r="T26" t="s">
        <v>3796</v>
      </c>
      <c r="U26" t="s">
        <v>7155</v>
      </c>
      <c r="V26" t="s">
        <v>10505</v>
      </c>
      <c r="W26" t="s">
        <v>3366</v>
      </c>
      <c r="X26" t="s">
        <v>11885</v>
      </c>
      <c r="Y26" s="12">
        <v>2.1228816910806001E-2</v>
      </c>
      <c r="Z26" s="12">
        <v>-3.7466618121186103E-2</v>
      </c>
      <c r="AA26" s="12">
        <v>-0.22119999999999601</v>
      </c>
    </row>
    <row r="27" spans="1:27" ht="17.399999999999999">
      <c r="A27" s="9" t="s">
        <v>15403</v>
      </c>
      <c r="B27" s="9" t="s">
        <v>15443</v>
      </c>
      <c r="C27" s="9" t="s">
        <v>15452</v>
      </c>
      <c r="D27" s="9" t="s">
        <v>3445</v>
      </c>
      <c r="E27" s="9" t="s">
        <v>3701</v>
      </c>
      <c r="F27" s="9" t="s">
        <v>6621</v>
      </c>
      <c r="G27" s="9" t="s">
        <v>9977</v>
      </c>
      <c r="H27" s="9" t="s">
        <v>11740</v>
      </c>
      <c r="I27" s="9" t="s">
        <v>3366</v>
      </c>
      <c r="J27" s="9" t="s">
        <v>11885</v>
      </c>
      <c r="K27" s="47">
        <v>0.104477528954138</v>
      </c>
      <c r="L27" s="47">
        <v>5.6358323630575802E-2</v>
      </c>
      <c r="M27" s="47">
        <v>-0.13720000000000701</v>
      </c>
      <c r="O27" t="s">
        <v>15344</v>
      </c>
      <c r="P27" t="s">
        <v>15443</v>
      </c>
      <c r="Q27" t="s">
        <v>15453</v>
      </c>
      <c r="R27" t="s">
        <v>3435</v>
      </c>
      <c r="S27" t="s">
        <v>3463</v>
      </c>
      <c r="T27" t="s">
        <v>3797</v>
      </c>
      <c r="U27" t="s">
        <v>7156</v>
      </c>
      <c r="V27" t="s">
        <v>10506</v>
      </c>
      <c r="W27" t="s">
        <v>3366</v>
      </c>
      <c r="X27" t="s">
        <v>11885</v>
      </c>
      <c r="Y27" s="12">
        <v>1.7203484238660499E-2</v>
      </c>
      <c r="Z27" s="12">
        <v>-3.7470024111939698E-2</v>
      </c>
      <c r="AA27" s="12">
        <v>-0.193299999999994</v>
      </c>
    </row>
    <row r="28" spans="1:27" ht="17.399999999999999">
      <c r="A28" s="72" t="s">
        <v>15403</v>
      </c>
      <c r="B28" s="72" t="s">
        <v>15443</v>
      </c>
      <c r="C28" s="72" t="s">
        <v>15452</v>
      </c>
      <c r="D28" s="72" t="s">
        <v>3535</v>
      </c>
      <c r="E28" s="72" t="s">
        <v>3552</v>
      </c>
      <c r="F28" s="72" t="s">
        <v>6622</v>
      </c>
      <c r="G28" s="72" t="s">
        <v>9978</v>
      </c>
      <c r="H28" s="72" t="s">
        <v>10653</v>
      </c>
      <c r="I28" s="72" t="s">
        <v>3366</v>
      </c>
      <c r="J28" s="72" t="s">
        <v>11885</v>
      </c>
      <c r="K28" s="74">
        <v>0.10477953056160599</v>
      </c>
      <c r="L28" s="74">
        <v>6.1823331189258902E-2</v>
      </c>
      <c r="M28" s="74">
        <v>-0.1464</v>
      </c>
    </row>
    <row r="29" spans="1:27" ht="17.399999999999999">
      <c r="A29" t="s">
        <v>15344</v>
      </c>
      <c r="B29" t="s">
        <v>15443</v>
      </c>
      <c r="C29" t="s">
        <v>15452</v>
      </c>
      <c r="D29" t="s">
        <v>3425</v>
      </c>
      <c r="E29" t="s">
        <v>3461</v>
      </c>
      <c r="F29" t="s">
        <v>3792</v>
      </c>
      <c r="G29" t="s">
        <v>7151</v>
      </c>
      <c r="H29" t="s">
        <v>3616</v>
      </c>
      <c r="I29" t="s">
        <v>3379</v>
      </c>
      <c r="J29" t="s">
        <v>11890</v>
      </c>
      <c r="K29" s="12">
        <v>2.6006279657850399E-2</v>
      </c>
      <c r="L29" s="12">
        <v>-3.0089656859667802E-2</v>
      </c>
      <c r="M29" s="12">
        <v>-0.23019999999999599</v>
      </c>
    </row>
    <row r="30" spans="1:27" ht="17.399999999999999">
      <c r="A30" t="s">
        <v>15344</v>
      </c>
      <c r="B30" t="s">
        <v>15443</v>
      </c>
      <c r="C30" t="s">
        <v>15452</v>
      </c>
      <c r="D30" t="s">
        <v>3425</v>
      </c>
      <c r="E30" t="s">
        <v>3452</v>
      </c>
      <c r="F30" t="s">
        <v>3793</v>
      </c>
      <c r="G30" t="s">
        <v>7152</v>
      </c>
      <c r="H30" t="s">
        <v>3616</v>
      </c>
      <c r="I30" t="s">
        <v>3366</v>
      </c>
      <c r="J30" t="s">
        <v>11890</v>
      </c>
      <c r="K30" s="12">
        <v>2.45147120342009E-2</v>
      </c>
      <c r="L30" s="12">
        <v>-2.7155975316871299E-2</v>
      </c>
      <c r="M30" s="12">
        <v>-0.23669999999999899</v>
      </c>
    </row>
    <row r="31" spans="1:27" ht="17.399999999999999">
      <c r="A31" t="s">
        <v>15344</v>
      </c>
      <c r="B31" t="s">
        <v>15443</v>
      </c>
      <c r="C31" t="s">
        <v>15452</v>
      </c>
      <c r="D31" t="s">
        <v>3425</v>
      </c>
      <c r="E31" t="s">
        <v>3452</v>
      </c>
      <c r="F31" t="s">
        <v>3794</v>
      </c>
      <c r="G31" t="s">
        <v>7153</v>
      </c>
      <c r="H31" t="s">
        <v>10503</v>
      </c>
      <c r="I31" t="s">
        <v>3366</v>
      </c>
      <c r="J31" t="s">
        <v>11890</v>
      </c>
      <c r="K31" s="12">
        <v>2.4774518497548199E-2</v>
      </c>
      <c r="L31" s="12">
        <v>-2.9889261609242001E-2</v>
      </c>
      <c r="M31" s="12">
        <v>-0.2361</v>
      </c>
    </row>
    <row r="33" spans="1:13" ht="17.399999999999999">
      <c r="J33" s="6"/>
      <c r="K33" s="6" t="s">
        <v>15539</v>
      </c>
    </row>
    <row r="34" spans="1:13">
      <c r="K34" s="12" cm="1">
        <f t="array" ref="K34">AVERAGE(ABS(K2:K31))</f>
        <v>7.5504441637234659E-2</v>
      </c>
      <c r="L34" s="12" cm="1">
        <f t="array" ref="L34">AVERAGE(ABS(L2:L31))</f>
        <v>4.6114438051337338E-2</v>
      </c>
      <c r="M34" s="12" cm="1">
        <f t="array" ref="M34">AVERAGE(ABS(M2:M31))</f>
        <v>0.15778333333333477</v>
      </c>
    </row>
    <row r="37" spans="1:13" ht="17.399999999999999">
      <c r="A37" s="133" t="s">
        <v>15291</v>
      </c>
      <c r="B37" s="134" t="s">
        <v>15501</v>
      </c>
      <c r="C37" s="133" t="s">
        <v>15502</v>
      </c>
      <c r="D37" s="135" t="s">
        <v>15520</v>
      </c>
      <c r="E37" s="135" t="s">
        <v>3601</v>
      </c>
      <c r="F37" s="135" t="s">
        <v>3767</v>
      </c>
      <c r="G37" s="135" t="s">
        <v>7126</v>
      </c>
      <c r="H37" s="135" t="s">
        <v>15507</v>
      </c>
      <c r="I37" s="135" t="s">
        <v>11883</v>
      </c>
      <c r="J37" s="135" t="s">
        <v>11884</v>
      </c>
      <c r="K37" s="136" t="s">
        <v>15534</v>
      </c>
      <c r="L37" s="136" t="s">
        <v>15535</v>
      </c>
      <c r="M37" s="136" t="s">
        <v>15536</v>
      </c>
    </row>
    <row r="38" spans="1:13" ht="17.399999999999999">
      <c r="A38" s="137" t="s">
        <v>15541</v>
      </c>
      <c r="B38" s="138" t="s">
        <v>15443</v>
      </c>
      <c r="C38" s="137" t="s">
        <v>15452</v>
      </c>
      <c r="D38" s="137" t="s">
        <v>3436</v>
      </c>
      <c r="E38" s="137" t="s">
        <v>3461</v>
      </c>
      <c r="F38" s="137" t="s">
        <v>5774</v>
      </c>
      <c r="G38" s="137" t="s">
        <v>9130</v>
      </c>
      <c r="H38" s="137" t="s">
        <v>11545</v>
      </c>
      <c r="I38" s="137" t="s">
        <v>3375</v>
      </c>
      <c r="J38" s="137" t="s">
        <v>11885</v>
      </c>
      <c r="K38" s="139">
        <v>-0.104821529111048</v>
      </c>
      <c r="L38" s="139">
        <v>4.4030128293457101E-2</v>
      </c>
      <c r="M38" s="139">
        <v>3.4599999999997501E-2</v>
      </c>
    </row>
    <row r="39" spans="1:13" ht="17.399999999999999">
      <c r="A39" s="137" t="s">
        <v>15541</v>
      </c>
      <c r="B39" s="138" t="s">
        <v>15443</v>
      </c>
      <c r="C39" s="137" t="s">
        <v>15452</v>
      </c>
      <c r="D39" s="137" t="s">
        <v>3429</v>
      </c>
      <c r="E39" s="137" t="s">
        <v>3466</v>
      </c>
      <c r="F39" s="137" t="s">
        <v>5775</v>
      </c>
      <c r="G39" s="137" t="s">
        <v>9131</v>
      </c>
      <c r="H39" s="137" t="s">
        <v>10786</v>
      </c>
      <c r="I39" s="137" t="s">
        <v>3366</v>
      </c>
      <c r="J39" s="137" t="s">
        <v>11890</v>
      </c>
      <c r="K39" s="139">
        <v>-0.102730306443895</v>
      </c>
      <c r="L39" s="139">
        <v>4.4844579811492299E-2</v>
      </c>
      <c r="M39" s="139">
        <v>-9.7999999999984801E-3</v>
      </c>
    </row>
    <row r="40" spans="1:13" ht="17.399999999999999">
      <c r="A40" s="140" t="s">
        <v>15541</v>
      </c>
      <c r="B40" s="141" t="s">
        <v>15443</v>
      </c>
      <c r="C40" s="140" t="s">
        <v>15452</v>
      </c>
      <c r="D40" s="140" t="s">
        <v>3431</v>
      </c>
      <c r="E40" s="140" t="s">
        <v>3579</v>
      </c>
      <c r="F40" s="140" t="s">
        <v>5776</v>
      </c>
      <c r="G40" s="140" t="s">
        <v>9132</v>
      </c>
      <c r="H40" s="140" t="s">
        <v>11546</v>
      </c>
      <c r="I40" s="140" t="s">
        <v>3366</v>
      </c>
      <c r="J40" s="140" t="s">
        <v>11894</v>
      </c>
      <c r="K40" s="142">
        <v>-0.10223920462137499</v>
      </c>
      <c r="L40" s="142">
        <v>4.5837394219034003E-2</v>
      </c>
      <c r="M40" s="142">
        <v>-3.0699999999996001E-2</v>
      </c>
    </row>
    <row r="41" spans="1:13" ht="17.399999999999999">
      <c r="A41" s="137" t="s">
        <v>15542</v>
      </c>
      <c r="B41" s="138" t="s">
        <v>15443</v>
      </c>
      <c r="C41" s="137" t="s">
        <v>15452</v>
      </c>
      <c r="D41" s="137" t="s">
        <v>3534</v>
      </c>
      <c r="E41" s="137" t="s">
        <v>3580</v>
      </c>
      <c r="F41" s="137" t="s">
        <v>5804</v>
      </c>
      <c r="G41" s="137" t="s">
        <v>9160</v>
      </c>
      <c r="H41" s="137" t="s">
        <v>11558</v>
      </c>
      <c r="I41" s="137" t="s">
        <v>3379</v>
      </c>
      <c r="J41" s="137" t="s">
        <v>11902</v>
      </c>
      <c r="K41" s="139">
        <v>-0.112647952461929</v>
      </c>
      <c r="L41" s="139">
        <v>4.4352219478743599E-2</v>
      </c>
      <c r="M41" s="139">
        <v>0.23499999999999899</v>
      </c>
    </row>
    <row r="42" spans="1:13" ht="17.399999999999999">
      <c r="A42" s="137" t="s">
        <v>15542</v>
      </c>
      <c r="B42" s="138" t="s">
        <v>15443</v>
      </c>
      <c r="C42" s="137" t="s">
        <v>15452</v>
      </c>
      <c r="D42" s="137" t="s">
        <v>3535</v>
      </c>
      <c r="E42" s="137" t="s">
        <v>3695</v>
      </c>
      <c r="F42" s="137" t="s">
        <v>5805</v>
      </c>
      <c r="G42" s="137" t="s">
        <v>9161</v>
      </c>
      <c r="H42" s="137" t="s">
        <v>10600</v>
      </c>
      <c r="I42" s="137" t="s">
        <v>3366</v>
      </c>
      <c r="J42" s="137" t="s">
        <v>11902</v>
      </c>
      <c r="K42" s="139">
        <v>-0.11119370247065399</v>
      </c>
      <c r="L42" s="139">
        <v>5.9621297038125597E-2</v>
      </c>
      <c r="M42" s="139">
        <v>0.230899999999991</v>
      </c>
    </row>
    <row r="43" spans="1:13" ht="17.399999999999999">
      <c r="A43" s="140" t="s">
        <v>15542</v>
      </c>
      <c r="B43" s="141" t="s">
        <v>15443</v>
      </c>
      <c r="C43" s="140" t="s">
        <v>15452</v>
      </c>
      <c r="D43" s="140" t="s">
        <v>3536</v>
      </c>
      <c r="E43" s="140" t="s">
        <v>3690</v>
      </c>
      <c r="F43" s="140" t="s">
        <v>5806</v>
      </c>
      <c r="G43" s="140" t="s">
        <v>9162</v>
      </c>
      <c r="H43" s="140" t="s">
        <v>11559</v>
      </c>
      <c r="I43" s="140" t="s">
        <v>3366</v>
      </c>
      <c r="J43" s="140" t="s">
        <v>11902</v>
      </c>
      <c r="K43" s="142">
        <v>-0.112547693060737</v>
      </c>
      <c r="L43" s="142">
        <v>6.8049625296650595E-2</v>
      </c>
      <c r="M43" s="142">
        <v>0.167599999999993</v>
      </c>
    </row>
    <row r="44" spans="1:13">
      <c r="I44" s="148"/>
    </row>
    <row r="45" spans="1:13" ht="17.399999999999999">
      <c r="A45" s="143" t="s">
        <v>15291</v>
      </c>
      <c r="B45" s="143" t="s">
        <v>15501</v>
      </c>
      <c r="C45" s="143" t="s">
        <v>15502</v>
      </c>
      <c r="D45" s="146" t="s">
        <v>15520</v>
      </c>
      <c r="E45" s="147" t="s">
        <v>3601</v>
      </c>
      <c r="F45" s="147" t="s">
        <v>3767</v>
      </c>
      <c r="G45" s="147" t="s">
        <v>7126</v>
      </c>
      <c r="H45" s="147" t="s">
        <v>15507</v>
      </c>
      <c r="I45" s="147" t="s">
        <v>11883</v>
      </c>
      <c r="J45" s="147" t="s">
        <v>11884</v>
      </c>
      <c r="K45" s="149" t="s">
        <v>15534</v>
      </c>
      <c r="L45" s="149" t="s">
        <v>15535</v>
      </c>
      <c r="M45" s="149" t="s">
        <v>15536</v>
      </c>
    </row>
    <row r="46" spans="1:13" ht="17.399999999999999">
      <c r="A46" s="144" t="s">
        <v>15355</v>
      </c>
      <c r="B46" s="144" t="s">
        <v>15443</v>
      </c>
      <c r="C46" s="144" t="s">
        <v>15452</v>
      </c>
      <c r="D46" s="144" t="s">
        <v>3436</v>
      </c>
      <c r="E46" s="144" t="s">
        <v>3461</v>
      </c>
      <c r="F46" s="144" t="s">
        <v>5744</v>
      </c>
      <c r="G46" s="144" t="s">
        <v>9100</v>
      </c>
      <c r="H46" s="144" t="s">
        <v>10856</v>
      </c>
      <c r="I46" s="144" t="s">
        <v>3376</v>
      </c>
      <c r="J46" s="144" t="s">
        <v>11902</v>
      </c>
      <c r="K46" s="150">
        <v>9.5994933470783996E-3</v>
      </c>
      <c r="L46" s="150">
        <v>2.0060441262765901E-2</v>
      </c>
      <c r="M46" s="150">
        <v>-2.5500000000001001E-2</v>
      </c>
    </row>
    <row r="47" spans="1:13" ht="17.399999999999999">
      <c r="A47" s="144" t="s">
        <v>15355</v>
      </c>
      <c r="B47" s="144" t="s">
        <v>15443</v>
      </c>
      <c r="C47" s="144" t="s">
        <v>15452</v>
      </c>
      <c r="D47" s="144" t="s">
        <v>3425</v>
      </c>
      <c r="E47" s="144" t="s">
        <v>3426</v>
      </c>
      <c r="F47" s="144" t="s">
        <v>5745</v>
      </c>
      <c r="G47" s="144" t="s">
        <v>9101</v>
      </c>
      <c r="H47" s="144" t="s">
        <v>11054</v>
      </c>
      <c r="I47" s="144" t="s">
        <v>3366</v>
      </c>
      <c r="J47" s="144" t="s">
        <v>11902</v>
      </c>
      <c r="K47" s="150">
        <v>1.0024149839813401E-2</v>
      </c>
      <c r="L47" s="150">
        <v>2.10377104456154E-2</v>
      </c>
      <c r="M47" s="150">
        <v>-2.6200000000002902E-2</v>
      </c>
    </row>
    <row r="48" spans="1:13" ht="17.399999999999999">
      <c r="A48" s="144" t="s">
        <v>15355</v>
      </c>
      <c r="B48" s="144" t="s">
        <v>15443</v>
      </c>
      <c r="C48" s="144" t="s">
        <v>15452</v>
      </c>
      <c r="D48" s="144" t="s">
        <v>3435</v>
      </c>
      <c r="E48" s="144" t="s">
        <v>3478</v>
      </c>
      <c r="F48" s="144" t="s">
        <v>5746</v>
      </c>
      <c r="G48" s="144" t="s">
        <v>9102</v>
      </c>
      <c r="H48" s="144" t="s">
        <v>11539</v>
      </c>
      <c r="I48" s="144" t="s">
        <v>3366</v>
      </c>
      <c r="J48" s="144" t="s">
        <v>11902</v>
      </c>
      <c r="K48" s="150">
        <v>9.4849146319503502E-3</v>
      </c>
      <c r="L48" s="150">
        <v>2.1897438721055599E-2</v>
      </c>
      <c r="M48" s="150">
        <v>-3.5900000000005199E-2</v>
      </c>
    </row>
    <row r="49" spans="1:13" ht="17.399999999999999">
      <c r="A49" s="144" t="s">
        <v>15355</v>
      </c>
      <c r="B49" s="144" t="s">
        <v>15443</v>
      </c>
      <c r="C49" s="145" t="s">
        <v>15540</v>
      </c>
      <c r="D49" s="144" t="s">
        <v>3441</v>
      </c>
      <c r="E49" s="144" t="s">
        <v>3611</v>
      </c>
      <c r="F49" s="144" t="s">
        <v>5747</v>
      </c>
      <c r="G49" s="144" t="s">
        <v>9103</v>
      </c>
      <c r="H49" s="144" t="s">
        <v>11540</v>
      </c>
      <c r="I49" s="144" t="s">
        <v>3384</v>
      </c>
      <c r="J49" s="144" t="s">
        <v>11886</v>
      </c>
      <c r="K49" s="150">
        <v>9.3461144745901406E-3</v>
      </c>
      <c r="L49" s="150">
        <v>1.7364402178959799E-2</v>
      </c>
      <c r="M49" s="150">
        <v>-2.3400000000002301E-2</v>
      </c>
    </row>
    <row r="50" spans="1:13" ht="17.399999999999999">
      <c r="A50" s="144" t="s">
        <v>15355</v>
      </c>
      <c r="B50" s="144" t="s">
        <v>15443</v>
      </c>
      <c r="C50" s="144" t="s">
        <v>15483</v>
      </c>
      <c r="D50" s="144" t="s">
        <v>3453</v>
      </c>
      <c r="E50" s="144" t="s">
        <v>3564</v>
      </c>
      <c r="F50" s="144" t="s">
        <v>5748</v>
      </c>
      <c r="G50" s="144" t="s">
        <v>9104</v>
      </c>
      <c r="H50" s="144" t="s">
        <v>10851</v>
      </c>
      <c r="I50" s="144" t="s">
        <v>3366</v>
      </c>
      <c r="J50" s="144" t="s">
        <v>11885</v>
      </c>
      <c r="K50" s="150">
        <v>9.0305937052275707E-3</v>
      </c>
      <c r="L50" s="150">
        <v>1.4962658414489001E-2</v>
      </c>
      <c r="M50" s="150">
        <v>-2.4600000000006599E-2</v>
      </c>
    </row>
    <row r="51" spans="1:13" ht="17.399999999999999">
      <c r="A51" s="144" t="s">
        <v>15355</v>
      </c>
      <c r="B51" s="144" t="s">
        <v>15443</v>
      </c>
      <c r="C51" s="144" t="s">
        <v>15483</v>
      </c>
      <c r="D51" s="144" t="s">
        <v>3433</v>
      </c>
      <c r="E51" s="144" t="s">
        <v>3563</v>
      </c>
      <c r="F51" s="144" t="s">
        <v>5749</v>
      </c>
      <c r="G51" s="144" t="s">
        <v>9105</v>
      </c>
      <c r="H51" s="144" t="s">
        <v>11525</v>
      </c>
      <c r="I51" s="144" t="s">
        <v>3366</v>
      </c>
      <c r="J51" s="144" t="s">
        <v>11890</v>
      </c>
      <c r="K51" s="150">
        <v>6.52202683982076E-3</v>
      </c>
      <c r="L51" s="150">
        <v>1.3658930157717301E-2</v>
      </c>
      <c r="M51" s="150">
        <v>-1.9100000000001699E-2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30BDE-CDFE-45C9-A094-4F8B47BD6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정리</vt:lpstr>
      <vt:lpstr>GVRS_Horizontal</vt:lpstr>
      <vt:lpstr>GVRS_Vertical</vt:lpstr>
      <vt:lpstr>전체서비스성능저하</vt:lpstr>
      <vt:lpstr>동일한 망 다른점명</vt:lpstr>
      <vt:lpstr>동일망 다른점명 비교</vt:lpstr>
      <vt:lpstr>임실24_임실03</vt:lpstr>
      <vt:lpstr>Sheet2</vt:lpstr>
      <vt:lpstr>fkp_Service</vt:lpstr>
      <vt:lpstr>ssr_Twoway_Service</vt:lpstr>
      <vt:lpstr>ssr_Oneway_Service</vt:lpstr>
      <vt:lpstr>Sheet1</vt:lpstr>
      <vt:lpstr>ssr_Service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김주헌</cp:lastModifiedBy>
  <dcterms:created xsi:type="dcterms:W3CDTF">2025-08-28T08:56:31Z</dcterms:created>
  <dcterms:modified xsi:type="dcterms:W3CDTF">2025-11-09T17:34:38Z</dcterms:modified>
</cp:coreProperties>
</file>